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AW_004" sheetId="2" state="visible" r:id="rId2"/>
    <sheet name="ALLOCATIONS" sheetId="3" state="visible" r:id="rId3"/>
    <sheet name="MAPPING" sheetId="4" state="visible" r:id="rId4"/>
    <sheet name="UPLOAD" sheetId="5" state="visible" r:id="rId5"/>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YYYY-MM-DD HH:MM"/>
  </numFmts>
  <fonts count="6">
    <font>
      <name val="Calibri"/>
      <family val="2"/>
      <color theme="1"/>
      <sz val="11"/>
      <scheme val="minor"/>
    </font>
    <font>
      <b val="1"/>
      <sz val="12"/>
    </font>
    <font>
      <b val="1"/>
      <sz val="11"/>
    </font>
    <font>
      <b val="1"/>
      <color rgb="00FFFFFF"/>
    </font>
    <font>
      <b val="1"/>
    </font>
    <font>
      <i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165" fontId="0" fillId="0" borderId="0" pivotButton="0" quotePrefix="0" xfId="0"/>
    <xf numFmtId="166" fontId="0" fillId="0" borderId="0" pivotButton="0" quotePrefix="0" xfId="0"/>
    <xf numFmtId="0" fontId="0" fillId="3" borderId="0" pivotButton="0" quotePrefix="0" xfId="0"/>
    <xf numFmtId="0" fontId="0" fillId="4" borderId="0" pivotButton="0" quotePrefix="0" xfId="0"/>
    <xf numFmtId="0" fontId="3" fillId="2" borderId="0" applyAlignment="1" pivotButton="0" quotePrefix="0" xfId="0">
      <alignment horizontal="center"/>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A26"/>
  <sheetViews>
    <sheetView workbookViewId="0">
      <selection activeCell="A1" sqref="A1"/>
    </sheetView>
  </sheetViews>
  <sheetFormatPr baseColWidth="8" defaultRowHeight="15"/>
  <cols>
    <col width="115" customWidth="1" min="1" max="1"/>
  </cols>
  <sheetData>
    <row r="1">
      <c r="A1" s="1" t="inlineStr">
        <is>
          <t>TFS Dashboard 2.0 — Upload Workbook (aligned to Odoo extract 004)</t>
        </is>
      </c>
    </row>
    <row r="2">
      <c r="A2" t="inlineStr"/>
    </row>
    <row r="3">
      <c r="A3" s="2" t="inlineStr">
        <is>
          <t>MONTHLY REFRESH — 3 steps:</t>
        </is>
      </c>
    </row>
    <row r="4">
      <c r="A4" t="inlineStr">
        <is>
          <t xml:space="preserve">  1. Run extract 004 in Odoo. Delete old rows in RAW_004 (keep row 1), then paste the new export's rows</t>
        </is>
      </c>
    </row>
    <row r="5">
      <c r="A5" t="inlineStr">
        <is>
          <t xml:space="preserve">     (all 13 columns, without the header row) starting at cell A2. Column N fills in automatically.</t>
        </is>
      </c>
    </row>
    <row r="6">
      <c r="A6" t="inlineStr">
        <is>
          <t xml:space="preserve">  2. Open UPLOAD. If the CHECKS block flags a mismatch, it usually means new staff/project/month</t>
        </is>
      </c>
    </row>
    <row r="7">
      <c r="A7" t="inlineStr">
        <is>
          <t xml:space="preserve">     combinations appeared: add the missing rows in ALLOCATIONS and/or MAPPING until all checks say OK.</t>
        </is>
      </c>
    </row>
    <row r="8">
      <c r="A8" t="inlineStr">
        <is>
          <t xml:space="preserve">  3. Export the UPLOAD tab (File &gt; Save As &gt; CSV while on the UPLOAD tab) and upload it to the TFS Dashboard.</t>
        </is>
      </c>
    </row>
    <row r="9">
      <c r="A9" t="inlineStr"/>
    </row>
    <row r="10">
      <c r="A10" s="2" t="inlineStr">
        <is>
          <t>TAB GUIDE:</t>
        </is>
      </c>
    </row>
    <row r="11">
      <c r="A11" t="inlineStr">
        <is>
          <t xml:space="preserve">  RAW_004      Paste target for the raw Odoo export. Columns must stay in Odoo's order:</t>
        </is>
      </c>
    </row>
    <row r="12">
      <c r="A12" t="inlineStr">
        <is>
          <t xml:space="preserve">               Created by | Date | Description | Employee | Last Updated by | Last Updated on |</t>
        </is>
      </c>
    </row>
    <row r="13">
      <c r="A13" t="inlineStr">
        <is>
          <t xml:space="preserve">               Parent Task | Project | Quantity | Sales Order Item | Task | Billable | Billable Type</t>
        </is>
      </c>
    </row>
    <row r="14">
      <c r="A14" t="inlineStr">
        <is>
          <t xml:space="preserve">  ALLOCATIONS  One row per staff x project x month. Fill the yellow 'Allocated Hours' column with planned</t>
        </is>
      </c>
    </row>
    <row r="15">
      <c r="A15" t="inlineStr">
        <is>
          <t xml:space="preserve">               hours. Rows are pre-filled for every combination found in the current export.</t>
        </is>
      </c>
    </row>
    <row r="16">
      <c r="A16" t="inlineStr">
        <is>
          <t xml:space="preserve">  MAPPING      Odoo names -&gt; dashboard Staff IDs / display names / programs. Pre-filled from the export;</t>
        </is>
      </c>
    </row>
    <row r="17">
      <c r="A17" t="inlineStr">
        <is>
          <t xml:space="preserve">               edit the yellow columns to match what the TFS Dashboard expects.</t>
        </is>
      </c>
    </row>
    <row r="18">
      <c r="A18" t="inlineStr">
        <is>
          <t xml:space="preserve">  UPLOAD       The output. Green = formulas, do not edit. Upload rows start at row 8.</t>
        </is>
      </c>
    </row>
    <row r="19">
      <c r="A19" t="inlineStr"/>
    </row>
    <row r="20">
      <c r="A20" s="2" t="inlineStr">
        <is>
          <t>COLOUR CODE:  Yellow = you type or paste here.   Green = formulas, do not touch.</t>
        </is>
      </c>
    </row>
    <row r="21">
      <c r="A21" t="inlineStr"/>
    </row>
    <row r="22">
      <c r="A22" s="2" t="inlineStr">
        <is>
          <t>RULES:</t>
        </is>
      </c>
    </row>
    <row r="23">
      <c r="A23" t="inlineStr">
        <is>
          <t xml:space="preserve">  - Never insert or delete columns on RAW_004; paste the export exactly as Odoo produces it.</t>
        </is>
      </c>
    </row>
    <row r="24">
      <c r="A24" t="inlineStr">
        <is>
          <t xml:space="preserve">  - Do not rename tabs; formulas reference them by name.</t>
        </is>
      </c>
    </row>
    <row r="25">
      <c r="A25" t="inlineStr">
        <is>
          <t xml:space="preserve">  - Entries with more than 24 hours in a day are almost certainly Odoo entry errors - fix them in Odoo</t>
        </is>
      </c>
    </row>
    <row r="26">
      <c r="A26" t="inlineStr">
        <is>
          <t xml:space="preserve">    and re-export rather than editing this workbook.</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N1000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30" customWidth="1" min="3" max="3"/>
    <col width="24" customWidth="1" min="4" max="4"/>
    <col width="22" customWidth="1" min="5" max="5"/>
    <col width="18" customWidth="1" min="6" max="6"/>
    <col width="16" customWidth="1" min="7" max="7"/>
    <col width="34" customWidth="1" min="8" max="8"/>
    <col width="10" customWidth="1" min="9" max="9"/>
    <col width="16" customWidth="1" min="10" max="10"/>
    <col width="30" customWidth="1" min="11" max="11"/>
    <col width="10" customWidth="1" min="12" max="12"/>
    <col width="18" customWidth="1" min="13" max="13"/>
    <col width="12" customWidth="1" min="14" max="14"/>
  </cols>
  <sheetData>
    <row r="1">
      <c r="A1" s="3" t="inlineStr">
        <is>
          <t>Created by</t>
        </is>
      </c>
      <c r="B1" s="3" t="inlineStr">
        <is>
          <t>Date</t>
        </is>
      </c>
      <c r="C1" s="3" t="inlineStr">
        <is>
          <t>Description</t>
        </is>
      </c>
      <c r="D1" s="3" t="inlineStr">
        <is>
          <t>Employee</t>
        </is>
      </c>
      <c r="E1" s="3" t="inlineStr">
        <is>
          <t>Last Updated by</t>
        </is>
      </c>
      <c r="F1" s="3" t="inlineStr">
        <is>
          <t>Last Updated on</t>
        </is>
      </c>
      <c r="G1" s="3" t="inlineStr">
        <is>
          <t>Parent Task</t>
        </is>
      </c>
      <c r="H1" s="3" t="inlineStr">
        <is>
          <t>Project</t>
        </is>
      </c>
      <c r="I1" s="3" t="inlineStr">
        <is>
          <t>Quantity</t>
        </is>
      </c>
      <c r="J1" s="3" t="inlineStr">
        <is>
          <t>Sales Order Item</t>
        </is>
      </c>
      <c r="K1" s="3" t="inlineStr">
        <is>
          <t>Task</t>
        </is>
      </c>
      <c r="L1" s="3" t="inlineStr">
        <is>
          <t>Billable</t>
        </is>
      </c>
      <c r="M1" s="3" t="inlineStr">
        <is>
          <t>Billable Type</t>
        </is>
      </c>
      <c r="N1" s="3" t="inlineStr">
        <is>
          <t>Month (auto)</t>
        </is>
      </c>
    </row>
    <row r="2">
      <c r="A2" t="inlineStr">
        <is>
          <t>Augustus Asamoah</t>
        </is>
      </c>
      <c r="B2" s="4" t="n">
        <v>46213</v>
      </c>
      <c r="C2" t="inlineStr">
        <is>
          <t>/</t>
        </is>
      </c>
      <c r="D2" t="inlineStr">
        <is>
          <t>Augustus Asamoah</t>
        </is>
      </c>
      <c r="E2" t="inlineStr">
        <is>
          <t>Augustus Asamoah</t>
        </is>
      </c>
      <c r="F2" s="5" t="n">
        <v>46210.37613425926</v>
      </c>
      <c r="H2" t="inlineStr">
        <is>
          <t>P13PC00A00 - Private Sector Companies</t>
        </is>
      </c>
      <c r="I2" t="n">
        <v>0</v>
      </c>
      <c r="K2" t="inlineStr">
        <is>
          <t>Seedling Procurement and Supply</t>
        </is>
      </c>
      <c r="L2" t="b">
        <v>0</v>
      </c>
      <c r="M2" t="inlineStr">
        <is>
          <t>Non-Billable</t>
        </is>
      </c>
      <c r="N2" s="6">
        <f>IF(B2="","",IF(ISNUMBER(B2),TEXT(B2,"YYYY-MM"),LEFT(B2,7)))</f>
        <v/>
      </c>
    </row>
    <row r="3">
      <c r="A3" t="inlineStr">
        <is>
          <t>Augustus Asamoah</t>
        </is>
      </c>
      <c r="B3" s="4" t="n">
        <v>46213</v>
      </c>
      <c r="C3" t="inlineStr">
        <is>
          <t>/</t>
        </is>
      </c>
      <c r="D3" t="inlineStr">
        <is>
          <t>Augustus Asamoah</t>
        </is>
      </c>
      <c r="E3" t="inlineStr">
        <is>
          <t>Augustus Asamoah</t>
        </is>
      </c>
      <c r="F3" s="5" t="n">
        <v>46210.37613425926</v>
      </c>
      <c r="H3" t="inlineStr">
        <is>
          <t>P13QC00A00 - EFI Programme</t>
        </is>
      </c>
      <c r="I3" t="n">
        <v>0</v>
      </c>
      <c r="K3" t="inlineStr">
        <is>
          <t>Seedling Procurement and Supply</t>
        </is>
      </c>
      <c r="L3" t="b">
        <v>0</v>
      </c>
      <c r="M3" t="inlineStr">
        <is>
          <t>Non-Billable</t>
        </is>
      </c>
      <c r="N3" s="6">
        <f>IF(B3="","",IF(ISNUMBER(B3),TEXT(B3,"YYYY-MM"),LEFT(B3,7)))</f>
        <v/>
      </c>
    </row>
    <row r="4">
      <c r="A4" t="inlineStr">
        <is>
          <t>Augustus Asamoah</t>
        </is>
      </c>
      <c r="B4" s="4" t="n">
        <v>46213</v>
      </c>
      <c r="C4" t="inlineStr">
        <is>
          <t>/</t>
        </is>
      </c>
      <c r="D4" t="inlineStr">
        <is>
          <t>Augustus Asamoah</t>
        </is>
      </c>
      <c r="E4" t="inlineStr">
        <is>
          <t>Augustus Asamoah</t>
        </is>
      </c>
      <c r="F4" s="5" t="n">
        <v>46210.37616898148</v>
      </c>
      <c r="H4" t="inlineStr">
        <is>
          <t>P13NC00A00 - WALMART II</t>
        </is>
      </c>
      <c r="I4" t="n">
        <v>0</v>
      </c>
      <c r="K4" t="inlineStr">
        <is>
          <t>Check in call with Simon</t>
        </is>
      </c>
      <c r="L4" t="b">
        <v>0</v>
      </c>
      <c r="M4" t="inlineStr">
        <is>
          <t>Non-Billable</t>
        </is>
      </c>
      <c r="N4" s="6">
        <f>IF(B4="","",IF(ISNUMBER(B4),TEXT(B4,"YYYY-MM"),LEFT(B4,7)))</f>
        <v/>
      </c>
    </row>
    <row r="5">
      <c r="A5" t="inlineStr">
        <is>
          <t>Augustus Asamoah</t>
        </is>
      </c>
      <c r="B5" s="4" t="n">
        <v>46213</v>
      </c>
      <c r="C5" t="inlineStr">
        <is>
          <t>/</t>
        </is>
      </c>
      <c r="D5" t="inlineStr">
        <is>
          <t>Augustus Asamoah</t>
        </is>
      </c>
      <c r="E5" t="inlineStr">
        <is>
          <t>Augustus Asamoah</t>
        </is>
      </c>
      <c r="F5" s="5" t="n">
        <v>46210.37611111111</v>
      </c>
      <c r="H5" t="inlineStr">
        <is>
          <t>P13QC00A00 - EFI Programme</t>
        </is>
      </c>
      <c r="I5" t="n">
        <v>0</v>
      </c>
      <c r="K5" t="inlineStr">
        <is>
          <t>Review meeting and launch of tree planting in Takoradi</t>
        </is>
      </c>
      <c r="L5" t="b">
        <v>0</v>
      </c>
      <c r="M5" t="inlineStr">
        <is>
          <t>Non-Billable</t>
        </is>
      </c>
      <c r="N5" s="6">
        <f>IF(B5="","",IF(ISNUMBER(B5),TEXT(B5,"YYYY-MM"),LEFT(B5,7)))</f>
        <v/>
      </c>
    </row>
    <row r="6">
      <c r="A6" t="inlineStr">
        <is>
          <t>Augustus Asamoah</t>
        </is>
      </c>
      <c r="B6" s="4" t="n">
        <v>46212</v>
      </c>
      <c r="C6" t="inlineStr">
        <is>
          <t>/</t>
        </is>
      </c>
      <c r="D6" t="inlineStr">
        <is>
          <t>Augustus Asamoah</t>
        </is>
      </c>
      <c r="E6" t="inlineStr">
        <is>
          <t>Augustus Asamoah</t>
        </is>
      </c>
      <c r="F6" s="5" t="n">
        <v>46210.37609953704</v>
      </c>
      <c r="H6" t="inlineStr">
        <is>
          <t>P13QC00A00 - EFI Programme</t>
        </is>
      </c>
      <c r="I6" t="n">
        <v>0</v>
      </c>
      <c r="K6" t="inlineStr">
        <is>
          <t>Review meeting and launch of tree planting in Takoradi</t>
        </is>
      </c>
      <c r="L6" t="b">
        <v>0</v>
      </c>
      <c r="M6" t="inlineStr">
        <is>
          <t>Non-Billable</t>
        </is>
      </c>
      <c r="N6" s="6">
        <f>IF(B6="","",IF(ISNUMBER(B6),TEXT(B6,"YYYY-MM"),LEFT(B6,7)))</f>
        <v/>
      </c>
    </row>
    <row r="7">
      <c r="A7" t="inlineStr">
        <is>
          <t>Augustus Asamoah</t>
        </is>
      </c>
      <c r="B7" s="4" t="n">
        <v>46211</v>
      </c>
      <c r="C7" t="inlineStr">
        <is>
          <t>/</t>
        </is>
      </c>
      <c r="D7" t="inlineStr">
        <is>
          <t>Augustus Asamoah</t>
        </is>
      </c>
      <c r="E7" t="inlineStr">
        <is>
          <t>Augustus Asamoah</t>
        </is>
      </c>
      <c r="F7" s="5" t="n">
        <v>46210.37608796296</v>
      </c>
      <c r="H7" t="inlineStr">
        <is>
          <t>P13QC00A00 - EFI Programme</t>
        </is>
      </c>
      <c r="I7" t="n">
        <v>0</v>
      </c>
      <c r="K7" t="inlineStr">
        <is>
          <t>Review meeting and launch of tree planting in Takoradi</t>
        </is>
      </c>
      <c r="L7" t="b">
        <v>0</v>
      </c>
      <c r="M7" t="inlineStr">
        <is>
          <t>Non-Billable</t>
        </is>
      </c>
      <c r="N7" s="6">
        <f>IF(B7="","",IF(ISNUMBER(B7),TEXT(B7,"YYYY-MM"),LEFT(B7,7)))</f>
        <v/>
      </c>
    </row>
    <row r="8">
      <c r="A8" t="inlineStr">
        <is>
          <t>Ekow Nyamekye Tawiah</t>
        </is>
      </c>
      <c r="B8" s="4" t="n">
        <v>46210</v>
      </c>
      <c r="C8" t="inlineStr">
        <is>
          <t>Proposal for BUA Bonsucro CHoC Standard</t>
        </is>
      </c>
      <c r="D8" t="inlineStr">
        <is>
          <t>Ekow Nyamekye Tawiah</t>
        </is>
      </c>
      <c r="E8" t="inlineStr">
        <is>
          <t>Ekow Nyamekye Tawiah</t>
        </is>
      </c>
      <c r="F8" s="5" t="n">
        <v>46210.6534837963</v>
      </c>
      <c r="H8" t="inlineStr">
        <is>
          <t>Non-Billable Tasks</t>
        </is>
      </c>
      <c r="I8" t="n">
        <v>0</v>
      </c>
      <c r="K8" t="inlineStr">
        <is>
          <t>Business Development and Networking</t>
        </is>
      </c>
      <c r="L8" t="b">
        <v>0</v>
      </c>
      <c r="M8" t="inlineStr">
        <is>
          <t>Non-Billable</t>
        </is>
      </c>
      <c r="N8" s="6">
        <f>IF(B8="","",IF(ISNUMBER(B8),TEXT(B8,"YYYY-MM"),LEFT(B8,7)))</f>
        <v/>
      </c>
    </row>
    <row r="9">
      <c r="A9" t="inlineStr">
        <is>
          <t>Ekow Nyamekye Tawiah</t>
        </is>
      </c>
      <c r="B9" s="4" t="n">
        <v>46210</v>
      </c>
      <c r="C9" t="inlineStr">
        <is>
          <t>Data review and reporting framework</t>
        </is>
      </c>
      <c r="D9" t="inlineStr">
        <is>
          <t>Ekow Nyamekye Tawiah</t>
        </is>
      </c>
      <c r="E9" t="inlineStr">
        <is>
          <t>Ekow Nyamekye Tawiah</t>
        </is>
      </c>
      <c r="F9" s="5" t="n">
        <v>46210.64795138889</v>
      </c>
      <c r="H9" t="inlineStr">
        <is>
          <t>PCGH738</t>
        </is>
      </c>
      <c r="I9" t="n">
        <v>1</v>
      </c>
      <c r="J9" t="inlineStr">
        <is>
          <t>PCGH738 - Analysis and Reporting (3) (Barnsley International Limited)</t>
        </is>
      </c>
      <c r="K9" t="inlineStr">
        <is>
          <t>Analysis and Reporting (3)</t>
        </is>
      </c>
      <c r="L9" t="b">
        <v>1</v>
      </c>
      <c r="M9" t="inlineStr">
        <is>
          <t>Billed at a Fixed price</t>
        </is>
      </c>
      <c r="N9" s="6">
        <f>IF(B9="","",IF(ISNUMBER(B9),TEXT(B9,"YYYY-MM"),LEFT(B9,7)))</f>
        <v/>
      </c>
    </row>
    <row r="10">
      <c r="A10" t="inlineStr">
        <is>
          <t>Ekow Nyamekye Tawiah</t>
        </is>
      </c>
      <c r="B10" s="4" t="n">
        <v>46210</v>
      </c>
      <c r="C10" t="inlineStr">
        <is>
          <t>Annual Review with line Manager</t>
        </is>
      </c>
      <c r="D10" t="inlineStr">
        <is>
          <t>Ekow Nyamekye Tawiah</t>
        </is>
      </c>
      <c r="E10" t="inlineStr">
        <is>
          <t>Ekow Nyamekye Tawiah</t>
        </is>
      </c>
      <c r="F10" s="5" t="n">
        <v>46210.64395833333</v>
      </c>
      <c r="H10" t="inlineStr">
        <is>
          <t>Non-Billable Tasks</t>
        </is>
      </c>
      <c r="I10" t="n">
        <v>0</v>
      </c>
      <c r="K10" t="inlineStr">
        <is>
          <t>Line Management</t>
        </is>
      </c>
      <c r="L10" t="b">
        <v>0</v>
      </c>
      <c r="M10" t="inlineStr">
        <is>
          <t>Non-Billable</t>
        </is>
      </c>
      <c r="N10" s="6">
        <f>IF(B10="","",IF(ISNUMBER(B10),TEXT(B10,"YYYY-MM"),LEFT(B10,7)))</f>
        <v/>
      </c>
    </row>
    <row r="11">
      <c r="A11" t="inlineStr">
        <is>
          <t>Augustus Asamoah</t>
        </is>
      </c>
      <c r="B11" s="4" t="n">
        <v>46210</v>
      </c>
      <c r="C11" t="inlineStr">
        <is>
          <t>/</t>
        </is>
      </c>
      <c r="D11" t="inlineStr">
        <is>
          <t>Augustus Asamoah</t>
        </is>
      </c>
      <c r="E11" t="inlineStr">
        <is>
          <t>Augustus Asamoah</t>
        </is>
      </c>
      <c r="F11" s="5" t="n">
        <v>46210.37606481482</v>
      </c>
      <c r="H11" t="inlineStr">
        <is>
          <t>P13QC00A00 - EFI Programme</t>
        </is>
      </c>
      <c r="I11" t="n">
        <v>0</v>
      </c>
      <c r="K11" t="inlineStr">
        <is>
          <t>Review meeting and launch of tree planting in Takoradi</t>
        </is>
      </c>
      <c r="L11" t="b">
        <v>0</v>
      </c>
      <c r="M11" t="inlineStr">
        <is>
          <t>Non-Billable</t>
        </is>
      </c>
      <c r="N11" s="6">
        <f>IF(B11="","",IF(ISNUMBER(B11),TEXT(B11,"YYYY-MM"),LEFT(B11,7)))</f>
        <v/>
      </c>
    </row>
    <row r="12">
      <c r="A12" t="inlineStr">
        <is>
          <t>Augustus Asamoah</t>
        </is>
      </c>
      <c r="B12" s="4" t="n">
        <v>46210</v>
      </c>
      <c r="C12" t="inlineStr">
        <is>
          <t>/</t>
        </is>
      </c>
      <c r="D12" t="inlineStr">
        <is>
          <t>Augustus Asamoah</t>
        </is>
      </c>
      <c r="E12" t="inlineStr">
        <is>
          <t>Augustus Asamoah</t>
        </is>
      </c>
      <c r="F12" s="5" t="n">
        <v>46210.37339120371</v>
      </c>
      <c r="H12" t="inlineStr">
        <is>
          <t>P13QC00A00 - EFI Programme</t>
        </is>
      </c>
      <c r="I12" t="n">
        <v>0</v>
      </c>
      <c r="K12" t="inlineStr">
        <is>
          <t>Follow up on field wrok and related activities</t>
        </is>
      </c>
      <c r="L12" t="b">
        <v>0</v>
      </c>
      <c r="M12" t="inlineStr">
        <is>
          <t>Non-Billable</t>
        </is>
      </c>
      <c r="N12" s="6">
        <f>IF(B12="","",IF(ISNUMBER(B12),TEXT(B12,"YYYY-MM"),LEFT(B12,7)))</f>
        <v/>
      </c>
    </row>
    <row r="13">
      <c r="A13" t="inlineStr">
        <is>
          <t>Augustus Asamoah</t>
        </is>
      </c>
      <c r="B13" s="4" t="n">
        <v>46210</v>
      </c>
      <c r="C13" t="inlineStr">
        <is>
          <t>/</t>
        </is>
      </c>
      <c r="D13" t="inlineStr">
        <is>
          <t>Augustus Asamoah</t>
        </is>
      </c>
      <c r="E13" t="inlineStr">
        <is>
          <t>Augustus Asamoah</t>
        </is>
      </c>
      <c r="F13" s="5" t="n">
        <v>46210.37552083333</v>
      </c>
      <c r="H13" t="inlineStr">
        <is>
          <t>P13PC00A00 - Private Sector Companies</t>
        </is>
      </c>
      <c r="I13" t="n">
        <v>0</v>
      </c>
      <c r="K13" t="inlineStr">
        <is>
          <t>coordination of MTS and related Activities</t>
        </is>
      </c>
      <c r="L13" t="b">
        <v>0</v>
      </c>
      <c r="M13" t="inlineStr">
        <is>
          <t>Non-Billable</t>
        </is>
      </c>
      <c r="N13" s="6">
        <f>IF(B13="","",IF(ISNUMBER(B13),TEXT(B13,"YYYY-MM"),LEFT(B13,7)))</f>
        <v/>
      </c>
    </row>
    <row r="14">
      <c r="A14" t="inlineStr">
        <is>
          <t>Augustus Asamoah</t>
        </is>
      </c>
      <c r="B14" s="4" t="n">
        <v>46210</v>
      </c>
      <c r="C14" t="inlineStr">
        <is>
          <t>/</t>
        </is>
      </c>
      <c r="D14" t="inlineStr">
        <is>
          <t>Augustus Asamoah</t>
        </is>
      </c>
      <c r="E14" t="inlineStr">
        <is>
          <t>Augustus Asamoah</t>
        </is>
      </c>
      <c r="F14" s="5" t="n">
        <v>46210.37601851852</v>
      </c>
      <c r="H14" t="inlineStr">
        <is>
          <t>P13NC00A00 - WALMART II</t>
        </is>
      </c>
      <c r="I14" t="n">
        <v>0</v>
      </c>
      <c r="K14" t="inlineStr">
        <is>
          <t>Check in call with Simon</t>
        </is>
      </c>
      <c r="L14" t="b">
        <v>0</v>
      </c>
      <c r="M14" t="inlineStr">
        <is>
          <t>Non-Billable</t>
        </is>
      </c>
      <c r="N14" s="6">
        <f>IF(B14="","",IF(ISNUMBER(B14),TEXT(B14,"YYYY-MM"),LEFT(B14,7)))</f>
        <v/>
      </c>
    </row>
    <row r="15">
      <c r="A15" t="inlineStr">
        <is>
          <t>Augustus Asamoah</t>
        </is>
      </c>
      <c r="B15" s="4" t="n">
        <v>46210</v>
      </c>
      <c r="C15" t="inlineStr">
        <is>
          <t>/</t>
        </is>
      </c>
      <c r="D15" t="inlineStr">
        <is>
          <t>Augustus Asamoah</t>
        </is>
      </c>
      <c r="E15" t="inlineStr">
        <is>
          <t>Augustus Asamoah</t>
        </is>
      </c>
      <c r="F15" s="5" t="n">
        <v>46210.37604166667</v>
      </c>
      <c r="H15" t="inlineStr">
        <is>
          <t>P13NC00A00 - WALMART II</t>
        </is>
      </c>
      <c r="I15" t="n">
        <v>0</v>
      </c>
      <c r="K15" t="inlineStr">
        <is>
          <t>RSC Procurements</t>
        </is>
      </c>
      <c r="L15" t="b">
        <v>0</v>
      </c>
      <c r="M15" t="inlineStr">
        <is>
          <t>Non-Billable</t>
        </is>
      </c>
      <c r="N15" s="6">
        <f>IF(B15="","",IF(ISNUMBER(B15),TEXT(B15,"YYYY-MM"),LEFT(B15,7)))</f>
        <v/>
      </c>
    </row>
    <row r="16">
      <c r="A16" t="inlineStr">
        <is>
          <t>Augustus Asamoah</t>
        </is>
      </c>
      <c r="B16" s="4" t="n">
        <v>46210</v>
      </c>
      <c r="C16" t="inlineStr">
        <is>
          <t>/</t>
        </is>
      </c>
      <c r="D16" t="inlineStr">
        <is>
          <t>Augustus Asamoah</t>
        </is>
      </c>
      <c r="E16" t="inlineStr">
        <is>
          <t>Augustus Asamoah</t>
        </is>
      </c>
      <c r="F16" s="5" t="n">
        <v>46210.37605324074</v>
      </c>
      <c r="H16" t="inlineStr">
        <is>
          <t>P13PC00A00 - Private Sector Companies</t>
        </is>
      </c>
      <c r="I16" t="n">
        <v>0</v>
      </c>
      <c r="K16" t="inlineStr">
        <is>
          <t>Support for A-A HMB</t>
        </is>
      </c>
      <c r="L16" t="b">
        <v>0</v>
      </c>
      <c r="M16" t="inlineStr">
        <is>
          <t>Non-Billable</t>
        </is>
      </c>
      <c r="N16" s="6">
        <f>IF(B16="","",IF(ISNUMBER(B16),TEXT(B16,"YYYY-MM"),LEFT(B16,7)))</f>
        <v/>
      </c>
    </row>
    <row r="17">
      <c r="A17" t="inlineStr">
        <is>
          <t>Augustus Asamoah</t>
        </is>
      </c>
      <c r="B17" s="4" t="n">
        <v>46210</v>
      </c>
      <c r="C17" t="inlineStr">
        <is>
          <t>/</t>
        </is>
      </c>
      <c r="D17" t="inlineStr">
        <is>
          <t>Augustus Asamoah</t>
        </is>
      </c>
      <c r="E17" t="inlineStr">
        <is>
          <t>Augustus Asamoah</t>
        </is>
      </c>
      <c r="F17" s="5" t="n">
        <v>46210.36556712963</v>
      </c>
      <c r="H17" t="inlineStr">
        <is>
          <t>P13PC00A00 - Private Sector Companies</t>
        </is>
      </c>
      <c r="I17" t="n">
        <v>0</v>
      </c>
      <c r="K17" t="inlineStr">
        <is>
          <t>Seedling Procurement and Supply</t>
        </is>
      </c>
      <c r="L17" t="b">
        <v>0</v>
      </c>
      <c r="M17" t="inlineStr">
        <is>
          <t>Non-Billable</t>
        </is>
      </c>
      <c r="N17" s="6">
        <f>IF(B17="","",IF(ISNUMBER(B17),TEXT(B17,"YYYY-MM"),LEFT(B17,7)))</f>
        <v/>
      </c>
    </row>
    <row r="18">
      <c r="A18" t="inlineStr">
        <is>
          <t>Augustus Asamoah</t>
        </is>
      </c>
      <c r="B18" s="4" t="n">
        <v>46210</v>
      </c>
      <c r="C18" t="inlineStr">
        <is>
          <t>/</t>
        </is>
      </c>
      <c r="D18" t="inlineStr">
        <is>
          <t>Augustus Asamoah</t>
        </is>
      </c>
      <c r="E18" t="inlineStr">
        <is>
          <t>Augustus Asamoah</t>
        </is>
      </c>
      <c r="F18" s="5" t="n">
        <v>46210.365</v>
      </c>
      <c r="H18" t="inlineStr">
        <is>
          <t>P13QC00A00 - EFI Programme</t>
        </is>
      </c>
      <c r="I18" t="n">
        <v>0</v>
      </c>
      <c r="K18" t="inlineStr">
        <is>
          <t>Seedling Procurement and Supply</t>
        </is>
      </c>
      <c r="L18" t="b">
        <v>0</v>
      </c>
      <c r="M18" t="inlineStr">
        <is>
          <t>Non-Billable</t>
        </is>
      </c>
      <c r="N18" s="6">
        <f>IF(B18="","",IF(ISNUMBER(B18),TEXT(B18,"YYYY-MM"),LEFT(B18,7)))</f>
        <v/>
      </c>
    </row>
    <row r="19">
      <c r="A19" t="inlineStr">
        <is>
          <t>Augustus Asamoah</t>
        </is>
      </c>
      <c r="B19" s="4" t="n">
        <v>46210</v>
      </c>
      <c r="C19" t="inlineStr">
        <is>
          <t>/</t>
        </is>
      </c>
      <c r="D19" t="inlineStr">
        <is>
          <t>Augustus Asamoah</t>
        </is>
      </c>
      <c r="E19" t="inlineStr">
        <is>
          <t>Augustus Asamoah</t>
        </is>
      </c>
      <c r="F19" s="5" t="n">
        <v>46210.36425925926</v>
      </c>
      <c r="H19" t="inlineStr">
        <is>
          <t>P13NC00A00 - WALMART II</t>
        </is>
      </c>
      <c r="I19" t="n">
        <v>0</v>
      </c>
      <c r="K19" t="inlineStr">
        <is>
          <t>Seedling Procurement and Supply for MTS</t>
        </is>
      </c>
      <c r="L19" t="b">
        <v>0</v>
      </c>
      <c r="M19" t="inlineStr">
        <is>
          <t>Non-Billable</t>
        </is>
      </c>
      <c r="N19" s="6">
        <f>IF(B19="","",IF(ISNUMBER(B19),TEXT(B19,"YYYY-MM"),LEFT(B19,7)))</f>
        <v/>
      </c>
    </row>
    <row r="20">
      <c r="A20" t="inlineStr">
        <is>
          <t>Augustus Asamoah</t>
        </is>
      </c>
      <c r="B20" s="4" t="n">
        <v>46210</v>
      </c>
      <c r="C20" t="inlineStr">
        <is>
          <t>/</t>
        </is>
      </c>
      <c r="D20" t="inlineStr">
        <is>
          <t>Augustus Asamoah</t>
        </is>
      </c>
      <c r="E20" t="inlineStr">
        <is>
          <t>Augustus Asamoah</t>
        </is>
      </c>
      <c r="F20" s="5" t="n">
        <v>46210.36383101852</v>
      </c>
      <c r="H20" t="inlineStr">
        <is>
          <t>P13NC00A00 - WALMART II</t>
        </is>
      </c>
      <c r="I20" t="n">
        <v>0</v>
      </c>
      <c r="K20" t="inlineStr">
        <is>
          <t>Seedling Procurement and Supply for MTS</t>
        </is>
      </c>
      <c r="L20" t="b">
        <v>0</v>
      </c>
      <c r="M20" t="inlineStr">
        <is>
          <t>Non-Billable</t>
        </is>
      </c>
      <c r="N20" s="6">
        <f>IF(B20="","",IF(ISNUMBER(B20),TEXT(B20,"YYYY-MM"),LEFT(B20,7)))</f>
        <v/>
      </c>
    </row>
    <row r="21">
      <c r="A21" t="inlineStr">
        <is>
          <t>Ekow Nyamekye Tawiah</t>
        </is>
      </c>
      <c r="B21" s="4" t="n">
        <v>46209</v>
      </c>
      <c r="C21" t="inlineStr">
        <is>
          <t>/</t>
        </is>
      </c>
      <c r="D21" t="inlineStr">
        <is>
          <t>Ekow Nyamekye Tawiah</t>
        </is>
      </c>
      <c r="E21" t="inlineStr">
        <is>
          <t>Ekow Nyamekye Tawiah</t>
        </is>
      </c>
      <c r="F21" s="5" t="n">
        <v>46210.65344907407</v>
      </c>
      <c r="H21" t="inlineStr">
        <is>
          <t>Non-Billable Tasks</t>
        </is>
      </c>
      <c r="I21" t="n">
        <v>2.5</v>
      </c>
      <c r="K21" t="inlineStr">
        <is>
          <t>Business Development and Networking</t>
        </is>
      </c>
      <c r="L21" t="b">
        <v>0</v>
      </c>
      <c r="M21" t="inlineStr">
        <is>
          <t>Non-Billable</t>
        </is>
      </c>
      <c r="N21" s="6">
        <f>IF(B21="","",IF(ISNUMBER(B21),TEXT(B21,"YYYY-MM"),LEFT(B21,7)))</f>
        <v/>
      </c>
    </row>
    <row r="22">
      <c r="A22" t="inlineStr">
        <is>
          <t>Ekow Nyamekye Tawiah</t>
        </is>
      </c>
      <c r="B22" s="4" t="n">
        <v>46209</v>
      </c>
      <c r="C22" t="inlineStr">
        <is>
          <t>/</t>
        </is>
      </c>
      <c r="D22" t="inlineStr">
        <is>
          <t>Ekow Nyamekye Tawiah</t>
        </is>
      </c>
      <c r="E22" t="inlineStr">
        <is>
          <t>Ekow Nyamekye Tawiah</t>
        </is>
      </c>
      <c r="F22" s="5" t="n">
        <v>46210.64878472222</v>
      </c>
      <c r="H22" t="inlineStr">
        <is>
          <t>Non-Billable Tasks</t>
        </is>
      </c>
      <c r="I22" t="n">
        <v>1.5</v>
      </c>
      <c r="K22" t="inlineStr">
        <is>
          <t>Line Management</t>
        </is>
      </c>
      <c r="L22" t="b">
        <v>0</v>
      </c>
      <c r="M22" t="inlineStr">
        <is>
          <t>Non-Billable</t>
        </is>
      </c>
      <c r="N22" s="6">
        <f>IF(B22="","",IF(ISNUMBER(B22),TEXT(B22,"YYYY-MM"),LEFT(B22,7)))</f>
        <v/>
      </c>
    </row>
    <row r="23">
      <c r="A23" t="inlineStr">
        <is>
          <t>Augustus Asamoah</t>
        </is>
      </c>
      <c r="B23" s="4" t="n">
        <v>46209</v>
      </c>
      <c r="C23" t="inlineStr">
        <is>
          <t>/</t>
        </is>
      </c>
      <c r="D23" t="inlineStr">
        <is>
          <t>Augustus Asamoah</t>
        </is>
      </c>
      <c r="E23" t="inlineStr">
        <is>
          <t>Augustus Asamoah</t>
        </is>
      </c>
      <c r="F23" s="5" t="n">
        <v>46210.37597222222</v>
      </c>
      <c r="H23" t="inlineStr">
        <is>
          <t>P13PC00A00 - Private Sector Companies</t>
        </is>
      </c>
      <c r="I23" t="n">
        <v>0</v>
      </c>
      <c r="K23" t="inlineStr">
        <is>
          <t>Support for A-A HMB</t>
        </is>
      </c>
      <c r="L23" t="b">
        <v>0</v>
      </c>
      <c r="M23" t="inlineStr">
        <is>
          <t>Non-Billable</t>
        </is>
      </c>
      <c r="N23" s="6">
        <f>IF(B23="","",IF(ISNUMBER(B23),TEXT(B23,"YYYY-MM"),LEFT(B23,7)))</f>
        <v/>
      </c>
    </row>
    <row r="24">
      <c r="A24" t="inlineStr">
        <is>
          <t>Augustus Asamoah</t>
        </is>
      </c>
      <c r="B24" s="4" t="n">
        <v>46209</v>
      </c>
      <c r="C24" t="inlineStr">
        <is>
          <t>/</t>
        </is>
      </c>
      <c r="D24" t="inlineStr">
        <is>
          <t>Augustus Asamoah</t>
        </is>
      </c>
      <c r="E24" t="inlineStr">
        <is>
          <t>Augustus Asamoah</t>
        </is>
      </c>
      <c r="F24" s="5" t="n">
        <v>46210.37591435185</v>
      </c>
      <c r="H24" t="inlineStr">
        <is>
          <t>P13NC00A00 - WALMART II</t>
        </is>
      </c>
      <c r="I24" t="n">
        <v>0</v>
      </c>
      <c r="K24" t="inlineStr">
        <is>
          <t>RSC Procurements</t>
        </is>
      </c>
      <c r="L24" t="b">
        <v>0</v>
      </c>
      <c r="M24" t="inlineStr">
        <is>
          <t>Non-Billable</t>
        </is>
      </c>
      <c r="N24" s="6">
        <f>IF(B24="","",IF(ISNUMBER(B24),TEXT(B24,"YYYY-MM"),LEFT(B24,7)))</f>
        <v/>
      </c>
    </row>
    <row r="25">
      <c r="A25" t="inlineStr">
        <is>
          <t>Augustus Asamoah</t>
        </is>
      </c>
      <c r="B25" s="4" t="n">
        <v>46209</v>
      </c>
      <c r="C25" t="inlineStr">
        <is>
          <t>/</t>
        </is>
      </c>
      <c r="D25" t="inlineStr">
        <is>
          <t>Augustus Asamoah</t>
        </is>
      </c>
      <c r="E25" t="inlineStr">
        <is>
          <t>Augustus Asamoah</t>
        </is>
      </c>
      <c r="F25" s="5" t="n">
        <v>46210.37598379629</v>
      </c>
      <c r="H25" t="inlineStr">
        <is>
          <t>P13QC00A00 - EFI Programme</t>
        </is>
      </c>
      <c r="I25" t="n">
        <v>0</v>
      </c>
      <c r="K25" t="inlineStr">
        <is>
          <t>Seedling Procurement and Supply</t>
        </is>
      </c>
      <c r="L25" t="b">
        <v>0</v>
      </c>
      <c r="M25" t="inlineStr">
        <is>
          <t>Non-Billable</t>
        </is>
      </c>
      <c r="N25" s="6">
        <f>IF(B25="","",IF(ISNUMBER(B25),TEXT(B25,"YYYY-MM"),LEFT(B25,7)))</f>
        <v/>
      </c>
    </row>
    <row r="26">
      <c r="A26" t="inlineStr">
        <is>
          <t>Augustus Asamoah</t>
        </is>
      </c>
      <c r="B26" s="4" t="n">
        <v>46209</v>
      </c>
      <c r="C26" t="inlineStr">
        <is>
          <t>/</t>
        </is>
      </c>
      <c r="D26" t="inlineStr">
        <is>
          <t>Augustus Asamoah</t>
        </is>
      </c>
      <c r="E26" t="inlineStr">
        <is>
          <t>Augustus Asamoah</t>
        </is>
      </c>
      <c r="F26" s="5" t="n">
        <v>46210.37594907408</v>
      </c>
      <c r="H26" t="inlineStr">
        <is>
          <t>P13PC00A00 - Private Sector Companies</t>
        </is>
      </c>
      <c r="I26" t="n">
        <v>0</v>
      </c>
      <c r="K26" t="inlineStr">
        <is>
          <t>Seedling Procurement and Supply</t>
        </is>
      </c>
      <c r="L26" t="b">
        <v>0</v>
      </c>
      <c r="M26" t="inlineStr">
        <is>
          <t>Non-Billable</t>
        </is>
      </c>
      <c r="N26" s="6">
        <f>IF(B26="","",IF(ISNUMBER(B26),TEXT(B26,"YYYY-MM"),LEFT(B26,7)))</f>
        <v/>
      </c>
    </row>
    <row r="27">
      <c r="A27" t="inlineStr">
        <is>
          <t>Augustus Asamoah</t>
        </is>
      </c>
      <c r="B27" s="4" t="n">
        <v>46209</v>
      </c>
      <c r="C27" t="inlineStr">
        <is>
          <t>/</t>
        </is>
      </c>
      <c r="D27" t="inlineStr">
        <is>
          <t>Augustus Asamoah</t>
        </is>
      </c>
      <c r="E27" t="inlineStr">
        <is>
          <t>Augustus Asamoah</t>
        </is>
      </c>
      <c r="F27" s="5" t="n">
        <v>46210.3759375</v>
      </c>
      <c r="H27" t="inlineStr">
        <is>
          <t>P13NC00A00 - WALMART II</t>
        </is>
      </c>
      <c r="I27" t="n">
        <v>0</v>
      </c>
      <c r="K27" t="inlineStr">
        <is>
          <t>Seedling Procurement and Supply for MTS</t>
        </is>
      </c>
      <c r="L27" t="b">
        <v>0</v>
      </c>
      <c r="M27" t="inlineStr">
        <is>
          <t>Non-Billable</t>
        </is>
      </c>
      <c r="N27" s="6">
        <f>IF(B27="","",IF(ISNUMBER(B27),TEXT(B27,"YYYY-MM"),LEFT(B27,7)))</f>
        <v/>
      </c>
    </row>
    <row r="28">
      <c r="A28" t="inlineStr">
        <is>
          <t>Ekow Nyamekye Tawiah</t>
        </is>
      </c>
      <c r="B28" s="4" t="n">
        <v>46209</v>
      </c>
      <c r="C28" t="inlineStr">
        <is>
          <t>Review and Rerun of Reunion Deforestation Risk Analysis.</t>
        </is>
      </c>
      <c r="D28" t="inlineStr">
        <is>
          <t>Ekow Nyamekye Tawiah</t>
        </is>
      </c>
      <c r="E28" t="inlineStr">
        <is>
          <t>Ekow Nyamekye Tawiah</t>
        </is>
      </c>
      <c r="F28" s="5" t="n">
        <v>46209.38202546296</v>
      </c>
      <c r="H28" t="inlineStr">
        <is>
          <t>PCGH778 - General Support</t>
        </is>
      </c>
      <c r="I28" t="n">
        <v>0</v>
      </c>
      <c r="J28" t="inlineStr">
        <is>
          <t>PCGH778 - Support to Other Workstreams (3) (Proforest Limited(PCUK GBP))</t>
        </is>
      </c>
      <c r="K28" t="inlineStr">
        <is>
          <t>(WS3: Deforestation) Deforestation Remote Risk Assessment</t>
        </is>
      </c>
      <c r="L28" t="b">
        <v>1</v>
      </c>
      <c r="M28" t="inlineStr">
        <is>
          <t>Billed at a Fixed price</t>
        </is>
      </c>
      <c r="N28" s="6">
        <f>IF(B28="","",IF(ISNUMBER(B28),TEXT(B28,"YYYY-MM"),LEFT(B28,7)))</f>
        <v/>
      </c>
    </row>
    <row r="29">
      <c r="A29" t="inlineStr">
        <is>
          <t>Ekow Nyamekye Tawiah</t>
        </is>
      </c>
      <c r="B29" s="4" t="n">
        <v>46209</v>
      </c>
      <c r="C29" t="inlineStr">
        <is>
          <t>Republic Day</t>
        </is>
      </c>
      <c r="D29" t="inlineStr">
        <is>
          <t>Ekow Nyamekye Tawiah</t>
        </is>
      </c>
      <c r="E29" t="inlineStr">
        <is>
          <t>Ekow Nyamekye Tawiah</t>
        </is>
      </c>
      <c r="F29" s="5" t="n">
        <v>46209.38013888889</v>
      </c>
      <c r="H29" t="inlineStr">
        <is>
          <t>Non-Billable Tasks</t>
        </is>
      </c>
      <c r="I29" t="n">
        <v>0</v>
      </c>
      <c r="K29" t="inlineStr">
        <is>
          <t>Public Holiday</t>
        </is>
      </c>
      <c r="L29" t="b">
        <v>0</v>
      </c>
      <c r="M29" t="inlineStr">
        <is>
          <t>Non-Billable</t>
        </is>
      </c>
      <c r="N29" s="6">
        <f>IF(B29="","",IF(ISNUMBER(B29),TEXT(B29,"YYYY-MM"),LEFT(B29,7)))</f>
        <v/>
      </c>
    </row>
    <row r="30">
      <c r="A30" t="inlineStr">
        <is>
          <t>Abel Ansu</t>
        </is>
      </c>
      <c r="B30" s="4" t="n">
        <v>46206</v>
      </c>
      <c r="C30" t="inlineStr">
        <is>
          <t>Supply of seedlings from Gambia to Bitre and Biaso Kasapin</t>
        </is>
      </c>
      <c r="D30" t="inlineStr">
        <is>
          <t>Abel Ansu</t>
        </is>
      </c>
      <c r="E30" t="inlineStr">
        <is>
          <t>Abel Ansu</t>
        </is>
      </c>
      <c r="F30" s="5" t="n">
        <v>46210.37203703704</v>
      </c>
      <c r="H30" t="inlineStr">
        <is>
          <t>P13PC00A00 - Private Sector Companies</t>
        </is>
      </c>
      <c r="I30" t="n">
        <v>8</v>
      </c>
      <c r="K30" t="inlineStr">
        <is>
          <t>Personnel Cost</t>
        </is>
      </c>
      <c r="L30" t="b">
        <v>0</v>
      </c>
      <c r="M30" t="inlineStr">
        <is>
          <t>Non-Billable</t>
        </is>
      </c>
      <c r="N30" s="6">
        <f>IF(B30="","",IF(ISNUMBER(B30),TEXT(B30,"YYYY-MM"),LEFT(B30,7)))</f>
        <v/>
      </c>
    </row>
    <row r="31">
      <c r="A31" t="inlineStr">
        <is>
          <t>Ekow Nyamekye Tawiah</t>
        </is>
      </c>
      <c r="B31" s="4" t="n">
        <v>46206</v>
      </c>
      <c r="C31" t="inlineStr">
        <is>
          <t>/</t>
        </is>
      </c>
      <c r="D31" t="inlineStr">
        <is>
          <t>Ekow Nyamekye Tawiah</t>
        </is>
      </c>
      <c r="E31" t="inlineStr">
        <is>
          <t>Ekow Nyamekye Tawiah</t>
        </is>
      </c>
      <c r="F31" s="5" t="n">
        <v>46209.38009259259</v>
      </c>
      <c r="H31" t="inlineStr">
        <is>
          <t>Non-Billable Tasks</t>
        </is>
      </c>
      <c r="I31" t="n">
        <v>4</v>
      </c>
      <c r="K31" t="inlineStr">
        <is>
          <t>Public Holiday</t>
        </is>
      </c>
      <c r="L31" t="b">
        <v>0</v>
      </c>
      <c r="M31" t="inlineStr">
        <is>
          <t>Non-Billable</t>
        </is>
      </c>
      <c r="N31" s="6">
        <f>IF(B31="","",IF(ISNUMBER(B31),TEXT(B31,"YYYY-MM"),LEFT(B31,7)))</f>
        <v/>
      </c>
    </row>
    <row r="32">
      <c r="A32" t="inlineStr">
        <is>
          <t>Stephen Doso</t>
        </is>
      </c>
      <c r="B32" s="4" t="n">
        <v>46206</v>
      </c>
      <c r="C32" t="inlineStr">
        <is>
          <t>/</t>
        </is>
      </c>
      <c r="D32" t="inlineStr">
        <is>
          <t>Stephen Doso</t>
        </is>
      </c>
      <c r="E32" t="inlineStr">
        <is>
          <t>Stephen Doso</t>
        </is>
      </c>
      <c r="F32" s="5" t="n">
        <v>46209.34642361111</v>
      </c>
      <c r="H32" t="inlineStr">
        <is>
          <t>Non-Billable Tasks</t>
        </is>
      </c>
      <c r="I32" t="n">
        <v>8</v>
      </c>
      <c r="K32" t="inlineStr">
        <is>
          <t>Public Holiday</t>
        </is>
      </c>
      <c r="L32" t="b">
        <v>0</v>
      </c>
      <c r="M32" t="inlineStr">
        <is>
          <t>Non-Billable</t>
        </is>
      </c>
      <c r="N32" s="6">
        <f>IF(B32="","",IF(ISNUMBER(B32),TEXT(B32,"YYYY-MM"),LEFT(B32,7)))</f>
        <v/>
      </c>
    </row>
    <row r="33">
      <c r="A33" t="inlineStr">
        <is>
          <t>Louis Defo</t>
        </is>
      </c>
      <c r="B33" s="4" t="n">
        <v>46206</v>
      </c>
      <c r="C33" t="inlineStr">
        <is>
          <t>Go the Dja et Lobo division for some stakeholders engagaments</t>
        </is>
      </c>
      <c r="D33" t="inlineStr">
        <is>
          <t>Louis Defo</t>
        </is>
      </c>
      <c r="E33" t="inlineStr">
        <is>
          <t>Louis Defo</t>
        </is>
      </c>
      <c r="F33" s="5" t="n">
        <v>46209.31493055556</v>
      </c>
      <c r="H33" t="inlineStr">
        <is>
          <t>PCGH787</t>
        </is>
      </c>
      <c r="I33" t="n">
        <v>8</v>
      </c>
      <c r="J33" t="inlineStr">
        <is>
          <t>PCGH787 - Desk Study (3) (Proforest Limited(PCUK GBP))</t>
        </is>
      </c>
      <c r="L33" t="b">
        <v>1</v>
      </c>
      <c r="M33" t="inlineStr">
        <is>
          <t>Billed at a Fixed price</t>
        </is>
      </c>
      <c r="N33" s="6">
        <f>IF(B33="","",IF(ISNUMBER(B33),TEXT(B33,"YYYY-MM"),LEFT(B33,7)))</f>
        <v/>
      </c>
    </row>
    <row r="34">
      <c r="A34" t="inlineStr">
        <is>
          <t>Abel Ansu</t>
        </is>
      </c>
      <c r="B34" s="4" t="n">
        <v>46205</v>
      </c>
      <c r="C34" t="inlineStr">
        <is>
          <t>Monitoring of lining and pegging</t>
        </is>
      </c>
      <c r="D34" t="inlineStr">
        <is>
          <t>Abel Ansu</t>
        </is>
      </c>
      <c r="E34" t="inlineStr">
        <is>
          <t>Abel Ansu</t>
        </is>
      </c>
      <c r="F34" s="5" t="n">
        <v>46210.37136574074</v>
      </c>
      <c r="H34" t="inlineStr">
        <is>
          <t>P13NC00A00 - WALMART II</t>
        </is>
      </c>
      <c r="I34" t="n">
        <v>8</v>
      </c>
      <c r="K34" t="inlineStr">
        <is>
          <t>Programme Personnel and Management</t>
        </is>
      </c>
      <c r="L34" t="b">
        <v>0</v>
      </c>
      <c r="M34" t="inlineStr">
        <is>
          <t>Non-Billable</t>
        </is>
      </c>
      <c r="N34" s="6">
        <f>IF(B34="","",IF(ISNUMBER(B34),TEXT(B34,"YYYY-MM"),LEFT(B34,7)))</f>
        <v/>
      </c>
    </row>
    <row r="35">
      <c r="A35" t="inlineStr">
        <is>
          <t>Stephen Doso</t>
        </is>
      </c>
      <c r="B35" s="4" t="n">
        <v>46205</v>
      </c>
      <c r="C35" t="inlineStr">
        <is>
          <t>/</t>
        </is>
      </c>
      <c r="D35" t="inlineStr">
        <is>
          <t>Stephen Doso</t>
        </is>
      </c>
      <c r="E35" t="inlineStr">
        <is>
          <t>Stephen Doso</t>
        </is>
      </c>
      <c r="F35" s="5" t="n">
        <v>46209.54243055556</v>
      </c>
      <c r="H35" t="inlineStr">
        <is>
          <t>PCGH775 - ESDD of Valency Operations for FMO</t>
        </is>
      </c>
      <c r="I35" t="n">
        <v>1</v>
      </c>
      <c r="J35" t="inlineStr">
        <is>
          <t>PCGH775 - Field Verification (2) (Valency International DMCC)</t>
        </is>
      </c>
      <c r="K35" t="inlineStr">
        <is>
          <t>Field verification and reporting in Nigeria  (2)</t>
        </is>
      </c>
      <c r="L35" t="b">
        <v>1</v>
      </c>
      <c r="M35" t="inlineStr">
        <is>
          <t>Billed at a Fixed price</t>
        </is>
      </c>
      <c r="N35" s="6">
        <f>IF(B35="","",IF(ISNUMBER(B35),TEXT(B35,"YYYY-MM"),LEFT(B35,7)))</f>
        <v/>
      </c>
    </row>
    <row r="36">
      <c r="A36" t="inlineStr">
        <is>
          <t>Stephen Doso</t>
        </is>
      </c>
      <c r="B36" s="4" t="n">
        <v>46205</v>
      </c>
      <c r="C36" t="inlineStr">
        <is>
          <t>/</t>
        </is>
      </c>
      <c r="D36" t="inlineStr">
        <is>
          <t>Stephen Doso</t>
        </is>
      </c>
      <c r="E36" t="inlineStr">
        <is>
          <t>Stephen Doso</t>
        </is>
      </c>
      <c r="F36" s="5" t="n">
        <v>46209.5384837963</v>
      </c>
      <c r="H36" t="inlineStr">
        <is>
          <t>Non-Billable Tasks</t>
        </is>
      </c>
      <c r="I36" t="n">
        <v>1.5</v>
      </c>
      <c r="K36" t="inlineStr">
        <is>
          <t>Senior Management Activities</t>
        </is>
      </c>
      <c r="L36" t="b">
        <v>0</v>
      </c>
      <c r="M36" t="inlineStr">
        <is>
          <t>Non-Billable</t>
        </is>
      </c>
      <c r="N36" s="6">
        <f>IF(B36="","",IF(ISNUMBER(B36),TEXT(B36,"YYYY-MM"),LEFT(B36,7)))</f>
        <v/>
      </c>
    </row>
    <row r="37">
      <c r="A37" t="inlineStr">
        <is>
          <t>Stephen Doso</t>
        </is>
      </c>
      <c r="B37" s="4" t="n">
        <v>46205</v>
      </c>
      <c r="C37" t="inlineStr">
        <is>
          <t>Dangote Sugar Call</t>
        </is>
      </c>
      <c r="D37" t="inlineStr">
        <is>
          <t>Stephen Doso</t>
        </is>
      </c>
      <c r="E37" t="inlineStr">
        <is>
          <t>Stephen Doso</t>
        </is>
      </c>
      <c r="F37" s="5" t="n">
        <v>46209.53799768518</v>
      </c>
      <c r="H37" t="inlineStr">
        <is>
          <t>Non-Billable Tasks</t>
        </is>
      </c>
      <c r="I37" t="n">
        <v>0.5</v>
      </c>
      <c r="K37" t="inlineStr">
        <is>
          <t>Ad Hoc Time on Projects / Programmes</t>
        </is>
      </c>
      <c r="L37" t="b">
        <v>0</v>
      </c>
      <c r="M37" t="inlineStr">
        <is>
          <t>Non-Billable</t>
        </is>
      </c>
      <c r="N37" s="6">
        <f>IF(B37="","",IF(ISNUMBER(B37),TEXT(B37,"YYYY-MM"),LEFT(B37,7)))</f>
        <v/>
      </c>
    </row>
    <row r="38">
      <c r="A38" t="inlineStr">
        <is>
          <t>Ekow Nyamekye Tawiah</t>
        </is>
      </c>
      <c r="B38" s="4" t="n">
        <v>46205</v>
      </c>
      <c r="C38" t="inlineStr">
        <is>
          <t>Deforestation Risk Analysis for Cameroon, Mauritius, Mozambique, Nigeria and Reunion (Run Analysis)</t>
        </is>
      </c>
      <c r="D38" t="inlineStr">
        <is>
          <t>Ekow Nyamekye Tawiah</t>
        </is>
      </c>
      <c r="E38" t="inlineStr">
        <is>
          <t>Ekow Nyamekye Tawiah</t>
        </is>
      </c>
      <c r="F38" s="5" t="n">
        <v>46209.38650462963</v>
      </c>
      <c r="H38" t="inlineStr">
        <is>
          <t>PCGH778 - General Support</t>
        </is>
      </c>
      <c r="I38" t="n">
        <v>4</v>
      </c>
      <c r="J38" t="inlineStr">
        <is>
          <t>PCGH778 - Support to Other Workstreams (3) (Proforest Limited(PCUK GBP))</t>
        </is>
      </c>
      <c r="K38" t="inlineStr">
        <is>
          <t>(WS3: Deforestation) Deforestation Remote Risk Assessment</t>
        </is>
      </c>
      <c r="L38" t="b">
        <v>1</v>
      </c>
      <c r="M38" t="inlineStr">
        <is>
          <t>Billed at a Fixed price</t>
        </is>
      </c>
      <c r="N38" s="6">
        <f>IF(B38="","",IF(ISNUMBER(B38),TEXT(B38,"YYYY-MM"),LEFT(B38,7)))</f>
        <v/>
      </c>
    </row>
    <row r="39">
      <c r="A39" t="inlineStr">
        <is>
          <t>Ekow Nyamekye Tawiah</t>
        </is>
      </c>
      <c r="B39" s="4" t="n">
        <v>46205</v>
      </c>
      <c r="C39" t="inlineStr">
        <is>
          <t>/</t>
        </is>
      </c>
      <c r="D39" t="inlineStr">
        <is>
          <t>Ekow Nyamekye Tawiah</t>
        </is>
      </c>
      <c r="E39" t="inlineStr">
        <is>
          <t>Ekow Nyamekye Tawiah</t>
        </is>
      </c>
      <c r="F39" s="5" t="n">
        <v>46209.3809375</v>
      </c>
      <c r="H39" t="inlineStr">
        <is>
          <t>PCGH778 - General Support</t>
        </is>
      </c>
      <c r="I39" t="n">
        <v>0</v>
      </c>
      <c r="J39" t="inlineStr">
        <is>
          <t>PCGH778 - Support to Other Workstreams (3) (Proforest Limited(PCUK GBP))</t>
        </is>
      </c>
      <c r="L39" t="b">
        <v>1</v>
      </c>
      <c r="M39" t="inlineStr">
        <is>
          <t>Billed at a Fixed price</t>
        </is>
      </c>
      <c r="N39" s="6">
        <f>IF(B39="","",IF(ISNUMBER(B39),TEXT(B39,"YYYY-MM"),LEFT(B39,7)))</f>
        <v/>
      </c>
    </row>
    <row r="40">
      <c r="A40" t="inlineStr">
        <is>
          <t>Louis Defo</t>
        </is>
      </c>
      <c r="B40" s="4" t="n">
        <v>46205</v>
      </c>
      <c r="C40" t="inlineStr">
        <is>
          <t>participate to Cameroon cocoa week in order to do some stakeholdesr engagements</t>
        </is>
      </c>
      <c r="D40" t="inlineStr">
        <is>
          <t>Louis Defo</t>
        </is>
      </c>
      <c r="E40" t="inlineStr">
        <is>
          <t>Louis Defo</t>
        </is>
      </c>
      <c r="F40" s="5" t="n">
        <v>46209.31395833333</v>
      </c>
      <c r="H40" t="inlineStr">
        <is>
          <t>PCGH787</t>
        </is>
      </c>
      <c r="I40" t="n">
        <v>8</v>
      </c>
      <c r="J40" t="inlineStr">
        <is>
          <t>PCGH787 - Desk Study (3) (Proforest Limited(PCUK GBP))</t>
        </is>
      </c>
      <c r="L40" t="b">
        <v>1</v>
      </c>
      <c r="M40" t="inlineStr">
        <is>
          <t>Billed at a Fixed price</t>
        </is>
      </c>
      <c r="N40" s="6">
        <f>IF(B40="","",IF(ISNUMBER(B40),TEXT(B40,"YYYY-MM"),LEFT(B40,7)))</f>
        <v/>
      </c>
    </row>
    <row r="41">
      <c r="A41" t="inlineStr">
        <is>
          <t>Afua Serwah Akoto Prempeh</t>
        </is>
      </c>
      <c r="B41" s="4" t="n">
        <v>46205</v>
      </c>
      <c r="C41" t="inlineStr">
        <is>
          <t xml:space="preserve">Internal meeting to review feedback from TCI, agree on next steps, discuss meeting in Cameroon and provide input into brainstorming sessions. </t>
        </is>
      </c>
      <c r="D41" t="inlineStr">
        <is>
          <t>Afua Serwah Akoto Prempeh</t>
        </is>
      </c>
      <c r="E41" t="inlineStr">
        <is>
          <t>Afua Serwah Akoto Prempeh</t>
        </is>
      </c>
      <c r="F41" s="5" t="n">
        <v>46205.49997685185</v>
      </c>
      <c r="H41" t="inlineStr">
        <is>
          <t>P23AC00C00 - FGMC</t>
        </is>
      </c>
      <c r="I41" t="n">
        <v>2</v>
      </c>
      <c r="L41" t="b">
        <v>0</v>
      </c>
      <c r="M41" t="inlineStr">
        <is>
          <t>Non-Billable</t>
        </is>
      </c>
      <c r="N41" s="6">
        <f>IF(B41="","",IF(ISNUMBER(B41),TEXT(B41,"YYYY-MM"),LEFT(B41,7)))</f>
        <v/>
      </c>
    </row>
    <row r="42">
      <c r="A42" t="inlineStr">
        <is>
          <t>Ekow Nyamekye Tawiah</t>
        </is>
      </c>
      <c r="B42" s="4" t="n">
        <v>46204</v>
      </c>
      <c r="C42" t="inlineStr">
        <is>
          <t>/</t>
        </is>
      </c>
      <c r="D42" t="inlineStr">
        <is>
          <t>Ekow Nyamekye Tawiah</t>
        </is>
      </c>
      <c r="E42" t="inlineStr">
        <is>
          <t>Ekow Nyamekye Tawiah</t>
        </is>
      </c>
      <c r="F42" s="5" t="n">
        <v>46210.6428125</v>
      </c>
      <c r="H42" t="inlineStr">
        <is>
          <t>PCGH778 - General Support</t>
        </is>
      </c>
      <c r="I42" t="n">
        <v>4</v>
      </c>
      <c r="J42" t="inlineStr">
        <is>
          <t>PCGH778 - Support to Other Workstreams (3) (Proforest Limited(PCUK GBP))</t>
        </is>
      </c>
      <c r="K42" t="inlineStr">
        <is>
          <t>(WS3: Deforestation) Deforestation Remote Risk Assessment</t>
        </is>
      </c>
      <c r="L42" t="b">
        <v>1</v>
      </c>
      <c r="M42" t="inlineStr">
        <is>
          <t>Billed at a Fixed price</t>
        </is>
      </c>
      <c r="N42" s="6">
        <f>IF(B42="","",IF(ISNUMBER(B42),TEXT(B42,"YYYY-MM"),LEFT(B42,7)))</f>
        <v/>
      </c>
    </row>
    <row r="43">
      <c r="A43" t="inlineStr">
        <is>
          <t>Abel Ansu</t>
        </is>
      </c>
      <c r="B43" s="4" t="n">
        <v>46204</v>
      </c>
      <c r="C43" t="inlineStr">
        <is>
          <t>Supply of seedlings to Bitre/ Biaso Kasapin</t>
        </is>
      </c>
      <c r="D43" t="inlineStr">
        <is>
          <t>Abel Ansu</t>
        </is>
      </c>
      <c r="E43" t="inlineStr">
        <is>
          <t>Abel Ansu</t>
        </is>
      </c>
      <c r="F43" s="5" t="n">
        <v>46210.36959490741</v>
      </c>
      <c r="H43" t="inlineStr">
        <is>
          <t>P13PC00A00 - Private Sector Companies</t>
        </is>
      </c>
      <c r="I43" t="n">
        <v>8</v>
      </c>
      <c r="K43" t="inlineStr">
        <is>
          <t>Personnel Cost</t>
        </is>
      </c>
      <c r="L43" t="b">
        <v>0</v>
      </c>
      <c r="M43" t="inlineStr">
        <is>
          <t>Non-Billable</t>
        </is>
      </c>
      <c r="N43" s="6">
        <f>IF(B43="","",IF(ISNUMBER(B43),TEXT(B43,"YYYY-MM"),LEFT(B43,7)))</f>
        <v/>
      </c>
    </row>
    <row r="44">
      <c r="A44" t="inlineStr">
        <is>
          <t>Stephen Doso</t>
        </is>
      </c>
      <c r="B44" s="4" t="n">
        <v>46204</v>
      </c>
      <c r="C44" t="inlineStr">
        <is>
          <t>/</t>
        </is>
      </c>
      <c r="D44" t="inlineStr">
        <is>
          <t>Stephen Doso</t>
        </is>
      </c>
      <c r="E44" t="inlineStr">
        <is>
          <t>Stephen Doso</t>
        </is>
      </c>
      <c r="F44" s="5" t="n">
        <v>46209.5375</v>
      </c>
      <c r="H44" t="inlineStr">
        <is>
          <t>PCGH738</t>
        </is>
      </c>
      <c r="I44" t="n">
        <v>1.5</v>
      </c>
      <c r="J44" t="inlineStr">
        <is>
          <t>PCGH738 - Analysis and Reporting (3) (Barnsley International Limited)</t>
        </is>
      </c>
      <c r="K44" t="inlineStr">
        <is>
          <t>Analysis and Reporting (3)</t>
        </is>
      </c>
      <c r="L44" t="b">
        <v>1</v>
      </c>
      <c r="M44" t="inlineStr">
        <is>
          <t>Billed at a Fixed price</t>
        </is>
      </c>
      <c r="N44" s="6">
        <f>IF(B44="","",IF(ISNUMBER(B44),TEXT(B44,"YYYY-MM"),LEFT(B44,7)))</f>
        <v/>
      </c>
    </row>
    <row r="45">
      <c r="A45" t="inlineStr">
        <is>
          <t>Stephen Doso</t>
        </is>
      </c>
      <c r="B45" s="4" t="n">
        <v>46204</v>
      </c>
      <c r="C45" t="inlineStr">
        <is>
          <t>/</t>
        </is>
      </c>
      <c r="D45" t="inlineStr">
        <is>
          <t>Stephen Doso</t>
        </is>
      </c>
      <c r="E45" t="inlineStr">
        <is>
          <t>Stephen Doso</t>
        </is>
      </c>
      <c r="F45" s="5" t="n">
        <v>46209.53577546297</v>
      </c>
      <c r="H45" t="inlineStr">
        <is>
          <t>PCGH788 - CDC Boa &amp; Mondoni CV-HCS Scoping</t>
        </is>
      </c>
      <c r="I45" t="n">
        <v>1</v>
      </c>
      <c r="J45" t="inlineStr">
        <is>
          <t>PCGH788 - Participatory mapping (CAMEROON DEVELOPMENT CORPORATION (CDC))</t>
        </is>
      </c>
      <c r="K45" t="inlineStr">
        <is>
          <t>BOA: MAPPING AND REPORTING (2)</t>
        </is>
      </c>
      <c r="L45" t="b">
        <v>1</v>
      </c>
      <c r="M45" t="inlineStr">
        <is>
          <t>Billed Manually</t>
        </is>
      </c>
      <c r="N45" s="6">
        <f>IF(B45="","",IF(ISNUMBER(B45),TEXT(B45,"YYYY-MM"),LEFT(B45,7)))</f>
        <v/>
      </c>
    </row>
    <row r="46">
      <c r="A46" t="inlineStr">
        <is>
          <t>Louis Defo</t>
        </is>
      </c>
      <c r="B46" s="4" t="n">
        <v>46204</v>
      </c>
      <c r="C46" t="inlineStr">
        <is>
          <t>participate to Cameroon cocoa week in order to do some stakeholdesr engagements</t>
        </is>
      </c>
      <c r="D46" t="inlineStr">
        <is>
          <t>Louis Defo</t>
        </is>
      </c>
      <c r="E46" t="inlineStr">
        <is>
          <t>Louis Defo</t>
        </is>
      </c>
      <c r="F46" s="5" t="n">
        <v>46209.31346064815</v>
      </c>
      <c r="H46" t="inlineStr">
        <is>
          <t>PCGH787</t>
        </is>
      </c>
      <c r="I46" t="n">
        <v>8</v>
      </c>
      <c r="J46" t="inlineStr">
        <is>
          <t>PCGH787 - Desk Study (3) (Proforest Limited(PCUK GBP))</t>
        </is>
      </c>
      <c r="L46" t="b">
        <v>1</v>
      </c>
      <c r="M46" t="inlineStr">
        <is>
          <t>Billed at a Fixed price</t>
        </is>
      </c>
      <c r="N46" s="6">
        <f>IF(B46="","",IF(ISNUMBER(B46),TEXT(B46,"YYYY-MM"),LEFT(B46,7)))</f>
        <v/>
      </c>
    </row>
    <row r="47">
      <c r="A47" t="inlineStr">
        <is>
          <t>Afua Serwah Akoto Prempeh</t>
        </is>
      </c>
      <c r="B47" s="4" t="n">
        <v>46204</v>
      </c>
      <c r="C47" t="inlineStr">
        <is>
          <t>/</t>
        </is>
      </c>
      <c r="D47" t="inlineStr">
        <is>
          <t>Afua Serwah Akoto Prempeh</t>
        </is>
      </c>
      <c r="E47" t="inlineStr">
        <is>
          <t>Afua Serwah Akoto Prempeh</t>
        </is>
      </c>
      <c r="F47" s="5" t="n">
        <v>46205.50001157408</v>
      </c>
      <c r="H47" t="inlineStr">
        <is>
          <t>P23AC00C00 - FGMC</t>
        </is>
      </c>
      <c r="I47" t="n">
        <v>1</v>
      </c>
      <c r="L47" t="b">
        <v>0</v>
      </c>
      <c r="M47" t="inlineStr">
        <is>
          <t>Non-Billable</t>
        </is>
      </c>
      <c r="N47" s="6">
        <f>IF(B47="","",IF(ISNUMBER(B47),TEXT(B47,"YYYY-MM"),LEFT(B47,7)))</f>
        <v/>
      </c>
    </row>
    <row r="48">
      <c r="A48" t="inlineStr">
        <is>
          <t>Abel Ansu</t>
        </is>
      </c>
      <c r="B48" s="4" t="n">
        <v>46203</v>
      </c>
      <c r="C48" t="inlineStr">
        <is>
          <t>Supply of seedlings to MTS sites (Bia Tano Forest reserve - Koforidua/ Assamang)</t>
        </is>
      </c>
      <c r="D48" t="inlineStr">
        <is>
          <t>Abel Ansu</t>
        </is>
      </c>
      <c r="E48" t="inlineStr">
        <is>
          <t>Abel Ansu</t>
        </is>
      </c>
      <c r="F48" s="5" t="n">
        <v>46210.36912037037</v>
      </c>
      <c r="H48" t="inlineStr">
        <is>
          <t>P13PC00A00 - Private Sector Companies</t>
        </is>
      </c>
      <c r="I48" t="n">
        <v>8</v>
      </c>
      <c r="K48" t="inlineStr">
        <is>
          <t>Personnel Cost</t>
        </is>
      </c>
      <c r="L48" t="b">
        <v>0</v>
      </c>
      <c r="M48" t="inlineStr">
        <is>
          <t>Non-Billable</t>
        </is>
      </c>
      <c r="N48" s="6">
        <f>IF(B48="","",IF(ISNUMBER(B48),TEXT(B48,"YYYY-MM"),LEFT(B48,7)))</f>
        <v/>
      </c>
    </row>
    <row r="49">
      <c r="A49" t="inlineStr">
        <is>
          <t>Stephen Doso</t>
        </is>
      </c>
      <c r="B49" s="4" t="n">
        <v>46203</v>
      </c>
      <c r="C49" t="inlineStr">
        <is>
          <t>/</t>
        </is>
      </c>
      <c r="D49" t="inlineStr">
        <is>
          <t>Stephen Doso</t>
        </is>
      </c>
      <c r="E49" t="inlineStr">
        <is>
          <t>Stephen Doso</t>
        </is>
      </c>
      <c r="F49" s="5" t="n">
        <v>46209.53493055556</v>
      </c>
      <c r="H49" t="inlineStr">
        <is>
          <t>Non-Billable Tasks</t>
        </is>
      </c>
      <c r="I49" t="n">
        <v>1</v>
      </c>
      <c r="K49" t="inlineStr">
        <is>
          <t>Communication/Data/Training</t>
        </is>
      </c>
      <c r="L49" t="b">
        <v>0</v>
      </c>
      <c r="M49" t="inlineStr">
        <is>
          <t>Non-Billable</t>
        </is>
      </c>
      <c r="N49" s="6">
        <f>IF(B49="","",IF(ISNUMBER(B49),TEXT(B49,"YYYY-MM"),LEFT(B49,7)))</f>
        <v/>
      </c>
    </row>
    <row r="50">
      <c r="A50" t="inlineStr">
        <is>
          <t>Stephen Doso</t>
        </is>
      </c>
      <c r="B50" s="4" t="n">
        <v>46203</v>
      </c>
      <c r="C50" t="inlineStr">
        <is>
          <t>/</t>
        </is>
      </c>
      <c r="D50" t="inlineStr">
        <is>
          <t>Stephen Doso</t>
        </is>
      </c>
      <c r="E50" t="inlineStr">
        <is>
          <t>Stephen Doso</t>
        </is>
      </c>
      <c r="F50" s="5" t="n">
        <v>46209.53469907407</v>
      </c>
      <c r="H50" t="inlineStr">
        <is>
          <t>PCGH791</t>
        </is>
      </c>
      <c r="I50" t="n">
        <v>3</v>
      </c>
      <c r="J50" t="inlineStr">
        <is>
          <t>PCGH791 - Stakeholder Consultations (3) (Rainforest Alliance Inc)</t>
        </is>
      </c>
      <c r="K50" t="inlineStr">
        <is>
          <t>Incorporating AFi in Proforest projects</t>
        </is>
      </c>
      <c r="L50" t="b">
        <v>1</v>
      </c>
      <c r="M50" t="inlineStr">
        <is>
          <t>Billed at a Fixed price</t>
        </is>
      </c>
      <c r="N50" s="6">
        <f>IF(B50="","",IF(ISNUMBER(B50),TEXT(B50,"YYYY-MM"),LEFT(B50,7)))</f>
        <v/>
      </c>
    </row>
    <row r="51">
      <c r="A51" t="inlineStr">
        <is>
          <t>Stephen Doso</t>
        </is>
      </c>
      <c r="B51" s="4" t="n">
        <v>46203</v>
      </c>
      <c r="C51" t="inlineStr">
        <is>
          <t>/</t>
        </is>
      </c>
      <c r="D51" t="inlineStr">
        <is>
          <t>Stephen Doso</t>
        </is>
      </c>
      <c r="E51" t="inlineStr">
        <is>
          <t>Stephen Doso</t>
        </is>
      </c>
      <c r="F51" s="5" t="n">
        <v>46209.53420138889</v>
      </c>
      <c r="H51" t="inlineStr">
        <is>
          <t>PCGH788 - CDC Boa &amp; Mondoni CV-HCS Scoping</t>
        </is>
      </c>
      <c r="I51" t="n">
        <v>4</v>
      </c>
      <c r="J51" t="inlineStr">
        <is>
          <t>PCGH788 - Participatory mapping (CAMEROON DEVELOPMENT CORPORATION (CDC))</t>
        </is>
      </c>
      <c r="K51" t="inlineStr">
        <is>
          <t>BOA: MAPPING AND REPORTING (2)</t>
        </is>
      </c>
      <c r="L51" t="b">
        <v>1</v>
      </c>
      <c r="M51" t="inlineStr">
        <is>
          <t>Billed Manually</t>
        </is>
      </c>
      <c r="N51" s="6">
        <f>IF(B51="","",IF(ISNUMBER(B51),TEXT(B51,"YYYY-MM"),LEFT(B51,7)))</f>
        <v/>
      </c>
    </row>
    <row r="52">
      <c r="A52" t="inlineStr">
        <is>
          <t>Louis Defo</t>
        </is>
      </c>
      <c r="B52" s="4" t="n">
        <v>46203</v>
      </c>
      <c r="C52" t="inlineStr">
        <is>
          <t>revise the  inception report done by the consultant and discuss with him</t>
        </is>
      </c>
      <c r="D52" t="inlineStr">
        <is>
          <t>Louis Defo</t>
        </is>
      </c>
      <c r="E52" t="inlineStr">
        <is>
          <t>Louis Defo</t>
        </is>
      </c>
      <c r="F52" s="5" t="n">
        <v>46209.31221064815</v>
      </c>
      <c r="H52" t="inlineStr">
        <is>
          <t>P23AC00C00 - FGMC</t>
        </is>
      </c>
      <c r="I52" t="n">
        <v>8</v>
      </c>
      <c r="L52" t="b">
        <v>0</v>
      </c>
      <c r="M52" t="inlineStr">
        <is>
          <t>Non-Billable</t>
        </is>
      </c>
      <c r="N52" s="6">
        <f>IF(B52="","",IF(ISNUMBER(B52),TEXT(B52,"YYYY-MM"),LEFT(B52,7)))</f>
        <v/>
      </c>
    </row>
    <row r="53">
      <c r="A53" t="inlineStr">
        <is>
          <t>Afua Serwah Akoto Prempeh</t>
        </is>
      </c>
      <c r="B53" s="4" t="n">
        <v>46203</v>
      </c>
      <c r="C53" t="inlineStr">
        <is>
          <t>/</t>
        </is>
      </c>
      <c r="D53" t="inlineStr">
        <is>
          <t>Afua Serwah Akoto Prempeh</t>
        </is>
      </c>
      <c r="E53" t="inlineStr">
        <is>
          <t>Afua Serwah Akoto Prempeh</t>
        </is>
      </c>
      <c r="F53" s="5" t="n">
        <v>46204.55987268518</v>
      </c>
      <c r="H53" t="inlineStr">
        <is>
          <t>Non-Billable Tasks</t>
        </is>
      </c>
      <c r="I53" t="n">
        <v>8</v>
      </c>
      <c r="K53" t="inlineStr">
        <is>
          <t>Professional development and Knowledge sharing(training,global knowledge calls,exchange weeks)</t>
        </is>
      </c>
      <c r="L53" t="b">
        <v>0</v>
      </c>
      <c r="M53" t="inlineStr">
        <is>
          <t>Non-Billable</t>
        </is>
      </c>
      <c r="N53" s="6">
        <f>IF(B53="","",IF(ISNUMBER(B53),TEXT(B53,"YYYY-MM"),LEFT(B53,7)))</f>
        <v/>
      </c>
    </row>
    <row r="54">
      <c r="A54" t="inlineStr">
        <is>
          <t>Ekow Nyamekye Tawiah</t>
        </is>
      </c>
      <c r="B54" s="4" t="n">
        <v>46203</v>
      </c>
      <c r="C54" t="inlineStr">
        <is>
          <t>/</t>
        </is>
      </c>
      <c r="D54" t="inlineStr">
        <is>
          <t>Ekow Nyamekye Tawiah</t>
        </is>
      </c>
      <c r="E54" t="inlineStr">
        <is>
          <t>Ekow Nyamekye Tawiah</t>
        </is>
      </c>
      <c r="F54" s="5" t="n">
        <v>46204.20484953704</v>
      </c>
      <c r="H54" t="inlineStr">
        <is>
          <t>PCGH778 - General Support</t>
        </is>
      </c>
      <c r="I54" t="n">
        <v>4</v>
      </c>
      <c r="J54" t="inlineStr">
        <is>
          <t>PCGH778 - Support to Other Workstreams (3) (Proforest Limited(PCUK GBP))</t>
        </is>
      </c>
      <c r="L54" t="b">
        <v>1</v>
      </c>
      <c r="M54" t="inlineStr">
        <is>
          <t>Billed at a Fixed price</t>
        </is>
      </c>
      <c r="N54" s="6">
        <f>IF(B54="","",IF(ISNUMBER(B54),TEXT(B54,"YYYY-MM"),LEFT(B54,7)))</f>
        <v/>
      </c>
    </row>
    <row r="55">
      <c r="A55" t="inlineStr">
        <is>
          <t>Augustus Asamoah</t>
        </is>
      </c>
      <c r="B55" s="4" t="n">
        <v>46202</v>
      </c>
      <c r="C55" t="inlineStr">
        <is>
          <t>/</t>
        </is>
      </c>
      <c r="D55" t="inlineStr">
        <is>
          <t>Augustus Asamoah</t>
        </is>
      </c>
      <c r="E55" t="inlineStr">
        <is>
          <t>Augustus Asamoah</t>
        </is>
      </c>
      <c r="F55" s="5" t="n">
        <v>46210.47929398148</v>
      </c>
      <c r="G55" t="inlineStr">
        <is>
          <t>Final Reporting</t>
        </is>
      </c>
      <c r="H55" t="inlineStr">
        <is>
          <t>PCGH784</t>
        </is>
      </c>
      <c r="I55" t="n">
        <v>2</v>
      </c>
      <c r="J55" t="inlineStr">
        <is>
          <t>PCGH784 - Reporting (3) (Okeosisi Jonathan)</t>
        </is>
      </c>
      <c r="K55" t="inlineStr">
        <is>
          <t>Reporting</t>
        </is>
      </c>
      <c r="L55" t="b">
        <v>1</v>
      </c>
      <c r="M55" t="inlineStr">
        <is>
          <t>Billed at a Fixed price</t>
        </is>
      </c>
      <c r="N55" s="6">
        <f>IF(B55="","",IF(ISNUMBER(B55),TEXT(B55,"YYYY-MM"),LEFT(B55,7)))</f>
        <v/>
      </c>
    </row>
    <row r="56">
      <c r="A56" t="inlineStr">
        <is>
          <t>Augustus Asamoah</t>
        </is>
      </c>
      <c r="B56" s="4" t="n">
        <v>46202</v>
      </c>
      <c r="C56" t="inlineStr">
        <is>
          <t>/</t>
        </is>
      </c>
      <c r="D56" t="inlineStr">
        <is>
          <t>Augustus Asamoah</t>
        </is>
      </c>
      <c r="E56" t="inlineStr">
        <is>
          <t>Augustus Asamoah</t>
        </is>
      </c>
      <c r="F56" s="5" t="n">
        <v>46210.47828703704</v>
      </c>
      <c r="H56" t="inlineStr">
        <is>
          <t>P13QC00A00 - EFI Programme</t>
        </is>
      </c>
      <c r="I56" t="n">
        <v>1</v>
      </c>
      <c r="L56" t="b">
        <v>0</v>
      </c>
      <c r="M56" t="inlineStr">
        <is>
          <t>Non-Billable</t>
        </is>
      </c>
      <c r="N56" s="6">
        <f>IF(B56="","",IF(ISNUMBER(B56),TEXT(B56,"YYYY-MM"),LEFT(B56,7)))</f>
        <v/>
      </c>
    </row>
    <row r="57">
      <c r="A57" t="inlineStr">
        <is>
          <t>Augustus Asamoah</t>
        </is>
      </c>
      <c r="B57" s="4" t="n">
        <v>46202</v>
      </c>
      <c r="C57" t="inlineStr">
        <is>
          <t>/</t>
        </is>
      </c>
      <c r="D57" t="inlineStr">
        <is>
          <t>Augustus Asamoah</t>
        </is>
      </c>
      <c r="E57" t="inlineStr">
        <is>
          <t>Augustus Asamoah</t>
        </is>
      </c>
      <c r="F57" s="5" t="n">
        <v>46210.47804398148</v>
      </c>
      <c r="H57" t="inlineStr">
        <is>
          <t>P13NC00A00 - WALMART II</t>
        </is>
      </c>
      <c r="I57" t="n">
        <v>2</v>
      </c>
      <c r="K57" t="inlineStr">
        <is>
          <t>Follow up of seedling procurement, AFS, &amp; Procurements</t>
        </is>
      </c>
      <c r="L57" t="b">
        <v>0</v>
      </c>
      <c r="M57" t="inlineStr">
        <is>
          <t>Non-Billable</t>
        </is>
      </c>
      <c r="N57" s="6">
        <f>IF(B57="","",IF(ISNUMBER(B57),TEXT(B57,"YYYY-MM"),LEFT(B57,7)))</f>
        <v/>
      </c>
    </row>
    <row r="58">
      <c r="A58" t="inlineStr">
        <is>
          <t>Augustus Asamoah</t>
        </is>
      </c>
      <c r="B58" s="4" t="n">
        <v>46202</v>
      </c>
      <c r="C58" t="inlineStr">
        <is>
          <t>Call with Tim Ryden on J REDD</t>
        </is>
      </c>
      <c r="D58" t="inlineStr">
        <is>
          <t>Augustus Asamoah</t>
        </is>
      </c>
      <c r="E58" t="inlineStr">
        <is>
          <t>Augustus Asamoah</t>
        </is>
      </c>
      <c r="F58" s="5" t="n">
        <v>46210.47753472222</v>
      </c>
      <c r="H58" t="inlineStr">
        <is>
          <t>P13PC00A00 - Private Sector Companies</t>
        </is>
      </c>
      <c r="I58" t="n">
        <v>1</v>
      </c>
      <c r="K58" t="inlineStr">
        <is>
          <t>coordination of MTS and related Activities</t>
        </is>
      </c>
      <c r="L58" t="b">
        <v>0</v>
      </c>
      <c r="M58" t="inlineStr">
        <is>
          <t>Non-Billable</t>
        </is>
      </c>
      <c r="N58" s="6">
        <f>IF(B58="","",IF(ISNUMBER(B58),TEXT(B58,"YYYY-MM"),LEFT(B58,7)))</f>
        <v/>
      </c>
    </row>
    <row r="59">
      <c r="A59" t="inlineStr">
        <is>
          <t>Augustus Asamoah</t>
        </is>
      </c>
      <c r="B59" s="4" t="n">
        <v>46202</v>
      </c>
      <c r="C59" t="inlineStr">
        <is>
          <t>/</t>
        </is>
      </c>
      <c r="D59" t="inlineStr">
        <is>
          <t>Augustus Asamoah</t>
        </is>
      </c>
      <c r="E59" t="inlineStr">
        <is>
          <t>Augustus Asamoah</t>
        </is>
      </c>
      <c r="F59" s="5" t="n">
        <v>46210.47642361111</v>
      </c>
      <c r="G59" t="inlineStr">
        <is>
          <t>Final Reporting</t>
        </is>
      </c>
      <c r="H59" t="inlineStr">
        <is>
          <t>PCGH784</t>
        </is>
      </c>
      <c r="I59" t="n">
        <v>2</v>
      </c>
      <c r="J59" t="inlineStr">
        <is>
          <t>PCGH784 - Reporting (3) (Okeosisi Jonathan)</t>
        </is>
      </c>
      <c r="K59" t="inlineStr">
        <is>
          <t>Reporting</t>
        </is>
      </c>
      <c r="L59" t="b">
        <v>1</v>
      </c>
      <c r="M59" t="inlineStr">
        <is>
          <t>Billed at a Fixed price</t>
        </is>
      </c>
      <c r="N59" s="6">
        <f>IF(B59="","",IF(ISNUMBER(B59),TEXT(B59,"YYYY-MM"),LEFT(B59,7)))</f>
        <v/>
      </c>
    </row>
    <row r="60">
      <c r="A60" t="inlineStr">
        <is>
          <t>Abel Ansu</t>
        </is>
      </c>
      <c r="B60" s="4" t="n">
        <v>46202</v>
      </c>
      <c r="C60" t="inlineStr">
        <is>
          <t>Supply of seedlings to MTS site</t>
        </is>
      </c>
      <c r="D60" t="inlineStr">
        <is>
          <t>Abel Ansu</t>
        </is>
      </c>
      <c r="E60" t="inlineStr">
        <is>
          <t>Abel Ansu</t>
        </is>
      </c>
      <c r="F60" s="5" t="n">
        <v>46210.36836805556</v>
      </c>
      <c r="H60" t="inlineStr">
        <is>
          <t>P13PC00A00 - Private Sector Companies</t>
        </is>
      </c>
      <c r="I60" t="n">
        <v>8</v>
      </c>
      <c r="K60" t="inlineStr">
        <is>
          <t>Personnel Cost</t>
        </is>
      </c>
      <c r="L60" t="b">
        <v>0</v>
      </c>
      <c r="M60" t="inlineStr">
        <is>
          <t>Non-Billable</t>
        </is>
      </c>
      <c r="N60" s="6">
        <f>IF(B60="","",IF(ISNUMBER(B60),TEXT(B60,"YYYY-MM"),LEFT(B60,7)))</f>
        <v/>
      </c>
    </row>
    <row r="61">
      <c r="A61" t="inlineStr">
        <is>
          <t>Stephen Doso</t>
        </is>
      </c>
      <c r="B61" s="4" t="n">
        <v>46202</v>
      </c>
      <c r="C61" t="inlineStr">
        <is>
          <t>/</t>
        </is>
      </c>
      <c r="D61" t="inlineStr">
        <is>
          <t>Stephen Doso</t>
        </is>
      </c>
      <c r="E61" t="inlineStr">
        <is>
          <t>Stephen Doso</t>
        </is>
      </c>
      <c r="F61" s="5" t="n">
        <v>46209.53475694444</v>
      </c>
      <c r="H61" t="inlineStr">
        <is>
          <t>PCGH791</t>
        </is>
      </c>
      <c r="I61" t="n">
        <v>5</v>
      </c>
      <c r="J61" t="inlineStr">
        <is>
          <t>PCGH791 - Stakeholder Consultations (3) (Rainforest Alliance Inc)</t>
        </is>
      </c>
      <c r="K61" t="inlineStr">
        <is>
          <t>Incorporating AFi in Proforest projects</t>
        </is>
      </c>
      <c r="L61" t="b">
        <v>1</v>
      </c>
      <c r="M61" t="inlineStr">
        <is>
          <t>Billed at a Fixed price</t>
        </is>
      </c>
      <c r="N61" s="6">
        <f>IF(B61="","",IF(ISNUMBER(B61),TEXT(B61,"YYYY-MM"),LEFT(B61,7)))</f>
        <v/>
      </c>
    </row>
    <row r="62">
      <c r="A62" t="inlineStr">
        <is>
          <t>Stephen Doso</t>
        </is>
      </c>
      <c r="B62" s="4" t="n">
        <v>46202</v>
      </c>
      <c r="C62" t="inlineStr">
        <is>
          <t>/</t>
        </is>
      </c>
      <c r="D62" t="inlineStr">
        <is>
          <t>Stephen Doso</t>
        </is>
      </c>
      <c r="E62" t="inlineStr">
        <is>
          <t>Stephen Doso</t>
        </is>
      </c>
      <c r="F62" s="5" t="n">
        <v>46209.53296296296</v>
      </c>
      <c r="H62" t="inlineStr">
        <is>
          <t>Non-Billable Tasks</t>
        </is>
      </c>
      <c r="I62" t="n">
        <v>1</v>
      </c>
      <c r="K62" t="inlineStr">
        <is>
          <t>Professional development and Knowledge sharing(training,global knowledge calls,exchange weeks)</t>
        </is>
      </c>
      <c r="L62" t="b">
        <v>0</v>
      </c>
      <c r="M62" t="inlineStr">
        <is>
          <t>Non-Billable</t>
        </is>
      </c>
      <c r="N62" s="6">
        <f>IF(B62="","",IF(ISNUMBER(B62),TEXT(B62,"YYYY-MM"),LEFT(B62,7)))</f>
        <v/>
      </c>
    </row>
    <row r="63">
      <c r="A63" t="inlineStr">
        <is>
          <t>Louis Defo</t>
        </is>
      </c>
      <c r="B63" s="4" t="n">
        <v>46202</v>
      </c>
      <c r="C63" t="inlineStr">
        <is>
          <t>work on ToR of the workshop</t>
        </is>
      </c>
      <c r="D63" t="inlineStr">
        <is>
          <t>Louis Defo</t>
        </is>
      </c>
      <c r="E63" t="inlineStr">
        <is>
          <t>Louis Defo</t>
        </is>
      </c>
      <c r="F63" s="5" t="n">
        <v>46209.31082175926</v>
      </c>
      <c r="H63" t="inlineStr">
        <is>
          <t>P23AC00C00 - FGMC</t>
        </is>
      </c>
      <c r="I63" t="n">
        <v>8</v>
      </c>
      <c r="L63" t="b">
        <v>0</v>
      </c>
      <c r="M63" t="inlineStr">
        <is>
          <t>Non-Billable</t>
        </is>
      </c>
      <c r="N63" s="6">
        <f>IF(B63="","",IF(ISNUMBER(B63),TEXT(B63,"YYYY-MM"),LEFT(B63,7)))</f>
        <v/>
      </c>
    </row>
    <row r="64">
      <c r="A64" t="inlineStr">
        <is>
          <t>Afua Serwah Akoto Prempeh</t>
        </is>
      </c>
      <c r="B64" s="4" t="n">
        <v>46202</v>
      </c>
      <c r="C64" t="inlineStr">
        <is>
          <t>/</t>
        </is>
      </c>
      <c r="D64" t="inlineStr">
        <is>
          <t>Afua Serwah Akoto Prempeh</t>
        </is>
      </c>
      <c r="E64" t="inlineStr">
        <is>
          <t>Afua Serwah Akoto Prempeh</t>
        </is>
      </c>
      <c r="F64" s="5" t="n">
        <v>46204.55980324074</v>
      </c>
      <c r="H64" t="inlineStr">
        <is>
          <t>Non-Billable Tasks</t>
        </is>
      </c>
      <c r="I64" t="n">
        <v>8</v>
      </c>
      <c r="K64" t="inlineStr">
        <is>
          <t>Professional development and Knowledge sharing(training,global knowledge calls,exchange weeks)</t>
        </is>
      </c>
      <c r="L64" t="b">
        <v>0</v>
      </c>
      <c r="M64" t="inlineStr">
        <is>
          <t>Non-Billable</t>
        </is>
      </c>
      <c r="N64" s="6">
        <f>IF(B64="","",IF(ISNUMBER(B64),TEXT(B64,"YYYY-MM"),LEFT(B64,7)))</f>
        <v/>
      </c>
    </row>
    <row r="65">
      <c r="A65" t="inlineStr">
        <is>
          <t>Ekow Nyamekye Tawiah</t>
        </is>
      </c>
      <c r="B65" s="4" t="n">
        <v>46202</v>
      </c>
      <c r="C65" t="inlineStr">
        <is>
          <t>/</t>
        </is>
      </c>
      <c r="D65" t="inlineStr">
        <is>
          <t>Ekow Nyamekye Tawiah</t>
        </is>
      </c>
      <c r="E65" t="inlineStr">
        <is>
          <t>Ekow Nyamekye Tawiah</t>
        </is>
      </c>
      <c r="F65" s="5" t="n">
        <v>46203.19241898148</v>
      </c>
      <c r="H65" t="inlineStr">
        <is>
          <t>PCGH778 - General Support</t>
        </is>
      </c>
      <c r="I65" t="n">
        <v>4</v>
      </c>
      <c r="J65" t="inlineStr">
        <is>
          <t>PCGH778 - Support to Other Workstreams (3) (Proforest Limited(PCUK GBP))</t>
        </is>
      </c>
      <c r="L65" t="b">
        <v>1</v>
      </c>
      <c r="M65" t="inlineStr">
        <is>
          <t>Billed at a Fixed price</t>
        </is>
      </c>
      <c r="N65" s="6">
        <f>IF(B65="","",IF(ISNUMBER(B65),TEXT(B65,"YYYY-MM"),LEFT(B65,7)))</f>
        <v/>
      </c>
    </row>
    <row r="66">
      <c r="A66" t="inlineStr">
        <is>
          <t>Augustus Asamoah</t>
        </is>
      </c>
      <c r="B66" s="4" t="n">
        <v>46199</v>
      </c>
      <c r="C66" t="inlineStr">
        <is>
          <t>/</t>
        </is>
      </c>
      <c r="D66" t="inlineStr">
        <is>
          <t>Augustus Asamoah</t>
        </is>
      </c>
      <c r="E66" t="inlineStr">
        <is>
          <t>Augustus Asamoah</t>
        </is>
      </c>
      <c r="F66" s="5" t="n">
        <v>46210.41657407407</v>
      </c>
      <c r="H66" t="inlineStr">
        <is>
          <t>P13NC00A00 - WALMART II</t>
        </is>
      </c>
      <c r="I66" t="n">
        <v>1</v>
      </c>
      <c r="K66" t="inlineStr">
        <is>
          <t>Follow up of seedling procurement, AFS, &amp; Procurements</t>
        </is>
      </c>
      <c r="L66" t="b">
        <v>0</v>
      </c>
      <c r="M66" t="inlineStr">
        <is>
          <t>Non-Billable</t>
        </is>
      </c>
      <c r="N66" s="6">
        <f>IF(B66="","",IF(ISNUMBER(B66),TEXT(B66,"YYYY-MM"),LEFT(B66,7)))</f>
        <v/>
      </c>
    </row>
    <row r="67">
      <c r="A67" t="inlineStr">
        <is>
          <t>Augustus Asamoah</t>
        </is>
      </c>
      <c r="B67" s="4" t="n">
        <v>46199</v>
      </c>
      <c r="C67" t="inlineStr">
        <is>
          <t>/</t>
        </is>
      </c>
      <c r="D67" t="inlineStr">
        <is>
          <t>Augustus Asamoah</t>
        </is>
      </c>
      <c r="E67" t="inlineStr">
        <is>
          <t>Augustus Asamoah</t>
        </is>
      </c>
      <c r="F67" s="5" t="n">
        <v>46210.4165625</v>
      </c>
      <c r="H67" t="inlineStr">
        <is>
          <t>P13PC00A00 - Private Sector Companies</t>
        </is>
      </c>
      <c r="I67" t="n">
        <v>1</v>
      </c>
      <c r="K67" t="inlineStr">
        <is>
          <t>coordination of MTS and related Activities</t>
        </is>
      </c>
      <c r="L67" t="b">
        <v>0</v>
      </c>
      <c r="M67" t="inlineStr">
        <is>
          <t>Non-Billable</t>
        </is>
      </c>
      <c r="N67" s="6">
        <f>IF(B67="","",IF(ISNUMBER(B67),TEXT(B67,"YYYY-MM"),LEFT(B67,7)))</f>
        <v/>
      </c>
    </row>
    <row r="68">
      <c r="A68" t="inlineStr">
        <is>
          <t>Augustus Asamoah</t>
        </is>
      </c>
      <c r="B68" s="4" t="n">
        <v>46199</v>
      </c>
      <c r="C68" t="inlineStr">
        <is>
          <t>/</t>
        </is>
      </c>
      <c r="D68" t="inlineStr">
        <is>
          <t>Augustus Asamoah</t>
        </is>
      </c>
      <c r="E68" t="inlineStr">
        <is>
          <t>Augustus Asamoah</t>
        </is>
      </c>
      <c r="F68" s="5" t="n">
        <v>46210.41653935185</v>
      </c>
      <c r="H68" t="inlineStr">
        <is>
          <t>P13QC00A00 - EFI Programme</t>
        </is>
      </c>
      <c r="I68" t="n">
        <v>1</v>
      </c>
      <c r="K68" t="inlineStr">
        <is>
          <t>M&amp;E Review</t>
        </is>
      </c>
      <c r="L68" t="b">
        <v>0</v>
      </c>
      <c r="M68" t="inlineStr">
        <is>
          <t>Non-Billable</t>
        </is>
      </c>
      <c r="N68" s="6">
        <f>IF(B68="","",IF(ISNUMBER(B68),TEXT(B68,"YYYY-MM"),LEFT(B68,7)))</f>
        <v/>
      </c>
    </row>
    <row r="69">
      <c r="A69" t="inlineStr">
        <is>
          <t>Augustus Asamoah</t>
        </is>
      </c>
      <c r="B69" s="4" t="n">
        <v>46199</v>
      </c>
      <c r="C69" t="inlineStr">
        <is>
          <t>/</t>
        </is>
      </c>
      <c r="D69" t="inlineStr">
        <is>
          <t>Augustus Asamoah</t>
        </is>
      </c>
      <c r="E69" t="inlineStr">
        <is>
          <t>Augustus Asamoah</t>
        </is>
      </c>
      <c r="F69" s="5" t="n">
        <v>46210.41650462963</v>
      </c>
      <c r="G69" t="inlineStr">
        <is>
          <t>Final Reporting</t>
        </is>
      </c>
      <c r="H69" t="inlineStr">
        <is>
          <t>PCGH784</t>
        </is>
      </c>
      <c r="I69" t="n">
        <v>5</v>
      </c>
      <c r="J69" t="inlineStr">
        <is>
          <t>PCGH784 - Reporting (3) (Okeosisi Jonathan)</t>
        </is>
      </c>
      <c r="K69" t="inlineStr">
        <is>
          <t>Reporting</t>
        </is>
      </c>
      <c r="L69" t="b">
        <v>1</v>
      </c>
      <c r="M69" t="inlineStr">
        <is>
          <t>Billed at a Fixed price</t>
        </is>
      </c>
      <c r="N69" s="6">
        <f>IF(B69="","",IF(ISNUMBER(B69),TEXT(B69,"YYYY-MM"),LEFT(B69,7)))</f>
        <v/>
      </c>
    </row>
    <row r="70">
      <c r="A70" t="inlineStr">
        <is>
          <t>Afua Serwah Akoto Prempeh</t>
        </is>
      </c>
      <c r="B70" s="4" t="n">
        <v>46199</v>
      </c>
      <c r="C70" t="inlineStr">
        <is>
          <t>/</t>
        </is>
      </c>
      <c r="D70" t="inlineStr">
        <is>
          <t>Afua Serwah Akoto Prempeh</t>
        </is>
      </c>
      <c r="E70" t="inlineStr">
        <is>
          <t>Afua Serwah Akoto Prempeh</t>
        </is>
      </c>
      <c r="F70" s="5" t="n">
        <v>46204.55995370371</v>
      </c>
      <c r="H70" t="inlineStr">
        <is>
          <t>Non-Billable Tasks</t>
        </is>
      </c>
      <c r="I70" t="n">
        <v>8</v>
      </c>
      <c r="K70" t="inlineStr">
        <is>
          <t>Professional development and Knowledge sharing(training,global knowledge calls,exchange weeks)</t>
        </is>
      </c>
      <c r="L70" t="b">
        <v>0</v>
      </c>
      <c r="M70" t="inlineStr">
        <is>
          <t>Non-Billable</t>
        </is>
      </c>
      <c r="N70" s="6">
        <f>IF(B70="","",IF(ISNUMBER(B70),TEXT(B70,"YYYY-MM"),LEFT(B70,7)))</f>
        <v/>
      </c>
    </row>
    <row r="71">
      <c r="A71" t="inlineStr">
        <is>
          <t>Abel Ansu</t>
        </is>
      </c>
      <c r="B71" s="4" t="n">
        <v>46199</v>
      </c>
      <c r="C71" t="inlineStr">
        <is>
          <t>Monitoring of lining and pegging at Biaso Kasapin (Bia Tano reserve) and seddlings transportation at Aboagyaa (Bia Tano reserve)</t>
        </is>
      </c>
      <c r="D71" t="inlineStr">
        <is>
          <t>Abel Ansu</t>
        </is>
      </c>
      <c r="E71" t="inlineStr">
        <is>
          <t>Abel Ansu</t>
        </is>
      </c>
      <c r="F71" s="5" t="n">
        <v>46203.63576388889</v>
      </c>
      <c r="H71" t="inlineStr">
        <is>
          <t>P13PC00A00 - Private Sector Companies</t>
        </is>
      </c>
      <c r="I71" t="n">
        <v>8</v>
      </c>
      <c r="K71" t="inlineStr">
        <is>
          <t>Personnel Cost</t>
        </is>
      </c>
      <c r="L71" t="b">
        <v>0</v>
      </c>
      <c r="M71" t="inlineStr">
        <is>
          <t>Non-Billable</t>
        </is>
      </c>
      <c r="N71" s="6">
        <f>IF(B71="","",IF(ISNUMBER(B71),TEXT(B71,"YYYY-MM"),LEFT(B71,7)))</f>
        <v/>
      </c>
    </row>
    <row r="72">
      <c r="A72" t="inlineStr">
        <is>
          <t>Ekow Nyamekye Tawiah</t>
        </is>
      </c>
      <c r="B72" s="4" t="n">
        <v>46199</v>
      </c>
      <c r="C72" t="inlineStr">
        <is>
          <t>/</t>
        </is>
      </c>
      <c r="D72" t="inlineStr">
        <is>
          <t>Ekow Nyamekye Tawiah</t>
        </is>
      </c>
      <c r="E72" t="inlineStr">
        <is>
          <t>Ekow Nyamekye Tawiah</t>
        </is>
      </c>
      <c r="F72" s="5" t="n">
        <v>46203.19190972222</v>
      </c>
      <c r="H72" t="inlineStr">
        <is>
          <t>PCGH778 - General Support</t>
        </is>
      </c>
      <c r="I72" t="n">
        <v>4</v>
      </c>
      <c r="J72" t="inlineStr">
        <is>
          <t>PCGH778 - Support to Other Workstreams (3) (Proforest Limited(PCUK GBP))</t>
        </is>
      </c>
      <c r="L72" t="b">
        <v>1</v>
      </c>
      <c r="M72" t="inlineStr">
        <is>
          <t>Billed at a Fixed price</t>
        </is>
      </c>
      <c r="N72" s="6">
        <f>IF(B72="","",IF(ISNUMBER(B72),TEXT(B72,"YYYY-MM"),LEFT(B72,7)))</f>
        <v/>
      </c>
    </row>
    <row r="73">
      <c r="A73" t="inlineStr">
        <is>
          <t>Louis Defo</t>
        </is>
      </c>
      <c r="B73" s="4" t="n">
        <v>46199</v>
      </c>
      <c r="C73" t="inlineStr">
        <is>
          <t>annual leave</t>
        </is>
      </c>
      <c r="D73" t="inlineStr">
        <is>
          <t>Louis Defo</t>
        </is>
      </c>
      <c r="E73" t="inlineStr">
        <is>
          <t>Louis Defo</t>
        </is>
      </c>
      <c r="F73" s="5" t="n">
        <v>46202.32797453704</v>
      </c>
      <c r="H73" t="inlineStr">
        <is>
          <t>P23AC00C00 - FGMC</t>
        </is>
      </c>
      <c r="I73" t="n">
        <v>8</v>
      </c>
      <c r="L73" t="b">
        <v>0</v>
      </c>
      <c r="M73" t="inlineStr">
        <is>
          <t>Non-Billable</t>
        </is>
      </c>
      <c r="N73" s="6">
        <f>IF(B73="","",IF(ISNUMBER(B73),TEXT(B73,"YYYY-MM"),LEFT(B73,7)))</f>
        <v/>
      </c>
    </row>
    <row r="74">
      <c r="A74" t="inlineStr">
        <is>
          <t>Augustus Asamoah</t>
        </is>
      </c>
      <c r="B74" s="4" t="n">
        <v>46198</v>
      </c>
      <c r="C74" t="inlineStr">
        <is>
          <t>/</t>
        </is>
      </c>
      <c r="D74" t="inlineStr">
        <is>
          <t>Augustus Asamoah</t>
        </is>
      </c>
      <c r="E74" t="inlineStr">
        <is>
          <t>Augustus Asamoah</t>
        </is>
      </c>
      <c r="F74" s="5" t="n">
        <v>46210.41621527778</v>
      </c>
      <c r="H74" t="inlineStr">
        <is>
          <t>P13PC00A00 - Private Sector Companies</t>
        </is>
      </c>
      <c r="I74" t="n">
        <v>2</v>
      </c>
      <c r="K74" t="inlineStr">
        <is>
          <t>coordination of MTS and related Activities</t>
        </is>
      </c>
      <c r="L74" t="b">
        <v>0</v>
      </c>
      <c r="M74" t="inlineStr">
        <is>
          <t>Non-Billable</t>
        </is>
      </c>
      <c r="N74" s="6">
        <f>IF(B74="","",IF(ISNUMBER(B74),TEXT(B74,"YYYY-MM"),LEFT(B74,7)))</f>
        <v/>
      </c>
    </row>
    <row r="75">
      <c r="A75" t="inlineStr">
        <is>
          <t>Augustus Asamoah</t>
        </is>
      </c>
      <c r="B75" s="4" t="n">
        <v>46198</v>
      </c>
      <c r="C75" t="inlineStr">
        <is>
          <t>/</t>
        </is>
      </c>
      <c r="D75" t="inlineStr">
        <is>
          <t>Augustus Asamoah</t>
        </is>
      </c>
      <c r="E75" t="inlineStr">
        <is>
          <t>Augustus Asamoah</t>
        </is>
      </c>
      <c r="F75" s="5" t="n">
        <v>46210.41619212963</v>
      </c>
      <c r="H75" t="inlineStr">
        <is>
          <t>P13NC00A00 - WALMART II</t>
        </is>
      </c>
      <c r="I75" t="n">
        <v>1</v>
      </c>
      <c r="K75" t="inlineStr">
        <is>
          <t>Follow up of seedling procurement, AFS, &amp; Procurements</t>
        </is>
      </c>
      <c r="L75" t="b">
        <v>0</v>
      </c>
      <c r="M75" t="inlineStr">
        <is>
          <t>Non-Billable</t>
        </is>
      </c>
      <c r="N75" s="6">
        <f>IF(B75="","",IF(ISNUMBER(B75),TEXT(B75,"YYYY-MM"),LEFT(B75,7)))</f>
        <v/>
      </c>
    </row>
    <row r="76">
      <c r="A76" t="inlineStr">
        <is>
          <t>Augustus Asamoah</t>
        </is>
      </c>
      <c r="B76" s="4" t="n">
        <v>46198</v>
      </c>
      <c r="C76" t="inlineStr">
        <is>
          <t>/</t>
        </is>
      </c>
      <c r="D76" t="inlineStr">
        <is>
          <t>Augustus Asamoah</t>
        </is>
      </c>
      <c r="E76" t="inlineStr">
        <is>
          <t>Augustus Asamoah</t>
        </is>
      </c>
      <c r="F76" s="5" t="n">
        <v>46210.41604166666</v>
      </c>
      <c r="H76" t="inlineStr">
        <is>
          <t>P13QC00A00 - EFI Programme</t>
        </is>
      </c>
      <c r="I76" t="n">
        <v>1</v>
      </c>
      <c r="K76" t="inlineStr">
        <is>
          <t>Procurements - ToR</t>
        </is>
      </c>
      <c r="L76" t="b">
        <v>0</v>
      </c>
      <c r="M76" t="inlineStr">
        <is>
          <t>Non-Billable</t>
        </is>
      </c>
      <c r="N76" s="6">
        <f>IF(B76="","",IF(ISNUMBER(B76),TEXT(B76,"YYYY-MM"),LEFT(B76,7)))</f>
        <v/>
      </c>
    </row>
    <row r="77">
      <c r="A77" t="inlineStr">
        <is>
          <t>Augustus Asamoah</t>
        </is>
      </c>
      <c r="B77" s="4" t="n">
        <v>46198</v>
      </c>
      <c r="C77" t="inlineStr">
        <is>
          <t>/</t>
        </is>
      </c>
      <c r="D77" t="inlineStr">
        <is>
          <t>Augustus Asamoah</t>
        </is>
      </c>
      <c r="E77" t="inlineStr">
        <is>
          <t>Augustus Asamoah</t>
        </is>
      </c>
      <c r="F77" s="5" t="n">
        <v>46210.4158912037</v>
      </c>
      <c r="G77" t="inlineStr">
        <is>
          <t>Final Reporting</t>
        </is>
      </c>
      <c r="H77" t="inlineStr">
        <is>
          <t>PCGH784</t>
        </is>
      </c>
      <c r="I77" t="n">
        <v>4</v>
      </c>
      <c r="J77" t="inlineStr">
        <is>
          <t>PCGH784 - Reporting (3) (Okeosisi Jonathan)</t>
        </is>
      </c>
      <c r="K77" t="inlineStr">
        <is>
          <t>Reporting</t>
        </is>
      </c>
      <c r="L77" t="b">
        <v>1</v>
      </c>
      <c r="M77" t="inlineStr">
        <is>
          <t>Billed at a Fixed price</t>
        </is>
      </c>
      <c r="N77" s="6">
        <f>IF(B77="","",IF(ISNUMBER(B77),TEXT(B77,"YYYY-MM"),LEFT(B77,7)))</f>
        <v/>
      </c>
    </row>
    <row r="78">
      <c r="A78" t="inlineStr">
        <is>
          <t>Afua Serwah Akoto Prempeh</t>
        </is>
      </c>
      <c r="B78" s="4" t="n">
        <v>46198</v>
      </c>
      <c r="C78" t="inlineStr">
        <is>
          <t>/</t>
        </is>
      </c>
      <c r="D78" t="inlineStr">
        <is>
          <t>Afua Serwah Akoto Prempeh</t>
        </is>
      </c>
      <c r="E78" t="inlineStr">
        <is>
          <t>Afua Serwah Akoto Prempeh</t>
        </is>
      </c>
      <c r="F78" s="5" t="n">
        <v>46204.55707175926</v>
      </c>
      <c r="H78" t="inlineStr">
        <is>
          <t>Non-Billable Tasks</t>
        </is>
      </c>
      <c r="I78" t="n">
        <v>8</v>
      </c>
      <c r="K78" t="inlineStr">
        <is>
          <t>Professional development and Knowledge sharing(training,global knowledge calls,exchange weeks)</t>
        </is>
      </c>
      <c r="L78" t="b">
        <v>0</v>
      </c>
      <c r="M78" t="inlineStr">
        <is>
          <t>Non-Billable</t>
        </is>
      </c>
      <c r="N78" s="6">
        <f>IF(B78="","",IF(ISNUMBER(B78),TEXT(B78,"YYYY-MM"),LEFT(B78,7)))</f>
        <v/>
      </c>
    </row>
    <row r="79">
      <c r="A79" t="inlineStr">
        <is>
          <t>Abel Ansu</t>
        </is>
      </c>
      <c r="B79" s="4" t="n">
        <v>46198</v>
      </c>
      <c r="C79" t="inlineStr">
        <is>
          <t>To monitor and confirm seedlings supplied at Goamu camp (Bia Tano reserve)</t>
        </is>
      </c>
      <c r="D79" t="inlineStr">
        <is>
          <t>Abel Ansu</t>
        </is>
      </c>
      <c r="E79" t="inlineStr">
        <is>
          <t>Abel Ansu</t>
        </is>
      </c>
      <c r="F79" s="5" t="n">
        <v>46203.63442129629</v>
      </c>
      <c r="H79" t="inlineStr">
        <is>
          <t>P13PC00A00 - Private Sector Companies</t>
        </is>
      </c>
      <c r="I79" t="n">
        <v>8</v>
      </c>
      <c r="K79" t="inlineStr">
        <is>
          <t>Personnel Cost</t>
        </is>
      </c>
      <c r="L79" t="b">
        <v>0</v>
      </c>
      <c r="M79" t="inlineStr">
        <is>
          <t>Non-Billable</t>
        </is>
      </c>
      <c r="N79" s="6">
        <f>IF(B79="","",IF(ISNUMBER(B79),TEXT(B79,"YYYY-MM"),LEFT(B79,7)))</f>
        <v/>
      </c>
    </row>
    <row r="80">
      <c r="A80" t="inlineStr">
        <is>
          <t>Ekow Nyamekye Tawiah</t>
        </is>
      </c>
      <c r="B80" s="4" t="n">
        <v>46198</v>
      </c>
      <c r="C80" t="inlineStr">
        <is>
          <t>/</t>
        </is>
      </c>
      <c r="D80" t="inlineStr">
        <is>
          <t>Ekow Nyamekye Tawiah</t>
        </is>
      </c>
      <c r="E80" t="inlineStr">
        <is>
          <t>Ekow Nyamekye Tawiah</t>
        </is>
      </c>
      <c r="F80" s="5" t="n">
        <v>46203.19189814815</v>
      </c>
      <c r="H80" t="inlineStr">
        <is>
          <t>PCGH778 - General Support</t>
        </is>
      </c>
      <c r="I80" t="n">
        <v>4</v>
      </c>
      <c r="J80" t="inlineStr">
        <is>
          <t>PCGH778 - Support to Other Workstreams (3) (Proforest Limited(PCUK GBP))</t>
        </is>
      </c>
      <c r="L80" t="b">
        <v>1</v>
      </c>
      <c r="M80" t="inlineStr">
        <is>
          <t>Billed at a Fixed price</t>
        </is>
      </c>
      <c r="N80" s="6">
        <f>IF(B80="","",IF(ISNUMBER(B80),TEXT(B80,"YYYY-MM"),LEFT(B80,7)))</f>
        <v/>
      </c>
    </row>
    <row r="81">
      <c r="A81" t="inlineStr">
        <is>
          <t>Louis Defo</t>
        </is>
      </c>
      <c r="B81" s="4" t="n">
        <v>46198</v>
      </c>
      <c r="C81" t="inlineStr">
        <is>
          <t>/</t>
        </is>
      </c>
      <c r="D81" t="inlineStr">
        <is>
          <t>Louis Defo</t>
        </is>
      </c>
      <c r="E81" t="inlineStr">
        <is>
          <t>Louis Defo</t>
        </is>
      </c>
      <c r="F81" s="5" t="n">
        <v>46202.32569444444</v>
      </c>
      <c r="H81" t="inlineStr">
        <is>
          <t>PCGH787</t>
        </is>
      </c>
      <c r="I81" t="n">
        <v>8</v>
      </c>
      <c r="J81" t="inlineStr">
        <is>
          <t>PCGH787 - Desk Study (3) (Proforest Limited(PCUK GBP))</t>
        </is>
      </c>
      <c r="L81" t="b">
        <v>1</v>
      </c>
      <c r="M81" t="inlineStr">
        <is>
          <t>Billed at a Fixed price</t>
        </is>
      </c>
      <c r="N81" s="6">
        <f>IF(B81="","",IF(ISNUMBER(B81),TEXT(B81,"YYYY-MM"),LEFT(B81,7)))</f>
        <v/>
      </c>
    </row>
    <row r="82">
      <c r="A82" t="inlineStr">
        <is>
          <t>Clement Obeng-Manu</t>
        </is>
      </c>
      <c r="B82" s="4" t="n">
        <v>46198</v>
      </c>
      <c r="C82" t="inlineStr">
        <is>
          <t>/</t>
        </is>
      </c>
      <c r="D82" t="inlineStr">
        <is>
          <t>Clement Obeng-Manu</t>
        </is>
      </c>
      <c r="E82" t="inlineStr">
        <is>
          <t>Clement Obeng-Manu</t>
        </is>
      </c>
      <c r="F82" s="5" t="n">
        <v>46195.71798611111</v>
      </c>
      <c r="H82" t="inlineStr">
        <is>
          <t>PCGH776 - Deforestation Risk-Assessment Cashew-Coast</t>
        </is>
      </c>
      <c r="I82" t="n">
        <v>8</v>
      </c>
      <c r="J82" t="inlineStr">
        <is>
          <t>PCGH776 - Groundthruthing and Verification (3) (Cashew Coast Products Inc)</t>
        </is>
      </c>
      <c r="K82" t="inlineStr">
        <is>
          <t>Land cover classification, ground truthing and accuracy assessment</t>
        </is>
      </c>
      <c r="L82" t="b">
        <v>1</v>
      </c>
      <c r="M82" t="inlineStr">
        <is>
          <t>Billed at a Fixed price</t>
        </is>
      </c>
      <c r="N82" s="6">
        <f>IF(B82="","",IF(ISNUMBER(B82),TEXT(B82,"YYYY-MM"),LEFT(B82,7)))</f>
        <v/>
      </c>
    </row>
    <row r="83">
      <c r="A83" t="inlineStr">
        <is>
          <t>Augustus Asamoah</t>
        </is>
      </c>
      <c r="B83" s="4" t="n">
        <v>46197</v>
      </c>
      <c r="C83" t="inlineStr">
        <is>
          <t>/</t>
        </is>
      </c>
      <c r="D83" t="inlineStr">
        <is>
          <t>Augustus Asamoah</t>
        </is>
      </c>
      <c r="E83" t="inlineStr">
        <is>
          <t>Augustus Asamoah</t>
        </is>
      </c>
      <c r="F83" s="5" t="n">
        <v>46210.41584490741</v>
      </c>
      <c r="G83" t="inlineStr">
        <is>
          <t>Final Reporting</t>
        </is>
      </c>
      <c r="H83" t="inlineStr">
        <is>
          <t>PCGH784</t>
        </is>
      </c>
      <c r="I83" t="n">
        <v>3</v>
      </c>
      <c r="J83" t="inlineStr">
        <is>
          <t>PCGH784 - Reporting (3) (Okeosisi Jonathan)</t>
        </is>
      </c>
      <c r="K83" t="inlineStr">
        <is>
          <t>Reporting</t>
        </is>
      </c>
      <c r="L83" t="b">
        <v>1</v>
      </c>
      <c r="M83" t="inlineStr">
        <is>
          <t>Billed at a Fixed price</t>
        </is>
      </c>
      <c r="N83" s="6">
        <f>IF(B83="","",IF(ISNUMBER(B83),TEXT(B83,"YYYY-MM"),LEFT(B83,7)))</f>
        <v/>
      </c>
    </row>
    <row r="84">
      <c r="A84" t="inlineStr">
        <is>
          <t>Augustus Asamoah</t>
        </is>
      </c>
      <c r="B84" s="4" t="n">
        <v>46197</v>
      </c>
      <c r="C84" t="inlineStr">
        <is>
          <t>/</t>
        </is>
      </c>
      <c r="D84" t="inlineStr">
        <is>
          <t>Augustus Asamoah</t>
        </is>
      </c>
      <c r="E84" t="inlineStr">
        <is>
          <t>Augustus Asamoah</t>
        </is>
      </c>
      <c r="F84" s="5" t="n">
        <v>46210.39387731482</v>
      </c>
      <c r="H84" t="inlineStr">
        <is>
          <t>P13PC00A00 - Private Sector Companies</t>
        </is>
      </c>
      <c r="I84" t="n">
        <v>3</v>
      </c>
      <c r="K84" t="inlineStr">
        <is>
          <t>coordination of MTS and related Activities</t>
        </is>
      </c>
      <c r="L84" t="b">
        <v>0</v>
      </c>
      <c r="M84" t="inlineStr">
        <is>
          <t>Non-Billable</t>
        </is>
      </c>
      <c r="N84" s="6">
        <f>IF(B84="","",IF(ISNUMBER(B84),TEXT(B84,"YYYY-MM"),LEFT(B84,7)))</f>
        <v/>
      </c>
    </row>
    <row r="85">
      <c r="A85" t="inlineStr">
        <is>
          <t>Augustus Asamoah</t>
        </is>
      </c>
      <c r="B85" s="4" t="n">
        <v>46197</v>
      </c>
      <c r="C85" t="inlineStr">
        <is>
          <t>/</t>
        </is>
      </c>
      <c r="D85" t="inlineStr">
        <is>
          <t>Augustus Asamoah</t>
        </is>
      </c>
      <c r="E85" t="inlineStr">
        <is>
          <t>Augustus Asamoah</t>
        </is>
      </c>
      <c r="F85" s="5" t="n">
        <v>46210.3937962963</v>
      </c>
      <c r="H85" t="inlineStr">
        <is>
          <t>P13QC00A00 - EFI Programme</t>
        </is>
      </c>
      <c r="I85" t="n">
        <v>2</v>
      </c>
      <c r="K85" t="inlineStr">
        <is>
          <t>M&amp;E Review</t>
        </is>
      </c>
      <c r="L85" t="b">
        <v>0</v>
      </c>
      <c r="M85" t="inlineStr">
        <is>
          <t>Non-Billable</t>
        </is>
      </c>
      <c r="N85" s="6">
        <f>IF(B85="","",IF(ISNUMBER(B85),TEXT(B85,"YYYY-MM"),LEFT(B85,7)))</f>
        <v/>
      </c>
    </row>
    <row r="86">
      <c r="A86" t="inlineStr">
        <is>
          <t>Abel Ansu</t>
        </is>
      </c>
      <c r="B86" s="4" t="n">
        <v>46197</v>
      </c>
      <c r="C86" t="inlineStr">
        <is>
          <t>Monitored seedlings transportation at Aboagyaa and Tokrom</t>
        </is>
      </c>
      <c r="D86" t="inlineStr">
        <is>
          <t>Abel Ansu</t>
        </is>
      </c>
      <c r="E86" t="inlineStr">
        <is>
          <t>Abel Ansu</t>
        </is>
      </c>
      <c r="F86" s="5" t="n">
        <v>46203.63313657408</v>
      </c>
      <c r="H86" t="inlineStr">
        <is>
          <t>P13PC00A00 - Private Sector Companies</t>
        </is>
      </c>
      <c r="I86" t="n">
        <v>8</v>
      </c>
      <c r="K86" t="inlineStr">
        <is>
          <t>Personnel Cost</t>
        </is>
      </c>
      <c r="L86" t="b">
        <v>0</v>
      </c>
      <c r="M86" t="inlineStr">
        <is>
          <t>Non-Billable</t>
        </is>
      </c>
      <c r="N86" s="6">
        <f>IF(B86="","",IF(ISNUMBER(B86),TEXT(B86,"YYYY-MM"),LEFT(B86,7)))</f>
        <v/>
      </c>
    </row>
    <row r="87">
      <c r="A87" t="inlineStr">
        <is>
          <t>Ekow Nyamekye Tawiah</t>
        </is>
      </c>
      <c r="B87" s="4" t="n">
        <v>46197</v>
      </c>
      <c r="C87" t="inlineStr">
        <is>
          <t>/</t>
        </is>
      </c>
      <c r="D87" t="inlineStr">
        <is>
          <t>Ekow Nyamekye Tawiah</t>
        </is>
      </c>
      <c r="E87" t="inlineStr">
        <is>
          <t>Ekow Nyamekye Tawiah</t>
        </is>
      </c>
      <c r="F87" s="5" t="n">
        <v>46203.19188657407</v>
      </c>
      <c r="H87" t="inlineStr">
        <is>
          <t>PCGH778 - General Support</t>
        </is>
      </c>
      <c r="I87" t="n">
        <v>4</v>
      </c>
      <c r="J87" t="inlineStr">
        <is>
          <t>PCGH778 - Support to Other Workstreams (3) (Proforest Limited(PCUK GBP))</t>
        </is>
      </c>
      <c r="L87" t="b">
        <v>1</v>
      </c>
      <c r="M87" t="inlineStr">
        <is>
          <t>Billed at a Fixed price</t>
        </is>
      </c>
      <c r="N87" s="6">
        <f>IF(B87="","",IF(ISNUMBER(B87),TEXT(B87,"YYYY-MM"),LEFT(B87,7)))</f>
        <v/>
      </c>
    </row>
    <row r="88">
      <c r="A88" t="inlineStr">
        <is>
          <t>Louis Defo</t>
        </is>
      </c>
      <c r="B88" s="4" t="n">
        <v>46197</v>
      </c>
      <c r="C88" t="inlineStr">
        <is>
          <t>/</t>
        </is>
      </c>
      <c r="D88" t="inlineStr">
        <is>
          <t>Louis Defo</t>
        </is>
      </c>
      <c r="E88" t="inlineStr">
        <is>
          <t>Louis Defo</t>
        </is>
      </c>
      <c r="F88" s="5" t="n">
        <v>46202.32534722222</v>
      </c>
      <c r="H88" t="inlineStr">
        <is>
          <t>PCGH787</t>
        </is>
      </c>
      <c r="I88" t="n">
        <v>8</v>
      </c>
      <c r="J88" t="inlineStr">
        <is>
          <t>PCGH787 - Desk Study (3) (Proforest Limited(PCUK GBP))</t>
        </is>
      </c>
      <c r="L88" t="b">
        <v>1</v>
      </c>
      <c r="M88" t="inlineStr">
        <is>
          <t>Billed at a Fixed price</t>
        </is>
      </c>
      <c r="N88" s="6">
        <f>IF(B88="","",IF(ISNUMBER(B88),TEXT(B88,"YYYY-MM"),LEFT(B88,7)))</f>
        <v/>
      </c>
    </row>
    <row r="89">
      <c r="A89" t="inlineStr">
        <is>
          <t>Clement Obeng-Manu</t>
        </is>
      </c>
      <c r="B89" s="4" t="n">
        <v>46197</v>
      </c>
      <c r="C89" t="inlineStr">
        <is>
          <t>/</t>
        </is>
      </c>
      <c r="D89" t="inlineStr">
        <is>
          <t>Clement Obeng-Manu</t>
        </is>
      </c>
      <c r="E89" t="inlineStr">
        <is>
          <t>Clement Obeng-Manu</t>
        </is>
      </c>
      <c r="F89" s="5" t="n">
        <v>46205.56644675926</v>
      </c>
      <c r="H89" t="inlineStr">
        <is>
          <t>PCGH776 - Deforestation Risk-Assessment Cashew-Coast</t>
        </is>
      </c>
      <c r="I89" t="n">
        <v>8</v>
      </c>
      <c r="J89" t="inlineStr">
        <is>
          <t>PCGH776 - Groundthruthing and Verification (3) (Cashew Coast Products Inc)</t>
        </is>
      </c>
      <c r="K89" t="inlineStr">
        <is>
          <t>Land cover classification, ground truthing and accuracy assessment</t>
        </is>
      </c>
      <c r="L89" t="b">
        <v>1</v>
      </c>
      <c r="M89" t="inlineStr">
        <is>
          <t>Billed at a Fixed price</t>
        </is>
      </c>
      <c r="N89" s="6">
        <f>IF(B89="","",IF(ISNUMBER(B89),TEXT(B89,"YYYY-MM"),LEFT(B89,7)))</f>
        <v/>
      </c>
    </row>
    <row r="90">
      <c r="A90" t="inlineStr">
        <is>
          <t>Augustus Asamoah</t>
        </is>
      </c>
      <c r="B90" s="4" t="n">
        <v>46196</v>
      </c>
      <c r="C90" t="inlineStr">
        <is>
          <t>/</t>
        </is>
      </c>
      <c r="D90" t="inlineStr">
        <is>
          <t>Augustus Asamoah</t>
        </is>
      </c>
      <c r="E90" t="inlineStr">
        <is>
          <t>Augustus Asamoah</t>
        </is>
      </c>
      <c r="F90" s="5" t="n">
        <v>46210.41697916666</v>
      </c>
      <c r="G90" t="inlineStr">
        <is>
          <t>Final Reporting</t>
        </is>
      </c>
      <c r="H90" t="inlineStr">
        <is>
          <t>PCGH784</t>
        </is>
      </c>
      <c r="I90" t="n">
        <v>2</v>
      </c>
      <c r="J90" t="inlineStr">
        <is>
          <t>PCGH784 - Reporting (3) (Okeosisi Jonathan)</t>
        </is>
      </c>
      <c r="K90" t="inlineStr">
        <is>
          <t>Reporting</t>
        </is>
      </c>
      <c r="L90" t="b">
        <v>1</v>
      </c>
      <c r="M90" t="inlineStr">
        <is>
          <t>Billed at a Fixed price</t>
        </is>
      </c>
      <c r="N90" s="6">
        <f>IF(B90="","",IF(ISNUMBER(B90),TEXT(B90,"YYYY-MM"),LEFT(B90,7)))</f>
        <v/>
      </c>
    </row>
    <row r="91">
      <c r="A91" t="inlineStr">
        <is>
          <t>Augustus Asamoah</t>
        </is>
      </c>
      <c r="B91" s="4" t="n">
        <v>46196</v>
      </c>
      <c r="C91" t="inlineStr">
        <is>
          <t>/</t>
        </is>
      </c>
      <c r="D91" t="inlineStr">
        <is>
          <t>Augustus Asamoah</t>
        </is>
      </c>
      <c r="E91" t="inlineStr">
        <is>
          <t>Augustus Asamoah</t>
        </is>
      </c>
      <c r="F91" s="5" t="n">
        <v>46210.39289351852</v>
      </c>
      <c r="H91" t="inlineStr">
        <is>
          <t>P13PC00A00 - Private Sector Companies</t>
        </is>
      </c>
      <c r="I91" t="n">
        <v>2</v>
      </c>
      <c r="K91" t="inlineStr">
        <is>
          <t>coordination of MTS and related Activities</t>
        </is>
      </c>
      <c r="L91" t="b">
        <v>0</v>
      </c>
      <c r="M91" t="inlineStr">
        <is>
          <t>Non-Billable</t>
        </is>
      </c>
      <c r="N91" s="6">
        <f>IF(B91="","",IF(ISNUMBER(B91),TEXT(B91,"YYYY-MM"),LEFT(B91,7)))</f>
        <v/>
      </c>
    </row>
    <row r="92">
      <c r="A92" t="inlineStr">
        <is>
          <t>Augustus Asamoah</t>
        </is>
      </c>
      <c r="B92" s="4" t="n">
        <v>46196</v>
      </c>
      <c r="C92" t="inlineStr">
        <is>
          <t>/</t>
        </is>
      </c>
      <c r="D92" t="inlineStr">
        <is>
          <t>Augustus Asamoah</t>
        </is>
      </c>
      <c r="E92" t="inlineStr">
        <is>
          <t>Augustus Asamoah</t>
        </is>
      </c>
      <c r="F92" s="5" t="n">
        <v>46210.39274305556</v>
      </c>
      <c r="H92" t="inlineStr">
        <is>
          <t>P13NC00A00 - WALMART II</t>
        </is>
      </c>
      <c r="I92" t="n">
        <v>3</v>
      </c>
      <c r="K92" t="inlineStr">
        <is>
          <t>Follow up of seedling procurement, AFS, &amp; Procurements</t>
        </is>
      </c>
      <c r="L92" t="b">
        <v>0</v>
      </c>
      <c r="M92" t="inlineStr">
        <is>
          <t>Non-Billable</t>
        </is>
      </c>
      <c r="N92" s="6">
        <f>IF(B92="","",IF(ISNUMBER(B92),TEXT(B92,"YYYY-MM"),LEFT(B92,7)))</f>
        <v/>
      </c>
    </row>
    <row r="93">
      <c r="A93" t="inlineStr">
        <is>
          <t>Augustus Asamoah</t>
        </is>
      </c>
      <c r="B93" s="4" t="n">
        <v>46196</v>
      </c>
      <c r="C93" t="inlineStr">
        <is>
          <t>/</t>
        </is>
      </c>
      <c r="D93" t="inlineStr">
        <is>
          <t>Augustus Asamoah</t>
        </is>
      </c>
      <c r="E93" t="inlineStr">
        <is>
          <t>Augustus Asamoah</t>
        </is>
      </c>
      <c r="F93" s="5" t="n">
        <v>46210.41707175926</v>
      </c>
      <c r="H93" t="inlineStr">
        <is>
          <t>P13QC00A00 - EFI Programme</t>
        </is>
      </c>
      <c r="I93" t="n">
        <v>1</v>
      </c>
      <c r="K93" t="inlineStr">
        <is>
          <t>Procurements - ToR</t>
        </is>
      </c>
      <c r="L93" t="b">
        <v>0</v>
      </c>
      <c r="M93" t="inlineStr">
        <is>
          <t>Non-Billable</t>
        </is>
      </c>
      <c r="N93" s="6">
        <f>IF(B93="","",IF(ISNUMBER(B93),TEXT(B93,"YYYY-MM"),LEFT(B93,7)))</f>
        <v/>
      </c>
    </row>
    <row r="94">
      <c r="A94" t="inlineStr">
        <is>
          <t>Kwadwo Baniako Nti</t>
        </is>
      </c>
      <c r="B94" s="4" t="n">
        <v>46196</v>
      </c>
      <c r="C94" t="inlineStr">
        <is>
          <t>/</t>
        </is>
      </c>
      <c r="D94" t="inlineStr">
        <is>
          <t>Kwadwo Baniako Nti</t>
        </is>
      </c>
      <c r="E94" t="inlineStr">
        <is>
          <t>Kwadwo Baniako Nti</t>
        </is>
      </c>
      <c r="F94" s="5" t="n">
        <v>46205.51313657407</v>
      </c>
      <c r="G94" t="inlineStr">
        <is>
          <t>Baseline Socio-Economic &amp; Environmental Surveys</t>
        </is>
      </c>
      <c r="H94" t="inlineStr">
        <is>
          <t>PCGH762 - GVL HCSA Restoration Project</t>
        </is>
      </c>
      <c r="I94" t="n">
        <v>8</v>
      </c>
      <c r="J94" t="inlineStr">
        <is>
          <t>PCGH762 - Baseline Socio-Economic &amp; Environmental Surveys (Golden Veroleum Liberia)</t>
        </is>
      </c>
      <c r="K94" t="inlineStr">
        <is>
          <t>Baseline Socio-Economic &amp; Environmental Surveys</t>
        </is>
      </c>
      <c r="L94" t="b">
        <v>1</v>
      </c>
      <c r="M94" t="inlineStr">
        <is>
          <t>Billed at a Fixed price</t>
        </is>
      </c>
      <c r="N94" s="6">
        <f>IF(B94="","",IF(ISNUMBER(B94),TEXT(B94,"YYYY-MM"),LEFT(B94,7)))</f>
        <v/>
      </c>
    </row>
    <row r="95">
      <c r="A95" t="inlineStr">
        <is>
          <t>Afua Serwah Akoto Prempeh</t>
        </is>
      </c>
      <c r="B95" s="4" t="n">
        <v>46196</v>
      </c>
      <c r="C95" t="inlineStr">
        <is>
          <t>/</t>
        </is>
      </c>
      <c r="D95" t="inlineStr">
        <is>
          <t>Afua Serwah Akoto Prempeh</t>
        </is>
      </c>
      <c r="E95" t="inlineStr">
        <is>
          <t>Afua Serwah Akoto Prempeh</t>
        </is>
      </c>
      <c r="F95" s="5" t="n">
        <v>46204.55449074074</v>
      </c>
      <c r="G95" t="inlineStr">
        <is>
          <t>Output 4</t>
        </is>
      </c>
      <c r="H95" t="inlineStr">
        <is>
          <t>P23AC00C00 - FGMC</t>
        </is>
      </c>
      <c r="I95" t="n">
        <v>8</v>
      </c>
      <c r="K95" t="inlineStr">
        <is>
          <t>P23AC03A00 - Project Management</t>
        </is>
      </c>
      <c r="L95" t="b">
        <v>0</v>
      </c>
      <c r="M95" t="inlineStr">
        <is>
          <t>Non-Billable</t>
        </is>
      </c>
      <c r="N95" s="6">
        <f>IF(B95="","",IF(ISNUMBER(B95),TEXT(B95,"YYYY-MM"),LEFT(B95,7)))</f>
        <v/>
      </c>
    </row>
    <row r="96">
      <c r="A96" t="inlineStr">
        <is>
          <t>Abel Ansu</t>
        </is>
      </c>
      <c r="B96" s="4" t="n">
        <v>46196</v>
      </c>
      <c r="C96" t="inlineStr">
        <is>
          <t>Inspected roads that lead to Bitre MTS sites and ongoing lining and pegging at Bitre</t>
        </is>
      </c>
      <c r="D96" t="inlineStr">
        <is>
          <t>Abel Ansu</t>
        </is>
      </c>
      <c r="E96" t="inlineStr">
        <is>
          <t>Abel Ansu</t>
        </is>
      </c>
      <c r="F96" s="5" t="n">
        <v>46203.63202546296</v>
      </c>
      <c r="H96" t="inlineStr">
        <is>
          <t>P13PC00A00 - Private Sector Companies</t>
        </is>
      </c>
      <c r="I96" t="n">
        <v>8</v>
      </c>
      <c r="K96" t="inlineStr">
        <is>
          <t>Personnel Cost</t>
        </is>
      </c>
      <c r="L96" t="b">
        <v>0</v>
      </c>
      <c r="M96" t="inlineStr">
        <is>
          <t>Non-Billable</t>
        </is>
      </c>
      <c r="N96" s="6">
        <f>IF(B96="","",IF(ISNUMBER(B96),TEXT(B96,"YYYY-MM"),LEFT(B96,7)))</f>
        <v/>
      </c>
    </row>
    <row r="97">
      <c r="A97" t="inlineStr">
        <is>
          <t>Ekow Nyamekye Tawiah</t>
        </is>
      </c>
      <c r="B97" s="4" t="n">
        <v>46196</v>
      </c>
      <c r="C97" t="inlineStr">
        <is>
          <t>/</t>
        </is>
      </c>
      <c r="D97" t="inlineStr">
        <is>
          <t>Ekow Nyamekye Tawiah</t>
        </is>
      </c>
      <c r="E97" t="inlineStr">
        <is>
          <t>Ekow Nyamekye Tawiah</t>
        </is>
      </c>
      <c r="F97" s="5" t="n">
        <v>46203.191875</v>
      </c>
      <c r="H97" t="inlineStr">
        <is>
          <t>PCGH778 - General Support</t>
        </is>
      </c>
      <c r="I97" t="n">
        <v>4</v>
      </c>
      <c r="J97" t="inlineStr">
        <is>
          <t>PCGH778 - Support to Other Workstreams (3) (Proforest Limited(PCUK GBP))</t>
        </is>
      </c>
      <c r="L97" t="b">
        <v>1</v>
      </c>
      <c r="M97" t="inlineStr">
        <is>
          <t>Billed at a Fixed price</t>
        </is>
      </c>
      <c r="N97" s="6">
        <f>IF(B97="","",IF(ISNUMBER(B97),TEXT(B97,"YYYY-MM"),LEFT(B97,7)))</f>
        <v/>
      </c>
    </row>
    <row r="98">
      <c r="A98" t="inlineStr">
        <is>
          <t>Louis Defo</t>
        </is>
      </c>
      <c r="B98" s="4" t="n">
        <v>46196</v>
      </c>
      <c r="C98" t="inlineStr">
        <is>
          <t>Read draft further mamping don,e by the consultant</t>
        </is>
      </c>
      <c r="D98" t="inlineStr">
        <is>
          <t>Louis Defo</t>
        </is>
      </c>
      <c r="E98" t="inlineStr">
        <is>
          <t>Louis Defo</t>
        </is>
      </c>
      <c r="F98" s="5" t="n">
        <v>46202.32447916667</v>
      </c>
      <c r="H98" t="inlineStr">
        <is>
          <t>P23AC00C00 - FGMC</t>
        </is>
      </c>
      <c r="I98" t="n">
        <v>8</v>
      </c>
      <c r="L98" t="b">
        <v>0</v>
      </c>
      <c r="M98" t="inlineStr">
        <is>
          <t>Non-Billable</t>
        </is>
      </c>
      <c r="N98" s="6">
        <f>IF(B98="","",IF(ISNUMBER(B98),TEXT(B98,"YYYY-MM"),LEFT(B98,7)))</f>
        <v/>
      </c>
    </row>
    <row r="99">
      <c r="A99" t="inlineStr">
        <is>
          <t>Clement Obeng-Manu</t>
        </is>
      </c>
      <c r="B99" s="4" t="n">
        <v>46196</v>
      </c>
      <c r="C99" t="inlineStr">
        <is>
          <t>/</t>
        </is>
      </c>
      <c r="D99" t="inlineStr">
        <is>
          <t>Clement Obeng-Manu</t>
        </is>
      </c>
      <c r="E99" t="inlineStr">
        <is>
          <t>Clement Obeng-Manu</t>
        </is>
      </c>
      <c r="F99" s="5" t="n">
        <v>46195.71736111111</v>
      </c>
      <c r="H99" t="inlineStr">
        <is>
          <t>PCGH776 - Deforestation Risk-Assessment Cashew-Coast</t>
        </is>
      </c>
      <c r="I99" t="n">
        <v>8</v>
      </c>
      <c r="J99" t="inlineStr">
        <is>
          <t>PCGH776 - Groundthruthing and Verification (3) (Cashew Coast Products Inc)</t>
        </is>
      </c>
      <c r="K99" t="inlineStr">
        <is>
          <t>Land cover classification, ground truthing and accuracy assessment</t>
        </is>
      </c>
      <c r="L99" t="b">
        <v>1</v>
      </c>
      <c r="M99" t="inlineStr">
        <is>
          <t>Billed at a Fixed price</t>
        </is>
      </c>
      <c r="N99" s="6">
        <f>IF(B99="","",IF(ISNUMBER(B99),TEXT(B99,"YYYY-MM"),LEFT(B99,7)))</f>
        <v/>
      </c>
    </row>
    <row r="100">
      <c r="A100" t="inlineStr">
        <is>
          <t>Augustus Asamoah</t>
        </is>
      </c>
      <c r="B100" s="4" t="n">
        <v>46195</v>
      </c>
      <c r="C100" t="inlineStr">
        <is>
          <t>Report - Environment Section</t>
        </is>
      </c>
      <c r="D100" t="inlineStr">
        <is>
          <t>Augustus Asamoah</t>
        </is>
      </c>
      <c r="E100" t="inlineStr">
        <is>
          <t>Augustus Asamoah</t>
        </is>
      </c>
      <c r="F100" s="5" t="n">
        <v>46210.41560185186</v>
      </c>
      <c r="G100" t="inlineStr">
        <is>
          <t>Final Reporting</t>
        </is>
      </c>
      <c r="H100" t="inlineStr">
        <is>
          <t>PCGH784</t>
        </is>
      </c>
      <c r="I100" t="n">
        <v>0</v>
      </c>
      <c r="J100" t="inlineStr">
        <is>
          <t>PCGH784 - Reporting (3) (Okeosisi Jonathan)</t>
        </is>
      </c>
      <c r="K100" t="inlineStr">
        <is>
          <t>Reporting</t>
        </is>
      </c>
      <c r="L100" t="b">
        <v>1</v>
      </c>
      <c r="M100" t="inlineStr">
        <is>
          <t>Billed at a Fixed price</t>
        </is>
      </c>
      <c r="N100" s="6">
        <f>IF(B100="","",IF(ISNUMBER(B100),TEXT(B100,"YYYY-MM"),LEFT(B100,7)))</f>
        <v/>
      </c>
    </row>
    <row r="101">
      <c r="A101" t="inlineStr">
        <is>
          <t>Augustus Asamoah</t>
        </is>
      </c>
      <c r="B101" s="4" t="n">
        <v>46195</v>
      </c>
      <c r="C101" t="inlineStr">
        <is>
          <t>Fauna report</t>
        </is>
      </c>
      <c r="D101" t="inlineStr">
        <is>
          <t>Augustus Asamoah</t>
        </is>
      </c>
      <c r="E101" t="inlineStr">
        <is>
          <t>Augustus Asamoah</t>
        </is>
      </c>
      <c r="F101" s="5" t="n">
        <v>46210.41454861111</v>
      </c>
      <c r="H101" t="inlineStr">
        <is>
          <t>PCGH771</t>
        </is>
      </c>
      <c r="I101" t="n">
        <v>0</v>
      </c>
      <c r="J101" t="inlineStr">
        <is>
          <t>PCGH771 - Analysis and Reporting (3) (Okeosisi Jonathan)</t>
        </is>
      </c>
      <c r="K101" t="inlineStr">
        <is>
          <t>Analysis and Reporting (Reporting)</t>
        </is>
      </c>
      <c r="L101" t="b">
        <v>1</v>
      </c>
      <c r="M101" t="inlineStr">
        <is>
          <t>Billed at a Fixed price</t>
        </is>
      </c>
      <c r="N101" s="6">
        <f>IF(B101="","",IF(ISNUMBER(B101),TEXT(B101,"YYYY-MM"),LEFT(B101,7)))</f>
        <v/>
      </c>
    </row>
    <row r="102">
      <c r="A102" t="inlineStr">
        <is>
          <t>Augustus Asamoah</t>
        </is>
      </c>
      <c r="B102" s="4" t="n">
        <v>46195</v>
      </c>
      <c r="C102" t="inlineStr">
        <is>
          <t>/</t>
        </is>
      </c>
      <c r="D102" t="inlineStr">
        <is>
          <t>Augustus Asamoah</t>
        </is>
      </c>
      <c r="E102" t="inlineStr">
        <is>
          <t>Augustus Asamoah</t>
        </is>
      </c>
      <c r="F102" s="5" t="n">
        <v>46210.39361111111</v>
      </c>
      <c r="H102" t="inlineStr">
        <is>
          <t>P13QC00A00 - EFI Programme</t>
        </is>
      </c>
      <c r="I102" t="n">
        <v>0</v>
      </c>
      <c r="K102" t="inlineStr">
        <is>
          <t>M&amp;E Review</t>
        </is>
      </c>
      <c r="L102" t="b">
        <v>0</v>
      </c>
      <c r="M102" t="inlineStr">
        <is>
          <t>Non-Billable</t>
        </is>
      </c>
      <c r="N102" s="6">
        <f>IF(B102="","",IF(ISNUMBER(B102),TEXT(B102,"YYYY-MM"),LEFT(B102,7)))</f>
        <v/>
      </c>
    </row>
    <row r="103">
      <c r="A103" t="inlineStr">
        <is>
          <t>Augustus Asamoah</t>
        </is>
      </c>
      <c r="B103" s="4" t="n">
        <v>46195</v>
      </c>
      <c r="C103" t="inlineStr">
        <is>
          <t>/</t>
        </is>
      </c>
      <c r="D103" t="inlineStr">
        <is>
          <t>Augustus Asamoah</t>
        </is>
      </c>
      <c r="E103" t="inlineStr">
        <is>
          <t>Augustus Asamoah</t>
        </is>
      </c>
      <c r="F103" s="5" t="n">
        <v>46210.38943287037</v>
      </c>
      <c r="H103" t="inlineStr">
        <is>
          <t>P13PC00A00 - Private Sector Companies</t>
        </is>
      </c>
      <c r="I103" t="n">
        <v>2</v>
      </c>
      <c r="K103" t="inlineStr">
        <is>
          <t>coordination of MTS and related Activities</t>
        </is>
      </c>
      <c r="L103" t="b">
        <v>0</v>
      </c>
      <c r="M103" t="inlineStr">
        <is>
          <t>Non-Billable</t>
        </is>
      </c>
      <c r="N103" s="6">
        <f>IF(B103="","",IF(ISNUMBER(B103),TEXT(B103,"YYYY-MM"),LEFT(B103,7)))</f>
        <v/>
      </c>
    </row>
    <row r="104">
      <c r="A104" t="inlineStr">
        <is>
          <t>Augustus Asamoah</t>
        </is>
      </c>
      <c r="B104" s="4" t="n">
        <v>46195</v>
      </c>
      <c r="C104" t="inlineStr">
        <is>
          <t>/</t>
        </is>
      </c>
      <c r="D104" t="inlineStr">
        <is>
          <t>Augustus Asamoah</t>
        </is>
      </c>
      <c r="E104" t="inlineStr">
        <is>
          <t>Augustus Asamoah</t>
        </is>
      </c>
      <c r="F104" s="5" t="n">
        <v>46210.38422453704</v>
      </c>
      <c r="H104" t="inlineStr">
        <is>
          <t>P13QC00A00 - EFI Programme</t>
        </is>
      </c>
      <c r="I104" t="n">
        <v>3</v>
      </c>
      <c r="K104" t="inlineStr">
        <is>
          <t>Procurements - ToR</t>
        </is>
      </c>
      <c r="L104" t="b">
        <v>0</v>
      </c>
      <c r="M104" t="inlineStr">
        <is>
          <t>Non-Billable</t>
        </is>
      </c>
      <c r="N104" s="6">
        <f>IF(B104="","",IF(ISNUMBER(B104),TEXT(B104,"YYYY-MM"),LEFT(B104,7)))</f>
        <v/>
      </c>
    </row>
    <row r="105">
      <c r="A105" t="inlineStr">
        <is>
          <t>Augustus Asamoah</t>
        </is>
      </c>
      <c r="B105" s="4" t="n">
        <v>46195</v>
      </c>
      <c r="C105" t="inlineStr">
        <is>
          <t>/</t>
        </is>
      </c>
      <c r="D105" t="inlineStr">
        <is>
          <t>Augustus Asamoah</t>
        </is>
      </c>
      <c r="E105" t="inlineStr">
        <is>
          <t>Augustus Asamoah</t>
        </is>
      </c>
      <c r="F105" s="5" t="n">
        <v>46210.38355324074</v>
      </c>
      <c r="H105" t="inlineStr">
        <is>
          <t>P13NC00A00 - WALMART II</t>
        </is>
      </c>
      <c r="I105" t="n">
        <v>3</v>
      </c>
      <c r="K105" t="inlineStr">
        <is>
          <t>Follow up of seedling procurement, AFS, &amp; Procurements</t>
        </is>
      </c>
      <c r="L105" t="b">
        <v>0</v>
      </c>
      <c r="M105" t="inlineStr">
        <is>
          <t>Non-Billable</t>
        </is>
      </c>
      <c r="N105" s="6">
        <f>IF(B105="","",IF(ISNUMBER(B105),TEXT(B105,"YYYY-MM"),LEFT(B105,7)))</f>
        <v/>
      </c>
    </row>
    <row r="106">
      <c r="A106" t="inlineStr">
        <is>
          <t>Kwadwo Baniako Nti</t>
        </is>
      </c>
      <c r="B106" s="4" t="n">
        <v>46195</v>
      </c>
      <c r="C106" t="inlineStr">
        <is>
          <t>/</t>
        </is>
      </c>
      <c r="D106" t="inlineStr">
        <is>
          <t>Kwadwo Baniako Nti</t>
        </is>
      </c>
      <c r="E106" t="inlineStr">
        <is>
          <t>Kwadwo Baniako Nti</t>
        </is>
      </c>
      <c r="F106" s="5" t="n">
        <v>46205.51299768518</v>
      </c>
      <c r="G106" t="inlineStr">
        <is>
          <t>Baseline Socio-Economic &amp; Environmental Surveys</t>
        </is>
      </c>
      <c r="H106" t="inlineStr">
        <is>
          <t>PCGH762 - GVL HCSA Restoration Project</t>
        </is>
      </c>
      <c r="I106" t="n">
        <v>0</v>
      </c>
      <c r="J106" t="inlineStr">
        <is>
          <t>PCGH762 - Baseline Socio-Economic &amp; Environmental Surveys (Golden Veroleum Liberia)</t>
        </is>
      </c>
      <c r="K106" t="inlineStr">
        <is>
          <t>Baseline Socio-Economic &amp; Environmental Surveys</t>
        </is>
      </c>
      <c r="L106" t="b">
        <v>1</v>
      </c>
      <c r="M106" t="inlineStr">
        <is>
          <t>Billed at a Fixed price</t>
        </is>
      </c>
      <c r="N106" s="6">
        <f>IF(B106="","",IF(ISNUMBER(B106),TEXT(B106,"YYYY-MM"),LEFT(B106,7)))</f>
        <v/>
      </c>
    </row>
    <row r="107">
      <c r="A107" t="inlineStr">
        <is>
          <t>Kwadwo Baniako Nti</t>
        </is>
      </c>
      <c r="B107" s="4" t="n">
        <v>46195</v>
      </c>
      <c r="C107" t="inlineStr">
        <is>
          <t>drafting content and reviews of 4 comms materials</t>
        </is>
      </c>
      <c r="D107" t="inlineStr">
        <is>
          <t>Kwadwo Baniako Nti</t>
        </is>
      </c>
      <c r="E107" t="inlineStr">
        <is>
          <t>Kwadwo Baniako Nti</t>
        </is>
      </c>
      <c r="F107" s="5" t="n">
        <v>46205.51248842593</v>
      </c>
      <c r="G107" t="inlineStr">
        <is>
          <t>Communication and Other Materials</t>
        </is>
      </c>
      <c r="H107" t="inlineStr">
        <is>
          <t>PCGH762 - GVL HCSA Restoration Project</t>
        </is>
      </c>
      <c r="I107" t="n">
        <v>8</v>
      </c>
      <c r="J107" t="inlineStr">
        <is>
          <t>PCGH762 - Communication and Other Materials (Golden Veroleum Liberia)</t>
        </is>
      </c>
      <c r="K107" t="inlineStr">
        <is>
          <t>Communication and Other Materials</t>
        </is>
      </c>
      <c r="L107" t="b">
        <v>1</v>
      </c>
      <c r="M107" t="inlineStr">
        <is>
          <t>Billed at a Fixed price</t>
        </is>
      </c>
      <c r="N107" s="6">
        <f>IF(B107="","",IF(ISNUMBER(B107),TEXT(B107,"YYYY-MM"),LEFT(B107,7)))</f>
        <v/>
      </c>
    </row>
    <row r="108">
      <c r="A108" t="inlineStr">
        <is>
          <t>Afua Serwah Akoto Prempeh</t>
        </is>
      </c>
      <c r="B108" s="4" t="n">
        <v>46195</v>
      </c>
      <c r="C108" t="inlineStr">
        <is>
          <t>/</t>
        </is>
      </c>
      <c r="D108" t="inlineStr">
        <is>
          <t>Afua Serwah Akoto Prempeh</t>
        </is>
      </c>
      <c r="E108" t="inlineStr">
        <is>
          <t>Afua Serwah Akoto Prempeh</t>
        </is>
      </c>
      <c r="F108" s="5" t="n">
        <v>46204.55990740741</v>
      </c>
      <c r="H108" t="inlineStr">
        <is>
          <t>Non-Billable Tasks</t>
        </is>
      </c>
      <c r="I108" t="n">
        <v>8</v>
      </c>
      <c r="K108" t="inlineStr">
        <is>
          <t>Professional development and Knowledge sharing(training,global knowledge calls,exchange weeks)</t>
        </is>
      </c>
      <c r="L108" t="b">
        <v>0</v>
      </c>
      <c r="M108" t="inlineStr">
        <is>
          <t>Non-Billable</t>
        </is>
      </c>
      <c r="N108" s="6">
        <f>IF(B108="","",IF(ISNUMBER(B108),TEXT(B108,"YYYY-MM"),LEFT(B108,7)))</f>
        <v/>
      </c>
    </row>
    <row r="109">
      <c r="A109" t="inlineStr">
        <is>
          <t>Abel Ansu</t>
        </is>
      </c>
      <c r="B109" s="4" t="n">
        <v>46195</v>
      </c>
      <c r="C109" t="inlineStr">
        <is>
          <t>Visited MTS sites to confirm seedlings supplied at Tokrom and Aboagyaa</t>
        </is>
      </c>
      <c r="D109" t="inlineStr">
        <is>
          <t>Abel Ansu</t>
        </is>
      </c>
      <c r="E109" t="inlineStr">
        <is>
          <t>Abel Ansu</t>
        </is>
      </c>
      <c r="F109" s="5" t="n">
        <v>46203.62991898148</v>
      </c>
      <c r="H109" t="inlineStr">
        <is>
          <t>P13PC00A00 - Private Sector Companies</t>
        </is>
      </c>
      <c r="I109" t="n">
        <v>8</v>
      </c>
      <c r="K109" t="inlineStr">
        <is>
          <t>Personnel Cost</t>
        </is>
      </c>
      <c r="L109" t="b">
        <v>0</v>
      </c>
      <c r="M109" t="inlineStr">
        <is>
          <t>Non-Billable</t>
        </is>
      </c>
      <c r="N109" s="6">
        <f>IF(B109="","",IF(ISNUMBER(B109),TEXT(B109,"YYYY-MM"),LEFT(B109,7)))</f>
        <v/>
      </c>
    </row>
    <row r="110">
      <c r="A110" t="inlineStr">
        <is>
          <t>Ekow Nyamekye Tawiah</t>
        </is>
      </c>
      <c r="B110" s="4" t="n">
        <v>46195</v>
      </c>
      <c r="C110" t="inlineStr">
        <is>
          <t>Deforestation risk analysis for Nigeria, Cameroon, Mauritius, Mozambique and Reunion</t>
        </is>
      </c>
      <c r="D110" t="inlineStr">
        <is>
          <t>Ekow Nyamekye Tawiah</t>
        </is>
      </c>
      <c r="E110" t="inlineStr">
        <is>
          <t>Ekow Nyamekye Tawiah</t>
        </is>
      </c>
      <c r="F110" s="5" t="n">
        <v>46203.19179398148</v>
      </c>
      <c r="H110" t="inlineStr">
        <is>
          <t>PCGH778 - General Support</t>
        </is>
      </c>
      <c r="I110" t="n">
        <v>4</v>
      </c>
      <c r="J110" t="inlineStr">
        <is>
          <t>PCGH783 - Desk Study (3) (Proforest Limited(PCUK GBP))</t>
        </is>
      </c>
      <c r="L110" t="b">
        <v>1</v>
      </c>
      <c r="M110" t="inlineStr">
        <is>
          <t>Billed at a Fixed price</t>
        </is>
      </c>
      <c r="N110" s="6">
        <f>IF(B110="","",IF(ISNUMBER(B110),TEXT(B110,"YYYY-MM"),LEFT(B110,7)))</f>
        <v/>
      </c>
    </row>
    <row r="111">
      <c r="A111" t="inlineStr">
        <is>
          <t>Louis Defo</t>
        </is>
      </c>
      <c r="B111" s="4" t="n">
        <v>46195</v>
      </c>
      <c r="C111" t="inlineStr">
        <is>
          <t>work on the consultant inception report</t>
        </is>
      </c>
      <c r="D111" t="inlineStr">
        <is>
          <t>Louis Defo</t>
        </is>
      </c>
      <c r="E111" t="inlineStr">
        <is>
          <t>Louis Defo</t>
        </is>
      </c>
      <c r="F111" s="5" t="n">
        <v>46202.32280092593</v>
      </c>
      <c r="H111" t="inlineStr">
        <is>
          <t>P23AC00C00 - FGMC</t>
        </is>
      </c>
      <c r="I111" t="n">
        <v>8</v>
      </c>
      <c r="L111" t="b">
        <v>0</v>
      </c>
      <c r="M111" t="inlineStr">
        <is>
          <t>Non-Billable</t>
        </is>
      </c>
      <c r="N111" s="6">
        <f>IF(B111="","",IF(ISNUMBER(B111),TEXT(B111,"YYYY-MM"),LEFT(B111,7)))</f>
        <v/>
      </c>
    </row>
    <row r="112">
      <c r="A112" t="inlineStr">
        <is>
          <t>Clement Obeng-Manu</t>
        </is>
      </c>
      <c r="B112" s="4" t="n">
        <v>46195</v>
      </c>
      <c r="C112" t="inlineStr">
        <is>
          <t>/</t>
        </is>
      </c>
      <c r="D112" t="inlineStr">
        <is>
          <t>Clement Obeng-Manu</t>
        </is>
      </c>
      <c r="E112" t="inlineStr">
        <is>
          <t>Clement Obeng-Manu</t>
        </is>
      </c>
      <c r="F112" s="5" t="n">
        <v>46195.71714120371</v>
      </c>
      <c r="H112" t="inlineStr">
        <is>
          <t>PCGH776 - Deforestation Risk-Assessment Cashew-Coast</t>
        </is>
      </c>
      <c r="I112" t="n">
        <v>8</v>
      </c>
      <c r="J112" t="inlineStr">
        <is>
          <t>PCGH776 - Groundthruthing and Verification (3) (Cashew Coast Products Inc)</t>
        </is>
      </c>
      <c r="K112" t="inlineStr">
        <is>
          <t>Land cover classification, ground truthing and accuracy assessment</t>
        </is>
      </c>
      <c r="L112" t="b">
        <v>1</v>
      </c>
      <c r="M112" t="inlineStr">
        <is>
          <t>Billed at a Fixed price</t>
        </is>
      </c>
      <c r="N112" s="6">
        <f>IF(B112="","",IF(ISNUMBER(B112),TEXT(B112,"YYYY-MM"),LEFT(B112,7)))</f>
        <v/>
      </c>
    </row>
    <row r="113">
      <c r="A113" t="inlineStr">
        <is>
          <t>Patricia Offei</t>
        </is>
      </c>
      <c r="B113" s="4" t="n">
        <v>46195</v>
      </c>
      <c r="C113" t="inlineStr">
        <is>
          <t>Review and revision of draft report</t>
        </is>
      </c>
      <c r="D113" t="inlineStr">
        <is>
          <t>Patricia Offei</t>
        </is>
      </c>
      <c r="E113" t="inlineStr">
        <is>
          <t>Patricia Offei</t>
        </is>
      </c>
      <c r="F113" s="5" t="n">
        <v>46195.37236111111</v>
      </c>
      <c r="H113" t="inlineStr">
        <is>
          <t>PCGH774 -Evaluation Deep-Dive Action Plans by Socfin Group</t>
        </is>
      </c>
      <c r="I113" t="n">
        <v>0</v>
      </c>
      <c r="J113" t="inlineStr">
        <is>
          <t>PCGH774 - Analysis and Reporting (3) (Socfinco FR SA)</t>
        </is>
      </c>
      <c r="K113" t="inlineStr">
        <is>
          <t>[Cameroon, Socapalm （Dibombari + Edéa + Mbongo + Mbambou） Report review] - Analysis and Reporting</t>
        </is>
      </c>
      <c r="L113" t="b">
        <v>1</v>
      </c>
      <c r="M113" t="inlineStr">
        <is>
          <t>Billed at a Fixed price</t>
        </is>
      </c>
      <c r="N113" s="6">
        <f>IF(B113="","",IF(ISNUMBER(B113),TEXT(B113,"YYYY-MM"),LEFT(B113,7)))</f>
        <v/>
      </c>
    </row>
    <row r="114">
      <c r="A114" t="inlineStr">
        <is>
          <t>Augustus Asamoah</t>
        </is>
      </c>
      <c r="B114" s="4" t="n">
        <v>46192</v>
      </c>
      <c r="C114" t="inlineStr">
        <is>
          <t>/</t>
        </is>
      </c>
      <c r="D114" t="inlineStr">
        <is>
          <t>Augustus Asamoah</t>
        </is>
      </c>
      <c r="E114" t="inlineStr">
        <is>
          <t>Augustus Asamoah</t>
        </is>
      </c>
      <c r="F114" s="5" t="n">
        <v>46210.38166666667</v>
      </c>
      <c r="H114" t="inlineStr">
        <is>
          <t>P13PC00A00 - Private Sector Companies</t>
        </is>
      </c>
      <c r="I114" t="n">
        <v>2</v>
      </c>
      <c r="K114" t="inlineStr">
        <is>
          <t>Procurement</t>
        </is>
      </c>
      <c r="L114" t="b">
        <v>0</v>
      </c>
      <c r="M114" t="inlineStr">
        <is>
          <t>Non-Billable</t>
        </is>
      </c>
      <c r="N114" s="6">
        <f>IF(B114="","",IF(ISNUMBER(B114),TEXT(B114,"YYYY-MM"),LEFT(B114,7)))</f>
        <v/>
      </c>
    </row>
    <row r="115">
      <c r="A115" t="inlineStr">
        <is>
          <t>Augustus Asamoah</t>
        </is>
      </c>
      <c r="B115" s="4" t="n">
        <v>46192</v>
      </c>
      <c r="C115" t="inlineStr">
        <is>
          <t>/</t>
        </is>
      </c>
      <c r="D115" t="inlineStr">
        <is>
          <t>Augustus Asamoah</t>
        </is>
      </c>
      <c r="E115" t="inlineStr">
        <is>
          <t>Augustus Asamoah</t>
        </is>
      </c>
      <c r="F115" s="5" t="n">
        <v>46210.38155092593</v>
      </c>
      <c r="H115" t="inlineStr">
        <is>
          <t>P13QC00A00 - EFI Programme</t>
        </is>
      </c>
      <c r="I115" t="n">
        <v>4</v>
      </c>
      <c r="K115" t="inlineStr">
        <is>
          <t>Grant coordination Meeting in Takoradi</t>
        </is>
      </c>
      <c r="L115" t="b">
        <v>0</v>
      </c>
      <c r="M115" t="inlineStr">
        <is>
          <t>Non-Billable</t>
        </is>
      </c>
      <c r="N115" s="6">
        <f>IF(B115="","",IF(ISNUMBER(B115),TEXT(B115,"YYYY-MM"),LEFT(B115,7)))</f>
        <v/>
      </c>
    </row>
    <row r="116">
      <c r="A116" t="inlineStr">
        <is>
          <t>Augustus Asamoah</t>
        </is>
      </c>
      <c r="B116" s="4" t="n">
        <v>46192</v>
      </c>
      <c r="C116" t="inlineStr">
        <is>
          <t>/</t>
        </is>
      </c>
      <c r="D116" t="inlineStr">
        <is>
          <t>Augustus Asamoah</t>
        </is>
      </c>
      <c r="E116" t="inlineStr">
        <is>
          <t>Augustus Asamoah</t>
        </is>
      </c>
      <c r="F116" s="5" t="n">
        <v>46210.38206018518</v>
      </c>
      <c r="H116" t="inlineStr">
        <is>
          <t>P13NC00A00 - WALMART II</t>
        </is>
      </c>
      <c r="I116" t="n">
        <v>2</v>
      </c>
      <c r="L116" t="b">
        <v>0</v>
      </c>
      <c r="M116" t="inlineStr">
        <is>
          <t>Non-Billable</t>
        </is>
      </c>
      <c r="N116" s="6">
        <f>IF(B116="","",IF(ISNUMBER(B116),TEXT(B116,"YYYY-MM"),LEFT(B116,7)))</f>
        <v/>
      </c>
    </row>
    <row r="117">
      <c r="A117" t="inlineStr">
        <is>
          <t>Kwadwo Baniako Nti</t>
        </is>
      </c>
      <c r="B117" s="4" t="n">
        <v>46192</v>
      </c>
      <c r="C117" t="inlineStr">
        <is>
          <t>/</t>
        </is>
      </c>
      <c r="D117" t="inlineStr">
        <is>
          <t>Kwadwo Baniako Nti</t>
        </is>
      </c>
      <c r="E117" t="inlineStr">
        <is>
          <t>Kwadwo Baniako Nti</t>
        </is>
      </c>
      <c r="F117" s="5" t="n">
        <v>46205.49901620371</v>
      </c>
      <c r="H117" t="inlineStr">
        <is>
          <t>PCGH793</t>
        </is>
      </c>
      <c r="I117" t="n">
        <v>8</v>
      </c>
      <c r="J117" t="inlineStr">
        <is>
          <t>PCGH793 - Field work  (3) (Okeosisi Jonathan)</t>
        </is>
      </c>
      <c r="K117" t="inlineStr">
        <is>
          <t>Field Visit and Data Collection</t>
        </is>
      </c>
      <c r="L117" t="b">
        <v>1</v>
      </c>
      <c r="M117" t="inlineStr">
        <is>
          <t>Billed at a Fixed price</t>
        </is>
      </c>
      <c r="N117" s="6">
        <f>IF(B117="","",IF(ISNUMBER(B117),TEXT(B117,"YYYY-MM"),LEFT(B117,7)))</f>
        <v/>
      </c>
    </row>
    <row r="118">
      <c r="A118" t="inlineStr">
        <is>
          <t>Afua Serwah Akoto Prempeh</t>
        </is>
      </c>
      <c r="B118" s="4" t="n">
        <v>46192</v>
      </c>
      <c r="C118" t="inlineStr">
        <is>
          <t>/</t>
        </is>
      </c>
      <c r="D118" t="inlineStr">
        <is>
          <t>Afua Serwah Akoto Prempeh</t>
        </is>
      </c>
      <c r="E118" t="inlineStr">
        <is>
          <t>Afua Serwah Akoto Prempeh</t>
        </is>
      </c>
      <c r="F118" s="5" t="n">
        <v>46204.55944444444</v>
      </c>
      <c r="H118" t="inlineStr">
        <is>
          <t>Non-Billable Tasks</t>
        </is>
      </c>
      <c r="I118" t="n">
        <v>8</v>
      </c>
      <c r="K118" t="inlineStr">
        <is>
          <t>Professional development and Knowledge sharing(training,global knowledge calls,exchange weeks)</t>
        </is>
      </c>
      <c r="L118" t="b">
        <v>0</v>
      </c>
      <c r="M118" t="inlineStr">
        <is>
          <t>Non-Billable</t>
        </is>
      </c>
      <c r="N118" s="6">
        <f>IF(B118="","",IF(ISNUMBER(B118),TEXT(B118,"YYYY-MM"),LEFT(B118,7)))</f>
        <v/>
      </c>
    </row>
    <row r="119">
      <c r="A119" t="inlineStr">
        <is>
          <t>Clement Obeng-Manu</t>
        </is>
      </c>
      <c r="B119" s="4" t="n">
        <v>46192</v>
      </c>
      <c r="C119" t="inlineStr">
        <is>
          <t>/</t>
        </is>
      </c>
      <c r="D119" t="inlineStr">
        <is>
          <t>Clement Obeng-Manu</t>
        </is>
      </c>
      <c r="E119" t="inlineStr">
        <is>
          <t>Clement Obeng-Manu</t>
        </is>
      </c>
      <c r="F119" s="5" t="n">
        <v>46195.71729166667</v>
      </c>
      <c r="H119" t="inlineStr">
        <is>
          <t>PCGH776 - Deforestation Risk-Assessment Cashew-Coast</t>
        </is>
      </c>
      <c r="I119" t="n">
        <v>8</v>
      </c>
      <c r="J119" t="inlineStr">
        <is>
          <t>PCGH776 - Groundthruthing and Verification (3) (Cashew Coast Products Inc)</t>
        </is>
      </c>
      <c r="K119" t="inlineStr">
        <is>
          <t>Land cover classification, ground truthing and accuracy assessment</t>
        </is>
      </c>
      <c r="L119" t="b">
        <v>1</v>
      </c>
      <c r="M119" t="inlineStr">
        <is>
          <t>Billed at a Fixed price</t>
        </is>
      </c>
      <c r="N119" s="6">
        <f>IF(B119="","",IF(ISNUMBER(B119),TEXT(B119,"YYYY-MM"),LEFT(B119,7)))</f>
        <v/>
      </c>
    </row>
    <row r="120">
      <c r="A120" t="inlineStr">
        <is>
          <t>Soro TCHEREGNIMIN</t>
        </is>
      </c>
      <c r="B120" s="4" t="n">
        <v>46192</v>
      </c>
      <c r="C120" t="inlineStr">
        <is>
          <t>/</t>
        </is>
      </c>
      <c r="D120" t="inlineStr">
        <is>
          <t>Soro TCHEREGNIMIN</t>
        </is>
      </c>
      <c r="E120" t="inlineStr">
        <is>
          <t>Soro TCHEREGNIMIN</t>
        </is>
      </c>
      <c r="F120" s="5" t="n">
        <v>46195.67628472222</v>
      </c>
      <c r="H120" t="inlineStr">
        <is>
          <t>PCGH787</t>
        </is>
      </c>
      <c r="I120" t="n">
        <v>8</v>
      </c>
      <c r="J120" t="inlineStr">
        <is>
          <t>PCGH787 - Desk Study (3) (Proforest Limited(PCUK GBP))</t>
        </is>
      </c>
      <c r="L120" t="b">
        <v>1</v>
      </c>
      <c r="M120" t="inlineStr">
        <is>
          <t>Billed at a Fixed price</t>
        </is>
      </c>
      <c r="N120" s="6">
        <f>IF(B120="","",IF(ISNUMBER(B120),TEXT(B120,"YYYY-MM"),LEFT(B120,7)))</f>
        <v/>
      </c>
    </row>
    <row r="121">
      <c r="A121" t="inlineStr">
        <is>
          <t>Helena Tetteh</t>
        </is>
      </c>
      <c r="B121" s="4" t="n">
        <v>46192</v>
      </c>
      <c r="C121" t="inlineStr">
        <is>
          <t>/</t>
        </is>
      </c>
      <c r="D121" t="inlineStr">
        <is>
          <t xml:space="preserve">Helena Tetteh </t>
        </is>
      </c>
      <c r="E121" t="inlineStr">
        <is>
          <t>Helena Tetteh</t>
        </is>
      </c>
      <c r="F121" s="5" t="n">
        <v>46195.55614583333</v>
      </c>
      <c r="G121" t="inlineStr">
        <is>
          <t>Output 2.3</t>
        </is>
      </c>
      <c r="H121" t="inlineStr">
        <is>
          <t>P23AC00C00 - FGMC</t>
        </is>
      </c>
      <c r="I121" t="n">
        <v>8</v>
      </c>
      <c r="K121" t="inlineStr">
        <is>
          <t>P23AC22A00 - Output Two (Elevating Local Solutions - West Africa)</t>
        </is>
      </c>
      <c r="L121" t="b">
        <v>0</v>
      </c>
      <c r="M121" t="inlineStr">
        <is>
          <t>Non-Billable</t>
        </is>
      </c>
      <c r="N121" s="6">
        <f>IF(B121="","",IF(ISNUMBER(B121),TEXT(B121,"YYYY-MM"),LEFT(B121,7)))</f>
        <v/>
      </c>
    </row>
    <row r="122">
      <c r="A122" t="inlineStr">
        <is>
          <t>Frederick Antwi</t>
        </is>
      </c>
      <c r="B122" s="4" t="n">
        <v>46192</v>
      </c>
      <c r="C122" t="inlineStr">
        <is>
          <t>/</t>
        </is>
      </c>
      <c r="D122" t="inlineStr">
        <is>
          <t>Frederick Antwi</t>
        </is>
      </c>
      <c r="E122" t="inlineStr">
        <is>
          <t>Frederick Antwi</t>
        </is>
      </c>
      <c r="F122" s="5" t="n">
        <v>46195.45563657407</v>
      </c>
      <c r="H122" t="inlineStr">
        <is>
          <t>P13PC00A00 - Private Sector Companies</t>
        </is>
      </c>
      <c r="I122" t="n">
        <v>8</v>
      </c>
      <c r="L122" t="b">
        <v>0</v>
      </c>
      <c r="M122" t="inlineStr">
        <is>
          <t>Non-Billable</t>
        </is>
      </c>
      <c r="N122" s="6">
        <f>IF(B122="","",IF(ISNUMBER(B122),TEXT(B122,"YYYY-MM"),LEFT(B122,7)))</f>
        <v/>
      </c>
    </row>
    <row r="123">
      <c r="A123" t="inlineStr">
        <is>
          <t>Patricia Offei</t>
        </is>
      </c>
      <c r="B123" s="4" t="n">
        <v>46192</v>
      </c>
      <c r="C123" t="inlineStr">
        <is>
          <t>/</t>
        </is>
      </c>
      <c r="D123" t="inlineStr">
        <is>
          <t>Patricia Offei</t>
        </is>
      </c>
      <c r="E123" t="inlineStr">
        <is>
          <t>Patricia Offei</t>
        </is>
      </c>
      <c r="F123" s="5" t="n">
        <v>46195.37728009259</v>
      </c>
      <c r="H123" t="inlineStr">
        <is>
          <t>PCGH783 - Zimbabwe HRDD</t>
        </is>
      </c>
      <c r="I123" t="n">
        <v>2</v>
      </c>
      <c r="J123" t="inlineStr">
        <is>
          <t>PCGH783 - Desk Study (3) (Proforest Limited(PCUK GBP))</t>
        </is>
      </c>
      <c r="K123" t="inlineStr">
        <is>
          <t xml:space="preserve">Kick-off meeting with Supplier (to align) and request for information for HREDD Scoping) </t>
        </is>
      </c>
      <c r="L123" t="b">
        <v>1</v>
      </c>
      <c r="M123" t="inlineStr">
        <is>
          <t>Billed at a Fixed price</t>
        </is>
      </c>
      <c r="N123" s="6">
        <f>IF(B123="","",IF(ISNUMBER(B123),TEXT(B123,"YYYY-MM"),LEFT(B123,7)))</f>
        <v/>
      </c>
    </row>
    <row r="124">
      <c r="A124" t="inlineStr">
        <is>
          <t>Patricia Offei</t>
        </is>
      </c>
      <c r="B124" s="4" t="n">
        <v>46192</v>
      </c>
      <c r="C124" t="inlineStr">
        <is>
          <t>/</t>
        </is>
      </c>
      <c r="D124" t="inlineStr">
        <is>
          <t>Patricia Offei</t>
        </is>
      </c>
      <c r="E124" t="inlineStr">
        <is>
          <t>Patricia Offei</t>
        </is>
      </c>
      <c r="F124" s="5" t="n">
        <v>46195.37346064814</v>
      </c>
      <c r="H124" t="inlineStr">
        <is>
          <t>PCGH774 -Evaluation Deep-Dive Action Plans by Socfin Group</t>
        </is>
      </c>
      <c r="I124" t="n">
        <v>1</v>
      </c>
      <c r="J124" t="inlineStr">
        <is>
          <t>PCGH774 - Analysis and Reporting (3) (Socfinco FR SA)</t>
        </is>
      </c>
      <c r="K124" t="inlineStr">
        <is>
          <t xml:space="preserve">Cameroon (Safacam) - Analysis and Reporting </t>
        </is>
      </c>
      <c r="L124" t="b">
        <v>1</v>
      </c>
      <c r="M124" t="inlineStr">
        <is>
          <t>Billed at a Fixed price</t>
        </is>
      </c>
      <c r="N124" s="6">
        <f>IF(B124="","",IF(ISNUMBER(B124),TEXT(B124,"YYYY-MM"),LEFT(B124,7)))</f>
        <v/>
      </c>
    </row>
    <row r="125">
      <c r="A125" t="inlineStr">
        <is>
          <t>Patricia Offei</t>
        </is>
      </c>
      <c r="B125" s="4" t="n">
        <v>46192</v>
      </c>
      <c r="C125" t="inlineStr">
        <is>
          <t>/</t>
        </is>
      </c>
      <c r="D125" t="inlineStr">
        <is>
          <t>Patricia Offei</t>
        </is>
      </c>
      <c r="E125" t="inlineStr">
        <is>
          <t>Patricia Offei</t>
        </is>
      </c>
      <c r="F125" s="5" t="n">
        <v>46195.39157407408</v>
      </c>
      <c r="H125" t="inlineStr">
        <is>
          <t>PCGH774 -Evaluation Deep-Dive Action Plans by Socfin Group</t>
        </is>
      </c>
      <c r="I125" t="n">
        <v>3</v>
      </c>
      <c r="J125" t="inlineStr">
        <is>
          <t>PCGH774 - Analysis and Reporting (3) (Socfinco FR SA)</t>
        </is>
      </c>
      <c r="K125" t="inlineStr">
        <is>
          <t>[Cameroon, Socapalm （Dibombari + Edéa + Mbongo + Mbambou） Report review] - Analysis and Reporting</t>
        </is>
      </c>
      <c r="L125" t="b">
        <v>1</v>
      </c>
      <c r="M125" t="inlineStr">
        <is>
          <t>Billed at a Fixed price</t>
        </is>
      </c>
      <c r="N125" s="6">
        <f>IF(B125="","",IF(ISNUMBER(B125),TEXT(B125,"YYYY-MM"),LEFT(B125,7)))</f>
        <v/>
      </c>
    </row>
    <row r="126">
      <c r="A126" t="inlineStr">
        <is>
          <t>Patricia Offei</t>
        </is>
      </c>
      <c r="B126" s="4" t="n">
        <v>46192</v>
      </c>
      <c r="C126" t="inlineStr">
        <is>
          <t>/</t>
        </is>
      </c>
      <c r="D126" t="inlineStr">
        <is>
          <t>Patricia Offei</t>
        </is>
      </c>
      <c r="E126" t="inlineStr">
        <is>
          <t>Patricia Offei</t>
        </is>
      </c>
      <c r="F126" s="5" t="n">
        <v>46195.37325231481</v>
      </c>
      <c r="H126" t="inlineStr">
        <is>
          <t>PCGH774 -Evaluation Deep-Dive Action Plans by Socfin Group</t>
        </is>
      </c>
      <c r="I126" t="n">
        <v>2</v>
      </c>
      <c r="J126" t="inlineStr">
        <is>
          <t>PCGH774 - Tier 3 (Socfinco FR SA)</t>
        </is>
      </c>
      <c r="K126" t="inlineStr">
        <is>
          <t>SOGB - Analysis and reporting</t>
        </is>
      </c>
      <c r="L126" t="b">
        <v>1</v>
      </c>
      <c r="M126" t="inlineStr">
        <is>
          <t>Billed at a Fixed price</t>
        </is>
      </c>
      <c r="N126" s="6">
        <f>IF(B126="","",IF(ISNUMBER(B126),TEXT(B126,"YYYY-MM"),LEFT(B126,7)))</f>
        <v/>
      </c>
    </row>
    <row r="127">
      <c r="A127" t="inlineStr">
        <is>
          <t>Louis Defo</t>
        </is>
      </c>
      <c r="B127" s="4" t="n">
        <v>46192</v>
      </c>
      <c r="C127" t="inlineStr">
        <is>
          <t>work on the report of the consultant</t>
        </is>
      </c>
      <c r="D127" t="inlineStr">
        <is>
          <t>Louis Defo</t>
        </is>
      </c>
      <c r="E127" t="inlineStr">
        <is>
          <t>Louis Defo</t>
        </is>
      </c>
      <c r="F127" s="5" t="n">
        <v>46195.34832175926</v>
      </c>
      <c r="H127" t="inlineStr">
        <is>
          <t>P23AC00C00 - FGMC</t>
        </is>
      </c>
      <c r="I127" t="n">
        <v>8</v>
      </c>
      <c r="L127" t="b">
        <v>0</v>
      </c>
      <c r="M127" t="inlineStr">
        <is>
          <t>Non-Billable</t>
        </is>
      </c>
      <c r="N127" s="6">
        <f>IF(B127="","",IF(ISNUMBER(B127),TEXT(B127,"YYYY-MM"),LEFT(B127,7)))</f>
        <v/>
      </c>
    </row>
    <row r="128">
      <c r="A128" t="inlineStr">
        <is>
          <t>Abel Ansu</t>
        </is>
      </c>
      <c r="B128" s="4" t="n">
        <v>46192</v>
      </c>
      <c r="C128" t="inlineStr">
        <is>
          <t>Supply seedlings to Tokrom/Nkensere</t>
        </is>
      </c>
      <c r="D128" t="inlineStr">
        <is>
          <t>Abel Ansu</t>
        </is>
      </c>
      <c r="E128" t="inlineStr">
        <is>
          <t>Abel Ansu</t>
        </is>
      </c>
      <c r="F128" s="5" t="n">
        <v>46195.29817129629</v>
      </c>
      <c r="H128" t="inlineStr">
        <is>
          <t>P13PC00A00 - Private Sector Companies</t>
        </is>
      </c>
      <c r="I128" t="n">
        <v>8</v>
      </c>
      <c r="K128" t="inlineStr">
        <is>
          <t>Personnel Cost</t>
        </is>
      </c>
      <c r="L128" t="b">
        <v>0</v>
      </c>
      <c r="M128" t="inlineStr">
        <is>
          <t>Non-Billable</t>
        </is>
      </c>
      <c r="N128" s="6">
        <f>IF(B128="","",IF(ISNUMBER(B128),TEXT(B128,"YYYY-MM"),LEFT(B128,7)))</f>
        <v/>
      </c>
    </row>
    <row r="129">
      <c r="A129" t="inlineStr">
        <is>
          <t>Ekow Nyamekye Tawiah</t>
        </is>
      </c>
      <c r="B129" s="4" t="n">
        <v>46192</v>
      </c>
      <c r="C129" t="inlineStr">
        <is>
          <t>Deforestation Risk Analysis for Cameroon, Mauritius, Mozambique, Nigeria and Reunion (Run Analysis)</t>
        </is>
      </c>
      <c r="D129" t="inlineStr">
        <is>
          <t>Ekow Nyamekye Tawiah</t>
        </is>
      </c>
      <c r="E129" t="inlineStr">
        <is>
          <t>Ekow Nyamekye Tawiah</t>
        </is>
      </c>
      <c r="F129" s="5" t="n">
        <v>46209.38650462963</v>
      </c>
      <c r="H129" t="inlineStr">
        <is>
          <t>PCGH778 - General Support</t>
        </is>
      </c>
      <c r="I129" t="n">
        <v>4</v>
      </c>
      <c r="J129" t="inlineStr">
        <is>
          <t>PCGH778 - Support to Other Workstreams (3) (Proforest Limited(PCUK GBP))</t>
        </is>
      </c>
      <c r="K129" t="inlineStr">
        <is>
          <t>(WS3: Deforestation) Deforestation Remote Risk Assessment</t>
        </is>
      </c>
      <c r="L129" t="b">
        <v>1</v>
      </c>
      <c r="M129" t="inlineStr">
        <is>
          <t>Billed at a Fixed price</t>
        </is>
      </c>
      <c r="N129" s="6">
        <f>IF(B129="","",IF(ISNUMBER(B129),TEXT(B129,"YYYY-MM"),LEFT(B129,7)))</f>
        <v/>
      </c>
    </row>
    <row r="130">
      <c r="A130" t="inlineStr">
        <is>
          <t>Mawuse Agblobi</t>
        </is>
      </c>
      <c r="B130" s="4" t="n">
        <v>46192</v>
      </c>
      <c r="C130" t="inlineStr">
        <is>
          <t>Time Off (1/1)</t>
        </is>
      </c>
      <c r="D130" t="inlineStr">
        <is>
          <t>Adwoa Fremah Ntosour-Amponsem</t>
        </is>
      </c>
      <c r="E130" t="inlineStr">
        <is>
          <t>Mawuse Agblobi</t>
        </is>
      </c>
      <c r="F130" s="5" t="n">
        <v>46190.57659722222</v>
      </c>
      <c r="H130" t="inlineStr">
        <is>
          <t>Internal</t>
        </is>
      </c>
      <c r="I130" t="n">
        <v>8</v>
      </c>
      <c r="K130" t="inlineStr">
        <is>
          <t>Time Off</t>
        </is>
      </c>
      <c r="L130" t="b">
        <v>0</v>
      </c>
      <c r="M130" t="inlineStr">
        <is>
          <t>Non-Billable</t>
        </is>
      </c>
      <c r="N130" s="6">
        <f>IF(B130="","",IF(ISNUMBER(B130),TEXT(B130,"YYYY-MM"),LEFT(B130,7)))</f>
        <v/>
      </c>
    </row>
    <row r="131">
      <c r="A131" t="inlineStr">
        <is>
          <t>Augustus Asamoah</t>
        </is>
      </c>
      <c r="B131" s="4" t="n">
        <v>46191</v>
      </c>
      <c r="C131" t="inlineStr">
        <is>
          <t>/</t>
        </is>
      </c>
      <c r="D131" t="inlineStr">
        <is>
          <t>Augustus Asamoah</t>
        </is>
      </c>
      <c r="E131" t="inlineStr">
        <is>
          <t>Augustus Asamoah</t>
        </is>
      </c>
      <c r="F131" s="5" t="n">
        <v>46210.38141203704</v>
      </c>
      <c r="H131" t="inlineStr">
        <is>
          <t>P13QC00A00 - EFI Programme</t>
        </is>
      </c>
      <c r="I131" t="n">
        <v>8</v>
      </c>
      <c r="K131" t="inlineStr">
        <is>
          <t>Grant coordination Meeting in Takoradi</t>
        </is>
      </c>
      <c r="L131" t="b">
        <v>0</v>
      </c>
      <c r="M131" t="inlineStr">
        <is>
          <t>Non-Billable</t>
        </is>
      </c>
      <c r="N131" s="6">
        <f>IF(B131="","",IF(ISNUMBER(B131),TEXT(B131,"YYYY-MM"),LEFT(B131,7)))</f>
        <v/>
      </c>
    </row>
    <row r="132">
      <c r="A132" t="inlineStr">
        <is>
          <t>Kwadwo Baniako Nti</t>
        </is>
      </c>
      <c r="B132" s="4" t="n">
        <v>46191</v>
      </c>
      <c r="C132" t="inlineStr">
        <is>
          <t>/</t>
        </is>
      </c>
      <c r="D132" t="inlineStr">
        <is>
          <t>Kwadwo Baniako Nti</t>
        </is>
      </c>
      <c r="E132" t="inlineStr">
        <is>
          <t>Kwadwo Baniako Nti</t>
        </is>
      </c>
      <c r="F132" s="5" t="n">
        <v>46205.49902777778</v>
      </c>
      <c r="H132" t="inlineStr">
        <is>
          <t>PCGH793</t>
        </is>
      </c>
      <c r="I132" t="n">
        <v>8</v>
      </c>
      <c r="J132" t="inlineStr">
        <is>
          <t>PCGH793 - Field work  (3) (Okeosisi Jonathan)</t>
        </is>
      </c>
      <c r="K132" t="inlineStr">
        <is>
          <t>Field Visit and Data Collection</t>
        </is>
      </c>
      <c r="L132" t="b">
        <v>1</v>
      </c>
      <c r="M132" t="inlineStr">
        <is>
          <t>Billed at a Fixed price</t>
        </is>
      </c>
      <c r="N132" s="6">
        <f>IF(B132="","",IF(ISNUMBER(B132),TEXT(B132,"YYYY-MM"),LEFT(B132,7)))</f>
        <v/>
      </c>
    </row>
    <row r="133">
      <c r="A133" t="inlineStr">
        <is>
          <t>Afua Serwah Akoto Prempeh</t>
        </is>
      </c>
      <c r="B133" s="4" t="n">
        <v>46191</v>
      </c>
      <c r="C133" t="inlineStr">
        <is>
          <t>/</t>
        </is>
      </c>
      <c r="D133" t="inlineStr">
        <is>
          <t>Afua Serwah Akoto Prempeh</t>
        </is>
      </c>
      <c r="E133" t="inlineStr">
        <is>
          <t>Afua Serwah Akoto Prempeh</t>
        </is>
      </c>
      <c r="F133" s="5" t="n">
        <v>46204.55953703704</v>
      </c>
      <c r="G133" t="inlineStr">
        <is>
          <t>Output 4</t>
        </is>
      </c>
      <c r="H133" t="inlineStr">
        <is>
          <t>P23AC00C00 - FGMC</t>
        </is>
      </c>
      <c r="I133" t="n">
        <v>3</v>
      </c>
      <c r="K133" t="inlineStr">
        <is>
          <t>P23AC03A00 - Project Management</t>
        </is>
      </c>
      <c r="L133" t="b">
        <v>0</v>
      </c>
      <c r="M133" t="inlineStr">
        <is>
          <t>Non-Billable</t>
        </is>
      </c>
      <c r="N133" s="6">
        <f>IF(B133="","",IF(ISNUMBER(B133),TEXT(B133,"YYYY-MM"),LEFT(B133,7)))</f>
        <v/>
      </c>
    </row>
    <row r="134">
      <c r="A134" t="inlineStr">
        <is>
          <t>Clement Obeng-Manu</t>
        </is>
      </c>
      <c r="B134" s="4" t="n">
        <v>46191</v>
      </c>
      <c r="C134" t="inlineStr">
        <is>
          <t>/</t>
        </is>
      </c>
      <c r="D134" t="inlineStr">
        <is>
          <t>Clement Obeng-Manu</t>
        </is>
      </c>
      <c r="E134" t="inlineStr">
        <is>
          <t>Clement Obeng-Manu</t>
        </is>
      </c>
      <c r="F134" s="5" t="n">
        <v>46195.71729166667</v>
      </c>
      <c r="H134" t="inlineStr">
        <is>
          <t>PCGH776 - Deforestation Risk-Assessment Cashew-Coast</t>
        </is>
      </c>
      <c r="I134" t="n">
        <v>8</v>
      </c>
      <c r="J134" t="inlineStr">
        <is>
          <t>PCGH776 - Groundthruthing and Verification (3) (Cashew Coast Products Inc)</t>
        </is>
      </c>
      <c r="K134" t="inlineStr">
        <is>
          <t>Land cover classification, ground truthing and accuracy assessment</t>
        </is>
      </c>
      <c r="L134" t="b">
        <v>1</v>
      </c>
      <c r="M134" t="inlineStr">
        <is>
          <t>Billed at a Fixed price</t>
        </is>
      </c>
      <c r="N134" s="6">
        <f>IF(B134="","",IF(ISNUMBER(B134),TEXT(B134,"YYYY-MM"),LEFT(B134,7)))</f>
        <v/>
      </c>
    </row>
    <row r="135">
      <c r="A135" t="inlineStr">
        <is>
          <t>Soro TCHEREGNIMIN</t>
        </is>
      </c>
      <c r="B135" s="4" t="n">
        <v>46191</v>
      </c>
      <c r="C135" t="inlineStr">
        <is>
          <t>/</t>
        </is>
      </c>
      <c r="D135" t="inlineStr">
        <is>
          <t>Soro TCHEREGNIMIN</t>
        </is>
      </c>
      <c r="E135" t="inlineStr">
        <is>
          <t>Soro TCHEREGNIMIN</t>
        </is>
      </c>
      <c r="F135" s="5" t="n">
        <v>46195.67521990741</v>
      </c>
      <c r="H135" t="inlineStr">
        <is>
          <t>PCGH787</t>
        </is>
      </c>
      <c r="I135" t="n">
        <v>8</v>
      </c>
      <c r="J135" t="inlineStr">
        <is>
          <t>PCGH787 - Desk Study (3) (Proforest Limited(PCUK GBP))</t>
        </is>
      </c>
      <c r="L135" t="b">
        <v>1</v>
      </c>
      <c r="M135" t="inlineStr">
        <is>
          <t>Billed at a Fixed price</t>
        </is>
      </c>
      <c r="N135" s="6">
        <f>IF(B135="","",IF(ISNUMBER(B135),TEXT(B135,"YYYY-MM"),LEFT(B135,7)))</f>
        <v/>
      </c>
    </row>
    <row r="136">
      <c r="A136" t="inlineStr">
        <is>
          <t>Helena Tetteh</t>
        </is>
      </c>
      <c r="B136" s="4" t="n">
        <v>46191</v>
      </c>
      <c r="C136" t="inlineStr">
        <is>
          <t>Sick-leave (typhoid)</t>
        </is>
      </c>
      <c r="D136" t="inlineStr">
        <is>
          <t xml:space="preserve">Helena Tetteh </t>
        </is>
      </c>
      <c r="E136" t="inlineStr">
        <is>
          <t>Helena Tetteh</t>
        </is>
      </c>
      <c r="F136" s="5" t="n">
        <v>46195.55583333333</v>
      </c>
      <c r="H136" t="inlineStr">
        <is>
          <t>Non-Billable Tasks</t>
        </is>
      </c>
      <c r="I136" t="n">
        <v>8</v>
      </c>
      <c r="K136" t="inlineStr">
        <is>
          <t>Time Off</t>
        </is>
      </c>
      <c r="L136" t="b">
        <v>0</v>
      </c>
      <c r="M136" t="inlineStr">
        <is>
          <t>Non-Billable</t>
        </is>
      </c>
      <c r="N136" s="6">
        <f>IF(B136="","",IF(ISNUMBER(B136),TEXT(B136,"YYYY-MM"),LEFT(B136,7)))</f>
        <v/>
      </c>
    </row>
    <row r="137">
      <c r="A137" t="inlineStr">
        <is>
          <t>Frederick Antwi</t>
        </is>
      </c>
      <c r="B137" s="4" t="n">
        <v>46191</v>
      </c>
      <c r="C137" t="inlineStr">
        <is>
          <t>/</t>
        </is>
      </c>
      <c r="D137" t="inlineStr">
        <is>
          <t>Frederick Antwi</t>
        </is>
      </c>
      <c r="E137" t="inlineStr">
        <is>
          <t>Frederick Antwi</t>
        </is>
      </c>
      <c r="F137" s="5" t="n">
        <v>46195.45490740741</v>
      </c>
      <c r="H137" t="inlineStr">
        <is>
          <t>P13NC00A00 - WALMART II</t>
        </is>
      </c>
      <c r="I137" t="n">
        <v>8</v>
      </c>
      <c r="L137" t="b">
        <v>0</v>
      </c>
      <c r="M137" t="inlineStr">
        <is>
          <t>Non-Billable</t>
        </is>
      </c>
      <c r="N137" s="6">
        <f>IF(B137="","",IF(ISNUMBER(B137),TEXT(B137,"YYYY-MM"),LEFT(B137,7)))</f>
        <v/>
      </c>
    </row>
    <row r="138">
      <c r="A138" t="inlineStr">
        <is>
          <t>Patricia Offei</t>
        </is>
      </c>
      <c r="B138" s="4" t="n">
        <v>46191</v>
      </c>
      <c r="C138" t="inlineStr">
        <is>
          <t xml:space="preserve">Follow up with THZ </t>
        </is>
      </c>
      <c r="D138" t="inlineStr">
        <is>
          <t>Patricia Offei</t>
        </is>
      </c>
      <c r="E138" t="inlineStr">
        <is>
          <t>Patricia Offei</t>
        </is>
      </c>
      <c r="F138" s="5" t="n">
        <v>46195.37721064815</v>
      </c>
      <c r="H138" t="inlineStr">
        <is>
          <t>PCGH783 - Zimbabwe HRDD</t>
        </is>
      </c>
      <c r="I138" t="n">
        <v>2</v>
      </c>
      <c r="J138" t="inlineStr">
        <is>
          <t>PCGH783 - Desk Study (3) (Proforest Limited(PCUK GBP))</t>
        </is>
      </c>
      <c r="K138" t="inlineStr">
        <is>
          <t xml:space="preserve">Kick-off meeting with Supplier (to align) and request for information for HREDD Scoping) </t>
        </is>
      </c>
      <c r="L138" t="b">
        <v>1</v>
      </c>
      <c r="M138" t="inlineStr">
        <is>
          <t>Billed at a Fixed price</t>
        </is>
      </c>
      <c r="N138" s="6">
        <f>IF(B138="","",IF(ISNUMBER(B138),TEXT(B138,"YYYY-MM"),LEFT(B138,7)))</f>
        <v/>
      </c>
    </row>
    <row r="139">
      <c r="A139" t="inlineStr">
        <is>
          <t>Patricia Offei</t>
        </is>
      </c>
      <c r="B139" s="4" t="n">
        <v>46191</v>
      </c>
      <c r="C139" t="inlineStr">
        <is>
          <t>/</t>
        </is>
      </c>
      <c r="D139" t="inlineStr">
        <is>
          <t>Patricia Offei</t>
        </is>
      </c>
      <c r="E139" t="inlineStr">
        <is>
          <t>Patricia Offei</t>
        </is>
      </c>
      <c r="F139" s="5" t="n">
        <v>46195.37336805555</v>
      </c>
      <c r="H139" t="inlineStr">
        <is>
          <t>PCGH774 -Evaluation Deep-Dive Action Plans by Socfin Group</t>
        </is>
      </c>
      <c r="I139" t="n">
        <v>2</v>
      </c>
      <c r="J139" t="inlineStr">
        <is>
          <t>PCGH774 - Tier 3 (Socfinco FR SA)</t>
        </is>
      </c>
      <c r="K139" t="inlineStr">
        <is>
          <t>SOGB - Analysis and reporting</t>
        </is>
      </c>
      <c r="L139" t="b">
        <v>1</v>
      </c>
      <c r="M139" t="inlineStr">
        <is>
          <t>Billed at a Fixed price</t>
        </is>
      </c>
      <c r="N139" s="6">
        <f>IF(B139="","",IF(ISNUMBER(B139),TEXT(B139,"YYYY-MM"),LEFT(B139,7)))</f>
        <v/>
      </c>
    </row>
    <row r="140">
      <c r="A140" t="inlineStr">
        <is>
          <t>Patricia Offei</t>
        </is>
      </c>
      <c r="B140" s="4" t="n">
        <v>46191</v>
      </c>
      <c r="C140" t="inlineStr">
        <is>
          <t>/</t>
        </is>
      </c>
      <c r="D140" t="inlineStr">
        <is>
          <t>Patricia Offei</t>
        </is>
      </c>
      <c r="E140" t="inlineStr">
        <is>
          <t>Patricia Offei</t>
        </is>
      </c>
      <c r="F140" s="5" t="n">
        <v>46195.37335648148</v>
      </c>
      <c r="H140" t="inlineStr">
        <is>
          <t>PCGH774 -Evaluation Deep-Dive Action Plans by Socfin Group</t>
        </is>
      </c>
      <c r="I140" t="n">
        <v>2</v>
      </c>
      <c r="J140" t="inlineStr">
        <is>
          <t>PCGH774 - Analysis and Reporting (3) (Socfinco FR SA)</t>
        </is>
      </c>
      <c r="K140" t="inlineStr">
        <is>
          <t xml:space="preserve">Cameroon (Safacam) - Analysis and Reporting </t>
        </is>
      </c>
      <c r="L140" t="b">
        <v>1</v>
      </c>
      <c r="M140" t="inlineStr">
        <is>
          <t>Billed at a Fixed price</t>
        </is>
      </c>
      <c r="N140" s="6">
        <f>IF(B140="","",IF(ISNUMBER(B140),TEXT(B140,"YYYY-MM"),LEFT(B140,7)))</f>
        <v/>
      </c>
    </row>
    <row r="141">
      <c r="A141" t="inlineStr">
        <is>
          <t>Patricia Offei</t>
        </is>
      </c>
      <c r="B141" s="4" t="n">
        <v>46191</v>
      </c>
      <c r="C141" t="inlineStr">
        <is>
          <t>/</t>
        </is>
      </c>
      <c r="D141" t="inlineStr">
        <is>
          <t>Patricia Offei</t>
        </is>
      </c>
      <c r="E141" t="inlineStr">
        <is>
          <t>Patricia Offei</t>
        </is>
      </c>
      <c r="F141" s="5" t="n">
        <v>46195.37333333334</v>
      </c>
      <c r="H141" t="inlineStr">
        <is>
          <t>PCGH774 -Evaluation Deep-Dive Action Plans by Socfin Group</t>
        </is>
      </c>
      <c r="I141" t="n">
        <v>2</v>
      </c>
      <c r="J141" t="inlineStr">
        <is>
          <t>PCGH774 - Analysis and Reporting (3) (Socfinco FR SA)</t>
        </is>
      </c>
      <c r="K141" t="inlineStr">
        <is>
          <t>[Cameroon, Socapalm （Dibombari + Edéa + Mbongo + Mbambou） Report review] - Analysis and Reporting</t>
        </is>
      </c>
      <c r="L141" t="b">
        <v>1</v>
      </c>
      <c r="M141" t="inlineStr">
        <is>
          <t>Billed at a Fixed price</t>
        </is>
      </c>
      <c r="N141" s="6">
        <f>IF(B141="","",IF(ISNUMBER(B141),TEXT(B141,"YYYY-MM"),LEFT(B141,7)))</f>
        <v/>
      </c>
    </row>
    <row r="142">
      <c r="A142" t="inlineStr">
        <is>
          <t>Louis Defo</t>
        </is>
      </c>
      <c r="B142" s="4" t="n">
        <v>46191</v>
      </c>
      <c r="C142" t="inlineStr">
        <is>
          <t>Work on the inception report produced by the consultant</t>
        </is>
      </c>
      <c r="D142" t="inlineStr">
        <is>
          <t>Louis Defo</t>
        </is>
      </c>
      <c r="E142" t="inlineStr">
        <is>
          <t>Louis Defo</t>
        </is>
      </c>
      <c r="F142" s="5" t="n">
        <v>46195.34775462963</v>
      </c>
      <c r="H142" t="inlineStr">
        <is>
          <t>P23AC00C00 - FGMC</t>
        </is>
      </c>
      <c r="I142" t="n">
        <v>8</v>
      </c>
      <c r="L142" t="b">
        <v>0</v>
      </c>
      <c r="M142" t="inlineStr">
        <is>
          <t>Non-Billable</t>
        </is>
      </c>
      <c r="N142" s="6">
        <f>IF(B142="","",IF(ISNUMBER(B142),TEXT(B142,"YYYY-MM"),LEFT(B142,7)))</f>
        <v/>
      </c>
    </row>
    <row r="143">
      <c r="A143" t="inlineStr">
        <is>
          <t>Abel Ansu</t>
        </is>
      </c>
      <c r="B143" s="4" t="n">
        <v>46191</v>
      </c>
      <c r="C143" t="inlineStr">
        <is>
          <t>To pick google map locations of MTS sites and Rural service centers</t>
        </is>
      </c>
      <c r="D143" t="inlineStr">
        <is>
          <t>Abel Ansu</t>
        </is>
      </c>
      <c r="E143" t="inlineStr">
        <is>
          <t>Abel Ansu</t>
        </is>
      </c>
      <c r="F143" s="5" t="n">
        <v>46195.29744212963</v>
      </c>
      <c r="H143" t="inlineStr">
        <is>
          <t>P13NC00A00 - WALMART II</t>
        </is>
      </c>
      <c r="I143" t="n">
        <v>8</v>
      </c>
      <c r="K143" t="inlineStr">
        <is>
          <t>Programme Personnel and Management</t>
        </is>
      </c>
      <c r="L143" t="b">
        <v>0</v>
      </c>
      <c r="M143" t="inlineStr">
        <is>
          <t>Non-Billable</t>
        </is>
      </c>
      <c r="N143" s="6">
        <f>IF(B143="","",IF(ISNUMBER(B143),TEXT(B143,"YYYY-MM"),LEFT(B143,7)))</f>
        <v/>
      </c>
    </row>
    <row r="144">
      <c r="A144" t="inlineStr">
        <is>
          <t>Ekow Nyamekye Tawiah</t>
        </is>
      </c>
      <c r="B144" s="4" t="n">
        <v>46191</v>
      </c>
      <c r="C144" t="inlineStr">
        <is>
          <t>Deforestation Risk Analysis for Cameroon, Mauritius, Mozambique, Nigeria and Reunion (Run Analysis)</t>
        </is>
      </c>
      <c r="D144" t="inlineStr">
        <is>
          <t>Ekow Nyamekye Tawiah</t>
        </is>
      </c>
      <c r="E144" t="inlineStr">
        <is>
          <t>Ekow Nyamekye Tawiah</t>
        </is>
      </c>
      <c r="F144" s="5" t="n">
        <v>46209.38650462963</v>
      </c>
      <c r="H144" t="inlineStr">
        <is>
          <t>PCGH778 - General Support</t>
        </is>
      </c>
      <c r="I144" t="n">
        <v>4</v>
      </c>
      <c r="J144" t="inlineStr">
        <is>
          <t>PCGH778 - Support to Other Workstreams (3) (Proforest Limited(PCUK GBP))</t>
        </is>
      </c>
      <c r="K144" t="inlineStr">
        <is>
          <t>(WS3: Deforestation) Deforestation Remote Risk Assessment</t>
        </is>
      </c>
      <c r="L144" t="b">
        <v>1</v>
      </c>
      <c r="M144" t="inlineStr">
        <is>
          <t>Billed at a Fixed price</t>
        </is>
      </c>
      <c r="N144" s="6">
        <f>IF(B144="","",IF(ISNUMBER(B144),TEXT(B144,"YYYY-MM"),LEFT(B144,7)))</f>
        <v/>
      </c>
    </row>
    <row r="145">
      <c r="A145" t="inlineStr">
        <is>
          <t>Afua Serwah Akoto Prempeh</t>
        </is>
      </c>
      <c r="B145" s="4" t="n">
        <v>46191</v>
      </c>
      <c r="C145" t="inlineStr">
        <is>
          <t xml:space="preserve">Review of Gender Policy. </t>
        </is>
      </c>
      <c r="D145" t="inlineStr">
        <is>
          <t>Afua Serwah Akoto Prempeh</t>
        </is>
      </c>
      <c r="E145" t="inlineStr">
        <is>
          <t>Afua Serwah Akoto Prempeh</t>
        </is>
      </c>
      <c r="F145" s="5" t="n">
        <v>46191.48954861111</v>
      </c>
      <c r="H145" t="inlineStr">
        <is>
          <t>Non-Billable Tasks</t>
        </is>
      </c>
      <c r="I145" t="n">
        <v>1</v>
      </c>
      <c r="K145" t="inlineStr">
        <is>
          <t>Professional development and Knowledge sharing(training,global knowledge calls,exchange weeks)</t>
        </is>
      </c>
      <c r="L145" t="b">
        <v>0</v>
      </c>
      <c r="M145" t="inlineStr">
        <is>
          <t>Non-Billable</t>
        </is>
      </c>
      <c r="N145" s="6">
        <f>IF(B145="","",IF(ISNUMBER(B145),TEXT(B145,"YYYY-MM"),LEFT(B145,7)))</f>
        <v/>
      </c>
    </row>
    <row r="146">
      <c r="A146" t="inlineStr">
        <is>
          <t>Augustus Asamoah</t>
        </is>
      </c>
      <c r="B146" s="4" t="n">
        <v>46190</v>
      </c>
      <c r="C146" t="inlineStr">
        <is>
          <t>/</t>
        </is>
      </c>
      <c r="D146" t="inlineStr">
        <is>
          <t>Augustus Asamoah</t>
        </is>
      </c>
      <c r="E146" t="inlineStr">
        <is>
          <t>Augustus Asamoah</t>
        </is>
      </c>
      <c r="F146" s="5" t="n">
        <v>46210.38138888889</v>
      </c>
      <c r="H146" t="inlineStr">
        <is>
          <t>P13QC00A00 - EFI Programme</t>
        </is>
      </c>
      <c r="I146" t="n">
        <v>8</v>
      </c>
      <c r="K146" t="inlineStr">
        <is>
          <t>Grant coordination Meeting in Takoradi</t>
        </is>
      </c>
      <c r="L146" t="b">
        <v>0</v>
      </c>
      <c r="M146" t="inlineStr">
        <is>
          <t>Non-Billable</t>
        </is>
      </c>
      <c r="N146" s="6">
        <f>IF(B146="","",IF(ISNUMBER(B146),TEXT(B146,"YYYY-MM"),LEFT(B146,7)))</f>
        <v/>
      </c>
    </row>
    <row r="147">
      <c r="A147" t="inlineStr">
        <is>
          <t>Kwadwo Baniako Nti</t>
        </is>
      </c>
      <c r="B147" s="4" t="n">
        <v>46190</v>
      </c>
      <c r="C147" t="inlineStr">
        <is>
          <t>/</t>
        </is>
      </c>
      <c r="D147" t="inlineStr">
        <is>
          <t>Kwadwo Baniako Nti</t>
        </is>
      </c>
      <c r="E147" t="inlineStr">
        <is>
          <t>Kwadwo Baniako Nti</t>
        </is>
      </c>
      <c r="F147" s="5" t="n">
        <v>46205.4990625</v>
      </c>
      <c r="H147" t="inlineStr">
        <is>
          <t>PCGH793</t>
        </is>
      </c>
      <c r="I147" t="n">
        <v>8</v>
      </c>
      <c r="J147" t="inlineStr">
        <is>
          <t>PCGH793 - Field work  (3) (Okeosisi Jonathan)</t>
        </is>
      </c>
      <c r="K147" t="inlineStr">
        <is>
          <t>Field Visit and Data Collection</t>
        </is>
      </c>
      <c r="L147" t="b">
        <v>1</v>
      </c>
      <c r="M147" t="inlineStr">
        <is>
          <t>Billed at a Fixed price</t>
        </is>
      </c>
      <c r="N147" s="6">
        <f>IF(B147="","",IF(ISNUMBER(B147),TEXT(B147,"YYYY-MM"),LEFT(B147,7)))</f>
        <v/>
      </c>
    </row>
    <row r="148">
      <c r="A148" t="inlineStr">
        <is>
          <t>Afua Serwah Akoto Prempeh</t>
        </is>
      </c>
      <c r="B148" s="4" t="n">
        <v>46190</v>
      </c>
      <c r="C148" t="inlineStr">
        <is>
          <t>/</t>
        </is>
      </c>
      <c r="D148" t="inlineStr">
        <is>
          <t>Afua Serwah Akoto Prempeh</t>
        </is>
      </c>
      <c r="E148" t="inlineStr">
        <is>
          <t>Afua Serwah Akoto Prempeh</t>
        </is>
      </c>
      <c r="F148" s="5" t="n">
        <v>46204.55929398148</v>
      </c>
      <c r="H148" t="inlineStr">
        <is>
          <t>Non-Billable Tasks</t>
        </is>
      </c>
      <c r="I148" t="n">
        <v>8</v>
      </c>
      <c r="K148" t="inlineStr">
        <is>
          <t>Professional development and Knowledge sharing(training,global knowledge calls,exchange weeks)</t>
        </is>
      </c>
      <c r="L148" t="b">
        <v>0</v>
      </c>
      <c r="M148" t="inlineStr">
        <is>
          <t>Non-Billable</t>
        </is>
      </c>
      <c r="N148" s="6">
        <f>IF(B148="","",IF(ISNUMBER(B148),TEXT(B148,"YYYY-MM"),LEFT(B148,7)))</f>
        <v/>
      </c>
    </row>
    <row r="149">
      <c r="A149" t="inlineStr">
        <is>
          <t>Clement Obeng-Manu</t>
        </is>
      </c>
      <c r="B149" s="4" t="n">
        <v>46190</v>
      </c>
      <c r="C149" t="inlineStr">
        <is>
          <t>/</t>
        </is>
      </c>
      <c r="D149" t="inlineStr">
        <is>
          <t>Clement Obeng-Manu</t>
        </is>
      </c>
      <c r="E149" t="inlineStr">
        <is>
          <t>Clement Obeng-Manu</t>
        </is>
      </c>
      <c r="F149" s="5" t="n">
        <v>46195.71728009259</v>
      </c>
      <c r="H149" t="inlineStr">
        <is>
          <t>PCGH776 - Deforestation Risk-Assessment Cashew-Coast</t>
        </is>
      </c>
      <c r="I149" t="n">
        <v>8</v>
      </c>
      <c r="J149" t="inlineStr">
        <is>
          <t>PCGH776 - Groundthruthing and Verification (3) (Cashew Coast Products Inc)</t>
        </is>
      </c>
      <c r="K149" t="inlineStr">
        <is>
          <t>Land cover classification, ground truthing and accuracy assessment</t>
        </is>
      </c>
      <c r="L149" t="b">
        <v>1</v>
      </c>
      <c r="M149" t="inlineStr">
        <is>
          <t>Billed at a Fixed price</t>
        </is>
      </c>
      <c r="N149" s="6">
        <f>IF(B149="","",IF(ISNUMBER(B149),TEXT(B149,"YYYY-MM"),LEFT(B149,7)))</f>
        <v/>
      </c>
    </row>
    <row r="150">
      <c r="A150" t="inlineStr">
        <is>
          <t>Soro TCHEREGNIMIN</t>
        </is>
      </c>
      <c r="B150" s="4" t="n">
        <v>46190</v>
      </c>
      <c r="C150" t="inlineStr">
        <is>
          <t>/</t>
        </is>
      </c>
      <c r="D150" t="inlineStr">
        <is>
          <t>Soro TCHEREGNIMIN</t>
        </is>
      </c>
      <c r="E150" t="inlineStr">
        <is>
          <t>Soro TCHEREGNIMIN</t>
        </is>
      </c>
      <c r="F150" s="5" t="n">
        <v>46195.67518518519</v>
      </c>
      <c r="H150" t="inlineStr">
        <is>
          <t>PCGH787</t>
        </is>
      </c>
      <c r="I150" t="n">
        <v>8</v>
      </c>
      <c r="J150" t="inlineStr">
        <is>
          <t>PCGH787 - Desk Study (3) (Proforest Limited(PCUK GBP))</t>
        </is>
      </c>
      <c r="L150" t="b">
        <v>1</v>
      </c>
      <c r="M150" t="inlineStr">
        <is>
          <t>Billed at a Fixed price</t>
        </is>
      </c>
      <c r="N150" s="6">
        <f>IF(B150="","",IF(ISNUMBER(B150),TEXT(B150,"YYYY-MM"),LEFT(B150,7)))</f>
        <v/>
      </c>
    </row>
    <row r="151">
      <c r="A151" t="inlineStr">
        <is>
          <t>Helena Tetteh</t>
        </is>
      </c>
      <c r="B151" s="4" t="n">
        <v>46190</v>
      </c>
      <c r="C151" t="inlineStr">
        <is>
          <t>Sick-leave (typhoid)</t>
        </is>
      </c>
      <c r="D151" t="inlineStr">
        <is>
          <t xml:space="preserve">Helena Tetteh </t>
        </is>
      </c>
      <c r="E151" t="inlineStr">
        <is>
          <t>Helena Tetteh</t>
        </is>
      </c>
      <c r="F151" s="5" t="n">
        <v>46195.55569444445</v>
      </c>
      <c r="H151" t="inlineStr">
        <is>
          <t>Non-Billable Tasks</t>
        </is>
      </c>
      <c r="I151" t="n">
        <v>8</v>
      </c>
      <c r="K151" t="inlineStr">
        <is>
          <t>Time Off</t>
        </is>
      </c>
      <c r="L151" t="b">
        <v>0</v>
      </c>
      <c r="M151" t="inlineStr">
        <is>
          <t>Non-Billable</t>
        </is>
      </c>
      <c r="N151" s="6">
        <f>IF(B151="","",IF(ISNUMBER(B151),TEXT(B151,"YYYY-MM"),LEFT(B151,7)))</f>
        <v/>
      </c>
    </row>
    <row r="152">
      <c r="A152" t="inlineStr">
        <is>
          <t>Frederick Antwi</t>
        </is>
      </c>
      <c r="B152" s="4" t="n">
        <v>46190</v>
      </c>
      <c r="C152" t="inlineStr">
        <is>
          <t>/</t>
        </is>
      </c>
      <c r="D152" t="inlineStr">
        <is>
          <t>Frederick Antwi</t>
        </is>
      </c>
      <c r="E152" t="inlineStr">
        <is>
          <t>Frederick Antwi</t>
        </is>
      </c>
      <c r="F152" s="5" t="n">
        <v>46195.45555555556</v>
      </c>
      <c r="H152" t="inlineStr">
        <is>
          <t>P13PC00A00 - Private Sector Companies</t>
        </is>
      </c>
      <c r="I152" t="n">
        <v>8</v>
      </c>
      <c r="L152" t="b">
        <v>0</v>
      </c>
      <c r="M152" t="inlineStr">
        <is>
          <t>Non-Billable</t>
        </is>
      </c>
      <c r="N152" s="6">
        <f>IF(B152="","",IF(ISNUMBER(B152),TEXT(B152,"YYYY-MM"),LEFT(B152,7)))</f>
        <v/>
      </c>
    </row>
    <row r="153">
      <c r="A153" t="inlineStr">
        <is>
          <t>Patricia Offei</t>
        </is>
      </c>
      <c r="B153" s="4" t="n">
        <v>46190</v>
      </c>
      <c r="C153" t="inlineStr">
        <is>
          <t>/</t>
        </is>
      </c>
      <c r="D153" t="inlineStr">
        <is>
          <t>Patricia Offei</t>
        </is>
      </c>
      <c r="E153" t="inlineStr">
        <is>
          <t>Patricia Offei</t>
        </is>
      </c>
      <c r="F153" s="5" t="n">
        <v>46195.37630787037</v>
      </c>
      <c r="H153" t="inlineStr">
        <is>
          <t>PCGH778 - General Support</t>
        </is>
      </c>
      <c r="I153" t="n">
        <v>1</v>
      </c>
      <c r="J153" t="inlineStr">
        <is>
          <t>PCGH778 - Support to Other Workstreams (3) (Proforest Limited(PCUK GBP))</t>
        </is>
      </c>
      <c r="K153" t="inlineStr">
        <is>
          <t xml:space="preserve">(Admin &amp; Project Management) External regular catch-up calls </t>
        </is>
      </c>
      <c r="L153" t="b">
        <v>1</v>
      </c>
      <c r="M153" t="inlineStr">
        <is>
          <t>Billed at a Fixed price</t>
        </is>
      </c>
      <c r="N153" s="6">
        <f>IF(B153="","",IF(ISNUMBER(B153),TEXT(B153,"YYYY-MM"),LEFT(B153,7)))</f>
        <v/>
      </c>
    </row>
    <row r="154">
      <c r="A154" t="inlineStr">
        <is>
          <t>Patricia Offei</t>
        </is>
      </c>
      <c r="B154" s="4" t="n">
        <v>46190</v>
      </c>
      <c r="C154" t="inlineStr">
        <is>
          <t>/</t>
        </is>
      </c>
      <c r="D154" t="inlineStr">
        <is>
          <t>Patricia Offei</t>
        </is>
      </c>
      <c r="E154" t="inlineStr">
        <is>
          <t>Patricia Offei</t>
        </is>
      </c>
      <c r="F154" s="5" t="n">
        <v>46195.3762037037</v>
      </c>
      <c r="G154" t="inlineStr">
        <is>
          <t>WS 15.1: Tree Planting &amp; Biodiversity Conservation</t>
        </is>
      </c>
      <c r="H154" t="inlineStr">
        <is>
          <t>PCGH779 - Cote d'Ivoire）</t>
        </is>
      </c>
      <c r="I154" t="n">
        <v>1</v>
      </c>
      <c r="J154" t="inlineStr">
        <is>
          <t>PCGH779 - Tree Planting Project (3) (Proforest Limited(PCUK GBP))</t>
        </is>
      </c>
      <c r="K154" t="inlineStr">
        <is>
          <t>Support establishment of nursery in Borotou, Zuenoula</t>
        </is>
      </c>
      <c r="L154" t="b">
        <v>1</v>
      </c>
      <c r="M154" t="inlineStr">
        <is>
          <t>Billed at a Fixed price</t>
        </is>
      </c>
      <c r="N154" s="6">
        <f>IF(B154="","",IF(ISNUMBER(B154),TEXT(B154,"YYYY-MM"),LEFT(B154,7)))</f>
        <v/>
      </c>
    </row>
    <row r="155">
      <c r="A155" t="inlineStr">
        <is>
          <t>Patricia Offei</t>
        </is>
      </c>
      <c r="B155" s="4" t="n">
        <v>46190</v>
      </c>
      <c r="C155" t="inlineStr">
        <is>
          <t>/</t>
        </is>
      </c>
      <c r="D155" t="inlineStr">
        <is>
          <t>Patricia Offei</t>
        </is>
      </c>
      <c r="E155" t="inlineStr">
        <is>
          <t>Patricia Offei</t>
        </is>
      </c>
      <c r="F155" s="5" t="n">
        <v>46195.37331018518</v>
      </c>
      <c r="H155" t="inlineStr">
        <is>
          <t>PCGH774 -Evaluation Deep-Dive Action Plans by Socfin Group</t>
        </is>
      </c>
      <c r="I155" t="n">
        <v>1</v>
      </c>
      <c r="J155" t="inlineStr">
        <is>
          <t>PCGH774 - Tier 3 (Socfinco FR SA)</t>
        </is>
      </c>
      <c r="K155" t="inlineStr">
        <is>
          <t>SOGB - Analysis and reporting</t>
        </is>
      </c>
      <c r="L155" t="b">
        <v>1</v>
      </c>
      <c r="M155" t="inlineStr">
        <is>
          <t>Billed at a Fixed price</t>
        </is>
      </c>
      <c r="N155" s="6">
        <f>IF(B155="","",IF(ISNUMBER(B155),TEXT(B155,"YYYY-MM"),LEFT(B155,7)))</f>
        <v/>
      </c>
    </row>
    <row r="156">
      <c r="A156" t="inlineStr">
        <is>
          <t>Patricia Offei</t>
        </is>
      </c>
      <c r="B156" s="4" t="n">
        <v>46190</v>
      </c>
      <c r="C156" t="inlineStr">
        <is>
          <t>/</t>
        </is>
      </c>
      <c r="D156" t="inlineStr">
        <is>
          <t>Patricia Offei</t>
        </is>
      </c>
      <c r="E156" t="inlineStr">
        <is>
          <t>Patricia Offei</t>
        </is>
      </c>
      <c r="F156" s="5" t="n">
        <v>46195.37318287037</v>
      </c>
      <c r="H156" t="inlineStr">
        <is>
          <t>PCGH774 -Evaluation Deep-Dive Action Plans by Socfin Group</t>
        </is>
      </c>
      <c r="I156" t="n">
        <v>1</v>
      </c>
      <c r="J156" t="inlineStr">
        <is>
          <t>PCGH774 - Analysis and Reporting (3) (Socfinco FR SA)</t>
        </is>
      </c>
      <c r="K156" t="inlineStr">
        <is>
          <t xml:space="preserve">Cameroon (Safacam) - Analysis and Reporting </t>
        </is>
      </c>
      <c r="L156" t="b">
        <v>1</v>
      </c>
      <c r="M156" t="inlineStr">
        <is>
          <t>Billed at a Fixed price</t>
        </is>
      </c>
      <c r="N156" s="6">
        <f>IF(B156="","",IF(ISNUMBER(B156),TEXT(B156,"YYYY-MM"),LEFT(B156,7)))</f>
        <v/>
      </c>
    </row>
    <row r="157">
      <c r="A157" t="inlineStr">
        <is>
          <t>Patricia Offei</t>
        </is>
      </c>
      <c r="B157" s="4" t="n">
        <v>46190</v>
      </c>
      <c r="C157" t="inlineStr">
        <is>
          <t>/</t>
        </is>
      </c>
      <c r="D157" t="inlineStr">
        <is>
          <t>Patricia Offei</t>
        </is>
      </c>
      <c r="E157" t="inlineStr">
        <is>
          <t>Patricia Offei</t>
        </is>
      </c>
      <c r="F157" s="5" t="n">
        <v>46195.3915162037</v>
      </c>
      <c r="H157" t="inlineStr">
        <is>
          <t>PCGH774 -Evaluation Deep-Dive Action Plans by Socfin Group</t>
        </is>
      </c>
      <c r="I157" t="n">
        <v>4</v>
      </c>
      <c r="J157" t="inlineStr">
        <is>
          <t>PCGH774 - Analysis and Reporting (3) (Socfinco FR SA)</t>
        </is>
      </c>
      <c r="K157" t="inlineStr">
        <is>
          <t>[Cameroon, Socapalm （Dibombari + Edéa + Mbongo + Mbambou） Report review] - Analysis and Reporting</t>
        </is>
      </c>
      <c r="L157" t="b">
        <v>1</v>
      </c>
      <c r="M157" t="inlineStr">
        <is>
          <t>Billed at a Fixed price</t>
        </is>
      </c>
      <c r="N157" s="6">
        <f>IF(B157="","",IF(ISNUMBER(B157),TEXT(B157,"YYYY-MM"),LEFT(B157,7)))</f>
        <v/>
      </c>
    </row>
    <row r="158">
      <c r="A158" t="inlineStr">
        <is>
          <t>Louis Defo</t>
        </is>
      </c>
      <c r="B158" s="4" t="n">
        <v>46190</v>
      </c>
      <c r="C158" t="inlineStr">
        <is>
          <t>work on FSC Remedy call for proposal with Langlang</t>
        </is>
      </c>
      <c r="D158" t="inlineStr">
        <is>
          <t>Louis Defo</t>
        </is>
      </c>
      <c r="E158" t="inlineStr">
        <is>
          <t>Louis Defo</t>
        </is>
      </c>
      <c r="F158" s="5" t="n">
        <v>46195.34543981482</v>
      </c>
      <c r="H158" t="inlineStr">
        <is>
          <t>Non-Billable Tasks</t>
        </is>
      </c>
      <c r="I158" t="n">
        <v>8</v>
      </c>
      <c r="L158" t="b">
        <v>0</v>
      </c>
      <c r="M158" t="inlineStr">
        <is>
          <t>Non-Billable</t>
        </is>
      </c>
      <c r="N158" s="6">
        <f>IF(B158="","",IF(ISNUMBER(B158),TEXT(B158,"YYYY-MM"),LEFT(B158,7)))</f>
        <v/>
      </c>
    </row>
    <row r="159">
      <c r="A159" t="inlineStr">
        <is>
          <t>Abel Ansu</t>
        </is>
      </c>
      <c r="B159" s="4" t="n">
        <v>46190</v>
      </c>
      <c r="C159" t="inlineStr">
        <is>
          <t>Monitoring of lining and pegging</t>
        </is>
      </c>
      <c r="D159" t="inlineStr">
        <is>
          <t>Abel Ansu</t>
        </is>
      </c>
      <c r="E159" t="inlineStr">
        <is>
          <t>Abel Ansu</t>
        </is>
      </c>
      <c r="F159" s="5" t="n">
        <v>46195.29623842592</v>
      </c>
      <c r="H159" t="inlineStr">
        <is>
          <t>P13PC00A00 - Private Sector Companies</t>
        </is>
      </c>
      <c r="I159" t="n">
        <v>8</v>
      </c>
      <c r="K159" t="inlineStr">
        <is>
          <t>Personnel Cost</t>
        </is>
      </c>
      <c r="L159" t="b">
        <v>0</v>
      </c>
      <c r="M159" t="inlineStr">
        <is>
          <t>Non-Billable</t>
        </is>
      </c>
      <c r="N159" s="6">
        <f>IF(B159="","",IF(ISNUMBER(B159),TEXT(B159,"YYYY-MM"),LEFT(B159,7)))</f>
        <v/>
      </c>
    </row>
    <row r="160">
      <c r="A160" t="inlineStr">
        <is>
          <t>Ekow Nyamekye Tawiah</t>
        </is>
      </c>
      <c r="B160" s="4" t="n">
        <v>46190</v>
      </c>
      <c r="C160" t="inlineStr">
        <is>
          <t>Deforestation Risk Analysis for Cameroon, Mauritius, Mozambique, Nigeria and Reunion (Run Analysis)</t>
        </is>
      </c>
      <c r="D160" t="inlineStr">
        <is>
          <t>Ekow Nyamekye Tawiah</t>
        </is>
      </c>
      <c r="E160" t="inlineStr">
        <is>
          <t>Ekow Nyamekye Tawiah</t>
        </is>
      </c>
      <c r="F160" s="5" t="n">
        <v>46209.38650462963</v>
      </c>
      <c r="H160" t="inlineStr">
        <is>
          <t>PCGH778 - General Support</t>
        </is>
      </c>
      <c r="I160" t="n">
        <v>4</v>
      </c>
      <c r="J160" t="inlineStr">
        <is>
          <t>PCGH778 - Support to Other Workstreams (3) (Proforest Limited(PCUK GBP))</t>
        </is>
      </c>
      <c r="K160" t="inlineStr">
        <is>
          <t>(WS3: Deforestation) Deforestation Remote Risk Assessment</t>
        </is>
      </c>
      <c r="L160" t="b">
        <v>1</v>
      </c>
      <c r="M160" t="inlineStr">
        <is>
          <t>Billed at a Fixed price</t>
        </is>
      </c>
      <c r="N160" s="6">
        <f>IF(B160="","",IF(ISNUMBER(B160),TEXT(B160,"YYYY-MM"),LEFT(B160,7)))</f>
        <v/>
      </c>
    </row>
    <row r="161">
      <c r="A161" t="inlineStr">
        <is>
          <t>Augustus Asamoah</t>
        </is>
      </c>
      <c r="B161" s="4" t="n">
        <v>46189</v>
      </c>
      <c r="C161" t="inlineStr">
        <is>
          <t>/</t>
        </is>
      </c>
      <c r="D161" t="inlineStr">
        <is>
          <t>Augustus Asamoah</t>
        </is>
      </c>
      <c r="E161" t="inlineStr">
        <is>
          <t>Augustus Asamoah</t>
        </is>
      </c>
      <c r="F161" s="5" t="n">
        <v>46210.3812962963</v>
      </c>
      <c r="H161" t="inlineStr">
        <is>
          <t>P13PC00A00 - Private Sector Companies</t>
        </is>
      </c>
      <c r="I161" t="n">
        <v>1</v>
      </c>
      <c r="K161" t="inlineStr">
        <is>
          <t>Support for A-A HMB</t>
        </is>
      </c>
      <c r="L161" t="b">
        <v>0</v>
      </c>
      <c r="M161" t="inlineStr">
        <is>
          <t>Non-Billable</t>
        </is>
      </c>
      <c r="N161" s="6">
        <f>IF(B161="","",IF(ISNUMBER(B161),TEXT(B161,"YYYY-MM"),LEFT(B161,7)))</f>
        <v/>
      </c>
    </row>
    <row r="162">
      <c r="A162" t="inlineStr">
        <is>
          <t>Augustus Asamoah</t>
        </is>
      </c>
      <c r="B162" s="4" t="n">
        <v>46189</v>
      </c>
      <c r="C162" t="inlineStr">
        <is>
          <t>/</t>
        </is>
      </c>
      <c r="D162" t="inlineStr">
        <is>
          <t>Augustus Asamoah</t>
        </is>
      </c>
      <c r="E162" t="inlineStr">
        <is>
          <t>Augustus Asamoah</t>
        </is>
      </c>
      <c r="F162" s="5" t="n">
        <v>46210.38122685185</v>
      </c>
      <c r="H162" t="inlineStr">
        <is>
          <t>P13QC00A00 - EFI Programme</t>
        </is>
      </c>
      <c r="I162" t="n">
        <v>4</v>
      </c>
      <c r="K162" t="inlineStr">
        <is>
          <t>Grant coordination Meeting in Takoradi</t>
        </is>
      </c>
      <c r="L162" t="b">
        <v>0</v>
      </c>
      <c r="M162" t="inlineStr">
        <is>
          <t>Non-Billable</t>
        </is>
      </c>
      <c r="N162" s="6">
        <f>IF(B162="","",IF(ISNUMBER(B162),TEXT(B162,"YYYY-MM"),LEFT(B162,7)))</f>
        <v/>
      </c>
    </row>
    <row r="163">
      <c r="A163" t="inlineStr">
        <is>
          <t>Augustus Asamoah</t>
        </is>
      </c>
      <c r="B163" s="4" t="n">
        <v>46189</v>
      </c>
      <c r="C163" t="inlineStr">
        <is>
          <t>/</t>
        </is>
      </c>
      <c r="D163" t="inlineStr">
        <is>
          <t>Augustus Asamoah</t>
        </is>
      </c>
      <c r="E163" t="inlineStr">
        <is>
          <t>Augustus Asamoah</t>
        </is>
      </c>
      <c r="F163" s="5" t="n">
        <v>46210.38120370371</v>
      </c>
      <c r="H163" t="inlineStr">
        <is>
          <t>P13NC00A00 - WALMART II</t>
        </is>
      </c>
      <c r="I163" t="n">
        <v>2</v>
      </c>
      <c r="K163" t="inlineStr">
        <is>
          <t>Follow up of seedling procurement, AFS, &amp; Procurements</t>
        </is>
      </c>
      <c r="L163" t="b">
        <v>0</v>
      </c>
      <c r="M163" t="inlineStr">
        <is>
          <t>Non-Billable</t>
        </is>
      </c>
      <c r="N163" s="6">
        <f>IF(B163="","",IF(ISNUMBER(B163),TEXT(B163,"YYYY-MM"),LEFT(B163,7)))</f>
        <v/>
      </c>
    </row>
    <row r="164">
      <c r="A164" t="inlineStr">
        <is>
          <t>Augustus Asamoah</t>
        </is>
      </c>
      <c r="B164" s="4" t="n">
        <v>46189</v>
      </c>
      <c r="C164" t="inlineStr">
        <is>
          <t>/</t>
        </is>
      </c>
      <c r="D164" t="inlineStr">
        <is>
          <t>Augustus Asamoah</t>
        </is>
      </c>
      <c r="E164" t="inlineStr">
        <is>
          <t>Augustus Asamoah</t>
        </is>
      </c>
      <c r="F164" s="5" t="n">
        <v>46210.38096064814</v>
      </c>
      <c r="H164" t="inlineStr">
        <is>
          <t>P13NC00A00 - WALMART II</t>
        </is>
      </c>
      <c r="I164" t="n">
        <v>1</v>
      </c>
      <c r="L164" t="b">
        <v>0</v>
      </c>
      <c r="M164" t="inlineStr">
        <is>
          <t>Non-Billable</t>
        </is>
      </c>
      <c r="N164" s="6">
        <f>IF(B164="","",IF(ISNUMBER(B164),TEXT(B164,"YYYY-MM"),LEFT(B164,7)))</f>
        <v/>
      </c>
    </row>
    <row r="165">
      <c r="A165" t="inlineStr">
        <is>
          <t>Kwadwo Baniako Nti</t>
        </is>
      </c>
      <c r="B165" s="4" t="n">
        <v>46189</v>
      </c>
      <c r="C165" t="inlineStr">
        <is>
          <t>/</t>
        </is>
      </c>
      <c r="D165" t="inlineStr">
        <is>
          <t>Kwadwo Baniako Nti</t>
        </is>
      </c>
      <c r="E165" t="inlineStr">
        <is>
          <t>Kwadwo Baniako Nti</t>
        </is>
      </c>
      <c r="F165" s="5" t="n">
        <v>46205.50974537037</v>
      </c>
      <c r="H165" t="inlineStr">
        <is>
          <t>PCGH793</t>
        </is>
      </c>
      <c r="I165" t="n">
        <v>8</v>
      </c>
      <c r="J165" t="inlineStr">
        <is>
          <t>PCGH793 - Field work  (3) (Okeosisi Jonathan)</t>
        </is>
      </c>
      <c r="K165" t="inlineStr">
        <is>
          <t>Field Visit and Data Collection</t>
        </is>
      </c>
      <c r="L165" t="b">
        <v>1</v>
      </c>
      <c r="M165" t="inlineStr">
        <is>
          <t>Billed at a Fixed price</t>
        </is>
      </c>
      <c r="N165" s="6">
        <f>IF(B165="","",IF(ISNUMBER(B165),TEXT(B165,"YYYY-MM"),LEFT(B165,7)))</f>
        <v/>
      </c>
    </row>
    <row r="166">
      <c r="A166" t="inlineStr">
        <is>
          <t>Afua Serwah Akoto Prempeh</t>
        </is>
      </c>
      <c r="B166" s="4" t="n">
        <v>46189</v>
      </c>
      <c r="C166" t="inlineStr">
        <is>
          <t>/</t>
        </is>
      </c>
      <c r="D166" t="inlineStr">
        <is>
          <t>Afua Serwah Akoto Prempeh</t>
        </is>
      </c>
      <c r="E166" t="inlineStr">
        <is>
          <t>Afua Serwah Akoto Prempeh</t>
        </is>
      </c>
      <c r="F166" s="5" t="n">
        <v>46204.55922453704</v>
      </c>
      <c r="H166" t="inlineStr">
        <is>
          <t>Non-Billable Tasks</t>
        </is>
      </c>
      <c r="I166" t="n">
        <v>8</v>
      </c>
      <c r="K166" t="inlineStr">
        <is>
          <t>Professional development and Knowledge sharing(training,global knowledge calls,exchange weeks)</t>
        </is>
      </c>
      <c r="L166" t="b">
        <v>0</v>
      </c>
      <c r="M166" t="inlineStr">
        <is>
          <t>Non-Billable</t>
        </is>
      </c>
      <c r="N166" s="6">
        <f>IF(B166="","",IF(ISNUMBER(B166),TEXT(B166,"YYYY-MM"),LEFT(B166,7)))</f>
        <v/>
      </c>
    </row>
    <row r="167">
      <c r="A167" t="inlineStr">
        <is>
          <t>Stephen Doso</t>
        </is>
      </c>
      <c r="B167" s="4" t="n">
        <v>46189</v>
      </c>
      <c r="C167" t="inlineStr">
        <is>
          <t>/</t>
        </is>
      </c>
      <c r="D167" t="inlineStr">
        <is>
          <t>Stephen Doso</t>
        </is>
      </c>
      <c r="E167" t="inlineStr">
        <is>
          <t>Stephen Doso</t>
        </is>
      </c>
      <c r="F167" s="5" t="n">
        <v>46197.58905092593</v>
      </c>
      <c r="H167" t="inlineStr">
        <is>
          <t>PCGH789 - Valency MSMO EHS audit</t>
        </is>
      </c>
      <c r="I167" t="n">
        <v>1</v>
      </c>
      <c r="J167" t="inlineStr">
        <is>
          <t>PCGH789 - Site Assessment (2) (Valency International DMCC)</t>
        </is>
      </c>
      <c r="K167" t="inlineStr">
        <is>
          <t>1st quarterly visit (2)</t>
        </is>
      </c>
      <c r="L167" t="b">
        <v>1</v>
      </c>
      <c r="M167" t="inlineStr">
        <is>
          <t>Billed at a Fixed price</t>
        </is>
      </c>
      <c r="N167" s="6">
        <f>IF(B167="","",IF(ISNUMBER(B167),TEXT(B167,"YYYY-MM"),LEFT(B167,7)))</f>
        <v/>
      </c>
    </row>
    <row r="168">
      <c r="A168" t="inlineStr">
        <is>
          <t>Stephen Doso</t>
        </is>
      </c>
      <c r="B168" s="4" t="n">
        <v>46189</v>
      </c>
      <c r="C168" t="inlineStr">
        <is>
          <t>Comms catch up of ISEAL training</t>
        </is>
      </c>
      <c r="D168" t="inlineStr">
        <is>
          <t>Stephen Doso</t>
        </is>
      </c>
      <c r="E168" t="inlineStr">
        <is>
          <t>Stephen Doso</t>
        </is>
      </c>
      <c r="F168" s="5" t="n">
        <v>46197.47592592592</v>
      </c>
      <c r="H168" t="inlineStr">
        <is>
          <t>Non-Billable Tasks</t>
        </is>
      </c>
      <c r="I168" t="n">
        <v>1</v>
      </c>
      <c r="K168" t="inlineStr">
        <is>
          <t>Communication/Data/Training</t>
        </is>
      </c>
      <c r="L168" t="b">
        <v>0</v>
      </c>
      <c r="M168" t="inlineStr">
        <is>
          <t>Non-Billable</t>
        </is>
      </c>
      <c r="N168" s="6">
        <f>IF(B168="","",IF(ISNUMBER(B168),TEXT(B168,"YYYY-MM"),LEFT(B168,7)))</f>
        <v/>
      </c>
    </row>
    <row r="169">
      <c r="A169" t="inlineStr">
        <is>
          <t>Stephen Doso</t>
        </is>
      </c>
      <c r="B169" s="4" t="n">
        <v>46189</v>
      </c>
      <c r="C169" t="inlineStr">
        <is>
          <t>/</t>
        </is>
      </c>
      <c r="D169" t="inlineStr">
        <is>
          <t>Stephen Doso</t>
        </is>
      </c>
      <c r="E169" t="inlineStr">
        <is>
          <t>Stephen Doso</t>
        </is>
      </c>
      <c r="F169" s="5" t="n">
        <v>46197.47497685185</v>
      </c>
      <c r="H169" t="inlineStr">
        <is>
          <t>PCGH791</t>
        </is>
      </c>
      <c r="I169" t="n">
        <v>2</v>
      </c>
      <c r="J169" t="inlineStr">
        <is>
          <t>PCGH791 - Stakeholder Consultations (3) (Rainforest Alliance Inc)</t>
        </is>
      </c>
      <c r="K169" t="inlineStr">
        <is>
          <t>Incorporating AFi in Proforest projects</t>
        </is>
      </c>
      <c r="L169" t="b">
        <v>1</v>
      </c>
      <c r="M169" t="inlineStr">
        <is>
          <t>Billed at a Fixed price</t>
        </is>
      </c>
      <c r="N169" s="6">
        <f>IF(B169="","",IF(ISNUMBER(B169),TEXT(B169,"YYYY-MM"),LEFT(B169,7)))</f>
        <v/>
      </c>
    </row>
    <row r="170">
      <c r="A170" t="inlineStr">
        <is>
          <t>Clement Obeng-Manu</t>
        </is>
      </c>
      <c r="B170" s="4" t="n">
        <v>46189</v>
      </c>
      <c r="C170" t="inlineStr">
        <is>
          <t>/</t>
        </is>
      </c>
      <c r="D170" t="inlineStr">
        <is>
          <t>Clement Obeng-Manu</t>
        </is>
      </c>
      <c r="E170" t="inlineStr">
        <is>
          <t>Clement Obeng-Manu</t>
        </is>
      </c>
      <c r="F170" s="5" t="n">
        <v>46195.71726851852</v>
      </c>
      <c r="H170" t="inlineStr">
        <is>
          <t>PCGH776 - Deforestation Risk-Assessment Cashew-Coast</t>
        </is>
      </c>
      <c r="I170" t="n">
        <v>8</v>
      </c>
      <c r="J170" t="inlineStr">
        <is>
          <t>PCGH776 - Groundthruthing and Verification (3) (Cashew Coast Products Inc)</t>
        </is>
      </c>
      <c r="K170" t="inlineStr">
        <is>
          <t>Land cover classification, ground truthing and accuracy assessment</t>
        </is>
      </c>
      <c r="L170" t="b">
        <v>1</v>
      </c>
      <c r="M170" t="inlineStr">
        <is>
          <t>Billed at a Fixed price</t>
        </is>
      </c>
      <c r="N170" s="6">
        <f>IF(B170="","",IF(ISNUMBER(B170),TEXT(B170,"YYYY-MM"),LEFT(B170,7)))</f>
        <v/>
      </c>
    </row>
    <row r="171">
      <c r="A171" t="inlineStr">
        <is>
          <t>Soro TCHEREGNIMIN</t>
        </is>
      </c>
      <c r="B171" s="4" t="n">
        <v>46189</v>
      </c>
      <c r="C171" t="inlineStr">
        <is>
          <t>/</t>
        </is>
      </c>
      <c r="D171" t="inlineStr">
        <is>
          <t>Soro TCHEREGNIMIN</t>
        </is>
      </c>
      <c r="E171" t="inlineStr">
        <is>
          <t>Soro TCHEREGNIMIN</t>
        </is>
      </c>
      <c r="F171" s="5" t="n">
        <v>46195.67515046296</v>
      </c>
      <c r="H171" t="inlineStr">
        <is>
          <t>PCGH787</t>
        </is>
      </c>
      <c r="I171" t="n">
        <v>8</v>
      </c>
      <c r="J171" t="inlineStr">
        <is>
          <t>PCGH787 - Desk Study (3) (Proforest Limited(PCUK GBP))</t>
        </is>
      </c>
      <c r="L171" t="b">
        <v>1</v>
      </c>
      <c r="M171" t="inlineStr">
        <is>
          <t>Billed at a Fixed price</t>
        </is>
      </c>
      <c r="N171" s="6">
        <f>IF(B171="","",IF(ISNUMBER(B171),TEXT(B171,"YYYY-MM"),LEFT(B171,7)))</f>
        <v/>
      </c>
    </row>
    <row r="172">
      <c r="A172" t="inlineStr">
        <is>
          <t>Helena Tetteh</t>
        </is>
      </c>
      <c r="B172" s="4" t="n">
        <v>46189</v>
      </c>
      <c r="C172" t="inlineStr">
        <is>
          <t>Sick-leave (typhoid)</t>
        </is>
      </c>
      <c r="D172" t="inlineStr">
        <is>
          <t xml:space="preserve">Helena Tetteh </t>
        </is>
      </c>
      <c r="E172" t="inlineStr">
        <is>
          <t>Helena Tetteh</t>
        </is>
      </c>
      <c r="F172" s="5" t="n">
        <v>46195.55559027778</v>
      </c>
      <c r="H172" t="inlineStr">
        <is>
          <t>Non-Billable Tasks</t>
        </is>
      </c>
      <c r="I172" t="n">
        <v>8</v>
      </c>
      <c r="K172" t="inlineStr">
        <is>
          <t>Time Off</t>
        </is>
      </c>
      <c r="L172" t="b">
        <v>0</v>
      </c>
      <c r="M172" t="inlineStr">
        <is>
          <t>Non-Billable</t>
        </is>
      </c>
      <c r="N172" s="6">
        <f>IF(B172="","",IF(ISNUMBER(B172),TEXT(B172,"YYYY-MM"),LEFT(B172,7)))</f>
        <v/>
      </c>
    </row>
    <row r="173">
      <c r="A173" t="inlineStr">
        <is>
          <t>Frederick Antwi</t>
        </is>
      </c>
      <c r="B173" s="4" t="n">
        <v>46189</v>
      </c>
      <c r="C173" t="inlineStr">
        <is>
          <t>/</t>
        </is>
      </c>
      <c r="D173" t="inlineStr">
        <is>
          <t>Frederick Antwi</t>
        </is>
      </c>
      <c r="E173" t="inlineStr">
        <is>
          <t>Frederick Antwi</t>
        </is>
      </c>
      <c r="F173" s="5" t="n">
        <v>46195.45509259259</v>
      </c>
      <c r="H173" t="inlineStr">
        <is>
          <t>P13PC00A00 - Private Sector Companies</t>
        </is>
      </c>
      <c r="I173" t="n">
        <v>8</v>
      </c>
      <c r="L173" t="b">
        <v>0</v>
      </c>
      <c r="M173" t="inlineStr">
        <is>
          <t>Non-Billable</t>
        </is>
      </c>
      <c r="N173" s="6">
        <f>IF(B173="","",IF(ISNUMBER(B173),TEXT(B173,"YYYY-MM"),LEFT(B173,7)))</f>
        <v/>
      </c>
    </row>
    <row r="174">
      <c r="A174" t="inlineStr">
        <is>
          <t>Patricia Offei</t>
        </is>
      </c>
      <c r="B174" s="4" t="n">
        <v>46189</v>
      </c>
      <c r="C174" t="inlineStr">
        <is>
          <t>Weekly updates with Team in Borotou</t>
        </is>
      </c>
      <c r="D174" t="inlineStr">
        <is>
          <t>Patricia Offei</t>
        </is>
      </c>
      <c r="E174" t="inlineStr">
        <is>
          <t>Patricia Offei</t>
        </is>
      </c>
      <c r="F174" s="5" t="n">
        <v>46195.37581018519</v>
      </c>
      <c r="G174" t="inlineStr">
        <is>
          <t>WS 15.1: Tree Planting &amp; Biodiversity Conservation</t>
        </is>
      </c>
      <c r="H174" t="inlineStr">
        <is>
          <t>PCGH779 - Cote d'Ivoire）</t>
        </is>
      </c>
      <c r="I174" t="n">
        <v>1</v>
      </c>
      <c r="J174" t="inlineStr">
        <is>
          <t>PCGH779 - Tree Planting Project (3) (Proforest Limited(PCUK GBP))</t>
        </is>
      </c>
      <c r="K174" t="inlineStr">
        <is>
          <t>Support establishment of nursery in Borotou, Zuenoula</t>
        </is>
      </c>
      <c r="L174" t="b">
        <v>1</v>
      </c>
      <c r="M174" t="inlineStr">
        <is>
          <t>Billed at a Fixed price</t>
        </is>
      </c>
      <c r="N174" s="6">
        <f>IF(B174="","",IF(ISNUMBER(B174),TEXT(B174,"YYYY-MM"),LEFT(B174,7)))</f>
        <v/>
      </c>
    </row>
    <row r="175">
      <c r="A175" t="inlineStr">
        <is>
          <t>Patricia Offei</t>
        </is>
      </c>
      <c r="B175" s="4" t="n">
        <v>46189</v>
      </c>
      <c r="C175" t="inlineStr">
        <is>
          <t>Review of Monitoring plan</t>
        </is>
      </c>
      <c r="D175" t="inlineStr">
        <is>
          <t>Patricia Offei</t>
        </is>
      </c>
      <c r="E175" t="inlineStr">
        <is>
          <t>Patricia Offei</t>
        </is>
      </c>
      <c r="F175" s="5" t="n">
        <v>46195.37457175926</v>
      </c>
      <c r="G175" t="inlineStr">
        <is>
          <t>WS 15.3: Monitoring &amp; Evaluation (Tree Planting)</t>
        </is>
      </c>
      <c r="H175" t="inlineStr">
        <is>
          <t>PCGH779 - Cote d'Ivoire）</t>
        </is>
      </c>
      <c r="I175" t="n">
        <v>1</v>
      </c>
      <c r="J175" t="inlineStr">
        <is>
          <t>PCGH779 - Monitoring and Evaluation (3) (Proforest Limited(PCUK GBP))</t>
        </is>
      </c>
      <c r="K175" t="inlineStr">
        <is>
          <t>Develop monitoring plan and framework</t>
        </is>
      </c>
      <c r="L175" t="b">
        <v>1</v>
      </c>
      <c r="M175" t="inlineStr">
        <is>
          <t>Billed at a Fixed price</t>
        </is>
      </c>
      <c r="N175" s="6">
        <f>IF(B175="","",IF(ISNUMBER(B175),TEXT(B175,"YYYY-MM"),LEFT(B175,7)))</f>
        <v/>
      </c>
    </row>
    <row r="176">
      <c r="A176" t="inlineStr">
        <is>
          <t>Patricia Offei</t>
        </is>
      </c>
      <c r="B176" s="4" t="n">
        <v>46189</v>
      </c>
      <c r="C176" t="inlineStr">
        <is>
          <t>SE Update and AFR Connect call</t>
        </is>
      </c>
      <c r="D176" t="inlineStr">
        <is>
          <t>Patricia Offei</t>
        </is>
      </c>
      <c r="E176" t="inlineStr">
        <is>
          <t>Patricia Offei</t>
        </is>
      </c>
      <c r="F176" s="5" t="n">
        <v>46195.37402777778</v>
      </c>
      <c r="H176" t="inlineStr">
        <is>
          <t>PCGH778 - General Support</t>
        </is>
      </c>
      <c r="I176" t="n">
        <v>1</v>
      </c>
      <c r="J176" t="inlineStr">
        <is>
          <t>PCGH778 - Support to Other Workstreams (3) (Proforest Limited(PCUK GBP))</t>
        </is>
      </c>
      <c r="K176" t="inlineStr">
        <is>
          <t xml:space="preserve">(Admin &amp; Project Management) External regular catch-up calls </t>
        </is>
      </c>
      <c r="L176" t="b">
        <v>1</v>
      </c>
      <c r="M176" t="inlineStr">
        <is>
          <t>Billed at a Fixed price</t>
        </is>
      </c>
      <c r="N176" s="6">
        <f>IF(B176="","",IF(ISNUMBER(B176),TEXT(B176,"YYYY-MM"),LEFT(B176,7)))</f>
        <v/>
      </c>
    </row>
    <row r="177">
      <c r="A177" t="inlineStr">
        <is>
          <t>Patricia Offei</t>
        </is>
      </c>
      <c r="B177" s="4" t="n">
        <v>46189</v>
      </c>
      <c r="C177" t="inlineStr">
        <is>
          <t>/</t>
        </is>
      </c>
      <c r="D177" t="inlineStr">
        <is>
          <t>Patricia Offei</t>
        </is>
      </c>
      <c r="E177" t="inlineStr">
        <is>
          <t>Patricia Offei</t>
        </is>
      </c>
      <c r="F177" s="5" t="n">
        <v>46195.37328703704</v>
      </c>
      <c r="H177" t="inlineStr">
        <is>
          <t>PCGH774 -Evaluation Deep-Dive Action Plans by Socfin Group</t>
        </is>
      </c>
      <c r="I177" t="n">
        <v>1</v>
      </c>
      <c r="J177" t="inlineStr">
        <is>
          <t>PCGH774 - Tier 3 (Socfinco FR SA)</t>
        </is>
      </c>
      <c r="K177" t="inlineStr">
        <is>
          <t>SOGB - Analysis and reporting</t>
        </is>
      </c>
      <c r="L177" t="b">
        <v>1</v>
      </c>
      <c r="M177" t="inlineStr">
        <is>
          <t>Billed at a Fixed price</t>
        </is>
      </c>
      <c r="N177" s="6">
        <f>IF(B177="","",IF(ISNUMBER(B177),TEXT(B177,"YYYY-MM"),LEFT(B177,7)))</f>
        <v/>
      </c>
    </row>
    <row r="178">
      <c r="A178" t="inlineStr">
        <is>
          <t>Patricia Offei</t>
        </is>
      </c>
      <c r="B178" s="4" t="n">
        <v>46189</v>
      </c>
      <c r="C178" t="inlineStr">
        <is>
          <t>/</t>
        </is>
      </c>
      <c r="D178" t="inlineStr">
        <is>
          <t>Patricia Offei</t>
        </is>
      </c>
      <c r="E178" t="inlineStr">
        <is>
          <t>Patricia Offei</t>
        </is>
      </c>
      <c r="F178" s="5" t="n">
        <v>46195.37327546296</v>
      </c>
      <c r="H178" t="inlineStr">
        <is>
          <t>PCGH774 -Evaluation Deep-Dive Action Plans by Socfin Group</t>
        </is>
      </c>
      <c r="I178" t="n">
        <v>1</v>
      </c>
      <c r="J178" t="inlineStr">
        <is>
          <t>PCGH774 - Analysis and Reporting (3) (Socfinco FR SA)</t>
        </is>
      </c>
      <c r="K178" t="inlineStr">
        <is>
          <t xml:space="preserve">Cameroon (Safacam) - Analysis and Reporting </t>
        </is>
      </c>
      <c r="L178" t="b">
        <v>1</v>
      </c>
      <c r="M178" t="inlineStr">
        <is>
          <t>Billed at a Fixed price</t>
        </is>
      </c>
      <c r="N178" s="6">
        <f>IF(B178="","",IF(ISNUMBER(B178),TEXT(B178,"YYYY-MM"),LEFT(B178,7)))</f>
        <v/>
      </c>
    </row>
    <row r="179">
      <c r="A179" t="inlineStr">
        <is>
          <t>Patricia Offei</t>
        </is>
      </c>
      <c r="B179" s="4" t="n">
        <v>46189</v>
      </c>
      <c r="C179" t="inlineStr">
        <is>
          <t>/</t>
        </is>
      </c>
      <c r="D179" t="inlineStr">
        <is>
          <t>Patricia Offei</t>
        </is>
      </c>
      <c r="E179" t="inlineStr">
        <is>
          <t>Patricia Offei</t>
        </is>
      </c>
      <c r="F179" s="5" t="n">
        <v>46195.39149305555</v>
      </c>
      <c r="H179" t="inlineStr">
        <is>
          <t>PCGH774 -Evaluation Deep-Dive Action Plans by Socfin Group</t>
        </is>
      </c>
      <c r="I179" t="n">
        <v>3</v>
      </c>
      <c r="J179" t="inlineStr">
        <is>
          <t>PCGH774 - Analysis and Reporting (3) (Socfinco FR SA)</t>
        </is>
      </c>
      <c r="K179" t="inlineStr">
        <is>
          <t>[Cameroon, Socapalm （Dibombari + Edéa + Mbongo + Mbambou） Report review] - Analysis and Reporting</t>
        </is>
      </c>
      <c r="L179" t="b">
        <v>1</v>
      </c>
      <c r="M179" t="inlineStr">
        <is>
          <t>Billed at a Fixed price</t>
        </is>
      </c>
      <c r="N179" s="6">
        <f>IF(B179="","",IF(ISNUMBER(B179),TEXT(B179,"YYYY-MM"),LEFT(B179,7)))</f>
        <v/>
      </c>
    </row>
    <row r="180">
      <c r="A180" t="inlineStr">
        <is>
          <t>Louis Defo</t>
        </is>
      </c>
      <c r="B180" s="4" t="n">
        <v>46189</v>
      </c>
      <c r="C180" t="inlineStr">
        <is>
          <t>Work on FSC RFP with Bilge</t>
        </is>
      </c>
      <c r="D180" t="inlineStr">
        <is>
          <t>Louis Defo</t>
        </is>
      </c>
      <c r="E180" t="inlineStr">
        <is>
          <t>Louis Defo</t>
        </is>
      </c>
      <c r="F180" s="5" t="n">
        <v>46195.34457175926</v>
      </c>
      <c r="H180" t="inlineStr">
        <is>
          <t>Non-Billable Tasks</t>
        </is>
      </c>
      <c r="I180" t="n">
        <v>8</v>
      </c>
      <c r="L180" t="b">
        <v>0</v>
      </c>
      <c r="M180" t="inlineStr">
        <is>
          <t>Non-Billable</t>
        </is>
      </c>
      <c r="N180" s="6">
        <f>IF(B180="","",IF(ISNUMBER(B180),TEXT(B180,"YYYY-MM"),LEFT(B180,7)))</f>
        <v/>
      </c>
    </row>
    <row r="181">
      <c r="A181" t="inlineStr">
        <is>
          <t>Abel Ansu</t>
        </is>
      </c>
      <c r="B181" s="4" t="n">
        <v>46189</v>
      </c>
      <c r="C181" t="inlineStr">
        <is>
          <t>Collate list of MTS farmers and confirm goods supplied at Asumura RSC</t>
        </is>
      </c>
      <c r="D181" t="inlineStr">
        <is>
          <t>Abel Ansu</t>
        </is>
      </c>
      <c r="E181" t="inlineStr">
        <is>
          <t>Abel Ansu</t>
        </is>
      </c>
      <c r="F181" s="5" t="n">
        <v>46195.2940625</v>
      </c>
      <c r="H181" t="inlineStr">
        <is>
          <t>P13NC00A00 - WALMART II</t>
        </is>
      </c>
      <c r="I181" t="n">
        <v>8</v>
      </c>
      <c r="K181" t="inlineStr">
        <is>
          <t>Programme Personnel and Management</t>
        </is>
      </c>
      <c r="L181" t="b">
        <v>0</v>
      </c>
      <c r="M181" t="inlineStr">
        <is>
          <t>Non-Billable</t>
        </is>
      </c>
      <c r="N181" s="6">
        <f>IF(B181="","",IF(ISNUMBER(B181),TEXT(B181,"YYYY-MM"),LEFT(B181,7)))</f>
        <v/>
      </c>
    </row>
    <row r="182">
      <c r="A182" t="inlineStr">
        <is>
          <t>Ekow Nyamekye Tawiah</t>
        </is>
      </c>
      <c r="B182" s="4" t="n">
        <v>46189</v>
      </c>
      <c r="C182" t="inlineStr">
        <is>
          <t>Deforestation Risk Analysis for Cameroon, Mauritius, Mozambique, Nigeria and Reunion (Run Analysis)</t>
        </is>
      </c>
      <c r="D182" t="inlineStr">
        <is>
          <t>Ekow Nyamekye Tawiah</t>
        </is>
      </c>
      <c r="E182" t="inlineStr">
        <is>
          <t>Ekow Nyamekye Tawiah</t>
        </is>
      </c>
      <c r="F182" s="5" t="n">
        <v>46209.38650462963</v>
      </c>
      <c r="H182" t="inlineStr">
        <is>
          <t>PCGH778 - General Support</t>
        </is>
      </c>
      <c r="I182" t="n">
        <v>4</v>
      </c>
      <c r="J182" t="inlineStr">
        <is>
          <t>PCGH778 - Support to Other Workstreams (3) (Proforest Limited(PCUK GBP))</t>
        </is>
      </c>
      <c r="K182" t="inlineStr">
        <is>
          <t>(WS3: Deforestation) Deforestation Remote Risk Assessment</t>
        </is>
      </c>
      <c r="L182" t="b">
        <v>1</v>
      </c>
      <c r="M182" t="inlineStr">
        <is>
          <t>Billed at a Fixed price</t>
        </is>
      </c>
      <c r="N182" s="6">
        <f>IF(B182="","",IF(ISNUMBER(B182),TEXT(B182,"YYYY-MM"),LEFT(B182,7)))</f>
        <v/>
      </c>
    </row>
    <row r="183">
      <c r="A183" t="inlineStr">
        <is>
          <t>Mawuse Agblobi</t>
        </is>
      </c>
      <c r="B183" s="4" t="n">
        <v>46189</v>
      </c>
      <c r="C183" t="inlineStr">
        <is>
          <t>Time Off (2/2)</t>
        </is>
      </c>
      <c r="D183" t="inlineStr">
        <is>
          <t>Jacqueline Nyakutse Afua</t>
        </is>
      </c>
      <c r="E183" t="inlineStr">
        <is>
          <t>Mawuse Agblobi</t>
        </is>
      </c>
      <c r="F183" s="5" t="n">
        <v>46190.57643518518</v>
      </c>
      <c r="H183" t="inlineStr">
        <is>
          <t>Internal</t>
        </is>
      </c>
      <c r="I183" t="n">
        <v>8</v>
      </c>
      <c r="K183" t="inlineStr">
        <is>
          <t>Time Off</t>
        </is>
      </c>
      <c r="L183" t="b">
        <v>0</v>
      </c>
      <c r="M183" t="inlineStr">
        <is>
          <t>Non-Billable</t>
        </is>
      </c>
      <c r="N183" s="6">
        <f>IF(B183="","",IF(ISNUMBER(B183),TEXT(B183,"YYYY-MM"),LEFT(B183,7)))</f>
        <v/>
      </c>
    </row>
    <row r="184">
      <c r="A184" t="inlineStr">
        <is>
          <t>Mawuse Agblobi</t>
        </is>
      </c>
      <c r="B184" s="4" t="n">
        <v>46189</v>
      </c>
      <c r="C184" t="inlineStr">
        <is>
          <t>Time Off (2/2)</t>
        </is>
      </c>
      <c r="D184" t="inlineStr">
        <is>
          <t>Ebenezer Gyadu</t>
        </is>
      </c>
      <c r="E184" t="inlineStr">
        <is>
          <t>Mawuse Agblobi</t>
        </is>
      </c>
      <c r="F184" s="5" t="n">
        <v>46190.57613425926</v>
      </c>
      <c r="H184" t="inlineStr">
        <is>
          <t>Internal</t>
        </is>
      </c>
      <c r="I184" t="n">
        <v>8</v>
      </c>
      <c r="K184" t="inlineStr">
        <is>
          <t>Time Off</t>
        </is>
      </c>
      <c r="L184" t="b">
        <v>0</v>
      </c>
      <c r="M184" t="inlineStr">
        <is>
          <t>Non-Billable</t>
        </is>
      </c>
      <c r="N184" s="6">
        <f>IF(B184="","",IF(ISNUMBER(B184),TEXT(B184,"YYYY-MM"),LEFT(B184,7)))</f>
        <v/>
      </c>
    </row>
    <row r="185">
      <c r="A185" t="inlineStr">
        <is>
          <t>Augustus Asamoah</t>
        </is>
      </c>
      <c r="B185" s="4" t="n">
        <v>46188</v>
      </c>
      <c r="C185" t="inlineStr">
        <is>
          <t>/</t>
        </is>
      </c>
      <c r="D185" t="inlineStr">
        <is>
          <t>Augustus Asamoah</t>
        </is>
      </c>
      <c r="E185" t="inlineStr">
        <is>
          <t>Augustus Asamoah</t>
        </is>
      </c>
      <c r="F185" s="5" t="n">
        <v>46210.38041666667</v>
      </c>
      <c r="H185" t="inlineStr">
        <is>
          <t>P13PC00A00 - Private Sector Companies</t>
        </is>
      </c>
      <c r="I185" t="n">
        <v>0</v>
      </c>
      <c r="K185" t="inlineStr">
        <is>
          <t>Procurement</t>
        </is>
      </c>
      <c r="L185" t="b">
        <v>0</v>
      </c>
      <c r="M185" t="inlineStr">
        <is>
          <t>Non-Billable</t>
        </is>
      </c>
      <c r="N185" s="6">
        <f>IF(B185="","",IF(ISNUMBER(B185),TEXT(B185,"YYYY-MM"),LEFT(B185,7)))</f>
        <v/>
      </c>
    </row>
    <row r="186">
      <c r="A186" t="inlineStr">
        <is>
          <t>Augustus Asamoah</t>
        </is>
      </c>
      <c r="B186" s="4" t="n">
        <v>46188</v>
      </c>
      <c r="C186" t="inlineStr">
        <is>
          <t>/</t>
        </is>
      </c>
      <c r="D186" t="inlineStr">
        <is>
          <t>Augustus Asamoah</t>
        </is>
      </c>
      <c r="E186" t="inlineStr">
        <is>
          <t>Augustus Asamoah</t>
        </is>
      </c>
      <c r="F186" s="5" t="n">
        <v>46210.37993055556</v>
      </c>
      <c r="H186" t="inlineStr">
        <is>
          <t>P13PC00A00 - Private Sector Companies</t>
        </is>
      </c>
      <c r="I186" t="n">
        <v>0</v>
      </c>
      <c r="K186" t="inlineStr">
        <is>
          <t>Support for A-A HMB</t>
        </is>
      </c>
      <c r="L186" t="b">
        <v>0</v>
      </c>
      <c r="M186" t="inlineStr">
        <is>
          <t>Non-Billable</t>
        </is>
      </c>
      <c r="N186" s="6">
        <f>IF(B186="","",IF(ISNUMBER(B186),TEXT(B186,"YYYY-MM"),LEFT(B186,7)))</f>
        <v/>
      </c>
    </row>
    <row r="187">
      <c r="A187" t="inlineStr">
        <is>
          <t>Augustus Asamoah</t>
        </is>
      </c>
      <c r="B187" s="4" t="n">
        <v>46188</v>
      </c>
      <c r="C187" t="inlineStr">
        <is>
          <t>/</t>
        </is>
      </c>
      <c r="D187" t="inlineStr">
        <is>
          <t>Augustus Asamoah</t>
        </is>
      </c>
      <c r="E187" t="inlineStr">
        <is>
          <t>Augustus Asamoah</t>
        </is>
      </c>
      <c r="F187" s="5" t="n">
        <v>46210.380625</v>
      </c>
      <c r="H187" t="inlineStr">
        <is>
          <t>P13NC00A00 - WALMART II</t>
        </is>
      </c>
      <c r="I187" t="n">
        <v>2</v>
      </c>
      <c r="K187" t="inlineStr">
        <is>
          <t>Follow up of seedling procurement, AFS, &amp; Procurements</t>
        </is>
      </c>
      <c r="L187" t="b">
        <v>0</v>
      </c>
      <c r="M187" t="inlineStr">
        <is>
          <t>Non-Billable</t>
        </is>
      </c>
      <c r="N187" s="6">
        <f>IF(B187="","",IF(ISNUMBER(B187),TEXT(B187,"YYYY-MM"),LEFT(B187,7)))</f>
        <v/>
      </c>
    </row>
    <row r="188">
      <c r="A188" t="inlineStr">
        <is>
          <t>Augustus Asamoah</t>
        </is>
      </c>
      <c r="B188" s="4" t="n">
        <v>46188</v>
      </c>
      <c r="C188" t="inlineStr">
        <is>
          <t>/</t>
        </is>
      </c>
      <c r="D188" t="inlineStr">
        <is>
          <t>Augustus Asamoah</t>
        </is>
      </c>
      <c r="E188" t="inlineStr">
        <is>
          <t>Augustus Asamoah</t>
        </is>
      </c>
      <c r="F188" s="5" t="n">
        <v>46210.38068287037</v>
      </c>
      <c r="H188" t="inlineStr">
        <is>
          <t>P13PC00A00 - Private Sector Companies</t>
        </is>
      </c>
      <c r="I188" t="n">
        <v>2</v>
      </c>
      <c r="K188" t="inlineStr">
        <is>
          <t>coordination of MTS and related Activities</t>
        </is>
      </c>
      <c r="L188" t="b">
        <v>0</v>
      </c>
      <c r="M188" t="inlineStr">
        <is>
          <t>Non-Billable</t>
        </is>
      </c>
      <c r="N188" s="6">
        <f>IF(B188="","",IF(ISNUMBER(B188),TEXT(B188,"YYYY-MM"),LEFT(B188,7)))</f>
        <v/>
      </c>
    </row>
    <row r="189">
      <c r="A189" t="inlineStr">
        <is>
          <t>Augustus Asamoah</t>
        </is>
      </c>
      <c r="B189" s="4" t="n">
        <v>46188</v>
      </c>
      <c r="C189" t="inlineStr">
        <is>
          <t>/</t>
        </is>
      </c>
      <c r="D189" t="inlineStr">
        <is>
          <t>Augustus Asamoah</t>
        </is>
      </c>
      <c r="E189" t="inlineStr">
        <is>
          <t>Augustus Asamoah</t>
        </is>
      </c>
      <c r="F189" s="5" t="n">
        <v>46210.37771990741</v>
      </c>
      <c r="H189" t="inlineStr">
        <is>
          <t>P13QC00A00 - EFI Programme</t>
        </is>
      </c>
      <c r="I189" t="n">
        <v>0</v>
      </c>
      <c r="K189" t="inlineStr">
        <is>
          <t>Grant coordination Meeting in Takoradi</t>
        </is>
      </c>
      <c r="L189" t="b">
        <v>0</v>
      </c>
      <c r="M189" t="inlineStr">
        <is>
          <t>Non-Billable</t>
        </is>
      </c>
      <c r="N189" s="6">
        <f>IF(B189="","",IF(ISNUMBER(B189),TEXT(B189,"YYYY-MM"),LEFT(B189,7)))</f>
        <v/>
      </c>
    </row>
    <row r="190">
      <c r="A190" t="inlineStr">
        <is>
          <t>Augustus Asamoah</t>
        </is>
      </c>
      <c r="B190" s="4" t="n">
        <v>46188</v>
      </c>
      <c r="C190" t="inlineStr">
        <is>
          <t>/</t>
        </is>
      </c>
      <c r="D190" t="inlineStr">
        <is>
          <t>Augustus Asamoah</t>
        </is>
      </c>
      <c r="E190" t="inlineStr">
        <is>
          <t>Augustus Asamoah</t>
        </is>
      </c>
      <c r="F190" s="5" t="n">
        <v>46210.38072916667</v>
      </c>
      <c r="H190" t="inlineStr">
        <is>
          <t>P13QC00A00 - EFI Programme</t>
        </is>
      </c>
      <c r="I190" t="n">
        <v>2</v>
      </c>
      <c r="K190" t="inlineStr">
        <is>
          <t>Follow up on Field activities</t>
        </is>
      </c>
      <c r="L190" t="b">
        <v>0</v>
      </c>
      <c r="M190" t="inlineStr">
        <is>
          <t>Non-Billable</t>
        </is>
      </c>
      <c r="N190" s="6">
        <f>IF(B190="","",IF(ISNUMBER(B190),TEXT(B190,"YYYY-MM"),LEFT(B190,7)))</f>
        <v/>
      </c>
    </row>
    <row r="191">
      <c r="A191" t="inlineStr">
        <is>
          <t>Augustus Asamoah</t>
        </is>
      </c>
      <c r="B191" s="4" t="n">
        <v>46188</v>
      </c>
      <c r="C191" t="inlineStr">
        <is>
          <t>S</t>
        </is>
      </c>
      <c r="D191" t="inlineStr">
        <is>
          <t>Augustus Asamoah</t>
        </is>
      </c>
      <c r="E191" t="inlineStr">
        <is>
          <t>Augustus Asamoah</t>
        </is>
      </c>
      <c r="F191" s="5" t="n">
        <v>46210.38070601852</v>
      </c>
      <c r="H191" t="inlineStr">
        <is>
          <t>P13PC00A00 - Private Sector Companies</t>
        </is>
      </c>
      <c r="I191" t="n">
        <v>2</v>
      </c>
      <c r="K191" t="inlineStr">
        <is>
          <t>Seeding Procurement and Supply</t>
        </is>
      </c>
      <c r="L191" t="b">
        <v>0</v>
      </c>
      <c r="M191" t="inlineStr">
        <is>
          <t>Non-Billable</t>
        </is>
      </c>
      <c r="N191" s="6">
        <f>IF(B191="","",IF(ISNUMBER(B191),TEXT(B191,"YYYY-MM"),LEFT(B191,7)))</f>
        <v/>
      </c>
    </row>
    <row r="192">
      <c r="A192" t="inlineStr">
        <is>
          <t>Augustus Asamoah</t>
        </is>
      </c>
      <c r="B192" s="4" t="n">
        <v>46188</v>
      </c>
      <c r="C192" t="inlineStr">
        <is>
          <t>/</t>
        </is>
      </c>
      <c r="D192" t="inlineStr">
        <is>
          <t>Augustus Asamoah</t>
        </is>
      </c>
      <c r="E192" t="inlineStr">
        <is>
          <t>Augustus Asamoah</t>
        </is>
      </c>
      <c r="F192" s="5" t="n">
        <v>46210.36226851852</v>
      </c>
      <c r="H192" t="inlineStr">
        <is>
          <t>P13NC00A00 - WALMART II</t>
        </is>
      </c>
      <c r="I192" t="n">
        <v>0</v>
      </c>
      <c r="L192" t="b">
        <v>0</v>
      </c>
      <c r="M192" t="inlineStr">
        <is>
          <t>Non-Billable</t>
        </is>
      </c>
      <c r="N192" s="6">
        <f>IF(B192="","",IF(ISNUMBER(B192),TEXT(B192,"YYYY-MM"),LEFT(B192,7)))</f>
        <v/>
      </c>
    </row>
    <row r="193">
      <c r="A193" t="inlineStr">
        <is>
          <t>Kwadwo Baniako Nti</t>
        </is>
      </c>
      <c r="B193" s="4" t="n">
        <v>46188</v>
      </c>
      <c r="C193" t="inlineStr">
        <is>
          <t>Developing theory of change, drafting strategic and operational guiding principles for PSG HCV M&amp;M effective monitoring GIP</t>
        </is>
      </c>
      <c r="D193" t="inlineStr">
        <is>
          <t>Kwadwo Baniako Nti</t>
        </is>
      </c>
      <c r="E193" t="inlineStr">
        <is>
          <t>Kwadwo Baniako Nti</t>
        </is>
      </c>
      <c r="F193" s="5" t="n">
        <v>46205.50965277778</v>
      </c>
      <c r="H193" t="inlineStr">
        <is>
          <t>Global Internal Projects (GIPs)</t>
        </is>
      </c>
      <c r="I193" t="n">
        <v>0</v>
      </c>
      <c r="K193" t="inlineStr">
        <is>
          <t>PFAFR004 Focal point work</t>
        </is>
      </c>
      <c r="L193" t="b">
        <v>1</v>
      </c>
      <c r="M193" t="inlineStr">
        <is>
          <t>Non-Billable</t>
        </is>
      </c>
      <c r="N193" s="6">
        <f>IF(B193="","",IF(ISNUMBER(B193),TEXT(B193,"YYYY-MM"),LEFT(B193,7)))</f>
        <v/>
      </c>
    </row>
    <row r="194">
      <c r="A194" t="inlineStr">
        <is>
          <t>Kwadwo Baniako Nti</t>
        </is>
      </c>
      <c r="B194" s="4" t="n">
        <v>46188</v>
      </c>
      <c r="C194" t="inlineStr">
        <is>
          <t>/</t>
        </is>
      </c>
      <c r="D194" t="inlineStr">
        <is>
          <t>Kwadwo Baniako Nti</t>
        </is>
      </c>
      <c r="E194" t="inlineStr">
        <is>
          <t>Kwadwo Baniako Nti</t>
        </is>
      </c>
      <c r="F194" s="5" t="n">
        <v>46205.50972222222</v>
      </c>
      <c r="H194" t="inlineStr">
        <is>
          <t>PCGH793</t>
        </is>
      </c>
      <c r="I194" t="n">
        <v>8</v>
      </c>
      <c r="J194" t="inlineStr">
        <is>
          <t>PCGH793 - Field work  (3) (Okeosisi Jonathan)</t>
        </is>
      </c>
      <c r="K194" t="inlineStr">
        <is>
          <t>Field Visit and Data Collection</t>
        </is>
      </c>
      <c r="L194" t="b">
        <v>1</v>
      </c>
      <c r="M194" t="inlineStr">
        <is>
          <t>Billed at a Fixed price</t>
        </is>
      </c>
      <c r="N194" s="6">
        <f>IF(B194="","",IF(ISNUMBER(B194),TEXT(B194,"YYYY-MM"),LEFT(B194,7)))</f>
        <v/>
      </c>
    </row>
    <row r="195">
      <c r="A195" t="inlineStr">
        <is>
          <t>Stephen Doso</t>
        </is>
      </c>
      <c r="B195" s="4" t="n">
        <v>46188</v>
      </c>
      <c r="C195" t="inlineStr">
        <is>
          <t>/</t>
        </is>
      </c>
      <c r="D195" t="inlineStr">
        <is>
          <t>Stephen Doso</t>
        </is>
      </c>
      <c r="E195" t="inlineStr">
        <is>
          <t>Stephen Doso</t>
        </is>
      </c>
      <c r="F195" s="5" t="n">
        <v>46197.47402777777</v>
      </c>
      <c r="G195" t="inlineStr">
        <is>
          <t>Analysis and Reporting (2)</t>
        </is>
      </c>
      <c r="H195" t="inlineStr">
        <is>
          <t>PCGH792</t>
        </is>
      </c>
      <c r="I195" t="n">
        <v>6</v>
      </c>
      <c r="J195" t="inlineStr">
        <is>
          <t>PCGH792 - Analysis and Reporting (2) (Okeosisi Jonathan)</t>
        </is>
      </c>
      <c r="K195" t="inlineStr">
        <is>
          <t>Review</t>
        </is>
      </c>
      <c r="L195" t="b">
        <v>1</v>
      </c>
      <c r="M195" t="inlineStr">
        <is>
          <t>Billed at a Fixed price</t>
        </is>
      </c>
      <c r="N195" s="6">
        <f>IF(B195="","",IF(ISNUMBER(B195),TEXT(B195,"YYYY-MM"),LEFT(B195,7)))</f>
        <v/>
      </c>
    </row>
    <row r="196">
      <c r="A196" t="inlineStr">
        <is>
          <t>Stephen Doso</t>
        </is>
      </c>
      <c r="B196" s="4" t="n">
        <v>46188</v>
      </c>
      <c r="C196" t="inlineStr">
        <is>
          <t>/</t>
        </is>
      </c>
      <c r="D196" t="inlineStr">
        <is>
          <t>Stephen Doso</t>
        </is>
      </c>
      <c r="E196" t="inlineStr">
        <is>
          <t>Stephen Doso</t>
        </is>
      </c>
      <c r="F196" s="5" t="n">
        <v>46197.47170138889</v>
      </c>
      <c r="H196" t="inlineStr">
        <is>
          <t>Non-Billable Tasks</t>
        </is>
      </c>
      <c r="I196" t="n">
        <v>1</v>
      </c>
      <c r="K196" t="inlineStr">
        <is>
          <t>Portfolio Team Management</t>
        </is>
      </c>
      <c r="L196" t="b">
        <v>0</v>
      </c>
      <c r="M196" t="inlineStr">
        <is>
          <t>Non-Billable</t>
        </is>
      </c>
      <c r="N196" s="6">
        <f>IF(B196="","",IF(ISNUMBER(B196),TEXT(B196,"YYYY-MM"),LEFT(B196,7)))</f>
        <v/>
      </c>
    </row>
    <row r="197">
      <c r="A197" t="inlineStr">
        <is>
          <t>Stephen Doso</t>
        </is>
      </c>
      <c r="B197" s="4" t="n">
        <v>46188</v>
      </c>
      <c r="C197" t="inlineStr">
        <is>
          <t>/</t>
        </is>
      </c>
      <c r="D197" t="inlineStr">
        <is>
          <t>Stephen Doso</t>
        </is>
      </c>
      <c r="E197" t="inlineStr">
        <is>
          <t>Stephen Doso</t>
        </is>
      </c>
      <c r="F197" s="5" t="n">
        <v>46197.47023148148</v>
      </c>
      <c r="H197" t="inlineStr">
        <is>
          <t>Non-Billable Tasks</t>
        </is>
      </c>
      <c r="I197" t="n">
        <v>1</v>
      </c>
      <c r="K197" t="inlineStr">
        <is>
          <t>Business Development and Networking</t>
        </is>
      </c>
      <c r="L197" t="b">
        <v>0</v>
      </c>
      <c r="M197" t="inlineStr">
        <is>
          <t>Non-Billable</t>
        </is>
      </c>
      <c r="N197" s="6">
        <f>IF(B197="","",IF(ISNUMBER(B197),TEXT(B197,"YYYY-MM"),LEFT(B197,7)))</f>
        <v/>
      </c>
    </row>
    <row r="198">
      <c r="A198" t="inlineStr">
        <is>
          <t>Clement Obeng-Manu</t>
        </is>
      </c>
      <c r="B198" s="4" t="n">
        <v>46188</v>
      </c>
      <c r="C198" t="inlineStr">
        <is>
          <t>/</t>
        </is>
      </c>
      <c r="D198" t="inlineStr">
        <is>
          <t>Clement Obeng-Manu</t>
        </is>
      </c>
      <c r="E198" t="inlineStr">
        <is>
          <t>Clement Obeng-Manu</t>
        </is>
      </c>
      <c r="F198" s="5" t="n">
        <v>46195.71726851852</v>
      </c>
      <c r="H198" t="inlineStr">
        <is>
          <t>PCGH776 - Deforestation Risk-Assessment Cashew-Coast</t>
        </is>
      </c>
      <c r="I198" t="n">
        <v>8</v>
      </c>
      <c r="J198" t="inlineStr">
        <is>
          <t>PCGH776 - Groundthruthing and Verification (3) (Cashew Coast Products Inc)</t>
        </is>
      </c>
      <c r="K198" t="inlineStr">
        <is>
          <t>Land cover classification, ground truthing and accuracy assessment</t>
        </is>
      </c>
      <c r="L198" t="b">
        <v>1</v>
      </c>
      <c r="M198" t="inlineStr">
        <is>
          <t>Billed at a Fixed price</t>
        </is>
      </c>
      <c r="N198" s="6">
        <f>IF(B198="","",IF(ISNUMBER(B198),TEXT(B198,"YYYY-MM"),LEFT(B198,7)))</f>
        <v/>
      </c>
    </row>
    <row r="199">
      <c r="A199" t="inlineStr">
        <is>
          <t>Soro TCHEREGNIMIN</t>
        </is>
      </c>
      <c r="B199" s="4" t="n">
        <v>46188</v>
      </c>
      <c r="C199" t="inlineStr">
        <is>
          <t>Review of the report</t>
        </is>
      </c>
      <c r="D199" t="inlineStr">
        <is>
          <t>Soro TCHEREGNIMIN</t>
        </is>
      </c>
      <c r="E199" t="inlineStr">
        <is>
          <t>Soro TCHEREGNIMIN</t>
        </is>
      </c>
      <c r="F199" s="5" t="n">
        <v>46195.67618055556</v>
      </c>
      <c r="H199" t="inlineStr">
        <is>
          <t>PCGH774 -Evaluation Deep-Dive Action Plans by Socfin Group</t>
        </is>
      </c>
      <c r="I199" t="n">
        <v>8</v>
      </c>
      <c r="J199" t="inlineStr">
        <is>
          <t>PCGH774 - Project Management (2) (Socfinco FR SA)</t>
        </is>
      </c>
      <c r="L199" t="b">
        <v>1</v>
      </c>
      <c r="M199" t="inlineStr">
        <is>
          <t>Billed at a Fixed price</t>
        </is>
      </c>
      <c r="N199" s="6">
        <f>IF(B199="","",IF(ISNUMBER(B199),TEXT(B199,"YYYY-MM"),LEFT(B199,7)))</f>
        <v/>
      </c>
    </row>
    <row r="200">
      <c r="A200" t="inlineStr">
        <is>
          <t>Soro TCHEREGNIMIN</t>
        </is>
      </c>
      <c r="B200" s="4" t="n">
        <v>46188</v>
      </c>
      <c r="C200" t="inlineStr">
        <is>
          <t>Literature review and report</t>
        </is>
      </c>
      <c r="D200" t="inlineStr">
        <is>
          <t>Soro TCHEREGNIMIN</t>
        </is>
      </c>
      <c r="E200" t="inlineStr">
        <is>
          <t>Soro TCHEREGNIMIN</t>
        </is>
      </c>
      <c r="F200" s="5" t="n">
        <v>46195.67634259259</v>
      </c>
      <c r="H200" t="inlineStr">
        <is>
          <t>PCGH787</t>
        </is>
      </c>
      <c r="I200" t="n">
        <v>0</v>
      </c>
      <c r="J200" t="inlineStr">
        <is>
          <t>PCGH787 - Desk Study (3) (Proforest Limited(PCUK GBP))</t>
        </is>
      </c>
      <c r="L200" t="b">
        <v>1</v>
      </c>
      <c r="M200" t="inlineStr">
        <is>
          <t>Billed at a Fixed price</t>
        </is>
      </c>
      <c r="N200" s="6">
        <f>IF(B200="","",IF(ISNUMBER(B200),TEXT(B200,"YYYY-MM"),LEFT(B200,7)))</f>
        <v/>
      </c>
    </row>
    <row r="201">
      <c r="A201" t="inlineStr">
        <is>
          <t>Helena Tetteh</t>
        </is>
      </c>
      <c r="B201" s="4" t="n">
        <v>46188</v>
      </c>
      <c r="C201" t="inlineStr">
        <is>
          <t>/</t>
        </is>
      </c>
      <c r="D201" t="inlineStr">
        <is>
          <t xml:space="preserve">Helena Tetteh </t>
        </is>
      </c>
      <c r="E201" t="inlineStr">
        <is>
          <t>Helena Tetteh</t>
        </is>
      </c>
      <c r="F201" s="5" t="n">
        <v>46195.5553125</v>
      </c>
      <c r="H201" t="inlineStr">
        <is>
          <t>Non-Billable Tasks</t>
        </is>
      </c>
      <c r="I201" t="n">
        <v>0</v>
      </c>
      <c r="K201" t="inlineStr">
        <is>
          <t>Time Off</t>
        </is>
      </c>
      <c r="L201" t="b">
        <v>0</v>
      </c>
      <c r="M201" t="inlineStr">
        <is>
          <t>Non-Billable</t>
        </is>
      </c>
      <c r="N201" s="6">
        <f>IF(B201="","",IF(ISNUMBER(B201),TEXT(B201,"YYYY-MM"),LEFT(B201,7)))</f>
        <v/>
      </c>
    </row>
    <row r="202">
      <c r="A202" t="inlineStr">
        <is>
          <t>Helena Tetteh</t>
        </is>
      </c>
      <c r="B202" s="4" t="n">
        <v>46188</v>
      </c>
      <c r="C202" t="inlineStr">
        <is>
          <t>Stakeholder Prioritization &amp; Workshop Planning (technical &amp; admin planning/logistics, slides, stakeholder management etc</t>
        </is>
      </c>
      <c r="D202" t="inlineStr">
        <is>
          <t xml:space="preserve">Helena Tetteh </t>
        </is>
      </c>
      <c r="E202" t="inlineStr">
        <is>
          <t>Helena Tetteh</t>
        </is>
      </c>
      <c r="F202" s="5" t="n">
        <v>46195.54751157408</v>
      </c>
      <c r="G202" t="inlineStr">
        <is>
          <t>Output 2.3</t>
        </is>
      </c>
      <c r="H202" t="inlineStr">
        <is>
          <t>P23AC00C00 - FGMC</t>
        </is>
      </c>
      <c r="I202" t="n">
        <v>8</v>
      </c>
      <c r="K202" t="inlineStr">
        <is>
          <t>P23AC22A00 - Output Two (Elevating Local Solutions - West Africa)</t>
        </is>
      </c>
      <c r="L202" t="b">
        <v>0</v>
      </c>
      <c r="M202" t="inlineStr">
        <is>
          <t>Non-Billable</t>
        </is>
      </c>
      <c r="N202" s="6">
        <f>IF(B202="","",IF(ISNUMBER(B202),TEXT(B202,"YYYY-MM"),LEFT(B202,7)))</f>
        <v/>
      </c>
    </row>
    <row r="203">
      <c r="A203" t="inlineStr">
        <is>
          <t>Frederick Antwi</t>
        </is>
      </c>
      <c r="B203" s="4" t="n">
        <v>46188</v>
      </c>
      <c r="C203" t="inlineStr">
        <is>
          <t>/</t>
        </is>
      </c>
      <c r="D203" t="inlineStr">
        <is>
          <t>Frederick Antwi</t>
        </is>
      </c>
      <c r="E203" t="inlineStr">
        <is>
          <t>Frederick Antwi</t>
        </is>
      </c>
      <c r="F203" s="5" t="n">
        <v>46195.45462962963</v>
      </c>
      <c r="H203" t="inlineStr">
        <is>
          <t>P13QC00A00 - EFI Programme</t>
        </is>
      </c>
      <c r="I203" t="n">
        <v>0</v>
      </c>
      <c r="L203" t="b">
        <v>0</v>
      </c>
      <c r="M203" t="inlineStr">
        <is>
          <t>Non-Billable</t>
        </is>
      </c>
      <c r="N203" s="6">
        <f>IF(B203="","",IF(ISNUMBER(B203),TEXT(B203,"YYYY-MM"),LEFT(B203,7)))</f>
        <v/>
      </c>
    </row>
    <row r="204">
      <c r="A204" t="inlineStr">
        <is>
          <t>Frederick Antwi</t>
        </is>
      </c>
      <c r="B204" s="4" t="n">
        <v>46188</v>
      </c>
      <c r="C204" t="inlineStr">
        <is>
          <t>/</t>
        </is>
      </c>
      <c r="D204" t="inlineStr">
        <is>
          <t>Frederick Antwi</t>
        </is>
      </c>
      <c r="E204" t="inlineStr">
        <is>
          <t>Frederick Antwi</t>
        </is>
      </c>
      <c r="F204" s="5" t="n">
        <v>46195.45443287037</v>
      </c>
      <c r="H204" t="inlineStr">
        <is>
          <t>P13NC00A00 - WALMART II</t>
        </is>
      </c>
      <c r="I204" t="n">
        <v>0</v>
      </c>
      <c r="L204" t="b">
        <v>0</v>
      </c>
      <c r="M204" t="inlineStr">
        <is>
          <t>Non-Billable</t>
        </is>
      </c>
      <c r="N204" s="6">
        <f>IF(B204="","",IF(ISNUMBER(B204),TEXT(B204,"YYYY-MM"),LEFT(B204,7)))</f>
        <v/>
      </c>
    </row>
    <row r="205">
      <c r="A205" t="inlineStr">
        <is>
          <t>Frederick Antwi</t>
        </is>
      </c>
      <c r="B205" s="4" t="n">
        <v>46188</v>
      </c>
      <c r="C205" t="inlineStr">
        <is>
          <t>/</t>
        </is>
      </c>
      <c r="D205" t="inlineStr">
        <is>
          <t>Frederick Antwi</t>
        </is>
      </c>
      <c r="E205" t="inlineStr">
        <is>
          <t>Frederick Antwi</t>
        </is>
      </c>
      <c r="F205" s="5" t="n">
        <v>46195.45503472222</v>
      </c>
      <c r="H205" t="inlineStr">
        <is>
          <t>P13PC00A00 - Private Sector Companies</t>
        </is>
      </c>
      <c r="I205" t="n">
        <v>8</v>
      </c>
      <c r="L205" t="b">
        <v>0</v>
      </c>
      <c r="M205" t="inlineStr">
        <is>
          <t>Non-Billable</t>
        </is>
      </c>
      <c r="N205" s="6">
        <f>IF(B205="","",IF(ISNUMBER(B205),TEXT(B205,"YYYY-MM"),LEFT(B205,7)))</f>
        <v/>
      </c>
    </row>
    <row r="206">
      <c r="A206" t="inlineStr">
        <is>
          <t>Patricia Offei</t>
        </is>
      </c>
      <c r="B206" s="4" t="n">
        <v>46188</v>
      </c>
      <c r="C206" t="inlineStr">
        <is>
          <t>Review of draft reports and revision of PPT</t>
        </is>
      </c>
      <c r="D206" t="inlineStr">
        <is>
          <t>Patricia Offei</t>
        </is>
      </c>
      <c r="E206" t="inlineStr">
        <is>
          <t>Patricia Offei</t>
        </is>
      </c>
      <c r="F206" s="5" t="n">
        <v>46195.37296296296</v>
      </c>
      <c r="H206" t="inlineStr">
        <is>
          <t>PCGH774 -Evaluation Deep-Dive Action Plans by Socfin Group</t>
        </is>
      </c>
      <c r="I206" t="n">
        <v>4</v>
      </c>
      <c r="J206" t="inlineStr">
        <is>
          <t>PCGH774 - Analysis and Reporting (3) (Socfinco FR SA)</t>
        </is>
      </c>
      <c r="K206" t="inlineStr">
        <is>
          <t>[Cameroon, Socapalm （Dibombari + Edéa + Mbongo + Mbambou） Report review] - Analysis and Reporting</t>
        </is>
      </c>
      <c r="L206" t="b">
        <v>1</v>
      </c>
      <c r="M206" t="inlineStr">
        <is>
          <t>Billed at a Fixed price</t>
        </is>
      </c>
      <c r="N206" s="6">
        <f>IF(B206="","",IF(ISNUMBER(B206),TEXT(B206,"YYYY-MM"),LEFT(B206,7)))</f>
        <v/>
      </c>
    </row>
    <row r="207">
      <c r="A207" t="inlineStr">
        <is>
          <t>Patricia Offei</t>
        </is>
      </c>
      <c r="B207" s="4" t="n">
        <v>46188</v>
      </c>
      <c r="C207" t="inlineStr">
        <is>
          <t>/</t>
        </is>
      </c>
      <c r="D207" t="inlineStr">
        <is>
          <t>Patricia Offei</t>
        </is>
      </c>
      <c r="E207" t="inlineStr">
        <is>
          <t>Patricia Offei</t>
        </is>
      </c>
      <c r="F207" s="5" t="n">
        <v>46195.37107638889</v>
      </c>
      <c r="H207" t="inlineStr">
        <is>
          <t>PCGH774 -Evaluation Deep-Dive Action Plans by Socfin Group</t>
        </is>
      </c>
      <c r="I207" t="n">
        <v>2</v>
      </c>
      <c r="J207" t="inlineStr">
        <is>
          <t>PCGH774 - Analysis and Reporting (3) (Socfinco FR SA)</t>
        </is>
      </c>
      <c r="K207" t="inlineStr">
        <is>
          <t xml:space="preserve">Cameroon (Safacam) - Analysis and Reporting </t>
        </is>
      </c>
      <c r="L207" t="b">
        <v>1</v>
      </c>
      <c r="M207" t="inlineStr">
        <is>
          <t>Billed at a Fixed price</t>
        </is>
      </c>
      <c r="N207" s="6">
        <f>IF(B207="","",IF(ISNUMBER(B207),TEXT(B207,"YYYY-MM"),LEFT(B207,7)))</f>
        <v/>
      </c>
    </row>
    <row r="208">
      <c r="A208" t="inlineStr">
        <is>
          <t>Patricia Offei</t>
        </is>
      </c>
      <c r="B208" s="4" t="n">
        <v>46188</v>
      </c>
      <c r="C208" t="inlineStr">
        <is>
          <t>/</t>
        </is>
      </c>
      <c r="D208" t="inlineStr">
        <is>
          <t>Patricia Offei</t>
        </is>
      </c>
      <c r="E208" t="inlineStr">
        <is>
          <t>Patricia Offei</t>
        </is>
      </c>
      <c r="F208" s="5" t="n">
        <v>46195.36965277778</v>
      </c>
      <c r="H208" t="inlineStr">
        <is>
          <t>PCGH774 -Evaluation Deep-Dive Action Plans by Socfin Group</t>
        </is>
      </c>
      <c r="I208" t="n">
        <v>2</v>
      </c>
      <c r="J208" t="inlineStr">
        <is>
          <t>PCGH774 - Tier 3 (Socfinco FR SA)</t>
        </is>
      </c>
      <c r="K208" t="inlineStr">
        <is>
          <t>SOGB - Analysis and reporting</t>
        </is>
      </c>
      <c r="L208" t="b">
        <v>1</v>
      </c>
      <c r="M208" t="inlineStr">
        <is>
          <t>Billed at a Fixed price</t>
        </is>
      </c>
      <c r="N208" s="6">
        <f>IF(B208="","",IF(ISNUMBER(B208),TEXT(B208,"YYYY-MM"),LEFT(B208,7)))</f>
        <v/>
      </c>
    </row>
    <row r="209">
      <c r="A209" t="inlineStr">
        <is>
          <t>Louis Defo</t>
        </is>
      </c>
      <c r="B209" s="4" t="n">
        <v>46188</v>
      </c>
      <c r="C209" t="inlineStr">
        <is>
          <t>prepare  the slides for Hershey</t>
        </is>
      </c>
      <c r="D209" t="inlineStr">
        <is>
          <t>Louis Defo</t>
        </is>
      </c>
      <c r="E209" t="inlineStr">
        <is>
          <t>Louis Defo</t>
        </is>
      </c>
      <c r="F209" s="5" t="n">
        <v>46195.34362268518</v>
      </c>
      <c r="H209" t="inlineStr">
        <is>
          <t>PCGH787</t>
        </is>
      </c>
      <c r="I209" t="n">
        <v>8</v>
      </c>
      <c r="J209" t="inlineStr">
        <is>
          <t>PCGH787 - Desk Study (3) (Proforest Limited(PCUK GBP))</t>
        </is>
      </c>
      <c r="L209" t="b">
        <v>1</v>
      </c>
      <c r="M209" t="inlineStr">
        <is>
          <t>Billed at a Fixed price</t>
        </is>
      </c>
      <c r="N209" s="6">
        <f>IF(B209="","",IF(ISNUMBER(B209),TEXT(B209,"YYYY-MM"),LEFT(B209,7)))</f>
        <v/>
      </c>
    </row>
    <row r="210">
      <c r="A210" t="inlineStr">
        <is>
          <t>Abel Ansu</t>
        </is>
      </c>
      <c r="B210" s="4" t="n">
        <v>46188</v>
      </c>
      <c r="C210" t="inlineStr">
        <is>
          <t>Monitoring of lining and pegging at Gambia and Biaso Kasapin</t>
        </is>
      </c>
      <c r="D210" t="inlineStr">
        <is>
          <t>Abel Ansu</t>
        </is>
      </c>
      <c r="E210" t="inlineStr">
        <is>
          <t>Abel Ansu</t>
        </is>
      </c>
      <c r="F210" s="5" t="n">
        <v>46195.29189814815</v>
      </c>
      <c r="H210" t="inlineStr">
        <is>
          <t>P13PC00A00 - Private Sector Companies</t>
        </is>
      </c>
      <c r="I210" t="n">
        <v>8</v>
      </c>
      <c r="K210" t="inlineStr">
        <is>
          <t>Personnel Cost</t>
        </is>
      </c>
      <c r="L210" t="b">
        <v>0</v>
      </c>
      <c r="M210" t="inlineStr">
        <is>
          <t>Non-Billable</t>
        </is>
      </c>
      <c r="N210" s="6">
        <f>IF(B210="","",IF(ISNUMBER(B210),TEXT(B210,"YYYY-MM"),LEFT(B210,7)))</f>
        <v/>
      </c>
    </row>
    <row r="211">
      <c r="A211" t="inlineStr">
        <is>
          <t>Ekow Nyamekye Tawiah</t>
        </is>
      </c>
      <c r="B211" s="4" t="n">
        <v>46188</v>
      </c>
      <c r="C211" t="inlineStr">
        <is>
          <t>Deforestation Risk Analysis for Cameroon, Mauritius, Mozambique, Nigeria and Reunion (Run Analysis)</t>
        </is>
      </c>
      <c r="D211" t="inlineStr">
        <is>
          <t>Ekow Nyamekye Tawiah</t>
        </is>
      </c>
      <c r="E211" t="inlineStr">
        <is>
          <t>Ekow Nyamekye Tawiah</t>
        </is>
      </c>
      <c r="F211" s="5" t="n">
        <v>46209.38650462963</v>
      </c>
      <c r="H211" t="inlineStr">
        <is>
          <t>PCGH778 - General Support</t>
        </is>
      </c>
      <c r="I211" t="n">
        <v>4</v>
      </c>
      <c r="J211" t="inlineStr">
        <is>
          <t>PCGH778 - Support to Other Workstreams (3) (Proforest Limited(PCUK GBP))</t>
        </is>
      </c>
      <c r="K211" t="inlineStr">
        <is>
          <t>(WS3: Deforestation) Deforestation Remote Risk Assessment</t>
        </is>
      </c>
      <c r="L211" t="b">
        <v>1</v>
      </c>
      <c r="M211" t="inlineStr">
        <is>
          <t>Billed at a Fixed price</t>
        </is>
      </c>
      <c r="N211" s="6">
        <f>IF(B211="","",IF(ISNUMBER(B211),TEXT(B211,"YYYY-MM"),LEFT(B211,7)))</f>
        <v/>
      </c>
    </row>
    <row r="212">
      <c r="A212" t="inlineStr">
        <is>
          <t>Mawuse Agblobi</t>
        </is>
      </c>
      <c r="B212" s="4" t="n">
        <v>46188</v>
      </c>
      <c r="C212" t="inlineStr">
        <is>
          <t>Time Off (1/1)</t>
        </is>
      </c>
      <c r="D212" t="inlineStr">
        <is>
          <t>Michael Anim Ofosu</t>
        </is>
      </c>
      <c r="E212" t="inlineStr">
        <is>
          <t>Mawuse Agblobi</t>
        </is>
      </c>
      <c r="F212" s="5" t="n">
        <v>46190.57648148148</v>
      </c>
      <c r="H212" t="inlineStr">
        <is>
          <t>Internal</t>
        </is>
      </c>
      <c r="I212" t="n">
        <v>8</v>
      </c>
      <c r="K212" t="inlineStr">
        <is>
          <t>Time Off</t>
        </is>
      </c>
      <c r="L212" t="b">
        <v>0</v>
      </c>
      <c r="M212" t="inlineStr">
        <is>
          <t>Non-Billable</t>
        </is>
      </c>
      <c r="N212" s="6">
        <f>IF(B212="","",IF(ISNUMBER(B212),TEXT(B212,"YYYY-MM"),LEFT(B212,7)))</f>
        <v/>
      </c>
    </row>
    <row r="213">
      <c r="A213" t="inlineStr">
        <is>
          <t>Mawuse Agblobi</t>
        </is>
      </c>
      <c r="B213" s="4" t="n">
        <v>46188</v>
      </c>
      <c r="C213" t="inlineStr">
        <is>
          <t>Time Off (1/2)</t>
        </is>
      </c>
      <c r="D213" t="inlineStr">
        <is>
          <t>Jacqueline Nyakutse Afua</t>
        </is>
      </c>
      <c r="E213" t="inlineStr">
        <is>
          <t>Mawuse Agblobi</t>
        </is>
      </c>
      <c r="F213" s="5" t="n">
        <v>46190.57643518518</v>
      </c>
      <c r="H213" t="inlineStr">
        <is>
          <t>Internal</t>
        </is>
      </c>
      <c r="I213" t="n">
        <v>8</v>
      </c>
      <c r="K213" t="inlineStr">
        <is>
          <t>Time Off</t>
        </is>
      </c>
      <c r="L213" t="b">
        <v>0</v>
      </c>
      <c r="M213" t="inlineStr">
        <is>
          <t>Non-Billable</t>
        </is>
      </c>
      <c r="N213" s="6">
        <f>IF(B213="","",IF(ISNUMBER(B213),TEXT(B213,"YYYY-MM"),LEFT(B213,7)))</f>
        <v/>
      </c>
    </row>
    <row r="214">
      <c r="A214" t="inlineStr">
        <is>
          <t>Mawuse Agblobi</t>
        </is>
      </c>
      <c r="B214" s="4" t="n">
        <v>46188</v>
      </c>
      <c r="C214" t="inlineStr">
        <is>
          <t>Time Off (1/2)</t>
        </is>
      </c>
      <c r="D214" t="inlineStr">
        <is>
          <t>Ebenezer Gyadu</t>
        </is>
      </c>
      <c r="E214" t="inlineStr">
        <is>
          <t>Mawuse Agblobi</t>
        </is>
      </c>
      <c r="F214" s="5" t="n">
        <v>46190.57613425926</v>
      </c>
      <c r="H214" t="inlineStr">
        <is>
          <t>Internal</t>
        </is>
      </c>
      <c r="I214" t="n">
        <v>8</v>
      </c>
      <c r="K214" t="inlineStr">
        <is>
          <t>Time Off</t>
        </is>
      </c>
      <c r="L214" t="b">
        <v>0</v>
      </c>
      <c r="M214" t="inlineStr">
        <is>
          <t>Non-Billable</t>
        </is>
      </c>
      <c r="N214" s="6">
        <f>IF(B214="","",IF(ISNUMBER(B214),TEXT(B214,"YYYY-MM"),LEFT(B214,7)))</f>
        <v/>
      </c>
    </row>
    <row r="215">
      <c r="A215" t="inlineStr">
        <is>
          <t>Afua Serwah Akoto Prempeh</t>
        </is>
      </c>
      <c r="B215" s="4" t="n">
        <v>46188</v>
      </c>
      <c r="C215" t="inlineStr">
        <is>
          <t xml:space="preserve">Meeting with Shinta and Soledad on a proposal for Afua to lead GESI Mainstreaming on the BRIDGE Programme Globally. Emails to be sent to confirm work, scope and time allocation. </t>
        </is>
      </c>
      <c r="D215" t="inlineStr">
        <is>
          <t>Afua Serwah Akoto Prempeh</t>
        </is>
      </c>
      <c r="E215" t="inlineStr">
        <is>
          <t>Afua Serwah Akoto Prempeh</t>
        </is>
      </c>
      <c r="F215" s="5" t="n">
        <v>46188.50355324074</v>
      </c>
      <c r="H215" t="inlineStr">
        <is>
          <t>P23AC00C00 - FGMC</t>
        </is>
      </c>
      <c r="I215" t="n">
        <v>2</v>
      </c>
      <c r="K215" t="inlineStr">
        <is>
          <t>GESI BRIDGE</t>
        </is>
      </c>
      <c r="L215" t="b">
        <v>0</v>
      </c>
      <c r="M215" t="inlineStr">
        <is>
          <t>Non-Billable</t>
        </is>
      </c>
      <c r="N215" s="6">
        <f>IF(B215="","",IF(ISNUMBER(B215),TEXT(B215,"YYYY-MM"),LEFT(B215,7)))</f>
        <v/>
      </c>
    </row>
    <row r="216">
      <c r="A216" t="inlineStr">
        <is>
          <t>Afua Serwah Akoto Prempeh</t>
        </is>
      </c>
      <c r="B216" s="4" t="n">
        <v>46188</v>
      </c>
      <c r="C216" t="inlineStr">
        <is>
          <t>/</t>
        </is>
      </c>
      <c r="D216" t="inlineStr">
        <is>
          <t>Afua Serwah Akoto Prempeh</t>
        </is>
      </c>
      <c r="E216" t="inlineStr">
        <is>
          <t>Afua Serwah Akoto Prempeh</t>
        </is>
      </c>
      <c r="F216" s="5" t="n">
        <v>46188.4091087963</v>
      </c>
      <c r="H216" t="inlineStr">
        <is>
          <t>Business and Project Management Training</t>
        </is>
      </c>
      <c r="I216" t="n">
        <v>0</v>
      </c>
      <c r="K216" t="inlineStr">
        <is>
          <t>Delivery of Compelling Comunications and Project Management Traininng</t>
        </is>
      </c>
      <c r="L216" t="b">
        <v>1</v>
      </c>
      <c r="M216" t="inlineStr">
        <is>
          <t>Non-Billable</t>
        </is>
      </c>
      <c r="N216" s="6">
        <f>IF(B216="","",IF(ISNUMBER(B216),TEXT(B216,"YYYY-MM"),LEFT(B216,7)))</f>
        <v/>
      </c>
    </row>
    <row r="217">
      <c r="A217" t="inlineStr">
        <is>
          <t>Augustus Asamoah</t>
        </is>
      </c>
      <c r="B217" s="4" t="n">
        <v>46187</v>
      </c>
      <c r="C217" t="inlineStr">
        <is>
          <t>/</t>
        </is>
      </c>
      <c r="D217" t="inlineStr">
        <is>
          <t>Augustus Asamoah</t>
        </is>
      </c>
      <c r="E217" t="inlineStr">
        <is>
          <t>Augustus Asamoah</t>
        </is>
      </c>
      <c r="F217" s="5" t="n">
        <v>46210.38084490741</v>
      </c>
      <c r="H217" t="inlineStr">
        <is>
          <t>P13QC00A00 - EFI Programme</t>
        </is>
      </c>
      <c r="I217" t="n">
        <v>0</v>
      </c>
      <c r="K217" t="inlineStr">
        <is>
          <t>Follow up on Field activities</t>
        </is>
      </c>
      <c r="L217" t="b">
        <v>0</v>
      </c>
      <c r="M217" t="inlineStr">
        <is>
          <t>Non-Billable</t>
        </is>
      </c>
      <c r="N217" s="6">
        <f>IF(B217="","",IF(ISNUMBER(B217),TEXT(B217,"YYYY-MM"),LEFT(B217,7)))</f>
        <v/>
      </c>
    </row>
    <row r="218">
      <c r="A218" t="inlineStr">
        <is>
          <t>Augustus Asamoah</t>
        </is>
      </c>
      <c r="B218" s="4" t="n">
        <v>46187</v>
      </c>
      <c r="C218" t="inlineStr">
        <is>
          <t>/</t>
        </is>
      </c>
      <c r="D218" t="inlineStr">
        <is>
          <t>Augustus Asamoah</t>
        </is>
      </c>
      <c r="E218" t="inlineStr">
        <is>
          <t>Augustus Asamoah</t>
        </is>
      </c>
      <c r="F218" s="5" t="n">
        <v>46210.38082175926</v>
      </c>
      <c r="H218" t="inlineStr">
        <is>
          <t>P13PC00A00 - Private Sector Companies</t>
        </is>
      </c>
      <c r="I218" t="n">
        <v>0</v>
      </c>
      <c r="K218" t="inlineStr">
        <is>
          <t>Seeding Procurement and Supply</t>
        </is>
      </c>
      <c r="L218" t="b">
        <v>0</v>
      </c>
      <c r="M218" t="inlineStr">
        <is>
          <t>Non-Billable</t>
        </is>
      </c>
      <c r="N218" s="6">
        <f>IF(B218="","",IF(ISNUMBER(B218),TEXT(B218,"YYYY-MM"),LEFT(B218,7)))</f>
        <v/>
      </c>
    </row>
    <row r="219">
      <c r="A219" t="inlineStr">
        <is>
          <t>Augustus Asamoah</t>
        </is>
      </c>
      <c r="B219" s="4" t="n">
        <v>46187</v>
      </c>
      <c r="C219" t="inlineStr">
        <is>
          <t>/</t>
        </is>
      </c>
      <c r="D219" t="inlineStr">
        <is>
          <t>Augustus Asamoah</t>
        </is>
      </c>
      <c r="E219" t="inlineStr">
        <is>
          <t>Augustus Asamoah</t>
        </is>
      </c>
      <c r="F219" s="5" t="n">
        <v>46210.38081018518</v>
      </c>
      <c r="H219" t="inlineStr">
        <is>
          <t>P13PC00A00 - Private Sector Companies</t>
        </is>
      </c>
      <c r="I219" t="n">
        <v>0</v>
      </c>
      <c r="K219" t="inlineStr">
        <is>
          <t>coordination of MTS and related Activities</t>
        </is>
      </c>
      <c r="L219" t="b">
        <v>0</v>
      </c>
      <c r="M219" t="inlineStr">
        <is>
          <t>Non-Billable</t>
        </is>
      </c>
      <c r="N219" s="6">
        <f>IF(B219="","",IF(ISNUMBER(B219),TEXT(B219,"YYYY-MM"),LEFT(B219,7)))</f>
        <v/>
      </c>
    </row>
    <row r="220">
      <c r="A220" t="inlineStr">
        <is>
          <t>Augustus Asamoah</t>
        </is>
      </c>
      <c r="B220" s="4" t="n">
        <v>46187</v>
      </c>
      <c r="C220" t="inlineStr">
        <is>
          <t>/</t>
        </is>
      </c>
      <c r="D220" t="inlineStr">
        <is>
          <t>Augustus Asamoah</t>
        </is>
      </c>
      <c r="E220" t="inlineStr">
        <is>
          <t>Augustus Asamoah</t>
        </is>
      </c>
      <c r="F220" s="5" t="n">
        <v>46210.38078703704</v>
      </c>
      <c r="H220" t="inlineStr">
        <is>
          <t>P13NC00A00 - WALMART II</t>
        </is>
      </c>
      <c r="I220" t="n">
        <v>0</v>
      </c>
      <c r="K220" t="inlineStr">
        <is>
          <t>Follow up of seedling procurement, AFS, &amp; Procurements</t>
        </is>
      </c>
      <c r="L220" t="b">
        <v>0</v>
      </c>
      <c r="M220" t="inlineStr">
        <is>
          <t>Non-Billable</t>
        </is>
      </c>
      <c r="N220" s="6">
        <f>IF(B220="","",IF(ISNUMBER(B220),TEXT(B220,"YYYY-MM"),LEFT(B220,7)))</f>
        <v/>
      </c>
    </row>
    <row r="221">
      <c r="A221" t="inlineStr">
        <is>
          <t>Augustus Asamoah</t>
        </is>
      </c>
      <c r="B221" s="4" t="n">
        <v>46185</v>
      </c>
      <c r="C221" t="inlineStr">
        <is>
          <t>/</t>
        </is>
      </c>
      <c r="D221" t="inlineStr">
        <is>
          <t>Augustus Asamoah</t>
        </is>
      </c>
      <c r="E221" t="inlineStr">
        <is>
          <t>Augustus Asamoah</t>
        </is>
      </c>
      <c r="F221" s="5" t="n">
        <v>46210.35085648148</v>
      </c>
      <c r="H221" t="inlineStr">
        <is>
          <t>Non-Billable Tasks</t>
        </is>
      </c>
      <c r="I221" t="n">
        <v>8</v>
      </c>
      <c r="K221" t="inlineStr">
        <is>
          <t>Professional development and Knowledge sharing(training,global knowledge calls,exchange weeks)</t>
        </is>
      </c>
      <c r="L221" t="b">
        <v>0</v>
      </c>
      <c r="M221" t="inlineStr">
        <is>
          <t>Non-Billable</t>
        </is>
      </c>
      <c r="N221" s="6">
        <f>IF(B221="","",IF(ISNUMBER(B221),TEXT(B221,"YYYY-MM"),LEFT(B221,7)))</f>
        <v/>
      </c>
    </row>
    <row r="222">
      <c r="A222" t="inlineStr">
        <is>
          <t>Stephen Doso</t>
        </is>
      </c>
      <c r="B222" s="4" t="n">
        <v>46185</v>
      </c>
      <c r="C222" t="inlineStr">
        <is>
          <t>/</t>
        </is>
      </c>
      <c r="D222" t="inlineStr">
        <is>
          <t>Stephen Doso</t>
        </is>
      </c>
      <c r="E222" t="inlineStr">
        <is>
          <t>Stephen Doso</t>
        </is>
      </c>
      <c r="F222" s="5" t="n">
        <v>46197.46913194445</v>
      </c>
      <c r="H222" t="inlineStr">
        <is>
          <t>Non-Billable Tasks</t>
        </is>
      </c>
      <c r="I222" t="n">
        <v>5</v>
      </c>
      <c r="K222" t="inlineStr">
        <is>
          <t>Professional development and Knowledge sharing(training,global knowledge calls,exchange weeks)</t>
        </is>
      </c>
      <c r="L222" t="b">
        <v>0</v>
      </c>
      <c r="M222" t="inlineStr">
        <is>
          <t>Non-Billable</t>
        </is>
      </c>
      <c r="N222" s="6">
        <f>IF(B222="","",IF(ISNUMBER(B222),TEXT(B222,"YYYY-MM"),LEFT(B222,7)))</f>
        <v/>
      </c>
    </row>
    <row r="223">
      <c r="A223" t="inlineStr">
        <is>
          <t>Clement Obeng-Manu</t>
        </is>
      </c>
      <c r="B223" s="4" t="n">
        <v>46185</v>
      </c>
      <c r="C223" t="inlineStr">
        <is>
          <t>/</t>
        </is>
      </c>
      <c r="D223" t="inlineStr">
        <is>
          <t>Clement Obeng-Manu</t>
        </is>
      </c>
      <c r="E223" t="inlineStr">
        <is>
          <t>Clement Obeng-Manu</t>
        </is>
      </c>
      <c r="F223" s="5" t="n">
        <v>46195.71481481481</v>
      </c>
      <c r="H223" t="inlineStr">
        <is>
          <t>Non-Billable Tasks</t>
        </is>
      </c>
      <c r="I223" t="n">
        <v>8</v>
      </c>
      <c r="K223" t="inlineStr">
        <is>
          <t>Staff Meetings (Quartely Staff Meetings, Adhoc meetings, Welfare)</t>
        </is>
      </c>
      <c r="L223" t="b">
        <v>0</v>
      </c>
      <c r="M223" t="inlineStr">
        <is>
          <t>Non-Billable</t>
        </is>
      </c>
      <c r="N223" s="6">
        <f>IF(B223="","",IF(ISNUMBER(B223),TEXT(B223,"YYYY-MM"),LEFT(B223,7)))</f>
        <v/>
      </c>
    </row>
    <row r="224">
      <c r="A224" t="inlineStr">
        <is>
          <t>Soro TCHEREGNIMIN</t>
        </is>
      </c>
      <c r="B224" s="4" t="n">
        <v>46185</v>
      </c>
      <c r="C224" t="inlineStr">
        <is>
          <t>/</t>
        </is>
      </c>
      <c r="D224" t="inlineStr">
        <is>
          <t>Soro TCHEREGNIMIN</t>
        </is>
      </c>
      <c r="E224" t="inlineStr">
        <is>
          <t>Soro TCHEREGNIMIN</t>
        </is>
      </c>
      <c r="F224" s="5" t="n">
        <v>46195.67363425926</v>
      </c>
      <c r="H224" t="inlineStr">
        <is>
          <t>Business and Project Management Training</t>
        </is>
      </c>
      <c r="I224" t="n">
        <v>8</v>
      </c>
      <c r="L224" t="b">
        <v>1</v>
      </c>
      <c r="M224" t="inlineStr">
        <is>
          <t>Non-Billable</t>
        </is>
      </c>
      <c r="N224" s="6">
        <f>IF(B224="","",IF(ISNUMBER(B224),TEXT(B224,"YYYY-MM"),LEFT(B224,7)))</f>
        <v/>
      </c>
    </row>
    <row r="225">
      <c r="A225" t="inlineStr">
        <is>
          <t>Helena Tetteh</t>
        </is>
      </c>
      <c r="B225" s="4" t="n">
        <v>46185</v>
      </c>
      <c r="C225" t="inlineStr">
        <is>
          <t>/</t>
        </is>
      </c>
      <c r="D225" t="inlineStr">
        <is>
          <t xml:space="preserve">Helena Tetteh </t>
        </is>
      </c>
      <c r="E225" t="inlineStr">
        <is>
          <t>Helena Tetteh</t>
        </is>
      </c>
      <c r="F225" s="5" t="n">
        <v>46195.50586805555</v>
      </c>
      <c r="H225" t="inlineStr">
        <is>
          <t>Non-Billable Tasks</t>
        </is>
      </c>
      <c r="I225" t="n">
        <v>8</v>
      </c>
      <c r="K225" t="inlineStr">
        <is>
          <t>Professional development and Knowledge sharing(training,global knowledge calls,exchange weeks)</t>
        </is>
      </c>
      <c r="L225" t="b">
        <v>0</v>
      </c>
      <c r="M225" t="inlineStr">
        <is>
          <t>Non-Billable</t>
        </is>
      </c>
      <c r="N225" s="6">
        <f>IF(B225="","",IF(ISNUMBER(B225),TEXT(B225,"YYYY-MM"),LEFT(B225,7)))</f>
        <v/>
      </c>
    </row>
    <row r="226">
      <c r="A226" t="inlineStr">
        <is>
          <t>Frederick Antwi</t>
        </is>
      </c>
      <c r="B226" s="4" t="n">
        <v>46185</v>
      </c>
      <c r="C226" t="inlineStr">
        <is>
          <t>/</t>
        </is>
      </c>
      <c r="D226" t="inlineStr">
        <is>
          <t>Frederick Antwi</t>
        </is>
      </c>
      <c r="E226" t="inlineStr">
        <is>
          <t>Frederick Antwi</t>
        </is>
      </c>
      <c r="F226" s="5" t="n">
        <v>46195.45363425926</v>
      </c>
      <c r="H226" t="inlineStr">
        <is>
          <t>Business and Project Management Training</t>
        </is>
      </c>
      <c r="I226" t="n">
        <v>8</v>
      </c>
      <c r="L226" t="b">
        <v>1</v>
      </c>
      <c r="M226" t="inlineStr">
        <is>
          <t>Non-Billable</t>
        </is>
      </c>
      <c r="N226" s="6">
        <f>IF(B226="","",IF(ISNUMBER(B226),TEXT(B226,"YYYY-MM"),LEFT(B226,7)))</f>
        <v/>
      </c>
    </row>
    <row r="227">
      <c r="A227" t="inlineStr">
        <is>
          <t>Kwadwo Baniako Nti</t>
        </is>
      </c>
      <c r="B227" s="4" t="n">
        <v>46185</v>
      </c>
      <c r="C227" t="inlineStr">
        <is>
          <t>/</t>
        </is>
      </c>
      <c r="D227" t="inlineStr">
        <is>
          <t>Kwadwo Baniako Nti</t>
        </is>
      </c>
      <c r="E227" t="inlineStr">
        <is>
          <t>Kwadwo Baniako Nti</t>
        </is>
      </c>
      <c r="F227" s="5" t="n">
        <v>46190.4475</v>
      </c>
      <c r="H227" t="inlineStr">
        <is>
          <t>Non-Billable Tasks</t>
        </is>
      </c>
      <c r="I227" t="n">
        <v>8</v>
      </c>
      <c r="K227" t="inlineStr">
        <is>
          <t>Professional development and Knowledge sharing(training,global knowledge calls,exchange weeks)</t>
        </is>
      </c>
      <c r="L227" t="b">
        <v>0</v>
      </c>
      <c r="M227" t="inlineStr">
        <is>
          <t>Non-Billable</t>
        </is>
      </c>
      <c r="N227" s="6">
        <f>IF(B227="","",IF(ISNUMBER(B227),TEXT(B227,"YYYY-MM"),LEFT(B227,7)))</f>
        <v/>
      </c>
    </row>
    <row r="228">
      <c r="A228" t="inlineStr">
        <is>
          <t>Ekow Nyamekye Tawiah</t>
        </is>
      </c>
      <c r="B228" s="4" t="n">
        <v>46185</v>
      </c>
      <c r="C228" t="inlineStr">
        <is>
          <t>/</t>
        </is>
      </c>
      <c r="D228" t="inlineStr">
        <is>
          <t>Ekow Nyamekye Tawiah</t>
        </is>
      </c>
      <c r="E228" t="inlineStr">
        <is>
          <t>Ekow Nyamekye Tawiah</t>
        </is>
      </c>
      <c r="F228" s="5" t="n">
        <v>46191.62400462963</v>
      </c>
      <c r="H228" t="inlineStr">
        <is>
          <t>Non-Billable Tasks</t>
        </is>
      </c>
      <c r="I228" t="n">
        <v>4</v>
      </c>
      <c r="K228" t="inlineStr">
        <is>
          <t>Professional development and Knowledge sharing(training,global knowledge calls,exchange weeks)</t>
        </is>
      </c>
      <c r="L228" t="b">
        <v>0</v>
      </c>
      <c r="M228" t="inlineStr">
        <is>
          <t>Non-Billable</t>
        </is>
      </c>
      <c r="N228" s="6">
        <f>IF(B228="","",IF(ISNUMBER(B228),TEXT(B228,"YYYY-MM"),LEFT(B228,7)))</f>
        <v/>
      </c>
    </row>
    <row r="229">
      <c r="A229" t="inlineStr">
        <is>
          <t>Abel Ansu</t>
        </is>
      </c>
      <c r="B229" s="4" t="n">
        <v>46185</v>
      </c>
      <c r="C229" t="inlineStr">
        <is>
          <t>/</t>
        </is>
      </c>
      <c r="D229" t="inlineStr">
        <is>
          <t>Abel Ansu</t>
        </is>
      </c>
      <c r="E229" t="inlineStr">
        <is>
          <t>Abel Ansu</t>
        </is>
      </c>
      <c r="F229" s="5" t="n">
        <v>46188.92853009259</v>
      </c>
      <c r="H229" t="inlineStr">
        <is>
          <t>Non-Billable Tasks</t>
        </is>
      </c>
      <c r="I229" t="n">
        <v>8</v>
      </c>
      <c r="K229" t="inlineStr">
        <is>
          <t>Professional development and Knowledge sharing(training,global knowledge calls,exchange weeks)</t>
        </is>
      </c>
      <c r="L229" t="b">
        <v>0</v>
      </c>
      <c r="M229" t="inlineStr">
        <is>
          <t>Non-Billable</t>
        </is>
      </c>
      <c r="N229" s="6">
        <f>IF(B229="","",IF(ISNUMBER(B229),TEXT(B229,"YYYY-MM"),LEFT(B229,7)))</f>
        <v/>
      </c>
    </row>
    <row r="230">
      <c r="A230" t="inlineStr">
        <is>
          <t>Afua Serwah Akoto Prempeh</t>
        </is>
      </c>
      <c r="B230" s="4" t="n">
        <v>46185</v>
      </c>
      <c r="C230" t="inlineStr">
        <is>
          <t>/</t>
        </is>
      </c>
      <c r="D230" t="inlineStr">
        <is>
          <t>Afua Serwah Akoto Prempeh</t>
        </is>
      </c>
      <c r="E230" t="inlineStr">
        <is>
          <t>Afua Serwah Akoto Prempeh</t>
        </is>
      </c>
      <c r="F230" s="5" t="n">
        <v>46188.40958333333</v>
      </c>
      <c r="H230" t="inlineStr">
        <is>
          <t>Business and Project Management Training</t>
        </is>
      </c>
      <c r="I230" t="n">
        <v>8</v>
      </c>
      <c r="K230" t="inlineStr">
        <is>
          <t>Delivery of Compelling Comunications and Project Management Traininng</t>
        </is>
      </c>
      <c r="L230" t="b">
        <v>1</v>
      </c>
      <c r="M230" t="inlineStr">
        <is>
          <t>Non-Billable</t>
        </is>
      </c>
      <c r="N230" s="6">
        <f>IF(B230="","",IF(ISNUMBER(B230),TEXT(B230,"YYYY-MM"),LEFT(B230,7)))</f>
        <v/>
      </c>
    </row>
    <row r="231">
      <c r="A231" t="inlineStr">
        <is>
          <t>Patricia Offei</t>
        </is>
      </c>
      <c r="B231" s="4" t="n">
        <v>46185</v>
      </c>
      <c r="C231" t="inlineStr">
        <is>
          <t>/</t>
        </is>
      </c>
      <c r="D231" t="inlineStr">
        <is>
          <t>Patricia Offei</t>
        </is>
      </c>
      <c r="E231" t="inlineStr">
        <is>
          <t>Patricia Offei</t>
        </is>
      </c>
      <c r="F231" s="5" t="n">
        <v>46188.39517361111</v>
      </c>
      <c r="H231" t="inlineStr">
        <is>
          <t>Non-Billable Tasks</t>
        </is>
      </c>
      <c r="I231" t="n">
        <v>8</v>
      </c>
      <c r="K231" t="inlineStr">
        <is>
          <t>Professional development and Knowledge sharing(training,global knowledge calls,exchange weeks)</t>
        </is>
      </c>
      <c r="L231" t="b">
        <v>0</v>
      </c>
      <c r="M231" t="inlineStr">
        <is>
          <t>Non-Billable</t>
        </is>
      </c>
      <c r="N231" s="6">
        <f>IF(B231="","",IF(ISNUMBER(B231),TEXT(B231,"YYYY-MM"),LEFT(B231,7)))</f>
        <v/>
      </c>
    </row>
    <row r="232">
      <c r="A232" t="inlineStr">
        <is>
          <t>Louis Defo</t>
        </is>
      </c>
      <c r="B232" s="4" t="n">
        <v>46185</v>
      </c>
      <c r="C232" t="inlineStr">
        <is>
          <t>Participation to Proforest Oddo Training</t>
        </is>
      </c>
      <c r="D232" t="inlineStr">
        <is>
          <t>Louis Defo</t>
        </is>
      </c>
      <c r="E232" t="inlineStr">
        <is>
          <t>Louis Defo</t>
        </is>
      </c>
      <c r="F232" s="5" t="n">
        <v>46188.30370370371</v>
      </c>
      <c r="H232" t="inlineStr">
        <is>
          <t>Non-Billable Tasks</t>
        </is>
      </c>
      <c r="I232" t="n">
        <v>8</v>
      </c>
      <c r="L232" t="b">
        <v>0</v>
      </c>
      <c r="M232" t="inlineStr">
        <is>
          <t>Non-Billable</t>
        </is>
      </c>
      <c r="N232" s="6">
        <f>IF(B232="","",IF(ISNUMBER(B232),TEXT(B232,"YYYY-MM"),LEFT(B232,7)))</f>
        <v/>
      </c>
    </row>
    <row r="233">
      <c r="A233" t="inlineStr">
        <is>
          <t>Daleba Bernard Kpenahi Raymond</t>
        </is>
      </c>
      <c r="B233" s="4" t="n">
        <v>46185</v>
      </c>
      <c r="C233" t="inlineStr">
        <is>
          <t>/</t>
        </is>
      </c>
      <c r="D233" t="inlineStr">
        <is>
          <t>Daleba Bernard Kpenahi Raymond</t>
        </is>
      </c>
      <c r="E233" t="inlineStr">
        <is>
          <t>Daleba Bernard Kpenahi Raymond</t>
        </is>
      </c>
      <c r="F233" s="5" t="n">
        <v>46185.40188657407</v>
      </c>
      <c r="H233" t="inlineStr">
        <is>
          <t>Non-Billable Tasks</t>
        </is>
      </c>
      <c r="I233" t="n">
        <v>8</v>
      </c>
      <c r="K233" t="inlineStr">
        <is>
          <t>Communication/Data/Training</t>
        </is>
      </c>
      <c r="L233" t="b">
        <v>0</v>
      </c>
      <c r="M233" t="inlineStr">
        <is>
          <t>Non-Billable</t>
        </is>
      </c>
      <c r="N233" s="6">
        <f>IF(B233="","",IF(ISNUMBER(B233),TEXT(B233,"YYYY-MM"),LEFT(B233,7)))</f>
        <v/>
      </c>
    </row>
    <row r="234">
      <c r="A234" t="inlineStr">
        <is>
          <t>Augustus Asamoah</t>
        </is>
      </c>
      <c r="B234" s="4" t="n">
        <v>46184</v>
      </c>
      <c r="C234" t="inlineStr">
        <is>
          <t>/</t>
        </is>
      </c>
      <c r="D234" t="inlineStr">
        <is>
          <t>Augustus Asamoah</t>
        </is>
      </c>
      <c r="E234" t="inlineStr">
        <is>
          <t>Augustus Asamoah</t>
        </is>
      </c>
      <c r="F234" s="5" t="n">
        <v>46210.35082175926</v>
      </c>
      <c r="H234" t="inlineStr">
        <is>
          <t>Non-Billable Tasks</t>
        </is>
      </c>
      <c r="I234" t="n">
        <v>8</v>
      </c>
      <c r="K234" t="inlineStr">
        <is>
          <t>Professional development and Knowledge sharing(training,global knowledge calls,exchange weeks)</t>
        </is>
      </c>
      <c r="L234" t="b">
        <v>0</v>
      </c>
      <c r="M234" t="inlineStr">
        <is>
          <t>Non-Billable</t>
        </is>
      </c>
      <c r="N234" s="6">
        <f>IF(B234="","",IF(ISNUMBER(B234),TEXT(B234,"YYYY-MM"),LEFT(B234,7)))</f>
        <v/>
      </c>
    </row>
    <row r="235">
      <c r="A235" t="inlineStr">
        <is>
          <t>Stephen Doso</t>
        </is>
      </c>
      <c r="B235" s="4" t="n">
        <v>46184</v>
      </c>
      <c r="C235" t="inlineStr">
        <is>
          <t>/</t>
        </is>
      </c>
      <c r="D235" t="inlineStr">
        <is>
          <t>Stephen Doso</t>
        </is>
      </c>
      <c r="E235" t="inlineStr">
        <is>
          <t>Stephen Doso</t>
        </is>
      </c>
      <c r="F235" s="5" t="n">
        <v>46197.4687037037</v>
      </c>
      <c r="H235" t="inlineStr">
        <is>
          <t>Non-Billable Tasks</t>
        </is>
      </c>
      <c r="I235" t="n">
        <v>7</v>
      </c>
      <c r="K235" t="inlineStr">
        <is>
          <t>Professional development and Knowledge sharing(training,global knowledge calls,exchange weeks)</t>
        </is>
      </c>
      <c r="L235" t="b">
        <v>0</v>
      </c>
      <c r="M235" t="inlineStr">
        <is>
          <t>Non-Billable</t>
        </is>
      </c>
      <c r="N235" s="6">
        <f>IF(B235="","",IF(ISNUMBER(B235),TEXT(B235,"YYYY-MM"),LEFT(B235,7)))</f>
        <v/>
      </c>
    </row>
    <row r="236">
      <c r="A236" t="inlineStr">
        <is>
          <t>Clement Obeng-Manu</t>
        </is>
      </c>
      <c r="B236" s="4" t="n">
        <v>46184</v>
      </c>
      <c r="C236" t="inlineStr">
        <is>
          <t>/</t>
        </is>
      </c>
      <c r="D236" t="inlineStr">
        <is>
          <t>Clement Obeng-Manu</t>
        </is>
      </c>
      <c r="E236" t="inlineStr">
        <is>
          <t>Clement Obeng-Manu</t>
        </is>
      </c>
      <c r="F236" s="5" t="n">
        <v>46195.71481481481</v>
      </c>
      <c r="H236" t="inlineStr">
        <is>
          <t>Non-Billable Tasks</t>
        </is>
      </c>
      <c r="I236" t="n">
        <v>8</v>
      </c>
      <c r="K236" t="inlineStr">
        <is>
          <t>Staff Meetings (Quartely Staff Meetings, Adhoc meetings, Welfare)</t>
        </is>
      </c>
      <c r="L236" t="b">
        <v>0</v>
      </c>
      <c r="M236" t="inlineStr">
        <is>
          <t>Non-Billable</t>
        </is>
      </c>
      <c r="N236" s="6">
        <f>IF(B236="","",IF(ISNUMBER(B236),TEXT(B236,"YYYY-MM"),LEFT(B236,7)))</f>
        <v/>
      </c>
    </row>
    <row r="237">
      <c r="A237" t="inlineStr">
        <is>
          <t>Soro TCHEREGNIMIN</t>
        </is>
      </c>
      <c r="B237" s="4" t="n">
        <v>46184</v>
      </c>
      <c r="C237" t="inlineStr">
        <is>
          <t>/</t>
        </is>
      </c>
      <c r="D237" t="inlineStr">
        <is>
          <t>Soro TCHEREGNIMIN</t>
        </is>
      </c>
      <c r="E237" t="inlineStr">
        <is>
          <t>Soro TCHEREGNIMIN</t>
        </is>
      </c>
      <c r="F237" s="5" t="n">
        <v>46195.67357638889</v>
      </c>
      <c r="H237" t="inlineStr">
        <is>
          <t>Business and Project Management Training</t>
        </is>
      </c>
      <c r="I237" t="n">
        <v>8</v>
      </c>
      <c r="L237" t="b">
        <v>1</v>
      </c>
      <c r="M237" t="inlineStr">
        <is>
          <t>Non-Billable</t>
        </is>
      </c>
      <c r="N237" s="6">
        <f>IF(B237="","",IF(ISNUMBER(B237),TEXT(B237,"YYYY-MM"),LEFT(B237,7)))</f>
        <v/>
      </c>
    </row>
    <row r="238">
      <c r="A238" t="inlineStr">
        <is>
          <t>Helena Tetteh</t>
        </is>
      </c>
      <c r="B238" s="4" t="n">
        <v>46184</v>
      </c>
      <c r="C238" t="inlineStr">
        <is>
          <t>/</t>
        </is>
      </c>
      <c r="D238" t="inlineStr">
        <is>
          <t xml:space="preserve">Helena Tetteh </t>
        </is>
      </c>
      <c r="E238" t="inlineStr">
        <is>
          <t>Helena Tetteh</t>
        </is>
      </c>
      <c r="F238" s="5" t="n">
        <v>46195.50585648148</v>
      </c>
      <c r="H238" t="inlineStr">
        <is>
          <t>Non-Billable Tasks</t>
        </is>
      </c>
      <c r="I238" t="n">
        <v>8</v>
      </c>
      <c r="K238" t="inlineStr">
        <is>
          <t>Professional development and Knowledge sharing(training,global knowledge calls,exchange weeks)</t>
        </is>
      </c>
      <c r="L238" t="b">
        <v>0</v>
      </c>
      <c r="M238" t="inlineStr">
        <is>
          <t>Non-Billable</t>
        </is>
      </c>
      <c r="N238" s="6">
        <f>IF(B238="","",IF(ISNUMBER(B238),TEXT(B238,"YYYY-MM"),LEFT(B238,7)))</f>
        <v/>
      </c>
    </row>
    <row r="239">
      <c r="A239" t="inlineStr">
        <is>
          <t>Frederick Antwi</t>
        </is>
      </c>
      <c r="B239" s="4" t="n">
        <v>46184</v>
      </c>
      <c r="C239" t="inlineStr">
        <is>
          <t>/</t>
        </is>
      </c>
      <c r="D239" t="inlineStr">
        <is>
          <t>Frederick Antwi</t>
        </is>
      </c>
      <c r="E239" t="inlineStr">
        <is>
          <t>Frederick Antwi</t>
        </is>
      </c>
      <c r="F239" s="5" t="n">
        <v>46195.45362268519</v>
      </c>
      <c r="H239" t="inlineStr">
        <is>
          <t>Business and Project Management Training</t>
        </is>
      </c>
      <c r="I239" t="n">
        <v>8</v>
      </c>
      <c r="L239" t="b">
        <v>1</v>
      </c>
      <c r="M239" t="inlineStr">
        <is>
          <t>Non-Billable</t>
        </is>
      </c>
      <c r="N239" s="6">
        <f>IF(B239="","",IF(ISNUMBER(B239),TEXT(B239,"YYYY-MM"),LEFT(B239,7)))</f>
        <v/>
      </c>
    </row>
    <row r="240">
      <c r="A240" t="inlineStr">
        <is>
          <t>Kwadwo Baniako Nti</t>
        </is>
      </c>
      <c r="B240" s="4" t="n">
        <v>46184</v>
      </c>
      <c r="C240" t="inlineStr">
        <is>
          <t>/</t>
        </is>
      </c>
      <c r="D240" t="inlineStr">
        <is>
          <t>Kwadwo Baniako Nti</t>
        </is>
      </c>
      <c r="E240" t="inlineStr">
        <is>
          <t>Kwadwo Baniako Nti</t>
        </is>
      </c>
      <c r="F240" s="5" t="n">
        <v>46190.44747685185</v>
      </c>
      <c r="H240" t="inlineStr">
        <is>
          <t>Non-Billable Tasks</t>
        </is>
      </c>
      <c r="I240" t="n">
        <v>8</v>
      </c>
      <c r="K240" t="inlineStr">
        <is>
          <t>Professional development and Knowledge sharing(training,global knowledge calls,exchange weeks)</t>
        </is>
      </c>
      <c r="L240" t="b">
        <v>0</v>
      </c>
      <c r="M240" t="inlineStr">
        <is>
          <t>Non-Billable</t>
        </is>
      </c>
      <c r="N240" s="6">
        <f>IF(B240="","",IF(ISNUMBER(B240),TEXT(B240,"YYYY-MM"),LEFT(B240,7)))</f>
        <v/>
      </c>
    </row>
    <row r="241">
      <c r="A241" t="inlineStr">
        <is>
          <t>Ekow Nyamekye Tawiah</t>
        </is>
      </c>
      <c r="B241" s="4" t="n">
        <v>46184</v>
      </c>
      <c r="C241" t="inlineStr">
        <is>
          <t>/</t>
        </is>
      </c>
      <c r="D241" t="inlineStr">
        <is>
          <t>Ekow Nyamekye Tawiah</t>
        </is>
      </c>
      <c r="E241" t="inlineStr">
        <is>
          <t>Ekow Nyamekye Tawiah</t>
        </is>
      </c>
      <c r="F241" s="5" t="n">
        <v>46191.62399305555</v>
      </c>
      <c r="H241" t="inlineStr">
        <is>
          <t>Non-Billable Tasks</t>
        </is>
      </c>
      <c r="I241" t="n">
        <v>4</v>
      </c>
      <c r="K241" t="inlineStr">
        <is>
          <t>Professional development and Knowledge sharing(training,global knowledge calls,exchange weeks)</t>
        </is>
      </c>
      <c r="L241" t="b">
        <v>0</v>
      </c>
      <c r="M241" t="inlineStr">
        <is>
          <t>Non-Billable</t>
        </is>
      </c>
      <c r="N241" s="6">
        <f>IF(B241="","",IF(ISNUMBER(B241),TEXT(B241,"YYYY-MM"),LEFT(B241,7)))</f>
        <v/>
      </c>
    </row>
    <row r="242">
      <c r="A242" t="inlineStr">
        <is>
          <t>Abel Ansu</t>
        </is>
      </c>
      <c r="B242" s="4" t="n">
        <v>46184</v>
      </c>
      <c r="C242" t="inlineStr">
        <is>
          <t>/</t>
        </is>
      </c>
      <c r="D242" t="inlineStr">
        <is>
          <t>Abel Ansu</t>
        </is>
      </c>
      <c r="E242" t="inlineStr">
        <is>
          <t>Abel Ansu</t>
        </is>
      </c>
      <c r="F242" s="5" t="n">
        <v>46188.92829861111</v>
      </c>
      <c r="H242" t="inlineStr">
        <is>
          <t>Non-Billable Tasks</t>
        </is>
      </c>
      <c r="I242" t="n">
        <v>8</v>
      </c>
      <c r="K242" t="inlineStr">
        <is>
          <t>Professional development and Knowledge sharing(training,global knowledge calls,exchange weeks)</t>
        </is>
      </c>
      <c r="L242" t="b">
        <v>0</v>
      </c>
      <c r="M242" t="inlineStr">
        <is>
          <t>Non-Billable</t>
        </is>
      </c>
      <c r="N242" s="6">
        <f>IF(B242="","",IF(ISNUMBER(B242),TEXT(B242,"YYYY-MM"),LEFT(B242,7)))</f>
        <v/>
      </c>
    </row>
    <row r="243">
      <c r="A243" t="inlineStr">
        <is>
          <t>Afua Serwah Akoto Prempeh</t>
        </is>
      </c>
      <c r="B243" s="4" t="n">
        <v>46184</v>
      </c>
      <c r="C243" t="inlineStr">
        <is>
          <t>/</t>
        </is>
      </c>
      <c r="D243" t="inlineStr">
        <is>
          <t>Afua Serwah Akoto Prempeh</t>
        </is>
      </c>
      <c r="E243" t="inlineStr">
        <is>
          <t>Afua Serwah Akoto Prempeh</t>
        </is>
      </c>
      <c r="F243" s="5" t="n">
        <v>46188.40953703703</v>
      </c>
      <c r="H243" t="inlineStr">
        <is>
          <t>Business and Project Management Training</t>
        </is>
      </c>
      <c r="I243" t="n">
        <v>8</v>
      </c>
      <c r="K243" t="inlineStr">
        <is>
          <t>Delivery of Compelling Comunications and Project Management Traininng</t>
        </is>
      </c>
      <c r="L243" t="b">
        <v>1</v>
      </c>
      <c r="M243" t="inlineStr">
        <is>
          <t>Non-Billable</t>
        </is>
      </c>
      <c r="N243" s="6">
        <f>IF(B243="","",IF(ISNUMBER(B243),TEXT(B243,"YYYY-MM"),LEFT(B243,7)))</f>
        <v/>
      </c>
    </row>
    <row r="244">
      <c r="A244" t="inlineStr">
        <is>
          <t>Patricia Offei</t>
        </is>
      </c>
      <c r="B244" s="4" t="n">
        <v>46184</v>
      </c>
      <c r="C244" t="inlineStr">
        <is>
          <t>/</t>
        </is>
      </c>
      <c r="D244" t="inlineStr">
        <is>
          <t>Patricia Offei</t>
        </is>
      </c>
      <c r="E244" t="inlineStr">
        <is>
          <t>Patricia Offei</t>
        </is>
      </c>
      <c r="F244" s="5" t="n">
        <v>46188.39515046297</v>
      </c>
      <c r="H244" t="inlineStr">
        <is>
          <t>Non-Billable Tasks</t>
        </is>
      </c>
      <c r="I244" t="n">
        <v>8</v>
      </c>
      <c r="K244" t="inlineStr">
        <is>
          <t>Professional development and Knowledge sharing(training,global knowledge calls,exchange weeks)</t>
        </is>
      </c>
      <c r="L244" t="b">
        <v>0</v>
      </c>
      <c r="M244" t="inlineStr">
        <is>
          <t>Non-Billable</t>
        </is>
      </c>
      <c r="N244" s="6">
        <f>IF(B244="","",IF(ISNUMBER(B244),TEXT(B244,"YYYY-MM"),LEFT(B244,7)))</f>
        <v/>
      </c>
    </row>
    <row r="245">
      <c r="A245" t="inlineStr">
        <is>
          <t>Louis Defo</t>
        </is>
      </c>
      <c r="B245" s="4" t="n">
        <v>46184</v>
      </c>
      <c r="C245" t="inlineStr">
        <is>
          <t>Participation to Proforest Oddo Training</t>
        </is>
      </c>
      <c r="D245" t="inlineStr">
        <is>
          <t>Louis Defo</t>
        </is>
      </c>
      <c r="E245" t="inlineStr">
        <is>
          <t>Louis Defo</t>
        </is>
      </c>
      <c r="F245" s="5" t="n">
        <v>46188.30350694444</v>
      </c>
      <c r="H245" t="inlineStr">
        <is>
          <t>Non-Billable Tasks</t>
        </is>
      </c>
      <c r="I245" t="n">
        <v>8</v>
      </c>
      <c r="L245" t="b">
        <v>0</v>
      </c>
      <c r="M245" t="inlineStr">
        <is>
          <t>Non-Billable</t>
        </is>
      </c>
      <c r="N245" s="6">
        <f>IF(B245="","",IF(ISNUMBER(B245),TEXT(B245,"YYYY-MM"),LEFT(B245,7)))</f>
        <v/>
      </c>
    </row>
    <row r="246">
      <c r="A246" t="inlineStr">
        <is>
          <t>Daleba Bernard Kpenahi Raymond</t>
        </is>
      </c>
      <c r="B246" s="4" t="n">
        <v>46184</v>
      </c>
      <c r="C246" t="inlineStr">
        <is>
          <t>/</t>
        </is>
      </c>
      <c r="D246" t="inlineStr">
        <is>
          <t>Daleba Bernard Kpenahi Raymond</t>
        </is>
      </c>
      <c r="E246" t="inlineStr">
        <is>
          <t>Daleba Bernard Kpenahi Raymond</t>
        </is>
      </c>
      <c r="F246" s="5" t="n">
        <v>46185.40181712963</v>
      </c>
      <c r="H246" t="inlineStr">
        <is>
          <t>Non-Billable Tasks</t>
        </is>
      </c>
      <c r="I246" t="n">
        <v>8</v>
      </c>
      <c r="K246" t="inlineStr">
        <is>
          <t>Communication/Data/Training</t>
        </is>
      </c>
      <c r="L246" t="b">
        <v>0</v>
      </c>
      <c r="M246" t="inlineStr">
        <is>
          <t>Non-Billable</t>
        </is>
      </c>
      <c r="N246" s="6">
        <f>IF(B246="","",IF(ISNUMBER(B246),TEXT(B246,"YYYY-MM"),LEFT(B246,7)))</f>
        <v/>
      </c>
    </row>
    <row r="247">
      <c r="A247" t="inlineStr">
        <is>
          <t>Augustus Asamoah</t>
        </is>
      </c>
      <c r="B247" s="4" t="n">
        <v>46183</v>
      </c>
      <c r="C247" t="inlineStr">
        <is>
          <t>/</t>
        </is>
      </c>
      <c r="D247" t="inlineStr">
        <is>
          <t>Augustus Asamoah</t>
        </is>
      </c>
      <c r="E247" t="inlineStr">
        <is>
          <t>Augustus Asamoah</t>
        </is>
      </c>
      <c r="F247" s="5" t="n">
        <v>46210.35077546296</v>
      </c>
      <c r="H247" t="inlineStr">
        <is>
          <t>Non-Billable Tasks</t>
        </is>
      </c>
      <c r="I247" t="n">
        <v>8</v>
      </c>
      <c r="K247" t="inlineStr">
        <is>
          <t>Professional development and Knowledge sharing(training,global knowledge calls,exchange weeks)</t>
        </is>
      </c>
      <c r="L247" t="b">
        <v>0</v>
      </c>
      <c r="M247" t="inlineStr">
        <is>
          <t>Non-Billable</t>
        </is>
      </c>
      <c r="N247" s="6">
        <f>IF(B247="","",IF(ISNUMBER(B247),TEXT(B247,"YYYY-MM"),LEFT(B247,7)))</f>
        <v/>
      </c>
    </row>
    <row r="248">
      <c r="A248" t="inlineStr">
        <is>
          <t>Stephen Doso</t>
        </is>
      </c>
      <c r="B248" s="4" t="n">
        <v>46183</v>
      </c>
      <c r="C248" t="inlineStr">
        <is>
          <t>/</t>
        </is>
      </c>
      <c r="D248" t="inlineStr">
        <is>
          <t>Stephen Doso</t>
        </is>
      </c>
      <c r="E248" t="inlineStr">
        <is>
          <t>Stephen Doso</t>
        </is>
      </c>
      <c r="F248" s="5" t="n">
        <v>46197.46956018519</v>
      </c>
      <c r="H248" t="inlineStr">
        <is>
          <t>Non-Billable Tasks</t>
        </is>
      </c>
      <c r="I248" t="n">
        <v>2.5</v>
      </c>
      <c r="K248" t="inlineStr">
        <is>
          <t>Professional development and Knowledge sharing(training,global knowledge calls,exchange weeks)</t>
        </is>
      </c>
      <c r="L248" t="b">
        <v>0</v>
      </c>
      <c r="M248" t="inlineStr">
        <is>
          <t>Non-Billable</t>
        </is>
      </c>
      <c r="N248" s="6">
        <f>IF(B248="","",IF(ISNUMBER(B248),TEXT(B248,"YYYY-MM"),LEFT(B248,7)))</f>
        <v/>
      </c>
    </row>
    <row r="249">
      <c r="A249" t="inlineStr">
        <is>
          <t>Clement Obeng-Manu</t>
        </is>
      </c>
      <c r="B249" s="4" t="n">
        <v>46183</v>
      </c>
      <c r="C249" t="inlineStr">
        <is>
          <t>/</t>
        </is>
      </c>
      <c r="D249" t="inlineStr">
        <is>
          <t>Clement Obeng-Manu</t>
        </is>
      </c>
      <c r="E249" t="inlineStr">
        <is>
          <t>Clement Obeng-Manu</t>
        </is>
      </c>
      <c r="F249" s="5" t="n">
        <v>46195.71480324074</v>
      </c>
      <c r="H249" t="inlineStr">
        <is>
          <t>Non-Billable Tasks</t>
        </is>
      </c>
      <c r="I249" t="n">
        <v>8</v>
      </c>
      <c r="K249" t="inlineStr">
        <is>
          <t>Staff Meetings (Quartely Staff Meetings, Adhoc meetings, Welfare)</t>
        </is>
      </c>
      <c r="L249" t="b">
        <v>0</v>
      </c>
      <c r="M249" t="inlineStr">
        <is>
          <t>Non-Billable</t>
        </is>
      </c>
      <c r="N249" s="6">
        <f>IF(B249="","",IF(ISNUMBER(B249),TEXT(B249,"YYYY-MM"),LEFT(B249,7)))</f>
        <v/>
      </c>
    </row>
    <row r="250">
      <c r="A250" t="inlineStr">
        <is>
          <t>Soro TCHEREGNIMIN</t>
        </is>
      </c>
      <c r="B250" s="4" t="n">
        <v>46183</v>
      </c>
      <c r="C250" t="inlineStr">
        <is>
          <t>/</t>
        </is>
      </c>
      <c r="D250" t="inlineStr">
        <is>
          <t>Soro TCHEREGNIMIN</t>
        </is>
      </c>
      <c r="E250" t="inlineStr">
        <is>
          <t>Soro TCHEREGNIMIN</t>
        </is>
      </c>
      <c r="F250" s="5" t="n">
        <v>46195.67353009259</v>
      </c>
      <c r="H250" t="inlineStr">
        <is>
          <t>Business and Project Management Training</t>
        </is>
      </c>
      <c r="I250" t="n">
        <v>8</v>
      </c>
      <c r="L250" t="b">
        <v>1</v>
      </c>
      <c r="M250" t="inlineStr">
        <is>
          <t>Non-Billable</t>
        </is>
      </c>
      <c r="N250" s="6">
        <f>IF(B250="","",IF(ISNUMBER(B250),TEXT(B250,"YYYY-MM"),LEFT(B250,7)))</f>
        <v/>
      </c>
    </row>
    <row r="251">
      <c r="A251" t="inlineStr">
        <is>
          <t>Helena Tetteh</t>
        </is>
      </c>
      <c r="B251" s="4" t="n">
        <v>46183</v>
      </c>
      <c r="C251" t="inlineStr">
        <is>
          <t>/</t>
        </is>
      </c>
      <c r="D251" t="inlineStr">
        <is>
          <t xml:space="preserve">Helena Tetteh </t>
        </is>
      </c>
      <c r="E251" t="inlineStr">
        <is>
          <t>Helena Tetteh</t>
        </is>
      </c>
      <c r="F251" s="5" t="n">
        <v>46195.50582175926</v>
      </c>
      <c r="H251" t="inlineStr">
        <is>
          <t>Non-Billable Tasks</t>
        </is>
      </c>
      <c r="I251" t="n">
        <v>8</v>
      </c>
      <c r="K251" t="inlineStr">
        <is>
          <t>Professional development and Knowledge sharing(training,global knowledge calls,exchange weeks)</t>
        </is>
      </c>
      <c r="L251" t="b">
        <v>0</v>
      </c>
      <c r="M251" t="inlineStr">
        <is>
          <t>Non-Billable</t>
        </is>
      </c>
      <c r="N251" s="6">
        <f>IF(B251="","",IF(ISNUMBER(B251),TEXT(B251,"YYYY-MM"),LEFT(B251,7)))</f>
        <v/>
      </c>
    </row>
    <row r="252">
      <c r="A252" t="inlineStr">
        <is>
          <t>Frederick Antwi</t>
        </is>
      </c>
      <c r="B252" s="4" t="n">
        <v>46183</v>
      </c>
      <c r="C252" t="inlineStr">
        <is>
          <t>/</t>
        </is>
      </c>
      <c r="D252" t="inlineStr">
        <is>
          <t>Frederick Antwi</t>
        </is>
      </c>
      <c r="E252" t="inlineStr">
        <is>
          <t>Frederick Antwi</t>
        </is>
      </c>
      <c r="F252" s="5" t="n">
        <v>46195.45359953704</v>
      </c>
      <c r="H252" t="inlineStr">
        <is>
          <t>Business and Project Management Training</t>
        </is>
      </c>
      <c r="I252" t="n">
        <v>8</v>
      </c>
      <c r="L252" t="b">
        <v>1</v>
      </c>
      <c r="M252" t="inlineStr">
        <is>
          <t>Non-Billable</t>
        </is>
      </c>
      <c r="N252" s="6">
        <f>IF(B252="","",IF(ISNUMBER(B252),TEXT(B252,"YYYY-MM"),LEFT(B252,7)))</f>
        <v/>
      </c>
    </row>
    <row r="253">
      <c r="A253" t="inlineStr">
        <is>
          <t>Kwadwo Baniako Nti</t>
        </is>
      </c>
      <c r="B253" s="4" t="n">
        <v>46183</v>
      </c>
      <c r="C253" t="inlineStr">
        <is>
          <t>/</t>
        </is>
      </c>
      <c r="D253" t="inlineStr">
        <is>
          <t>Kwadwo Baniako Nti</t>
        </is>
      </c>
      <c r="E253" t="inlineStr">
        <is>
          <t>Kwadwo Baniako Nti</t>
        </is>
      </c>
      <c r="F253" s="5" t="n">
        <v>46190.4471412037</v>
      </c>
      <c r="H253" t="inlineStr">
        <is>
          <t>Non-Billable Tasks</t>
        </is>
      </c>
      <c r="I253" t="n">
        <v>8</v>
      </c>
      <c r="K253" t="inlineStr">
        <is>
          <t>Professional development and Knowledge sharing(training,global knowledge calls,exchange weeks)</t>
        </is>
      </c>
      <c r="L253" t="b">
        <v>0</v>
      </c>
      <c r="M253" t="inlineStr">
        <is>
          <t>Non-Billable</t>
        </is>
      </c>
      <c r="N253" s="6">
        <f>IF(B253="","",IF(ISNUMBER(B253),TEXT(B253,"YYYY-MM"),LEFT(B253,7)))</f>
        <v/>
      </c>
    </row>
    <row r="254">
      <c r="A254" t="inlineStr">
        <is>
          <t>Ekow Nyamekye Tawiah</t>
        </is>
      </c>
      <c r="B254" s="4" t="n">
        <v>46183</v>
      </c>
      <c r="C254" t="inlineStr">
        <is>
          <t>/</t>
        </is>
      </c>
      <c r="D254" t="inlineStr">
        <is>
          <t>Ekow Nyamekye Tawiah</t>
        </is>
      </c>
      <c r="E254" t="inlineStr">
        <is>
          <t>Ekow Nyamekye Tawiah</t>
        </is>
      </c>
      <c r="F254" s="5" t="n">
        <v>46191.62398148148</v>
      </c>
      <c r="H254" t="inlineStr">
        <is>
          <t>Non-Billable Tasks</t>
        </is>
      </c>
      <c r="I254" t="n">
        <v>4</v>
      </c>
      <c r="K254" t="inlineStr">
        <is>
          <t>Professional development and Knowledge sharing(training,global knowledge calls,exchange weeks)</t>
        </is>
      </c>
      <c r="L254" t="b">
        <v>0</v>
      </c>
      <c r="M254" t="inlineStr">
        <is>
          <t>Non-Billable</t>
        </is>
      </c>
      <c r="N254" s="6">
        <f>IF(B254="","",IF(ISNUMBER(B254),TEXT(B254,"YYYY-MM"),LEFT(B254,7)))</f>
        <v/>
      </c>
    </row>
    <row r="255">
      <c r="A255" t="inlineStr">
        <is>
          <t>Abel Ansu</t>
        </is>
      </c>
      <c r="B255" s="4" t="n">
        <v>46183</v>
      </c>
      <c r="C255" t="inlineStr">
        <is>
          <t>/</t>
        </is>
      </c>
      <c r="D255" t="inlineStr">
        <is>
          <t>Abel Ansu</t>
        </is>
      </c>
      <c r="E255" t="inlineStr">
        <is>
          <t>Abel Ansu</t>
        </is>
      </c>
      <c r="F255" s="5" t="n">
        <v>46188.92799768518</v>
      </c>
      <c r="H255" t="inlineStr">
        <is>
          <t>Non-Billable Tasks</t>
        </is>
      </c>
      <c r="I255" t="n">
        <v>8</v>
      </c>
      <c r="K255" t="inlineStr">
        <is>
          <t>Professional development and Knowledge sharing(training,global knowledge calls,exchange weeks)</t>
        </is>
      </c>
      <c r="L255" t="b">
        <v>0</v>
      </c>
      <c r="M255" t="inlineStr">
        <is>
          <t>Non-Billable</t>
        </is>
      </c>
      <c r="N255" s="6">
        <f>IF(B255="","",IF(ISNUMBER(B255),TEXT(B255,"YYYY-MM"),LEFT(B255,7)))</f>
        <v/>
      </c>
    </row>
    <row r="256">
      <c r="A256" t="inlineStr">
        <is>
          <t>Afua Serwah Akoto Prempeh</t>
        </is>
      </c>
      <c r="B256" s="4" t="n">
        <v>46183</v>
      </c>
      <c r="C256" t="inlineStr">
        <is>
          <t>/</t>
        </is>
      </c>
      <c r="D256" t="inlineStr">
        <is>
          <t>Afua Serwah Akoto Prempeh</t>
        </is>
      </c>
      <c r="E256" t="inlineStr">
        <is>
          <t>Afua Serwah Akoto Prempeh</t>
        </is>
      </c>
      <c r="F256" s="5" t="n">
        <v>46188.40950231482</v>
      </c>
      <c r="H256" t="inlineStr">
        <is>
          <t>Business and Project Management Training</t>
        </is>
      </c>
      <c r="I256" t="n">
        <v>8</v>
      </c>
      <c r="K256" t="inlineStr">
        <is>
          <t>Delivery of Compelling Comunications and Project Management Traininng</t>
        </is>
      </c>
      <c r="L256" t="b">
        <v>1</v>
      </c>
      <c r="M256" t="inlineStr">
        <is>
          <t>Non-Billable</t>
        </is>
      </c>
      <c r="N256" s="6">
        <f>IF(B256="","",IF(ISNUMBER(B256),TEXT(B256,"YYYY-MM"),LEFT(B256,7)))</f>
        <v/>
      </c>
    </row>
    <row r="257">
      <c r="A257" t="inlineStr">
        <is>
          <t>Patricia Offei</t>
        </is>
      </c>
      <c r="B257" s="4" t="n">
        <v>46183</v>
      </c>
      <c r="C257" t="inlineStr">
        <is>
          <t>/</t>
        </is>
      </c>
      <c r="D257" t="inlineStr">
        <is>
          <t>Patricia Offei</t>
        </is>
      </c>
      <c r="E257" t="inlineStr">
        <is>
          <t>Patricia Offei</t>
        </is>
      </c>
      <c r="F257" s="5" t="n">
        <v>46188.39513888889</v>
      </c>
      <c r="H257" t="inlineStr">
        <is>
          <t>Non-Billable Tasks</t>
        </is>
      </c>
      <c r="I257" t="n">
        <v>8</v>
      </c>
      <c r="K257" t="inlineStr">
        <is>
          <t>Professional development and Knowledge sharing(training,global knowledge calls,exchange weeks)</t>
        </is>
      </c>
      <c r="L257" t="b">
        <v>0</v>
      </c>
      <c r="M257" t="inlineStr">
        <is>
          <t>Non-Billable</t>
        </is>
      </c>
      <c r="N257" s="6">
        <f>IF(B257="","",IF(ISNUMBER(B257),TEXT(B257,"YYYY-MM"),LEFT(B257,7)))</f>
        <v/>
      </c>
    </row>
    <row r="258">
      <c r="A258" t="inlineStr">
        <is>
          <t>Louis Defo</t>
        </is>
      </c>
      <c r="B258" s="4" t="n">
        <v>46183</v>
      </c>
      <c r="C258" t="inlineStr">
        <is>
          <t>Participation to Proforest Oddo Training</t>
        </is>
      </c>
      <c r="D258" t="inlineStr">
        <is>
          <t>Louis Defo</t>
        </is>
      </c>
      <c r="E258" t="inlineStr">
        <is>
          <t>Louis Defo</t>
        </is>
      </c>
      <c r="F258" s="5" t="n">
        <v>46188.30329861111</v>
      </c>
      <c r="H258" t="inlineStr">
        <is>
          <t>Non-Billable Tasks</t>
        </is>
      </c>
      <c r="I258" t="n">
        <v>8</v>
      </c>
      <c r="L258" t="b">
        <v>0</v>
      </c>
      <c r="M258" t="inlineStr">
        <is>
          <t>Non-Billable</t>
        </is>
      </c>
      <c r="N258" s="6">
        <f>IF(B258="","",IF(ISNUMBER(B258),TEXT(B258,"YYYY-MM"),LEFT(B258,7)))</f>
        <v/>
      </c>
    </row>
    <row r="259">
      <c r="A259" t="inlineStr">
        <is>
          <t>Daleba Bernard Kpenahi Raymond</t>
        </is>
      </c>
      <c r="B259" s="4" t="n">
        <v>46183</v>
      </c>
      <c r="C259" t="inlineStr">
        <is>
          <t>/</t>
        </is>
      </c>
      <c r="D259" t="inlineStr">
        <is>
          <t>Daleba Bernard Kpenahi Raymond</t>
        </is>
      </c>
      <c r="E259" t="inlineStr">
        <is>
          <t>Daleba Bernard Kpenahi Raymond</t>
        </is>
      </c>
      <c r="F259" s="5" t="n">
        <v>46185.40180555556</v>
      </c>
      <c r="H259" t="inlineStr">
        <is>
          <t>Non-Billable Tasks</t>
        </is>
      </c>
      <c r="I259" t="n">
        <v>8</v>
      </c>
      <c r="K259" t="inlineStr">
        <is>
          <t>Communication/Data/Training</t>
        </is>
      </c>
      <c r="L259" t="b">
        <v>0</v>
      </c>
      <c r="M259" t="inlineStr">
        <is>
          <t>Non-Billable</t>
        </is>
      </c>
      <c r="N259" s="6">
        <f>IF(B259="","",IF(ISNUMBER(B259),TEXT(B259,"YYYY-MM"),LEFT(B259,7)))</f>
        <v/>
      </c>
    </row>
    <row r="260">
      <c r="A260" t="inlineStr">
        <is>
          <t>Stephen Doso</t>
        </is>
      </c>
      <c r="B260" s="4" t="n">
        <v>46183</v>
      </c>
      <c r="C260" t="inlineStr">
        <is>
          <t>Meeting with PFLAN on FMO</t>
        </is>
      </c>
      <c r="D260" t="inlineStr">
        <is>
          <t>Stephen Doso</t>
        </is>
      </c>
      <c r="E260" t="inlineStr">
        <is>
          <t>Stephen Doso</t>
        </is>
      </c>
      <c r="F260" s="5" t="n">
        <v>46184.34324074074</v>
      </c>
      <c r="H260" t="inlineStr">
        <is>
          <t>Non-Billable Tasks</t>
        </is>
      </c>
      <c r="I260" t="n">
        <v>1.5</v>
      </c>
      <c r="K260" t="inlineStr">
        <is>
          <t>Ad Hoc Time on Projects / Programmes</t>
        </is>
      </c>
      <c r="L260" t="b">
        <v>0</v>
      </c>
      <c r="M260" t="inlineStr">
        <is>
          <t>Non-Billable</t>
        </is>
      </c>
      <c r="N260" s="6">
        <f>IF(B260="","",IF(ISNUMBER(B260),TEXT(B260,"YYYY-MM"),LEFT(B260,7)))</f>
        <v/>
      </c>
    </row>
    <row r="261">
      <c r="A261" t="inlineStr">
        <is>
          <t>Stephen Doso</t>
        </is>
      </c>
      <c r="B261" s="4" t="n">
        <v>46183</v>
      </c>
      <c r="C261" t="inlineStr">
        <is>
          <t>/</t>
        </is>
      </c>
      <c r="D261" t="inlineStr">
        <is>
          <t>Stephen Doso</t>
        </is>
      </c>
      <c r="E261" t="inlineStr">
        <is>
          <t>Stephen Doso</t>
        </is>
      </c>
      <c r="F261" s="5" t="n">
        <v>46184.34041666667</v>
      </c>
      <c r="H261" t="inlineStr">
        <is>
          <t>PCGH769</t>
        </is>
      </c>
      <c r="I261" t="n">
        <v>4</v>
      </c>
      <c r="J261" t="inlineStr">
        <is>
          <t>PCGH769 - Desk Study (2) (Biase Plantations Ltd.)</t>
        </is>
      </c>
      <c r="K261" t="inlineStr">
        <is>
          <t>HCV/HCS - Reporting and review</t>
        </is>
      </c>
      <c r="L261" t="b">
        <v>1</v>
      </c>
      <c r="M261" t="inlineStr">
        <is>
          <t>Billed at a Fixed price</t>
        </is>
      </c>
      <c r="N261" s="6">
        <f>IF(B261="","",IF(ISNUMBER(B261),TEXT(B261,"YYYY-MM"),LEFT(B261,7)))</f>
        <v/>
      </c>
    </row>
    <row r="262">
      <c r="A262" t="inlineStr">
        <is>
          <t>Augustus Asamoah</t>
        </is>
      </c>
      <c r="B262" s="4" t="n">
        <v>46182</v>
      </c>
      <c r="C262" t="inlineStr">
        <is>
          <t>/</t>
        </is>
      </c>
      <c r="D262" t="inlineStr">
        <is>
          <t>Augustus Asamoah</t>
        </is>
      </c>
      <c r="E262" t="inlineStr">
        <is>
          <t>Augustus Asamoah</t>
        </is>
      </c>
      <c r="F262" s="5" t="n">
        <v>46210.35075231481</v>
      </c>
      <c r="H262" t="inlineStr">
        <is>
          <t>Non-Billable Tasks</t>
        </is>
      </c>
      <c r="I262" t="n">
        <v>8</v>
      </c>
      <c r="K262" t="inlineStr">
        <is>
          <t>Professional development and Knowledge sharing(training,global knowledge calls,exchange weeks)</t>
        </is>
      </c>
      <c r="L262" t="b">
        <v>0</v>
      </c>
      <c r="M262" t="inlineStr">
        <is>
          <t>Non-Billable</t>
        </is>
      </c>
      <c r="N262" s="6">
        <f>IF(B262="","",IF(ISNUMBER(B262),TEXT(B262,"YYYY-MM"),LEFT(B262,7)))</f>
        <v/>
      </c>
    </row>
    <row r="263">
      <c r="A263" t="inlineStr">
        <is>
          <t>Clement Obeng-Manu</t>
        </is>
      </c>
      <c r="B263" s="4" t="n">
        <v>46182</v>
      </c>
      <c r="C263" t="inlineStr">
        <is>
          <t>/</t>
        </is>
      </c>
      <c r="D263" t="inlineStr">
        <is>
          <t>Clement Obeng-Manu</t>
        </is>
      </c>
      <c r="E263" t="inlineStr">
        <is>
          <t>Clement Obeng-Manu</t>
        </is>
      </c>
      <c r="F263" s="5" t="n">
        <v>46195.71476851852</v>
      </c>
      <c r="H263" t="inlineStr">
        <is>
          <t>Non-Billable Tasks</t>
        </is>
      </c>
      <c r="I263" t="n">
        <v>8</v>
      </c>
      <c r="K263" t="inlineStr">
        <is>
          <t>Staff Meetings (Quartely Staff Meetings, Adhoc meetings, Welfare)</t>
        </is>
      </c>
      <c r="L263" t="b">
        <v>0</v>
      </c>
      <c r="M263" t="inlineStr">
        <is>
          <t>Non-Billable</t>
        </is>
      </c>
      <c r="N263" s="6">
        <f>IF(B263="","",IF(ISNUMBER(B263),TEXT(B263,"YYYY-MM"),LEFT(B263,7)))</f>
        <v/>
      </c>
    </row>
    <row r="264">
      <c r="A264" t="inlineStr">
        <is>
          <t>Soro TCHEREGNIMIN</t>
        </is>
      </c>
      <c r="B264" s="4" t="n">
        <v>46182</v>
      </c>
      <c r="C264" t="inlineStr">
        <is>
          <t>/</t>
        </is>
      </c>
      <c r="D264" t="inlineStr">
        <is>
          <t>Soro TCHEREGNIMIN</t>
        </is>
      </c>
      <c r="E264" t="inlineStr">
        <is>
          <t>Soro TCHEREGNIMIN</t>
        </is>
      </c>
      <c r="F264" s="5" t="n">
        <v>46195.67342592592</v>
      </c>
      <c r="H264" t="inlineStr">
        <is>
          <t>Business and Project Management Training</t>
        </is>
      </c>
      <c r="I264" t="n">
        <v>8</v>
      </c>
      <c r="L264" t="b">
        <v>1</v>
      </c>
      <c r="M264" t="inlineStr">
        <is>
          <t>Non-Billable</t>
        </is>
      </c>
      <c r="N264" s="6">
        <f>IF(B264="","",IF(ISNUMBER(B264),TEXT(B264,"YYYY-MM"),LEFT(B264,7)))</f>
        <v/>
      </c>
    </row>
    <row r="265">
      <c r="A265" t="inlineStr">
        <is>
          <t>Helena Tetteh</t>
        </is>
      </c>
      <c r="B265" s="4" t="n">
        <v>46182</v>
      </c>
      <c r="C265" t="inlineStr">
        <is>
          <t>/</t>
        </is>
      </c>
      <c r="D265" t="inlineStr">
        <is>
          <t xml:space="preserve">Helena Tetteh </t>
        </is>
      </c>
      <c r="E265" t="inlineStr">
        <is>
          <t>Helena Tetteh</t>
        </is>
      </c>
      <c r="F265" s="5" t="n">
        <v>46195.50579861111</v>
      </c>
      <c r="H265" t="inlineStr">
        <is>
          <t>Non-Billable Tasks</t>
        </is>
      </c>
      <c r="I265" t="n">
        <v>8</v>
      </c>
      <c r="K265" t="inlineStr">
        <is>
          <t>Professional development and Knowledge sharing(training,global knowledge calls,exchange weeks)</t>
        </is>
      </c>
      <c r="L265" t="b">
        <v>0</v>
      </c>
      <c r="M265" t="inlineStr">
        <is>
          <t>Non-Billable</t>
        </is>
      </c>
      <c r="N265" s="6">
        <f>IF(B265="","",IF(ISNUMBER(B265),TEXT(B265,"YYYY-MM"),LEFT(B265,7)))</f>
        <v/>
      </c>
    </row>
    <row r="266">
      <c r="A266" t="inlineStr">
        <is>
          <t>Frederick Antwi</t>
        </is>
      </c>
      <c r="B266" s="4" t="n">
        <v>46182</v>
      </c>
      <c r="C266" t="inlineStr">
        <is>
          <t>/</t>
        </is>
      </c>
      <c r="D266" t="inlineStr">
        <is>
          <t>Frederick Antwi</t>
        </is>
      </c>
      <c r="E266" t="inlineStr">
        <is>
          <t>Frederick Antwi</t>
        </is>
      </c>
      <c r="F266" s="5" t="n">
        <v>46195.45358796296</v>
      </c>
      <c r="H266" t="inlineStr">
        <is>
          <t>Business and Project Management Training</t>
        </is>
      </c>
      <c r="I266" t="n">
        <v>8</v>
      </c>
      <c r="L266" t="b">
        <v>1</v>
      </c>
      <c r="M266" t="inlineStr">
        <is>
          <t>Non-Billable</t>
        </is>
      </c>
      <c r="N266" s="6">
        <f>IF(B266="","",IF(ISNUMBER(B266),TEXT(B266,"YYYY-MM"),LEFT(B266,7)))</f>
        <v/>
      </c>
    </row>
    <row r="267">
      <c r="A267" t="inlineStr">
        <is>
          <t>Kwadwo Baniako Nti</t>
        </is>
      </c>
      <c r="B267" s="4" t="n">
        <v>46182</v>
      </c>
      <c r="C267" t="inlineStr">
        <is>
          <t>/</t>
        </is>
      </c>
      <c r="D267" t="inlineStr">
        <is>
          <t>Kwadwo Baniako Nti</t>
        </is>
      </c>
      <c r="E267" t="inlineStr">
        <is>
          <t>Kwadwo Baniako Nti</t>
        </is>
      </c>
      <c r="F267" s="5" t="n">
        <v>46190.44711805556</v>
      </c>
      <c r="H267" t="inlineStr">
        <is>
          <t>Non-Billable Tasks</t>
        </is>
      </c>
      <c r="I267" t="n">
        <v>8</v>
      </c>
      <c r="K267" t="inlineStr">
        <is>
          <t>Professional development and Knowledge sharing(training,global knowledge calls,exchange weeks)</t>
        </is>
      </c>
      <c r="L267" t="b">
        <v>0</v>
      </c>
      <c r="M267" t="inlineStr">
        <is>
          <t>Non-Billable</t>
        </is>
      </c>
      <c r="N267" s="6">
        <f>IF(B267="","",IF(ISNUMBER(B267),TEXT(B267,"YYYY-MM"),LEFT(B267,7)))</f>
        <v/>
      </c>
    </row>
    <row r="268">
      <c r="A268" t="inlineStr">
        <is>
          <t>Ekow Nyamekye Tawiah</t>
        </is>
      </c>
      <c r="B268" s="4" t="n">
        <v>46182</v>
      </c>
      <c r="C268" t="inlineStr">
        <is>
          <t>/</t>
        </is>
      </c>
      <c r="D268" t="inlineStr">
        <is>
          <t>Ekow Nyamekye Tawiah</t>
        </is>
      </c>
      <c r="E268" t="inlineStr">
        <is>
          <t>Ekow Nyamekye Tawiah</t>
        </is>
      </c>
      <c r="F268" s="5" t="n">
        <v>46191.62396990741</v>
      </c>
      <c r="H268" t="inlineStr">
        <is>
          <t>Non-Billable Tasks</t>
        </is>
      </c>
      <c r="I268" t="n">
        <v>4</v>
      </c>
      <c r="K268" t="inlineStr">
        <is>
          <t>Professional development and Knowledge sharing(training,global knowledge calls,exchange weeks)</t>
        </is>
      </c>
      <c r="L268" t="b">
        <v>0</v>
      </c>
      <c r="M268" t="inlineStr">
        <is>
          <t>Non-Billable</t>
        </is>
      </c>
      <c r="N268" s="6">
        <f>IF(B268="","",IF(ISNUMBER(B268),TEXT(B268,"YYYY-MM"),LEFT(B268,7)))</f>
        <v/>
      </c>
    </row>
    <row r="269">
      <c r="A269" t="inlineStr">
        <is>
          <t>Abel Ansu</t>
        </is>
      </c>
      <c r="B269" s="4" t="n">
        <v>46182</v>
      </c>
      <c r="C269" t="inlineStr">
        <is>
          <t>/</t>
        </is>
      </c>
      <c r="D269" t="inlineStr">
        <is>
          <t>Abel Ansu</t>
        </is>
      </c>
      <c r="E269" t="inlineStr">
        <is>
          <t>Abel Ansu</t>
        </is>
      </c>
      <c r="F269" s="5" t="n">
        <v>46188.92777777778</v>
      </c>
      <c r="H269" t="inlineStr">
        <is>
          <t>Non-Billable Tasks</t>
        </is>
      </c>
      <c r="I269" t="n">
        <v>8</v>
      </c>
      <c r="K269" t="inlineStr">
        <is>
          <t>Professional development and Knowledge sharing(training,global knowledge calls,exchange weeks)</t>
        </is>
      </c>
      <c r="L269" t="b">
        <v>0</v>
      </c>
      <c r="M269" t="inlineStr">
        <is>
          <t>Non-Billable</t>
        </is>
      </c>
      <c r="N269" s="6">
        <f>IF(B269="","",IF(ISNUMBER(B269),TEXT(B269,"YYYY-MM"),LEFT(B269,7)))</f>
        <v/>
      </c>
    </row>
    <row r="270">
      <c r="A270" t="inlineStr">
        <is>
          <t>Afua Serwah Akoto Prempeh</t>
        </is>
      </c>
      <c r="B270" s="4" t="n">
        <v>46182</v>
      </c>
      <c r="C270" t="inlineStr">
        <is>
          <t>/</t>
        </is>
      </c>
      <c r="D270" t="inlineStr">
        <is>
          <t>Afua Serwah Akoto Prempeh</t>
        </is>
      </c>
      <c r="E270" t="inlineStr">
        <is>
          <t>Afua Serwah Akoto Prempeh</t>
        </is>
      </c>
      <c r="F270" s="5" t="n">
        <v>46188.40945601852</v>
      </c>
      <c r="H270" t="inlineStr">
        <is>
          <t>Business and Project Management Training</t>
        </is>
      </c>
      <c r="I270" t="n">
        <v>8</v>
      </c>
      <c r="K270" t="inlineStr">
        <is>
          <t>Delivery of Compelling Comunications and Project Management Traininng</t>
        </is>
      </c>
      <c r="L270" t="b">
        <v>1</v>
      </c>
      <c r="M270" t="inlineStr">
        <is>
          <t>Non-Billable</t>
        </is>
      </c>
      <c r="N270" s="6">
        <f>IF(B270="","",IF(ISNUMBER(B270),TEXT(B270,"YYYY-MM"),LEFT(B270,7)))</f>
        <v/>
      </c>
    </row>
    <row r="271">
      <c r="A271" t="inlineStr">
        <is>
          <t>Patricia Offei</t>
        </is>
      </c>
      <c r="B271" s="4" t="n">
        <v>46182</v>
      </c>
      <c r="C271" t="inlineStr">
        <is>
          <t>Odoo Training</t>
        </is>
      </c>
      <c r="D271" t="inlineStr">
        <is>
          <t>Patricia Offei</t>
        </is>
      </c>
      <c r="E271" t="inlineStr">
        <is>
          <t>Patricia Offei</t>
        </is>
      </c>
      <c r="F271" s="5" t="n">
        <v>46188.39506944444</v>
      </c>
      <c r="H271" t="inlineStr">
        <is>
          <t>Non-Billable Tasks</t>
        </is>
      </c>
      <c r="I271" t="n">
        <v>8</v>
      </c>
      <c r="K271" t="inlineStr">
        <is>
          <t>Professional development and Knowledge sharing(training,global knowledge calls,exchange weeks)</t>
        </is>
      </c>
      <c r="L271" t="b">
        <v>0</v>
      </c>
      <c r="M271" t="inlineStr">
        <is>
          <t>Non-Billable</t>
        </is>
      </c>
      <c r="N271" s="6">
        <f>IF(B271="","",IF(ISNUMBER(B271),TEXT(B271,"YYYY-MM"),LEFT(B271,7)))</f>
        <v/>
      </c>
    </row>
    <row r="272">
      <c r="A272" t="inlineStr">
        <is>
          <t>Louis Defo</t>
        </is>
      </c>
      <c r="B272" s="4" t="n">
        <v>46182</v>
      </c>
      <c r="C272" t="inlineStr">
        <is>
          <t>Participation to Proforest Oddo Training</t>
        </is>
      </c>
      <c r="D272" t="inlineStr">
        <is>
          <t>Louis Defo</t>
        </is>
      </c>
      <c r="E272" t="inlineStr">
        <is>
          <t>Louis Defo</t>
        </is>
      </c>
      <c r="F272" s="5" t="n">
        <v>46188.303125</v>
      </c>
      <c r="H272" t="inlineStr">
        <is>
          <t>Non-Billable Tasks</t>
        </is>
      </c>
      <c r="I272" t="n">
        <v>8</v>
      </c>
      <c r="L272" t="b">
        <v>0</v>
      </c>
      <c r="M272" t="inlineStr">
        <is>
          <t>Non-Billable</t>
        </is>
      </c>
      <c r="N272" s="6">
        <f>IF(B272="","",IF(ISNUMBER(B272),TEXT(B272,"YYYY-MM"),LEFT(B272,7)))</f>
        <v/>
      </c>
    </row>
    <row r="273">
      <c r="A273" t="inlineStr">
        <is>
          <t>Daleba Bernard Kpenahi Raymond</t>
        </is>
      </c>
      <c r="B273" s="4" t="n">
        <v>46182</v>
      </c>
      <c r="C273" t="inlineStr">
        <is>
          <t>/</t>
        </is>
      </c>
      <c r="D273" t="inlineStr">
        <is>
          <t>Daleba Bernard Kpenahi Raymond</t>
        </is>
      </c>
      <c r="E273" t="inlineStr">
        <is>
          <t>Daleba Bernard Kpenahi Raymond</t>
        </is>
      </c>
      <c r="F273" s="5" t="n">
        <v>46185.40179398148</v>
      </c>
      <c r="H273" t="inlineStr">
        <is>
          <t>Non-Billable Tasks</t>
        </is>
      </c>
      <c r="I273" t="n">
        <v>8</v>
      </c>
      <c r="K273" t="inlineStr">
        <is>
          <t>Communication/Data/Training</t>
        </is>
      </c>
      <c r="L273" t="b">
        <v>0</v>
      </c>
      <c r="M273" t="inlineStr">
        <is>
          <t>Non-Billable</t>
        </is>
      </c>
      <c r="N273" s="6">
        <f>IF(B273="","",IF(ISNUMBER(B273),TEXT(B273,"YYYY-MM"),LEFT(B273,7)))</f>
        <v/>
      </c>
    </row>
    <row r="274">
      <c r="A274" t="inlineStr">
        <is>
          <t>Stephen Doso</t>
        </is>
      </c>
      <c r="B274" s="4" t="n">
        <v>46182</v>
      </c>
      <c r="C274" t="inlineStr">
        <is>
          <t>ISEAL Symposium</t>
        </is>
      </c>
      <c r="D274" t="inlineStr">
        <is>
          <t>Stephen Doso</t>
        </is>
      </c>
      <c r="E274" t="inlineStr">
        <is>
          <t>Stephen Doso</t>
        </is>
      </c>
      <c r="F274" s="5" t="n">
        <v>46184.3396875</v>
      </c>
      <c r="H274" t="inlineStr">
        <is>
          <t>Non-Billable Tasks</t>
        </is>
      </c>
      <c r="I274" t="n">
        <v>8</v>
      </c>
      <c r="K274" t="inlineStr">
        <is>
          <t>Business Development and Networking</t>
        </is>
      </c>
      <c r="L274" t="b">
        <v>0</v>
      </c>
      <c r="M274" t="inlineStr">
        <is>
          <t>Non-Billable</t>
        </is>
      </c>
      <c r="N274" s="6">
        <f>IF(B274="","",IF(ISNUMBER(B274),TEXT(B274,"YYYY-MM"),LEFT(B274,7)))</f>
        <v/>
      </c>
    </row>
    <row r="275">
      <c r="A275" t="inlineStr">
        <is>
          <t>Augustus Asamoah</t>
        </is>
      </c>
      <c r="B275" s="4" t="n">
        <v>46181</v>
      </c>
      <c r="C275" t="inlineStr">
        <is>
          <t>/</t>
        </is>
      </c>
      <c r="D275" t="inlineStr">
        <is>
          <t>Augustus Asamoah</t>
        </is>
      </c>
      <c r="E275" t="inlineStr">
        <is>
          <t>Augustus Asamoah</t>
        </is>
      </c>
      <c r="F275" s="5" t="n">
        <v>46210.35074074074</v>
      </c>
      <c r="H275" t="inlineStr">
        <is>
          <t>Non-Billable Tasks</t>
        </is>
      </c>
      <c r="I275" t="n">
        <v>8</v>
      </c>
      <c r="K275" t="inlineStr">
        <is>
          <t>Professional development and Knowledge sharing(training,global knowledge calls,exchange weeks)</t>
        </is>
      </c>
      <c r="L275" t="b">
        <v>0</v>
      </c>
      <c r="M275" t="inlineStr">
        <is>
          <t>Non-Billable</t>
        </is>
      </c>
      <c r="N275" s="6">
        <f>IF(B275="","",IF(ISNUMBER(B275),TEXT(B275,"YYYY-MM"),LEFT(B275,7)))</f>
        <v/>
      </c>
    </row>
    <row r="276">
      <c r="A276" t="inlineStr">
        <is>
          <t>Clement Obeng-Manu</t>
        </is>
      </c>
      <c r="B276" s="4" t="n">
        <v>46181</v>
      </c>
      <c r="C276" t="inlineStr">
        <is>
          <t>/</t>
        </is>
      </c>
      <c r="D276" t="inlineStr">
        <is>
          <t>Clement Obeng-Manu</t>
        </is>
      </c>
      <c r="E276" t="inlineStr">
        <is>
          <t>Clement Obeng-Manu</t>
        </is>
      </c>
      <c r="F276" s="5" t="n">
        <v>46195.71475694444</v>
      </c>
      <c r="H276" t="inlineStr">
        <is>
          <t>Non-Billable Tasks</t>
        </is>
      </c>
      <c r="I276" t="n">
        <v>8</v>
      </c>
      <c r="K276" t="inlineStr">
        <is>
          <t>Staff Meetings (Quartely Staff Meetings, Adhoc meetings, Welfare)</t>
        </is>
      </c>
      <c r="L276" t="b">
        <v>0</v>
      </c>
      <c r="M276" t="inlineStr">
        <is>
          <t>Non-Billable</t>
        </is>
      </c>
      <c r="N276" s="6">
        <f>IF(B276="","",IF(ISNUMBER(B276),TEXT(B276,"YYYY-MM"),LEFT(B276,7)))</f>
        <v/>
      </c>
    </row>
    <row r="277">
      <c r="A277" t="inlineStr">
        <is>
          <t>Soro TCHEREGNIMIN</t>
        </is>
      </c>
      <c r="B277" s="4" t="n">
        <v>46181</v>
      </c>
      <c r="C277" t="inlineStr">
        <is>
          <t>Mandatory training</t>
        </is>
      </c>
      <c r="D277" t="inlineStr">
        <is>
          <t>Soro TCHEREGNIMIN</t>
        </is>
      </c>
      <c r="E277" t="inlineStr">
        <is>
          <t>Soro TCHEREGNIMIN</t>
        </is>
      </c>
      <c r="F277" s="5" t="n">
        <v>46195.67322916666</v>
      </c>
      <c r="H277" t="inlineStr">
        <is>
          <t>Business and Project Management Training</t>
        </is>
      </c>
      <c r="I277" t="n">
        <v>8</v>
      </c>
      <c r="L277" t="b">
        <v>1</v>
      </c>
      <c r="M277" t="inlineStr">
        <is>
          <t>Non-Billable</t>
        </is>
      </c>
      <c r="N277" s="6">
        <f>IF(B277="","",IF(ISNUMBER(B277),TEXT(B277,"YYYY-MM"),LEFT(B277,7)))</f>
        <v/>
      </c>
    </row>
    <row r="278">
      <c r="A278" t="inlineStr">
        <is>
          <t>Helena Tetteh</t>
        </is>
      </c>
      <c r="B278" s="4" t="n">
        <v>46181</v>
      </c>
      <c r="C278" t="inlineStr">
        <is>
          <t>MANDATORY training and meetings</t>
        </is>
      </c>
      <c r="D278" t="inlineStr">
        <is>
          <t xml:space="preserve">Helena Tetteh </t>
        </is>
      </c>
      <c r="E278" t="inlineStr">
        <is>
          <t>Helena Tetteh</t>
        </is>
      </c>
      <c r="F278" s="5" t="n">
        <v>46195.50571759259</v>
      </c>
      <c r="H278" t="inlineStr">
        <is>
          <t>Non-Billable Tasks</t>
        </is>
      </c>
      <c r="I278" t="n">
        <v>8</v>
      </c>
      <c r="K278" t="inlineStr">
        <is>
          <t>Professional development and Knowledge sharing(training,global knowledge calls,exchange weeks)</t>
        </is>
      </c>
      <c r="L278" t="b">
        <v>0</v>
      </c>
      <c r="M278" t="inlineStr">
        <is>
          <t>Non-Billable</t>
        </is>
      </c>
      <c r="N278" s="6">
        <f>IF(B278="","",IF(ISNUMBER(B278),TEXT(B278,"YYYY-MM"),LEFT(B278,7)))</f>
        <v/>
      </c>
    </row>
    <row r="279">
      <c r="A279" t="inlineStr">
        <is>
          <t>Frederick Antwi</t>
        </is>
      </c>
      <c r="B279" s="4" t="n">
        <v>46181</v>
      </c>
      <c r="C279" t="inlineStr">
        <is>
          <t>/</t>
        </is>
      </c>
      <c r="D279" t="inlineStr">
        <is>
          <t>Frederick Antwi</t>
        </is>
      </c>
      <c r="E279" t="inlineStr">
        <is>
          <t>Frederick Antwi</t>
        </is>
      </c>
      <c r="F279" s="5" t="n">
        <v>46195.45357638889</v>
      </c>
      <c r="H279" t="inlineStr">
        <is>
          <t>Business and Project Management Training</t>
        </is>
      </c>
      <c r="I279" t="n">
        <v>8</v>
      </c>
      <c r="L279" t="b">
        <v>1</v>
      </c>
      <c r="M279" t="inlineStr">
        <is>
          <t>Non-Billable</t>
        </is>
      </c>
      <c r="N279" s="6">
        <f>IF(B279="","",IF(ISNUMBER(B279),TEXT(B279,"YYYY-MM"),LEFT(B279,7)))</f>
        <v/>
      </c>
    </row>
    <row r="280">
      <c r="A280" t="inlineStr">
        <is>
          <t>Kwadwo Baniako Nti</t>
        </is>
      </c>
      <c r="B280" s="4" t="n">
        <v>46181</v>
      </c>
      <c r="C280" t="inlineStr">
        <is>
          <t>2nd week of internal trainings on Odoo</t>
        </is>
      </c>
      <c r="D280" t="inlineStr">
        <is>
          <t>Kwadwo Baniako Nti</t>
        </is>
      </c>
      <c r="E280" t="inlineStr">
        <is>
          <t>Kwadwo Baniako Nti</t>
        </is>
      </c>
      <c r="F280" s="5" t="n">
        <v>46190.44710648148</v>
      </c>
      <c r="H280" t="inlineStr">
        <is>
          <t>Non-Billable Tasks</t>
        </is>
      </c>
      <c r="I280" t="n">
        <v>8</v>
      </c>
      <c r="K280" t="inlineStr">
        <is>
          <t>Professional development and Knowledge sharing(training,global knowledge calls,exchange weeks)</t>
        </is>
      </c>
      <c r="L280" t="b">
        <v>0</v>
      </c>
      <c r="M280" t="inlineStr">
        <is>
          <t>Non-Billable</t>
        </is>
      </c>
      <c r="N280" s="6">
        <f>IF(B280="","",IF(ISNUMBER(B280),TEXT(B280,"YYYY-MM"),LEFT(B280,7)))</f>
        <v/>
      </c>
    </row>
    <row r="281">
      <c r="A281" t="inlineStr">
        <is>
          <t>Ekow Nyamekye Tawiah</t>
        </is>
      </c>
      <c r="B281" s="4" t="n">
        <v>46181</v>
      </c>
      <c r="C281" t="inlineStr">
        <is>
          <t>Odoo Training</t>
        </is>
      </c>
      <c r="D281" t="inlineStr">
        <is>
          <t>Ekow Nyamekye Tawiah</t>
        </is>
      </c>
      <c r="E281" t="inlineStr">
        <is>
          <t>Ekow Nyamekye Tawiah</t>
        </is>
      </c>
      <c r="F281" s="5" t="n">
        <v>46191.62394675926</v>
      </c>
      <c r="H281" t="inlineStr">
        <is>
          <t>Non-Billable Tasks</t>
        </is>
      </c>
      <c r="I281" t="n">
        <v>4</v>
      </c>
      <c r="K281" t="inlineStr">
        <is>
          <t>Professional development and Knowledge sharing(training,global knowledge calls,exchange weeks)</t>
        </is>
      </c>
      <c r="L281" t="b">
        <v>0</v>
      </c>
      <c r="M281" t="inlineStr">
        <is>
          <t>Non-Billable</t>
        </is>
      </c>
      <c r="N281" s="6">
        <f>IF(B281="","",IF(ISNUMBER(B281),TEXT(B281,"YYYY-MM"),LEFT(B281,7)))</f>
        <v/>
      </c>
    </row>
    <row r="282">
      <c r="A282" t="inlineStr">
        <is>
          <t>Abel Ansu</t>
        </is>
      </c>
      <c r="B282" s="4" t="n">
        <v>46181</v>
      </c>
      <c r="C282" t="inlineStr">
        <is>
          <t>/</t>
        </is>
      </c>
      <c r="D282" t="inlineStr">
        <is>
          <t>Abel Ansu</t>
        </is>
      </c>
      <c r="E282" t="inlineStr">
        <is>
          <t>Abel Ansu</t>
        </is>
      </c>
      <c r="F282" s="5" t="n">
        <v>46188.9275462963</v>
      </c>
      <c r="H282" t="inlineStr">
        <is>
          <t>Non-Billable Tasks</t>
        </is>
      </c>
      <c r="I282" t="n">
        <v>8</v>
      </c>
      <c r="K282" t="inlineStr">
        <is>
          <t>Professional development and Knowledge sharing(training,global knowledge calls,exchange weeks)</t>
        </is>
      </c>
      <c r="L282" t="b">
        <v>0</v>
      </c>
      <c r="M282" t="inlineStr">
        <is>
          <t>Non-Billable</t>
        </is>
      </c>
      <c r="N282" s="6">
        <f>IF(B282="","",IF(ISNUMBER(B282),TEXT(B282,"YYYY-MM"),LEFT(B282,7)))</f>
        <v/>
      </c>
    </row>
    <row r="283">
      <c r="A283" t="inlineStr">
        <is>
          <t>Afua Serwah Akoto Prempeh</t>
        </is>
      </c>
      <c r="B283" s="4" t="n">
        <v>46181</v>
      </c>
      <c r="C283" t="inlineStr">
        <is>
          <t>/</t>
        </is>
      </c>
      <c r="D283" t="inlineStr">
        <is>
          <t>Afua Serwah Akoto Prempeh</t>
        </is>
      </c>
      <c r="E283" t="inlineStr">
        <is>
          <t>Afua Serwah Akoto Prempeh</t>
        </is>
      </c>
      <c r="F283" s="5" t="n">
        <v>46188.40940972222</v>
      </c>
      <c r="H283" t="inlineStr">
        <is>
          <t>Business and Project Management Training</t>
        </is>
      </c>
      <c r="I283" t="n">
        <v>8</v>
      </c>
      <c r="K283" t="inlineStr">
        <is>
          <t>Delivery of Compelling Comunications and Project Management Traininng</t>
        </is>
      </c>
      <c r="L283" t="b">
        <v>1</v>
      </c>
      <c r="M283" t="inlineStr">
        <is>
          <t>Non-Billable</t>
        </is>
      </c>
      <c r="N283" s="6">
        <f>IF(B283="","",IF(ISNUMBER(B283),TEXT(B283,"YYYY-MM"),LEFT(B283,7)))</f>
        <v/>
      </c>
    </row>
    <row r="284">
      <c r="A284" t="inlineStr">
        <is>
          <t>Patricia Offei</t>
        </is>
      </c>
      <c r="B284" s="4" t="n">
        <v>46181</v>
      </c>
      <c r="C284" t="inlineStr">
        <is>
          <t>Updates with Sucrivoire team</t>
        </is>
      </c>
      <c r="D284" t="inlineStr">
        <is>
          <t>Patricia Offei</t>
        </is>
      </c>
      <c r="E284" t="inlineStr">
        <is>
          <t>Patricia Offei</t>
        </is>
      </c>
      <c r="F284" s="5" t="n">
        <v>46188.39659722222</v>
      </c>
      <c r="G284" t="inlineStr">
        <is>
          <t>WS 15.1: Tree Planting &amp; Biodiversity Conservation</t>
        </is>
      </c>
      <c r="H284" t="inlineStr">
        <is>
          <t>PCGH779 - Cote d'Ivoire）</t>
        </is>
      </c>
      <c r="I284" t="n">
        <v>1</v>
      </c>
      <c r="J284" t="inlineStr">
        <is>
          <t>PCGH779 - Tree Planting Project (3) (Proforest Limited(PCUK GBP))</t>
        </is>
      </c>
      <c r="K284" t="inlineStr">
        <is>
          <t>Support establishment of nursery in Borotou, Zuenoula</t>
        </is>
      </c>
      <c r="L284" t="b">
        <v>1</v>
      </c>
      <c r="M284" t="inlineStr">
        <is>
          <t>Billed at a Fixed price</t>
        </is>
      </c>
      <c r="N284" s="6">
        <f>IF(B284="","",IF(ISNUMBER(B284),TEXT(B284,"YYYY-MM"),LEFT(B284,7)))</f>
        <v/>
      </c>
    </row>
    <row r="285">
      <c r="A285" t="inlineStr">
        <is>
          <t>Patricia Offei</t>
        </is>
      </c>
      <c r="B285" s="4" t="n">
        <v>46181</v>
      </c>
      <c r="C285" t="inlineStr">
        <is>
          <t>Resubmission report review</t>
        </is>
      </c>
      <c r="D285" t="inlineStr">
        <is>
          <t>Patricia Offei</t>
        </is>
      </c>
      <c r="E285" t="inlineStr">
        <is>
          <t>Patricia Offei</t>
        </is>
      </c>
      <c r="F285" s="5" t="n">
        <v>46188.39597222222</v>
      </c>
      <c r="G285" t="inlineStr">
        <is>
          <t>HCV Network Quality Review Process (3)</t>
        </is>
      </c>
      <c r="H285" t="inlineStr">
        <is>
          <t>PCGH722</t>
        </is>
      </c>
      <c r="I285" t="n">
        <v>3</v>
      </c>
      <c r="J285" t="inlineStr">
        <is>
          <t>PCGH722 - HCV Network Quality Review Process (3) (Sucrivoire SA)</t>
        </is>
      </c>
      <c r="K285" t="inlineStr">
        <is>
          <t>HCV Network Quality Review Process (3)</t>
        </is>
      </c>
      <c r="L285" t="b">
        <v>1</v>
      </c>
      <c r="M285" t="inlineStr">
        <is>
          <t>Billed at a Fixed price</t>
        </is>
      </c>
      <c r="N285" s="6">
        <f>IF(B285="","",IF(ISNUMBER(B285),TEXT(B285,"YYYY-MM"),LEFT(B285,7)))</f>
        <v/>
      </c>
    </row>
    <row r="286">
      <c r="A286" t="inlineStr">
        <is>
          <t>Patricia Offei</t>
        </is>
      </c>
      <c r="B286" s="4" t="n">
        <v>46181</v>
      </c>
      <c r="C286" t="inlineStr">
        <is>
          <t>Health Screening / Health Talk</t>
        </is>
      </c>
      <c r="D286" t="inlineStr">
        <is>
          <t>Patricia Offei</t>
        </is>
      </c>
      <c r="E286" t="inlineStr">
        <is>
          <t>Patricia Offei</t>
        </is>
      </c>
      <c r="F286" s="5" t="n">
        <v>46188.39546296297</v>
      </c>
      <c r="H286" t="inlineStr">
        <is>
          <t>Non-Billable Tasks</t>
        </is>
      </c>
      <c r="I286" t="n">
        <v>5</v>
      </c>
      <c r="K286" t="inlineStr">
        <is>
          <t>Professional development and Knowledge sharing(training,global knowledge calls,exchange weeks)</t>
        </is>
      </c>
      <c r="L286" t="b">
        <v>0</v>
      </c>
      <c r="M286" t="inlineStr">
        <is>
          <t>Non-Billable</t>
        </is>
      </c>
      <c r="N286" s="6">
        <f>IF(B286="","",IF(ISNUMBER(B286),TEXT(B286,"YYYY-MM"),LEFT(B286,7)))</f>
        <v/>
      </c>
    </row>
    <row r="287">
      <c r="A287" t="inlineStr">
        <is>
          <t>Louis Defo</t>
        </is>
      </c>
      <c r="B287" s="4" t="n">
        <v>46181</v>
      </c>
      <c r="C287" t="inlineStr">
        <is>
          <t>Participation to Proforest Oddo Training</t>
        </is>
      </c>
      <c r="D287" t="inlineStr">
        <is>
          <t>Louis Defo</t>
        </is>
      </c>
      <c r="E287" t="inlineStr">
        <is>
          <t>Louis Defo</t>
        </is>
      </c>
      <c r="F287" s="5" t="n">
        <v>46188.30292824074</v>
      </c>
      <c r="H287" t="inlineStr">
        <is>
          <t>Non-Billable Tasks</t>
        </is>
      </c>
      <c r="I287" t="n">
        <v>8</v>
      </c>
      <c r="L287" t="b">
        <v>0</v>
      </c>
      <c r="M287" t="inlineStr">
        <is>
          <t>Non-Billable</t>
        </is>
      </c>
      <c r="N287" s="6">
        <f>IF(B287="","",IF(ISNUMBER(B287),TEXT(B287,"YYYY-MM"),LEFT(B287,7)))</f>
        <v/>
      </c>
    </row>
    <row r="288">
      <c r="A288" t="inlineStr">
        <is>
          <t>Daleba Bernard Kpenahi Raymond</t>
        </is>
      </c>
      <c r="B288" s="4" t="n">
        <v>46181</v>
      </c>
      <c r="C288" t="inlineStr">
        <is>
          <t>/</t>
        </is>
      </c>
      <c r="D288" t="inlineStr">
        <is>
          <t>Daleba Bernard Kpenahi Raymond</t>
        </is>
      </c>
      <c r="E288" t="inlineStr">
        <is>
          <t>Daleba Bernard Kpenahi Raymond</t>
        </is>
      </c>
      <c r="F288" s="5" t="n">
        <v>46185.40178240741</v>
      </c>
      <c r="H288" t="inlineStr">
        <is>
          <t>Non-Billable Tasks</t>
        </is>
      </c>
      <c r="I288" t="n">
        <v>8</v>
      </c>
      <c r="K288" t="inlineStr">
        <is>
          <t>Communication/Data/Training</t>
        </is>
      </c>
      <c r="L288" t="b">
        <v>0</v>
      </c>
      <c r="M288" t="inlineStr">
        <is>
          <t>Non-Billable</t>
        </is>
      </c>
      <c r="N288" s="6">
        <f>IF(B288="","",IF(ISNUMBER(B288),TEXT(B288,"YYYY-MM"),LEFT(B288,7)))</f>
        <v/>
      </c>
    </row>
    <row r="289">
      <c r="A289" t="inlineStr">
        <is>
          <t>Stephen Doso</t>
        </is>
      </c>
      <c r="B289" s="4" t="n">
        <v>46181</v>
      </c>
      <c r="C289" t="inlineStr">
        <is>
          <t>/</t>
        </is>
      </c>
      <c r="D289" t="inlineStr">
        <is>
          <t>Stephen Doso</t>
        </is>
      </c>
      <c r="E289" t="inlineStr">
        <is>
          <t>Stephen Doso</t>
        </is>
      </c>
      <c r="F289" s="5" t="n">
        <v>46184.34065972222</v>
      </c>
      <c r="H289" t="inlineStr">
        <is>
          <t>Non-Billable Tasks</t>
        </is>
      </c>
      <c r="I289" t="n">
        <v>4</v>
      </c>
      <c r="K289" t="inlineStr">
        <is>
          <t>Business Development and Networking</t>
        </is>
      </c>
      <c r="L289" t="b">
        <v>0</v>
      </c>
      <c r="M289" t="inlineStr">
        <is>
          <t>Non-Billable</t>
        </is>
      </c>
      <c r="N289" s="6">
        <f>IF(B289="","",IF(ISNUMBER(B289),TEXT(B289,"YYYY-MM"),LEFT(B289,7)))</f>
        <v/>
      </c>
    </row>
    <row r="290">
      <c r="A290" t="inlineStr">
        <is>
          <t>Stephen Doso</t>
        </is>
      </c>
      <c r="B290" s="4" t="n">
        <v>46181</v>
      </c>
      <c r="C290" t="inlineStr">
        <is>
          <t>/</t>
        </is>
      </c>
      <c r="D290" t="inlineStr">
        <is>
          <t>Stephen Doso</t>
        </is>
      </c>
      <c r="E290" t="inlineStr">
        <is>
          <t>Stephen Doso</t>
        </is>
      </c>
      <c r="F290" s="5" t="n">
        <v>46184.340625</v>
      </c>
      <c r="H290" t="inlineStr">
        <is>
          <t>PCGH769</t>
        </is>
      </c>
      <c r="I290" t="n">
        <v>0</v>
      </c>
      <c r="J290" t="inlineStr">
        <is>
          <t>PCGH769 - Desk Study (2) (Biase Plantations Ltd.)</t>
        </is>
      </c>
      <c r="K290" t="inlineStr">
        <is>
          <t>HCV/HCS - Reporting and review</t>
        </is>
      </c>
      <c r="L290" t="b">
        <v>1</v>
      </c>
      <c r="M290" t="inlineStr">
        <is>
          <t>Billed at a Fixed price</t>
        </is>
      </c>
      <c r="N290" s="6">
        <f>IF(B290="","",IF(ISNUMBER(B290),TEXT(B290,"YYYY-MM"),LEFT(B290,7)))</f>
        <v/>
      </c>
    </row>
    <row r="291">
      <c r="A291" t="inlineStr">
        <is>
          <t>Stephen Doso</t>
        </is>
      </c>
      <c r="B291" s="4" t="n">
        <v>46181</v>
      </c>
      <c r="C291" t="inlineStr">
        <is>
          <t>/</t>
        </is>
      </c>
      <c r="D291" t="inlineStr">
        <is>
          <t>Stephen Doso</t>
        </is>
      </c>
      <c r="E291" t="inlineStr">
        <is>
          <t>Stephen Doso</t>
        </is>
      </c>
      <c r="F291" s="5" t="n">
        <v>46184.33509259259</v>
      </c>
      <c r="H291" t="inlineStr">
        <is>
          <t>Non-Billable Tasks</t>
        </is>
      </c>
      <c r="I291" t="n">
        <v>4</v>
      </c>
      <c r="K291" t="inlineStr">
        <is>
          <t>Staff Meetings (Quartely Staff Meetings, Adhoc meetings, Welfare)</t>
        </is>
      </c>
      <c r="L291" t="b">
        <v>0</v>
      </c>
      <c r="M291" t="inlineStr">
        <is>
          <t>Non-Billable</t>
        </is>
      </c>
      <c r="N291" s="6">
        <f>IF(B291="","",IF(ISNUMBER(B291),TEXT(B291,"YYYY-MM"),LEFT(B291,7)))</f>
        <v/>
      </c>
    </row>
    <row r="292">
      <c r="A292" t="inlineStr">
        <is>
          <t>Soro TCHEREGNIMIN</t>
        </is>
      </c>
      <c r="B292" s="4" t="n">
        <v>46181</v>
      </c>
      <c r="C292" t="inlineStr">
        <is>
          <t>/</t>
        </is>
      </c>
      <c r="D292" t="inlineStr">
        <is>
          <t>Soro TCHEREGNIMIN</t>
        </is>
      </c>
      <c r="E292" t="inlineStr">
        <is>
          <t>Soro TCHEREGNIMIN</t>
        </is>
      </c>
      <c r="F292" s="5" t="n">
        <v>46181.61899305556</v>
      </c>
      <c r="H292" t="inlineStr">
        <is>
          <t>PCGH787</t>
        </is>
      </c>
      <c r="I292" t="n">
        <v>0</v>
      </c>
      <c r="J292" t="inlineStr">
        <is>
          <t>PCGH787 - Desk Study (3) (Proforest Limited(PCUK GBP))</t>
        </is>
      </c>
      <c r="L292" t="b">
        <v>1</v>
      </c>
      <c r="M292" t="inlineStr">
        <is>
          <t>Billed at a Fixed price</t>
        </is>
      </c>
      <c r="N292" s="6">
        <f>IF(B292="","",IF(ISNUMBER(B292),TEXT(B292,"YYYY-MM"),LEFT(B292,7)))</f>
        <v/>
      </c>
    </row>
    <row r="293">
      <c r="A293" t="inlineStr">
        <is>
          <t>Augustus Asamoah</t>
        </is>
      </c>
      <c r="B293" s="4" t="n">
        <v>46178</v>
      </c>
      <c r="C293" t="inlineStr">
        <is>
          <t>/</t>
        </is>
      </c>
      <c r="D293" t="inlineStr">
        <is>
          <t>Augustus Asamoah</t>
        </is>
      </c>
      <c r="E293" t="inlineStr">
        <is>
          <t>Augustus Asamoah</t>
        </is>
      </c>
      <c r="F293" s="5" t="n">
        <v>46210.35039351852</v>
      </c>
      <c r="H293" t="inlineStr">
        <is>
          <t>Non-Billable Tasks</t>
        </is>
      </c>
      <c r="I293" t="n">
        <v>8</v>
      </c>
      <c r="K293" t="inlineStr">
        <is>
          <t>Professional development and Knowledge sharing(training,global knowledge calls,exchange weeks)</t>
        </is>
      </c>
      <c r="L293" t="b">
        <v>0</v>
      </c>
      <c r="M293" t="inlineStr">
        <is>
          <t>Non-Billable</t>
        </is>
      </c>
      <c r="N293" s="6">
        <f>IF(B293="","",IF(ISNUMBER(B293),TEXT(B293,"YYYY-MM"),LEFT(B293,7)))</f>
        <v/>
      </c>
    </row>
    <row r="294">
      <c r="A294" t="inlineStr">
        <is>
          <t>Soro TCHEREGNIMIN</t>
        </is>
      </c>
      <c r="B294" s="4" t="n">
        <v>46178</v>
      </c>
      <c r="C294" t="inlineStr">
        <is>
          <t>/</t>
        </is>
      </c>
      <c r="D294" t="inlineStr">
        <is>
          <t>Soro TCHEREGNIMIN</t>
        </is>
      </c>
      <c r="E294" t="inlineStr">
        <is>
          <t>Soro TCHEREGNIMIN</t>
        </is>
      </c>
      <c r="F294" s="5" t="n">
        <v>46195.67260416667</v>
      </c>
      <c r="H294" t="inlineStr">
        <is>
          <t>Business and Project Management Training</t>
        </is>
      </c>
      <c r="I294" t="n">
        <v>8</v>
      </c>
      <c r="L294" t="b">
        <v>1</v>
      </c>
      <c r="M294" t="inlineStr">
        <is>
          <t>Non-Billable</t>
        </is>
      </c>
      <c r="N294" s="6">
        <f>IF(B294="","",IF(ISNUMBER(B294),TEXT(B294,"YYYY-MM"),LEFT(B294,7)))</f>
        <v/>
      </c>
    </row>
    <row r="295">
      <c r="A295" t="inlineStr">
        <is>
          <t>Helena Tetteh</t>
        </is>
      </c>
      <c r="B295" s="4" t="n">
        <v>46178</v>
      </c>
      <c r="C295" t="inlineStr">
        <is>
          <t>/</t>
        </is>
      </c>
      <c r="D295" t="inlineStr">
        <is>
          <t xml:space="preserve">Helena Tetteh </t>
        </is>
      </c>
      <c r="E295" t="inlineStr">
        <is>
          <t>Helena Tetteh</t>
        </is>
      </c>
      <c r="F295" s="5" t="n">
        <v>46195.50420138889</v>
      </c>
      <c r="H295" t="inlineStr">
        <is>
          <t>Non-Billable Tasks</t>
        </is>
      </c>
      <c r="I295" t="n">
        <v>8</v>
      </c>
      <c r="K295" t="inlineStr">
        <is>
          <t>Professional development and Knowledge sharing(training,global knowledge calls,exchange weeks)</t>
        </is>
      </c>
      <c r="L295" t="b">
        <v>0</v>
      </c>
      <c r="M295" t="inlineStr">
        <is>
          <t>Non-Billable</t>
        </is>
      </c>
      <c r="N295" s="6">
        <f>IF(B295="","",IF(ISNUMBER(B295),TEXT(B295,"YYYY-MM"),LEFT(B295,7)))</f>
        <v/>
      </c>
    </row>
    <row r="296">
      <c r="A296" t="inlineStr">
        <is>
          <t>Frederick Antwi</t>
        </is>
      </c>
      <c r="B296" s="4" t="n">
        <v>46178</v>
      </c>
      <c r="C296" t="inlineStr">
        <is>
          <t>/</t>
        </is>
      </c>
      <c r="D296" t="inlineStr">
        <is>
          <t>Frederick Antwi</t>
        </is>
      </c>
      <c r="E296" t="inlineStr">
        <is>
          <t>Frederick Antwi</t>
        </is>
      </c>
      <c r="F296" s="5" t="n">
        <v>46195.45337962963</v>
      </c>
      <c r="H296" t="inlineStr">
        <is>
          <t>Business and Project Management Training</t>
        </is>
      </c>
      <c r="I296" t="n">
        <v>8</v>
      </c>
      <c r="L296" t="b">
        <v>1</v>
      </c>
      <c r="M296" t="inlineStr">
        <is>
          <t>Non-Billable</t>
        </is>
      </c>
      <c r="N296" s="6">
        <f>IF(B296="","",IF(ISNUMBER(B296),TEXT(B296,"YYYY-MM"),LEFT(B296,7)))</f>
        <v/>
      </c>
    </row>
    <row r="297">
      <c r="A297" t="inlineStr">
        <is>
          <t>Ekow Nyamekye Tawiah</t>
        </is>
      </c>
      <c r="B297" s="4" t="n">
        <v>46178</v>
      </c>
      <c r="C297" t="inlineStr">
        <is>
          <t>/</t>
        </is>
      </c>
      <c r="D297" t="inlineStr">
        <is>
          <t>Ekow Nyamekye Tawiah</t>
        </is>
      </c>
      <c r="E297" t="inlineStr">
        <is>
          <t>Ekow Nyamekye Tawiah</t>
        </is>
      </c>
      <c r="F297" s="5" t="n">
        <v>46191.62384259259</v>
      </c>
      <c r="H297" t="inlineStr">
        <is>
          <t>Non-Billable Tasks</t>
        </is>
      </c>
      <c r="I297" t="n">
        <v>4</v>
      </c>
      <c r="K297" t="inlineStr">
        <is>
          <t>Professional development and Knowledge sharing(training,global knowledge calls,exchange weeks)</t>
        </is>
      </c>
      <c r="L297" t="b">
        <v>0</v>
      </c>
      <c r="M297" t="inlineStr">
        <is>
          <t>Non-Billable</t>
        </is>
      </c>
      <c r="N297" s="6">
        <f>IF(B297="","",IF(ISNUMBER(B297),TEXT(B297,"YYYY-MM"),LEFT(B297,7)))</f>
        <v/>
      </c>
    </row>
    <row r="298">
      <c r="A298" t="inlineStr">
        <is>
          <t>Afua Serwah Akoto Prempeh</t>
        </is>
      </c>
      <c r="B298" s="4" t="n">
        <v>46178</v>
      </c>
      <c r="C298" t="inlineStr">
        <is>
          <t>/</t>
        </is>
      </c>
      <c r="D298" t="inlineStr">
        <is>
          <t>Afua Serwah Akoto Prempeh</t>
        </is>
      </c>
      <c r="E298" t="inlineStr">
        <is>
          <t>Afua Serwah Akoto Prempeh</t>
        </is>
      </c>
      <c r="F298" s="5" t="n">
        <v>46188.40935185185</v>
      </c>
      <c r="H298" t="inlineStr">
        <is>
          <t>Business and Project Management Training</t>
        </is>
      </c>
      <c r="I298" t="n">
        <v>8</v>
      </c>
      <c r="K298" t="inlineStr">
        <is>
          <t>Delivery of Compelling Comunications and Project Management Traininng</t>
        </is>
      </c>
      <c r="L298" t="b">
        <v>1</v>
      </c>
      <c r="M298" t="inlineStr">
        <is>
          <t>Non-Billable</t>
        </is>
      </c>
      <c r="N298" s="6">
        <f>IF(B298="","",IF(ISNUMBER(B298),TEXT(B298,"YYYY-MM"),LEFT(B298,7)))</f>
        <v/>
      </c>
    </row>
    <row r="299">
      <c r="A299" t="inlineStr">
        <is>
          <t>Kwadwo Baniako Nti</t>
        </is>
      </c>
      <c r="B299" s="4" t="n">
        <v>46178</v>
      </c>
      <c r="C299" t="inlineStr">
        <is>
          <t>/</t>
        </is>
      </c>
      <c r="D299" t="inlineStr">
        <is>
          <t>Kwadwo Baniako Nti</t>
        </is>
      </c>
      <c r="E299" t="inlineStr">
        <is>
          <t>Kwadwo Baniako Nti</t>
        </is>
      </c>
      <c r="F299" s="5" t="n">
        <v>46181.51424768518</v>
      </c>
      <c r="H299" t="inlineStr">
        <is>
          <t>Non-Billable Tasks</t>
        </is>
      </c>
      <c r="I299" t="n">
        <v>8</v>
      </c>
      <c r="K299" t="inlineStr">
        <is>
          <t>Professional development and Knowledge sharing(training,global knowledge calls,exchange weeks)</t>
        </is>
      </c>
      <c r="L299" t="b">
        <v>0</v>
      </c>
      <c r="M299" t="inlineStr">
        <is>
          <t>Non-Billable</t>
        </is>
      </c>
      <c r="N299" s="6">
        <f>IF(B299="","",IF(ISNUMBER(B299),TEXT(B299,"YYYY-MM"),LEFT(B299,7)))</f>
        <v/>
      </c>
    </row>
    <row r="300">
      <c r="A300" t="inlineStr">
        <is>
          <t>Abel Ansu</t>
        </is>
      </c>
      <c r="B300" s="4" t="n">
        <v>46178</v>
      </c>
      <c r="C300" t="inlineStr">
        <is>
          <t>/</t>
        </is>
      </c>
      <c r="D300" t="inlineStr">
        <is>
          <t>Abel Ansu</t>
        </is>
      </c>
      <c r="E300" t="inlineStr">
        <is>
          <t>Abel Ansu</t>
        </is>
      </c>
      <c r="F300" s="5" t="n">
        <v>46181.40974537037</v>
      </c>
      <c r="H300" t="inlineStr">
        <is>
          <t>Non-Billable Tasks</t>
        </is>
      </c>
      <c r="I300" t="n">
        <v>8</v>
      </c>
      <c r="K300" t="inlineStr">
        <is>
          <t>Professional development and Knowledge sharing(training,global knowledge calls,exchange weeks)</t>
        </is>
      </c>
      <c r="L300" t="b">
        <v>0</v>
      </c>
      <c r="M300" t="inlineStr">
        <is>
          <t>Non-Billable</t>
        </is>
      </c>
      <c r="N300" s="6">
        <f>IF(B300="","",IF(ISNUMBER(B300),TEXT(B300,"YYYY-MM"),LEFT(B300,7)))</f>
        <v/>
      </c>
    </row>
    <row r="301">
      <c r="A301" t="inlineStr">
        <is>
          <t>Louis Defo</t>
        </is>
      </c>
      <c r="B301" s="4" t="n">
        <v>46178</v>
      </c>
      <c r="C301" t="inlineStr">
        <is>
          <t>PF internal training</t>
        </is>
      </c>
      <c r="D301" t="inlineStr">
        <is>
          <t>Louis Defo</t>
        </is>
      </c>
      <c r="E301" t="inlineStr">
        <is>
          <t>Louis Defo</t>
        </is>
      </c>
      <c r="F301" s="5" t="n">
        <v>46181.37972222222</v>
      </c>
      <c r="H301" t="inlineStr">
        <is>
          <t>Non-Billable Tasks</t>
        </is>
      </c>
      <c r="I301" t="n">
        <v>8</v>
      </c>
      <c r="L301" t="b">
        <v>0</v>
      </c>
      <c r="M301" t="inlineStr">
        <is>
          <t>Non-Billable</t>
        </is>
      </c>
      <c r="N301" s="6">
        <f>IF(B301="","",IF(ISNUMBER(B301),TEXT(B301,"YYYY-MM"),LEFT(B301,7)))</f>
        <v/>
      </c>
    </row>
    <row r="302">
      <c r="A302" t="inlineStr">
        <is>
          <t>Stephen Doso</t>
        </is>
      </c>
      <c r="B302" s="4" t="n">
        <v>46178</v>
      </c>
      <c r="C302" t="inlineStr">
        <is>
          <t>/</t>
        </is>
      </c>
      <c r="D302" t="inlineStr">
        <is>
          <t>Stephen Doso</t>
        </is>
      </c>
      <c r="E302" t="inlineStr">
        <is>
          <t>Stephen Doso</t>
        </is>
      </c>
      <c r="F302" s="5" t="n">
        <v>46180.37961805556</v>
      </c>
      <c r="H302" t="inlineStr">
        <is>
          <t>Non-Billable Tasks</t>
        </is>
      </c>
      <c r="I302" t="n">
        <v>8</v>
      </c>
      <c r="K302" t="inlineStr">
        <is>
          <t>Professional development and Knowledge sharing(training,global knowledge calls,exchange weeks)</t>
        </is>
      </c>
      <c r="L302" t="b">
        <v>0</v>
      </c>
      <c r="M302" t="inlineStr">
        <is>
          <t>Non-Billable</t>
        </is>
      </c>
      <c r="N302" s="6">
        <f>IF(B302="","",IF(ISNUMBER(B302),TEXT(B302,"YYYY-MM"),LEFT(B302,7)))</f>
        <v/>
      </c>
    </row>
    <row r="303">
      <c r="A303" t="inlineStr">
        <is>
          <t>Patricia Offei</t>
        </is>
      </c>
      <c r="B303" s="4" t="n">
        <v>46178</v>
      </c>
      <c r="C303" t="inlineStr">
        <is>
          <t>/</t>
        </is>
      </c>
      <c r="D303" t="inlineStr">
        <is>
          <t>Patricia Offei</t>
        </is>
      </c>
      <c r="E303" t="inlineStr">
        <is>
          <t>Patricia Offei</t>
        </is>
      </c>
      <c r="F303" s="5" t="n">
        <v>46178.70386574074</v>
      </c>
      <c r="H303" t="inlineStr">
        <is>
          <t>PCGH774 -Evaluation Deep-Dive Action Plans by Socfin Group</t>
        </is>
      </c>
      <c r="I303" t="n">
        <v>1</v>
      </c>
      <c r="J303" t="inlineStr">
        <is>
          <t>PCGH774 - Analysis and Reporting (3) (Socfinco FR SA)</t>
        </is>
      </c>
      <c r="K303" t="inlineStr">
        <is>
          <t xml:space="preserve">Cameroon (Safacam) - Analysis and Reporting </t>
        </is>
      </c>
      <c r="L303" t="b">
        <v>1</v>
      </c>
      <c r="M303" t="inlineStr">
        <is>
          <t>Billed at a Fixed price</t>
        </is>
      </c>
      <c r="N303" s="6">
        <f>IF(B303="","",IF(ISNUMBER(B303),TEXT(B303,"YYYY-MM"),LEFT(B303,7)))</f>
        <v/>
      </c>
    </row>
    <row r="304">
      <c r="A304" t="inlineStr">
        <is>
          <t>Patricia Offei</t>
        </is>
      </c>
      <c r="B304" s="4" t="n">
        <v>46178</v>
      </c>
      <c r="C304" t="inlineStr">
        <is>
          <t>Report Review</t>
        </is>
      </c>
      <c r="D304" t="inlineStr">
        <is>
          <t>Patricia Offei</t>
        </is>
      </c>
      <c r="E304" t="inlineStr">
        <is>
          <t>Patricia Offei</t>
        </is>
      </c>
      <c r="F304" s="5" t="n">
        <v>46178.70324074074</v>
      </c>
      <c r="H304" t="inlineStr">
        <is>
          <t>PCGH774 -Evaluation Deep-Dive Action Plans by Socfin Group</t>
        </is>
      </c>
      <c r="I304" t="n">
        <v>1</v>
      </c>
      <c r="J304" t="inlineStr">
        <is>
          <t>PCGH774 - Tier 3 (Socfinco FR SA)</t>
        </is>
      </c>
      <c r="K304" t="inlineStr">
        <is>
          <t>SOGB - Analysis and reporting</t>
        </is>
      </c>
      <c r="L304" t="b">
        <v>1</v>
      </c>
      <c r="M304" t="inlineStr">
        <is>
          <t>Billed at a Fixed price</t>
        </is>
      </c>
      <c r="N304" s="6">
        <f>IF(B304="","",IF(ISNUMBER(B304),TEXT(B304,"YYYY-MM"),LEFT(B304,7)))</f>
        <v/>
      </c>
    </row>
    <row r="305">
      <c r="A305" t="inlineStr">
        <is>
          <t>Patricia Offei</t>
        </is>
      </c>
      <c r="B305" s="4" t="n">
        <v>46178</v>
      </c>
      <c r="C305" t="inlineStr">
        <is>
          <t>Project Management Training</t>
        </is>
      </c>
      <c r="D305" t="inlineStr">
        <is>
          <t>Patricia Offei</t>
        </is>
      </c>
      <c r="E305" t="inlineStr">
        <is>
          <t>Patricia Offei</t>
        </is>
      </c>
      <c r="F305" s="5" t="n">
        <v>46178.70259259259</v>
      </c>
      <c r="H305" t="inlineStr">
        <is>
          <t>Non-Billable Tasks</t>
        </is>
      </c>
      <c r="I305" t="n">
        <v>6</v>
      </c>
      <c r="K305" t="inlineStr">
        <is>
          <t>Professional development and Knowledge sharing(training,global knowledge calls,exchange weeks)</t>
        </is>
      </c>
      <c r="L305" t="b">
        <v>0</v>
      </c>
      <c r="M305" t="inlineStr">
        <is>
          <t>Non-Billable</t>
        </is>
      </c>
      <c r="N305" s="6">
        <f>IF(B305="","",IF(ISNUMBER(B305),TEXT(B305,"YYYY-MM"),LEFT(B305,7)))</f>
        <v/>
      </c>
    </row>
    <row r="306">
      <c r="A306" t="inlineStr">
        <is>
          <t>Daleba Bernard Kpenahi Raymond</t>
        </is>
      </c>
      <c r="B306" s="4" t="n">
        <v>46178</v>
      </c>
      <c r="C306" t="inlineStr">
        <is>
          <t>/</t>
        </is>
      </c>
      <c r="D306" t="inlineStr">
        <is>
          <t>Daleba Bernard Kpenahi Raymond</t>
        </is>
      </c>
      <c r="E306" t="inlineStr">
        <is>
          <t>Daleba Bernard Kpenahi Raymond</t>
        </is>
      </c>
      <c r="F306" s="5" t="n">
        <v>46176.38903935185</v>
      </c>
      <c r="H306" t="inlineStr">
        <is>
          <t>Non-Billable Tasks</t>
        </is>
      </c>
      <c r="I306" t="n">
        <v>8</v>
      </c>
      <c r="K306" t="inlineStr">
        <is>
          <t>Communication/Data/Training</t>
        </is>
      </c>
      <c r="L306" t="b">
        <v>0</v>
      </c>
      <c r="M306" t="inlineStr">
        <is>
          <t>Non-Billable</t>
        </is>
      </c>
      <c r="N306" s="6">
        <f>IF(B306="","",IF(ISNUMBER(B306),TEXT(B306,"YYYY-MM"),LEFT(B306,7)))</f>
        <v/>
      </c>
    </row>
    <row r="307">
      <c r="A307" t="inlineStr">
        <is>
          <t>Clement Obeng-Manu</t>
        </is>
      </c>
      <c r="B307" s="4" t="n">
        <v>46178</v>
      </c>
      <c r="C307" t="inlineStr">
        <is>
          <t>/</t>
        </is>
      </c>
      <c r="D307" t="inlineStr">
        <is>
          <t>Clement Obeng-Manu</t>
        </is>
      </c>
      <c r="E307" t="inlineStr">
        <is>
          <t>Clement Obeng-Manu</t>
        </is>
      </c>
      <c r="F307" s="5" t="n">
        <v>46176.29012731482</v>
      </c>
      <c r="H307" t="inlineStr">
        <is>
          <t>Non-Billable Tasks</t>
        </is>
      </c>
      <c r="I307" t="n">
        <v>8</v>
      </c>
      <c r="K307" t="inlineStr">
        <is>
          <t>Staff Meetings (Quartely Staff Meetings, Adhoc meetings, Welfare)</t>
        </is>
      </c>
      <c r="L307" t="b">
        <v>0</v>
      </c>
      <c r="M307" t="inlineStr">
        <is>
          <t>Non-Billable</t>
        </is>
      </c>
      <c r="N307" s="6">
        <f>IF(B307="","",IF(ISNUMBER(B307),TEXT(B307,"YYYY-MM"),LEFT(B307,7)))</f>
        <v/>
      </c>
    </row>
    <row r="308">
      <c r="A308" t="inlineStr">
        <is>
          <t>Augustus Asamoah</t>
        </is>
      </c>
      <c r="B308" s="4" t="n">
        <v>46177</v>
      </c>
      <c r="C308" t="inlineStr">
        <is>
          <t>/</t>
        </is>
      </c>
      <c r="D308" t="inlineStr">
        <is>
          <t>Augustus Asamoah</t>
        </is>
      </c>
      <c r="E308" t="inlineStr">
        <is>
          <t>Augustus Asamoah</t>
        </is>
      </c>
      <c r="F308" s="5" t="n">
        <v>46210.35037037037</v>
      </c>
      <c r="H308" t="inlineStr">
        <is>
          <t>Non-Billable Tasks</t>
        </is>
      </c>
      <c r="I308" t="n">
        <v>8</v>
      </c>
      <c r="K308" t="inlineStr">
        <is>
          <t>Professional development and Knowledge sharing(training,global knowledge calls,exchange weeks)</t>
        </is>
      </c>
      <c r="L308" t="b">
        <v>0</v>
      </c>
      <c r="M308" t="inlineStr">
        <is>
          <t>Non-Billable</t>
        </is>
      </c>
      <c r="N308" s="6">
        <f>IF(B308="","",IF(ISNUMBER(B308),TEXT(B308,"YYYY-MM"),LEFT(B308,7)))</f>
        <v/>
      </c>
    </row>
    <row r="309">
      <c r="A309" t="inlineStr">
        <is>
          <t>Soro TCHEREGNIMIN</t>
        </is>
      </c>
      <c r="B309" s="4" t="n">
        <v>46177</v>
      </c>
      <c r="C309" t="inlineStr">
        <is>
          <t>/</t>
        </is>
      </c>
      <c r="D309" t="inlineStr">
        <is>
          <t>Soro TCHEREGNIMIN</t>
        </is>
      </c>
      <c r="E309" t="inlineStr">
        <is>
          <t>Soro TCHEREGNIMIN</t>
        </is>
      </c>
      <c r="F309" s="5" t="n">
        <v>46195.67256944445</v>
      </c>
      <c r="H309" t="inlineStr">
        <is>
          <t>Business and Project Management Training</t>
        </is>
      </c>
      <c r="I309" t="n">
        <v>8</v>
      </c>
      <c r="L309" t="b">
        <v>1</v>
      </c>
      <c r="M309" t="inlineStr">
        <is>
          <t>Non-Billable</t>
        </is>
      </c>
      <c r="N309" s="6">
        <f>IF(B309="","",IF(ISNUMBER(B309),TEXT(B309,"YYYY-MM"),LEFT(B309,7)))</f>
        <v/>
      </c>
    </row>
    <row r="310">
      <c r="A310" t="inlineStr">
        <is>
          <t>Helena Tetteh</t>
        </is>
      </c>
      <c r="B310" s="4" t="n">
        <v>46177</v>
      </c>
      <c r="C310" t="inlineStr">
        <is>
          <t>/</t>
        </is>
      </c>
      <c r="D310" t="inlineStr">
        <is>
          <t xml:space="preserve">Helena Tetteh </t>
        </is>
      </c>
      <c r="E310" t="inlineStr">
        <is>
          <t>Helena Tetteh</t>
        </is>
      </c>
      <c r="F310" s="5" t="n">
        <v>46195.50417824074</v>
      </c>
      <c r="H310" t="inlineStr">
        <is>
          <t>Non-Billable Tasks</t>
        </is>
      </c>
      <c r="I310" t="n">
        <v>8</v>
      </c>
      <c r="K310" t="inlineStr">
        <is>
          <t>Professional development and Knowledge sharing(training,global knowledge calls,exchange weeks)</t>
        </is>
      </c>
      <c r="L310" t="b">
        <v>0</v>
      </c>
      <c r="M310" t="inlineStr">
        <is>
          <t>Non-Billable</t>
        </is>
      </c>
      <c r="N310" s="6">
        <f>IF(B310="","",IF(ISNUMBER(B310),TEXT(B310,"YYYY-MM"),LEFT(B310,7)))</f>
        <v/>
      </c>
    </row>
    <row r="311">
      <c r="A311" t="inlineStr">
        <is>
          <t>Frederick Antwi</t>
        </is>
      </c>
      <c r="B311" s="4" t="n">
        <v>46177</v>
      </c>
      <c r="C311" t="inlineStr">
        <is>
          <t>/</t>
        </is>
      </c>
      <c r="D311" t="inlineStr">
        <is>
          <t>Frederick Antwi</t>
        </is>
      </c>
      <c r="E311" t="inlineStr">
        <is>
          <t>Frederick Antwi</t>
        </is>
      </c>
      <c r="F311" s="5" t="n">
        <v>46195.45336805555</v>
      </c>
      <c r="H311" t="inlineStr">
        <is>
          <t>Business and Project Management Training</t>
        </is>
      </c>
      <c r="I311" t="n">
        <v>8</v>
      </c>
      <c r="L311" t="b">
        <v>1</v>
      </c>
      <c r="M311" t="inlineStr">
        <is>
          <t>Non-Billable</t>
        </is>
      </c>
      <c r="N311" s="6">
        <f>IF(B311="","",IF(ISNUMBER(B311),TEXT(B311,"YYYY-MM"),LEFT(B311,7)))</f>
        <v/>
      </c>
    </row>
    <row r="312">
      <c r="A312" t="inlineStr">
        <is>
          <t>Ekow Nyamekye Tawiah</t>
        </is>
      </c>
      <c r="B312" s="4" t="n">
        <v>46177</v>
      </c>
      <c r="C312" t="inlineStr">
        <is>
          <t>/</t>
        </is>
      </c>
      <c r="D312" t="inlineStr">
        <is>
          <t>Ekow Nyamekye Tawiah</t>
        </is>
      </c>
      <c r="E312" t="inlineStr">
        <is>
          <t>Ekow Nyamekye Tawiah</t>
        </is>
      </c>
      <c r="F312" s="5" t="n">
        <v>46191.62383101852</v>
      </c>
      <c r="H312" t="inlineStr">
        <is>
          <t>Non-Billable Tasks</t>
        </is>
      </c>
      <c r="I312" t="n">
        <v>4</v>
      </c>
      <c r="K312" t="inlineStr">
        <is>
          <t>Professional development and Knowledge sharing(training,global knowledge calls,exchange weeks)</t>
        </is>
      </c>
      <c r="L312" t="b">
        <v>0</v>
      </c>
      <c r="M312" t="inlineStr">
        <is>
          <t>Non-Billable</t>
        </is>
      </c>
      <c r="N312" s="6">
        <f>IF(B312="","",IF(ISNUMBER(B312),TEXT(B312,"YYYY-MM"),LEFT(B312,7)))</f>
        <v/>
      </c>
    </row>
    <row r="313">
      <c r="A313" t="inlineStr">
        <is>
          <t>Afua Serwah Akoto Prempeh</t>
        </is>
      </c>
      <c r="B313" s="4" t="n">
        <v>46177</v>
      </c>
      <c r="C313" t="inlineStr">
        <is>
          <t>/</t>
        </is>
      </c>
      <c r="D313" t="inlineStr">
        <is>
          <t>Afua Serwah Akoto Prempeh</t>
        </is>
      </c>
      <c r="E313" t="inlineStr">
        <is>
          <t>Afua Serwah Akoto Prempeh</t>
        </is>
      </c>
      <c r="F313" s="5" t="n">
        <v>46188.40930555556</v>
      </c>
      <c r="H313" t="inlineStr">
        <is>
          <t>Business and Project Management Training</t>
        </is>
      </c>
      <c r="I313" t="n">
        <v>8</v>
      </c>
      <c r="K313" t="inlineStr">
        <is>
          <t>Delivery of Compelling Comunications and Project Management Traininng</t>
        </is>
      </c>
      <c r="L313" t="b">
        <v>1</v>
      </c>
      <c r="M313" t="inlineStr">
        <is>
          <t>Non-Billable</t>
        </is>
      </c>
      <c r="N313" s="6">
        <f>IF(B313="","",IF(ISNUMBER(B313),TEXT(B313,"YYYY-MM"),LEFT(B313,7)))</f>
        <v/>
      </c>
    </row>
    <row r="314">
      <c r="A314" t="inlineStr">
        <is>
          <t>Kwadwo Baniako Nti</t>
        </is>
      </c>
      <c r="B314" s="4" t="n">
        <v>46177</v>
      </c>
      <c r="C314" t="inlineStr">
        <is>
          <t>/</t>
        </is>
      </c>
      <c r="D314" t="inlineStr">
        <is>
          <t>Kwadwo Baniako Nti</t>
        </is>
      </c>
      <c r="E314" t="inlineStr">
        <is>
          <t>Kwadwo Baniako Nti</t>
        </is>
      </c>
      <c r="F314" s="5" t="n">
        <v>46181.51422453704</v>
      </c>
      <c r="H314" t="inlineStr">
        <is>
          <t>Non-Billable Tasks</t>
        </is>
      </c>
      <c r="I314" t="n">
        <v>8</v>
      </c>
      <c r="K314" t="inlineStr">
        <is>
          <t>Professional development and Knowledge sharing(training,global knowledge calls,exchange weeks)</t>
        </is>
      </c>
      <c r="L314" t="b">
        <v>0</v>
      </c>
      <c r="M314" t="inlineStr">
        <is>
          <t>Non-Billable</t>
        </is>
      </c>
      <c r="N314" s="6">
        <f>IF(B314="","",IF(ISNUMBER(B314),TEXT(B314,"YYYY-MM"),LEFT(B314,7)))</f>
        <v/>
      </c>
    </row>
    <row r="315">
      <c r="A315" t="inlineStr">
        <is>
          <t>Abel Ansu</t>
        </is>
      </c>
      <c r="B315" s="4" t="n">
        <v>46177</v>
      </c>
      <c r="C315" t="inlineStr">
        <is>
          <t>/</t>
        </is>
      </c>
      <c r="D315" t="inlineStr">
        <is>
          <t>Abel Ansu</t>
        </is>
      </c>
      <c r="E315" t="inlineStr">
        <is>
          <t>Abel Ansu</t>
        </is>
      </c>
      <c r="F315" s="5" t="n">
        <v>46181.40936342593</v>
      </c>
      <c r="H315" t="inlineStr">
        <is>
          <t>Non-Billable Tasks</t>
        </is>
      </c>
      <c r="I315" t="n">
        <v>8</v>
      </c>
      <c r="K315" t="inlineStr">
        <is>
          <t>Professional development and Knowledge sharing(training,global knowledge calls,exchange weeks)</t>
        </is>
      </c>
      <c r="L315" t="b">
        <v>0</v>
      </c>
      <c r="M315" t="inlineStr">
        <is>
          <t>Non-Billable</t>
        </is>
      </c>
      <c r="N315" s="6">
        <f>IF(B315="","",IF(ISNUMBER(B315),TEXT(B315,"YYYY-MM"),LEFT(B315,7)))</f>
        <v/>
      </c>
    </row>
    <row r="316">
      <c r="A316" t="inlineStr">
        <is>
          <t>Louis Defo</t>
        </is>
      </c>
      <c r="B316" s="4" t="n">
        <v>46177</v>
      </c>
      <c r="C316" t="inlineStr">
        <is>
          <t xml:space="preserve">PF training </t>
        </is>
      </c>
      <c r="D316" t="inlineStr">
        <is>
          <t>Louis Defo</t>
        </is>
      </c>
      <c r="E316" t="inlineStr">
        <is>
          <t>Louis Defo</t>
        </is>
      </c>
      <c r="F316" s="5" t="n">
        <v>46181.37927083333</v>
      </c>
      <c r="H316" t="inlineStr">
        <is>
          <t>Non-Billable Tasks</t>
        </is>
      </c>
      <c r="I316" t="n">
        <v>8</v>
      </c>
      <c r="L316" t="b">
        <v>0</v>
      </c>
      <c r="M316" t="inlineStr">
        <is>
          <t>Non-Billable</t>
        </is>
      </c>
      <c r="N316" s="6">
        <f>IF(B316="","",IF(ISNUMBER(B316),TEXT(B316,"YYYY-MM"),LEFT(B316,7)))</f>
        <v/>
      </c>
    </row>
    <row r="317">
      <c r="A317" t="inlineStr">
        <is>
          <t>Stephen Doso</t>
        </is>
      </c>
      <c r="B317" s="4" t="n">
        <v>46177</v>
      </c>
      <c r="C317" t="inlineStr">
        <is>
          <t>/</t>
        </is>
      </c>
      <c r="D317" t="inlineStr">
        <is>
          <t>Stephen Doso</t>
        </is>
      </c>
      <c r="E317" t="inlineStr">
        <is>
          <t>Stephen Doso</t>
        </is>
      </c>
      <c r="F317" s="5" t="n">
        <v>46180.37957175926</v>
      </c>
      <c r="H317" t="inlineStr">
        <is>
          <t>Non-Billable Tasks</t>
        </is>
      </c>
      <c r="I317" t="n">
        <v>8</v>
      </c>
      <c r="K317" t="inlineStr">
        <is>
          <t>Professional development and Knowledge sharing(training,global knowledge calls,exchange weeks)</t>
        </is>
      </c>
      <c r="L317" t="b">
        <v>0</v>
      </c>
      <c r="M317" t="inlineStr">
        <is>
          <t>Non-Billable</t>
        </is>
      </c>
      <c r="N317" s="6">
        <f>IF(B317="","",IF(ISNUMBER(B317),TEXT(B317,"YYYY-MM"),LEFT(B317,7)))</f>
        <v/>
      </c>
    </row>
    <row r="318">
      <c r="A318" t="inlineStr">
        <is>
          <t>Patricia Offei</t>
        </is>
      </c>
      <c r="B318" s="4" t="n">
        <v>46177</v>
      </c>
      <c r="C318" t="inlineStr">
        <is>
          <t>Project Management Training</t>
        </is>
      </c>
      <c r="D318" t="inlineStr">
        <is>
          <t>Patricia Offei</t>
        </is>
      </c>
      <c r="E318" t="inlineStr">
        <is>
          <t>Patricia Offei</t>
        </is>
      </c>
      <c r="F318" s="5" t="n">
        <v>46178.70231481481</v>
      </c>
      <c r="H318" t="inlineStr">
        <is>
          <t>Non-Billable Tasks</t>
        </is>
      </c>
      <c r="I318" t="n">
        <v>8</v>
      </c>
      <c r="K318" t="inlineStr">
        <is>
          <t>Professional development and Knowledge sharing(training,global knowledge calls,exchange weeks)</t>
        </is>
      </c>
      <c r="L318" t="b">
        <v>0</v>
      </c>
      <c r="M318" t="inlineStr">
        <is>
          <t>Non-Billable</t>
        </is>
      </c>
      <c r="N318" s="6">
        <f>IF(B318="","",IF(ISNUMBER(B318),TEXT(B318,"YYYY-MM"),LEFT(B318,7)))</f>
        <v/>
      </c>
    </row>
    <row r="319">
      <c r="A319" t="inlineStr">
        <is>
          <t>Daleba Bernard Kpenahi Raymond</t>
        </is>
      </c>
      <c r="B319" s="4" t="n">
        <v>46177</v>
      </c>
      <c r="C319" t="inlineStr">
        <is>
          <t>/</t>
        </is>
      </c>
      <c r="D319" t="inlineStr">
        <is>
          <t>Daleba Bernard Kpenahi Raymond</t>
        </is>
      </c>
      <c r="E319" t="inlineStr">
        <is>
          <t>Daleba Bernard Kpenahi Raymond</t>
        </is>
      </c>
      <c r="F319" s="5" t="n">
        <v>46176.38902777778</v>
      </c>
      <c r="H319" t="inlineStr">
        <is>
          <t>Non-Billable Tasks</t>
        </is>
      </c>
      <c r="I319" t="n">
        <v>8</v>
      </c>
      <c r="K319" t="inlineStr">
        <is>
          <t>Communication/Data/Training</t>
        </is>
      </c>
      <c r="L319" t="b">
        <v>0</v>
      </c>
      <c r="M319" t="inlineStr">
        <is>
          <t>Non-Billable</t>
        </is>
      </c>
      <c r="N319" s="6">
        <f>IF(B319="","",IF(ISNUMBER(B319),TEXT(B319,"YYYY-MM"),LEFT(B319,7)))</f>
        <v/>
      </c>
    </row>
    <row r="320">
      <c r="A320" t="inlineStr">
        <is>
          <t>Clement Obeng-Manu</t>
        </is>
      </c>
      <c r="B320" s="4" t="n">
        <v>46177</v>
      </c>
      <c r="C320" t="inlineStr">
        <is>
          <t>/</t>
        </is>
      </c>
      <c r="D320" t="inlineStr">
        <is>
          <t>Clement Obeng-Manu</t>
        </is>
      </c>
      <c r="E320" t="inlineStr">
        <is>
          <t>Clement Obeng-Manu</t>
        </is>
      </c>
      <c r="F320" s="5" t="n">
        <v>46176.29011574074</v>
      </c>
      <c r="H320" t="inlineStr">
        <is>
          <t>Non-Billable Tasks</t>
        </is>
      </c>
      <c r="I320" t="n">
        <v>8</v>
      </c>
      <c r="K320" t="inlineStr">
        <is>
          <t>Staff Meetings (Quartely Staff Meetings, Adhoc meetings, Welfare)</t>
        </is>
      </c>
      <c r="L320" t="b">
        <v>0</v>
      </c>
      <c r="M320" t="inlineStr">
        <is>
          <t>Non-Billable</t>
        </is>
      </c>
      <c r="N320" s="6">
        <f>IF(B320="","",IF(ISNUMBER(B320),TEXT(B320,"YYYY-MM"),LEFT(B320,7)))</f>
        <v/>
      </c>
    </row>
    <row r="321">
      <c r="A321" t="inlineStr">
        <is>
          <t>Augustus Asamoah</t>
        </is>
      </c>
      <c r="B321" s="4" t="n">
        <v>46176</v>
      </c>
      <c r="C321" t="inlineStr">
        <is>
          <t>/</t>
        </is>
      </c>
      <c r="D321" t="inlineStr">
        <is>
          <t>Augustus Asamoah</t>
        </is>
      </c>
      <c r="E321" t="inlineStr">
        <is>
          <t>Augustus Asamoah</t>
        </is>
      </c>
      <c r="F321" s="5" t="n">
        <v>46210.3503587963</v>
      </c>
      <c r="H321" t="inlineStr">
        <is>
          <t>Non-Billable Tasks</t>
        </is>
      </c>
      <c r="I321" t="n">
        <v>8</v>
      </c>
      <c r="K321" t="inlineStr">
        <is>
          <t>Professional development and Knowledge sharing(training,global knowledge calls,exchange weeks)</t>
        </is>
      </c>
      <c r="L321" t="b">
        <v>0</v>
      </c>
      <c r="M321" t="inlineStr">
        <is>
          <t>Non-Billable</t>
        </is>
      </c>
      <c r="N321" s="6">
        <f>IF(B321="","",IF(ISNUMBER(B321),TEXT(B321,"YYYY-MM"),LEFT(B321,7)))</f>
        <v/>
      </c>
    </row>
    <row r="322">
      <c r="A322" t="inlineStr">
        <is>
          <t>Soro TCHEREGNIMIN</t>
        </is>
      </c>
      <c r="B322" s="4" t="n">
        <v>46176</v>
      </c>
      <c r="C322" t="inlineStr">
        <is>
          <t>/</t>
        </is>
      </c>
      <c r="D322" t="inlineStr">
        <is>
          <t>Soro TCHEREGNIMIN</t>
        </is>
      </c>
      <c r="E322" t="inlineStr">
        <is>
          <t>Soro TCHEREGNIMIN</t>
        </is>
      </c>
      <c r="F322" s="5" t="n">
        <v>46195.67254629629</v>
      </c>
      <c r="H322" t="inlineStr">
        <is>
          <t>Business and Project Management Training</t>
        </is>
      </c>
      <c r="I322" t="n">
        <v>8</v>
      </c>
      <c r="L322" t="b">
        <v>1</v>
      </c>
      <c r="M322" t="inlineStr">
        <is>
          <t>Non-Billable</t>
        </is>
      </c>
      <c r="N322" s="6">
        <f>IF(B322="","",IF(ISNUMBER(B322),TEXT(B322,"YYYY-MM"),LEFT(B322,7)))</f>
        <v/>
      </c>
    </row>
    <row r="323">
      <c r="A323" t="inlineStr">
        <is>
          <t>Helena Tetteh</t>
        </is>
      </c>
      <c r="B323" s="4" t="n">
        <v>46176</v>
      </c>
      <c r="C323" t="inlineStr">
        <is>
          <t>/</t>
        </is>
      </c>
      <c r="D323" t="inlineStr">
        <is>
          <t xml:space="preserve">Helena Tetteh </t>
        </is>
      </c>
      <c r="E323" t="inlineStr">
        <is>
          <t>Helena Tetteh</t>
        </is>
      </c>
      <c r="F323" s="5" t="n">
        <v>46195.5041550926</v>
      </c>
      <c r="H323" t="inlineStr">
        <is>
          <t>Non-Billable Tasks</t>
        </is>
      </c>
      <c r="I323" t="n">
        <v>8</v>
      </c>
      <c r="K323" t="inlineStr">
        <is>
          <t>Professional development and Knowledge sharing(training,global knowledge calls,exchange weeks)</t>
        </is>
      </c>
      <c r="L323" t="b">
        <v>0</v>
      </c>
      <c r="M323" t="inlineStr">
        <is>
          <t>Non-Billable</t>
        </is>
      </c>
      <c r="N323" s="6">
        <f>IF(B323="","",IF(ISNUMBER(B323),TEXT(B323,"YYYY-MM"),LEFT(B323,7)))</f>
        <v/>
      </c>
    </row>
    <row r="324">
      <c r="A324" t="inlineStr">
        <is>
          <t>Frederick Antwi</t>
        </is>
      </c>
      <c r="B324" s="4" t="n">
        <v>46176</v>
      </c>
      <c r="C324" t="inlineStr">
        <is>
          <t>/</t>
        </is>
      </c>
      <c r="D324" t="inlineStr">
        <is>
          <t>Frederick Antwi</t>
        </is>
      </c>
      <c r="E324" t="inlineStr">
        <is>
          <t>Frederick Antwi</t>
        </is>
      </c>
      <c r="F324" s="5" t="n">
        <v>46195.45335648148</v>
      </c>
      <c r="H324" t="inlineStr">
        <is>
          <t>Business and Project Management Training</t>
        </is>
      </c>
      <c r="I324" t="n">
        <v>8</v>
      </c>
      <c r="L324" t="b">
        <v>1</v>
      </c>
      <c r="M324" t="inlineStr">
        <is>
          <t>Non-Billable</t>
        </is>
      </c>
      <c r="N324" s="6">
        <f>IF(B324="","",IF(ISNUMBER(B324),TEXT(B324,"YYYY-MM"),LEFT(B324,7)))</f>
        <v/>
      </c>
    </row>
    <row r="325">
      <c r="A325" t="inlineStr">
        <is>
          <t>Ekow Nyamekye Tawiah</t>
        </is>
      </c>
      <c r="B325" s="4" t="n">
        <v>46176</v>
      </c>
      <c r="C325" t="inlineStr">
        <is>
          <t>/</t>
        </is>
      </c>
      <c r="D325" t="inlineStr">
        <is>
          <t>Ekow Nyamekye Tawiah</t>
        </is>
      </c>
      <c r="E325" t="inlineStr">
        <is>
          <t>Ekow Nyamekye Tawiah</t>
        </is>
      </c>
      <c r="F325" s="5" t="n">
        <v>46191.62378472222</v>
      </c>
      <c r="H325" t="inlineStr">
        <is>
          <t>Non-Billable Tasks</t>
        </is>
      </c>
      <c r="I325" t="n">
        <v>4</v>
      </c>
      <c r="K325" t="inlineStr">
        <is>
          <t>Professional development and Knowledge sharing(training,global knowledge calls,exchange weeks)</t>
        </is>
      </c>
      <c r="L325" t="b">
        <v>0</v>
      </c>
      <c r="M325" t="inlineStr">
        <is>
          <t>Non-Billable</t>
        </is>
      </c>
      <c r="N325" s="6">
        <f>IF(B325="","",IF(ISNUMBER(B325),TEXT(B325,"YYYY-MM"),LEFT(B325,7)))</f>
        <v/>
      </c>
    </row>
    <row r="326">
      <c r="A326" t="inlineStr">
        <is>
          <t>Afua Serwah Akoto Prempeh</t>
        </is>
      </c>
      <c r="B326" s="4" t="n">
        <v>46176</v>
      </c>
      <c r="C326" t="inlineStr">
        <is>
          <t>/</t>
        </is>
      </c>
      <c r="D326" t="inlineStr">
        <is>
          <t>Afua Serwah Akoto Prempeh</t>
        </is>
      </c>
      <c r="E326" t="inlineStr">
        <is>
          <t>Afua Serwah Akoto Prempeh</t>
        </is>
      </c>
      <c r="F326" s="5" t="n">
        <v>46188.40925925926</v>
      </c>
      <c r="H326" t="inlineStr">
        <is>
          <t>Business and Project Management Training</t>
        </is>
      </c>
      <c r="I326" t="n">
        <v>8</v>
      </c>
      <c r="K326" t="inlineStr">
        <is>
          <t>Delivery of Compelling Comunications and Project Management Traininng</t>
        </is>
      </c>
      <c r="L326" t="b">
        <v>1</v>
      </c>
      <c r="M326" t="inlineStr">
        <is>
          <t>Non-Billable</t>
        </is>
      </c>
      <c r="N326" s="6">
        <f>IF(B326="","",IF(ISNUMBER(B326),TEXT(B326,"YYYY-MM"),LEFT(B326,7)))</f>
        <v/>
      </c>
    </row>
    <row r="327">
      <c r="A327" t="inlineStr">
        <is>
          <t>Kwadwo Baniako Nti</t>
        </is>
      </c>
      <c r="B327" s="4" t="n">
        <v>46176</v>
      </c>
      <c r="C327" t="inlineStr">
        <is>
          <t>/</t>
        </is>
      </c>
      <c r="D327" t="inlineStr">
        <is>
          <t>Kwadwo Baniako Nti</t>
        </is>
      </c>
      <c r="E327" t="inlineStr">
        <is>
          <t>Kwadwo Baniako Nti</t>
        </is>
      </c>
      <c r="F327" s="5" t="n">
        <v>46181.51421296296</v>
      </c>
      <c r="H327" t="inlineStr">
        <is>
          <t>Non-Billable Tasks</t>
        </is>
      </c>
      <c r="I327" t="n">
        <v>8</v>
      </c>
      <c r="K327" t="inlineStr">
        <is>
          <t>Professional development and Knowledge sharing(training,global knowledge calls,exchange weeks)</t>
        </is>
      </c>
      <c r="L327" t="b">
        <v>0</v>
      </c>
      <c r="M327" t="inlineStr">
        <is>
          <t>Non-Billable</t>
        </is>
      </c>
      <c r="N327" s="6">
        <f>IF(B327="","",IF(ISNUMBER(B327),TEXT(B327,"YYYY-MM"),LEFT(B327,7)))</f>
        <v/>
      </c>
    </row>
    <row r="328">
      <c r="A328" t="inlineStr">
        <is>
          <t>Abel Ansu</t>
        </is>
      </c>
      <c r="B328" s="4" t="n">
        <v>46176</v>
      </c>
      <c r="C328" t="inlineStr">
        <is>
          <t>/</t>
        </is>
      </c>
      <c r="D328" t="inlineStr">
        <is>
          <t>Abel Ansu</t>
        </is>
      </c>
      <c r="E328" t="inlineStr">
        <is>
          <t>Abel Ansu</t>
        </is>
      </c>
      <c r="F328" s="5" t="n">
        <v>46181.40822916666</v>
      </c>
      <c r="H328" t="inlineStr">
        <is>
          <t>Non-Billable Tasks</t>
        </is>
      </c>
      <c r="I328" t="n">
        <v>8</v>
      </c>
      <c r="K328" t="inlineStr">
        <is>
          <t>Professional development and Knowledge sharing(training,global knowledge calls,exchange weeks)</t>
        </is>
      </c>
      <c r="L328" t="b">
        <v>0</v>
      </c>
      <c r="M328" t="inlineStr">
        <is>
          <t>Non-Billable</t>
        </is>
      </c>
      <c r="N328" s="6">
        <f>IF(B328="","",IF(ISNUMBER(B328),TEXT(B328,"YYYY-MM"),LEFT(B328,7)))</f>
        <v/>
      </c>
    </row>
    <row r="329">
      <c r="A329" t="inlineStr">
        <is>
          <t>Louis Defo</t>
        </is>
      </c>
      <c r="B329" s="4" t="n">
        <v>46176</v>
      </c>
      <c r="C329" t="inlineStr">
        <is>
          <t>PF training</t>
        </is>
      </c>
      <c r="D329" t="inlineStr">
        <is>
          <t>Louis Defo</t>
        </is>
      </c>
      <c r="E329" t="inlineStr">
        <is>
          <t>Louis Defo</t>
        </is>
      </c>
      <c r="F329" s="5" t="n">
        <v>46181.37887731481</v>
      </c>
      <c r="H329" t="inlineStr">
        <is>
          <t>Non-Billable Tasks</t>
        </is>
      </c>
      <c r="I329" t="n">
        <v>8</v>
      </c>
      <c r="L329" t="b">
        <v>0</v>
      </c>
      <c r="M329" t="inlineStr">
        <is>
          <t>Non-Billable</t>
        </is>
      </c>
      <c r="N329" s="6">
        <f>IF(B329="","",IF(ISNUMBER(B329),TEXT(B329,"YYYY-MM"),LEFT(B329,7)))</f>
        <v/>
      </c>
    </row>
    <row r="330">
      <c r="A330" t="inlineStr">
        <is>
          <t>Stephen Doso</t>
        </is>
      </c>
      <c r="B330" s="4" t="n">
        <v>46176</v>
      </c>
      <c r="C330" t="inlineStr">
        <is>
          <t>/</t>
        </is>
      </c>
      <c r="D330" t="inlineStr">
        <is>
          <t>Stephen Doso</t>
        </is>
      </c>
      <c r="E330" t="inlineStr">
        <is>
          <t>Stephen Doso</t>
        </is>
      </c>
      <c r="F330" s="5" t="n">
        <v>46180.37954861111</v>
      </c>
      <c r="H330" t="inlineStr">
        <is>
          <t>Non-Billable Tasks</t>
        </is>
      </c>
      <c r="I330" t="n">
        <v>8</v>
      </c>
      <c r="K330" t="inlineStr">
        <is>
          <t>Professional development and Knowledge sharing(training,global knowledge calls,exchange weeks)</t>
        </is>
      </c>
      <c r="L330" t="b">
        <v>0</v>
      </c>
      <c r="M330" t="inlineStr">
        <is>
          <t>Non-Billable</t>
        </is>
      </c>
      <c r="N330" s="6">
        <f>IF(B330="","",IF(ISNUMBER(B330),TEXT(B330,"YYYY-MM"),LEFT(B330,7)))</f>
        <v/>
      </c>
    </row>
    <row r="331">
      <c r="A331" t="inlineStr">
        <is>
          <t>Patricia Offei</t>
        </is>
      </c>
      <c r="B331" s="4" t="n">
        <v>46176</v>
      </c>
      <c r="C331" t="inlineStr">
        <is>
          <t>Coomunications Training</t>
        </is>
      </c>
      <c r="D331" t="inlineStr">
        <is>
          <t>Patricia Offei</t>
        </is>
      </c>
      <c r="E331" t="inlineStr">
        <is>
          <t>Patricia Offei</t>
        </is>
      </c>
      <c r="F331" s="5" t="n">
        <v>46178.70200231481</v>
      </c>
      <c r="H331" t="inlineStr">
        <is>
          <t>Non-Billable Tasks</t>
        </is>
      </c>
      <c r="I331" t="n">
        <v>8</v>
      </c>
      <c r="K331" t="inlineStr">
        <is>
          <t>Professional development and Knowledge sharing(training,global knowledge calls,exchange weeks)</t>
        </is>
      </c>
      <c r="L331" t="b">
        <v>0</v>
      </c>
      <c r="M331" t="inlineStr">
        <is>
          <t>Non-Billable</t>
        </is>
      </c>
      <c r="N331" s="6">
        <f>IF(B331="","",IF(ISNUMBER(B331),TEXT(B331,"YYYY-MM"),LEFT(B331,7)))</f>
        <v/>
      </c>
    </row>
    <row r="332">
      <c r="A332" t="inlineStr">
        <is>
          <t>Daleba Bernard Kpenahi Raymond</t>
        </is>
      </c>
      <c r="B332" s="4" t="n">
        <v>46176</v>
      </c>
      <c r="C332" t="inlineStr">
        <is>
          <t>/</t>
        </is>
      </c>
      <c r="D332" t="inlineStr">
        <is>
          <t>Daleba Bernard Kpenahi Raymond</t>
        </is>
      </c>
      <c r="E332" t="inlineStr">
        <is>
          <t>Daleba Bernard Kpenahi Raymond</t>
        </is>
      </c>
      <c r="F332" s="5" t="n">
        <v>46176.38898148148</v>
      </c>
      <c r="H332" t="inlineStr">
        <is>
          <t>Non-Billable Tasks</t>
        </is>
      </c>
      <c r="I332" t="n">
        <v>8</v>
      </c>
      <c r="K332" t="inlineStr">
        <is>
          <t>Communication/Data/Training</t>
        </is>
      </c>
      <c r="L332" t="b">
        <v>0</v>
      </c>
      <c r="M332" t="inlineStr">
        <is>
          <t>Non-Billable</t>
        </is>
      </c>
      <c r="N332" s="6">
        <f>IF(B332="","",IF(ISNUMBER(B332),TEXT(B332,"YYYY-MM"),LEFT(B332,7)))</f>
        <v/>
      </c>
    </row>
    <row r="333">
      <c r="A333" t="inlineStr">
        <is>
          <t>Clement Obeng-Manu</t>
        </is>
      </c>
      <c r="B333" s="4" t="n">
        <v>46176</v>
      </c>
      <c r="C333" t="inlineStr">
        <is>
          <t>/</t>
        </is>
      </c>
      <c r="D333" t="inlineStr">
        <is>
          <t>Clement Obeng-Manu</t>
        </is>
      </c>
      <c r="E333" t="inlineStr">
        <is>
          <t>Clement Obeng-Manu</t>
        </is>
      </c>
      <c r="F333" s="5" t="n">
        <v>46176.28996527778</v>
      </c>
      <c r="H333" t="inlineStr">
        <is>
          <t>Non-Billable Tasks</t>
        </is>
      </c>
      <c r="I333" t="n">
        <v>8</v>
      </c>
      <c r="K333" t="inlineStr">
        <is>
          <t>Staff Meetings (Quartely Staff Meetings, Adhoc meetings, Welfare)</t>
        </is>
      </c>
      <c r="L333" t="b">
        <v>0</v>
      </c>
      <c r="M333" t="inlineStr">
        <is>
          <t>Non-Billable</t>
        </is>
      </c>
      <c r="N333" s="6">
        <f>IF(B333="","",IF(ISNUMBER(B333),TEXT(B333,"YYYY-MM"),LEFT(B333,7)))</f>
        <v/>
      </c>
    </row>
    <row r="334">
      <c r="A334" t="inlineStr">
        <is>
          <t>Augustus Asamoah</t>
        </is>
      </c>
      <c r="B334" s="4" t="n">
        <v>46175</v>
      </c>
      <c r="C334" t="inlineStr">
        <is>
          <t>/</t>
        </is>
      </c>
      <c r="D334" t="inlineStr">
        <is>
          <t>Augustus Asamoah</t>
        </is>
      </c>
      <c r="E334" t="inlineStr">
        <is>
          <t>Augustus Asamoah</t>
        </is>
      </c>
      <c r="F334" s="5" t="n">
        <v>46210.35033564815</v>
      </c>
      <c r="H334" t="inlineStr">
        <is>
          <t>Non-Billable Tasks</t>
        </is>
      </c>
      <c r="I334" t="n">
        <v>8</v>
      </c>
      <c r="K334" t="inlineStr">
        <is>
          <t>Professional development and Knowledge sharing(training,global knowledge calls,exchange weeks)</t>
        </is>
      </c>
      <c r="L334" t="b">
        <v>0</v>
      </c>
      <c r="M334" t="inlineStr">
        <is>
          <t>Non-Billable</t>
        </is>
      </c>
      <c r="N334" s="6">
        <f>IF(B334="","",IF(ISNUMBER(B334),TEXT(B334,"YYYY-MM"),LEFT(B334,7)))</f>
        <v/>
      </c>
    </row>
    <row r="335">
      <c r="A335" t="inlineStr">
        <is>
          <t>Soro TCHEREGNIMIN</t>
        </is>
      </c>
      <c r="B335" s="4" t="n">
        <v>46175</v>
      </c>
      <c r="C335" t="inlineStr">
        <is>
          <t>/</t>
        </is>
      </c>
      <c r="D335" t="inlineStr">
        <is>
          <t>Soro TCHEREGNIMIN</t>
        </is>
      </c>
      <c r="E335" t="inlineStr">
        <is>
          <t>Soro TCHEREGNIMIN</t>
        </is>
      </c>
      <c r="F335" s="5" t="n">
        <v>46195.67252314815</v>
      </c>
      <c r="H335" t="inlineStr">
        <is>
          <t>Business and Project Management Training</t>
        </is>
      </c>
      <c r="I335" t="n">
        <v>8</v>
      </c>
      <c r="L335" t="b">
        <v>1</v>
      </c>
      <c r="M335" t="inlineStr">
        <is>
          <t>Non-Billable</t>
        </is>
      </c>
      <c r="N335" s="6">
        <f>IF(B335="","",IF(ISNUMBER(B335),TEXT(B335,"YYYY-MM"),LEFT(B335,7)))</f>
        <v/>
      </c>
    </row>
    <row r="336">
      <c r="A336" t="inlineStr">
        <is>
          <t>Helena Tetteh</t>
        </is>
      </c>
      <c r="B336" s="4" t="n">
        <v>46175</v>
      </c>
      <c r="C336" t="inlineStr">
        <is>
          <t>/</t>
        </is>
      </c>
      <c r="D336" t="inlineStr">
        <is>
          <t xml:space="preserve">Helena Tetteh </t>
        </is>
      </c>
      <c r="E336" t="inlineStr">
        <is>
          <t>Helena Tetteh</t>
        </is>
      </c>
      <c r="F336" s="5" t="n">
        <v>46195.50414351852</v>
      </c>
      <c r="H336" t="inlineStr">
        <is>
          <t>Non-Billable Tasks</t>
        </is>
      </c>
      <c r="I336" t="n">
        <v>8</v>
      </c>
      <c r="K336" t="inlineStr">
        <is>
          <t>Professional development and Knowledge sharing(training,global knowledge calls,exchange weeks)</t>
        </is>
      </c>
      <c r="L336" t="b">
        <v>0</v>
      </c>
      <c r="M336" t="inlineStr">
        <is>
          <t>Non-Billable</t>
        </is>
      </c>
      <c r="N336" s="6">
        <f>IF(B336="","",IF(ISNUMBER(B336),TEXT(B336,"YYYY-MM"),LEFT(B336,7)))</f>
        <v/>
      </c>
    </row>
    <row r="337">
      <c r="A337" t="inlineStr">
        <is>
          <t>Frederick Antwi</t>
        </is>
      </c>
      <c r="B337" s="4" t="n">
        <v>46175</v>
      </c>
      <c r="C337" t="inlineStr">
        <is>
          <t>/</t>
        </is>
      </c>
      <c r="D337" t="inlineStr">
        <is>
          <t>Frederick Antwi</t>
        </is>
      </c>
      <c r="E337" t="inlineStr">
        <is>
          <t>Frederick Antwi</t>
        </is>
      </c>
      <c r="F337" s="5" t="n">
        <v>46195.45333333333</v>
      </c>
      <c r="H337" t="inlineStr">
        <is>
          <t>Business and Project Management Training</t>
        </is>
      </c>
      <c r="I337" t="n">
        <v>8</v>
      </c>
      <c r="L337" t="b">
        <v>1</v>
      </c>
      <c r="M337" t="inlineStr">
        <is>
          <t>Non-Billable</t>
        </is>
      </c>
      <c r="N337" s="6">
        <f>IF(B337="","",IF(ISNUMBER(B337),TEXT(B337,"YYYY-MM"),LEFT(B337,7)))</f>
        <v/>
      </c>
    </row>
    <row r="338">
      <c r="A338" t="inlineStr">
        <is>
          <t>Ekow Nyamekye Tawiah</t>
        </is>
      </c>
      <c r="B338" s="4" t="n">
        <v>46175</v>
      </c>
      <c r="C338" t="inlineStr">
        <is>
          <t>/</t>
        </is>
      </c>
      <c r="D338" t="inlineStr">
        <is>
          <t>Ekow Nyamekye Tawiah</t>
        </is>
      </c>
      <c r="E338" t="inlineStr">
        <is>
          <t>Ekow Nyamekye Tawiah</t>
        </is>
      </c>
      <c r="F338" s="5" t="n">
        <v>46191.62377314815</v>
      </c>
      <c r="H338" t="inlineStr">
        <is>
          <t>Non-Billable Tasks</t>
        </is>
      </c>
      <c r="I338" t="n">
        <v>4</v>
      </c>
      <c r="K338" t="inlineStr">
        <is>
          <t>Professional development and Knowledge sharing(training,global knowledge calls,exchange weeks)</t>
        </is>
      </c>
      <c r="L338" t="b">
        <v>0</v>
      </c>
      <c r="M338" t="inlineStr">
        <is>
          <t>Non-Billable</t>
        </is>
      </c>
      <c r="N338" s="6">
        <f>IF(B338="","",IF(ISNUMBER(B338),TEXT(B338,"YYYY-MM"),LEFT(B338,7)))</f>
        <v/>
      </c>
    </row>
    <row r="339">
      <c r="A339" t="inlineStr">
        <is>
          <t>Afua Serwah Akoto Prempeh</t>
        </is>
      </c>
      <c r="B339" s="4" t="n">
        <v>46175</v>
      </c>
      <c r="C339" t="inlineStr">
        <is>
          <t>/</t>
        </is>
      </c>
      <c r="D339" t="inlineStr">
        <is>
          <t>Afua Serwah Akoto Prempeh</t>
        </is>
      </c>
      <c r="E339" t="inlineStr">
        <is>
          <t>Afua Serwah Akoto Prempeh</t>
        </is>
      </c>
      <c r="F339" s="5" t="n">
        <v>46188.40922453703</v>
      </c>
      <c r="H339" t="inlineStr">
        <is>
          <t>Business and Project Management Training</t>
        </is>
      </c>
      <c r="I339" t="n">
        <v>8</v>
      </c>
      <c r="K339" t="inlineStr">
        <is>
          <t>Delivery of Compelling Comunications and Project Management Traininng</t>
        </is>
      </c>
      <c r="L339" t="b">
        <v>1</v>
      </c>
      <c r="M339" t="inlineStr">
        <is>
          <t>Non-Billable</t>
        </is>
      </c>
      <c r="N339" s="6">
        <f>IF(B339="","",IF(ISNUMBER(B339),TEXT(B339,"YYYY-MM"),LEFT(B339,7)))</f>
        <v/>
      </c>
    </row>
    <row r="340">
      <c r="A340" t="inlineStr">
        <is>
          <t>Kwadwo Baniako Nti</t>
        </is>
      </c>
      <c r="B340" s="4" t="n">
        <v>46175</v>
      </c>
      <c r="C340" t="inlineStr">
        <is>
          <t>/</t>
        </is>
      </c>
      <c r="D340" t="inlineStr">
        <is>
          <t>Kwadwo Baniako Nti</t>
        </is>
      </c>
      <c r="E340" t="inlineStr">
        <is>
          <t>Kwadwo Baniako Nti</t>
        </is>
      </c>
      <c r="F340" s="5" t="n">
        <v>46181.51418981481</v>
      </c>
      <c r="H340" t="inlineStr">
        <is>
          <t>Non-Billable Tasks</t>
        </is>
      </c>
      <c r="I340" t="n">
        <v>8</v>
      </c>
      <c r="K340" t="inlineStr">
        <is>
          <t>Professional development and Knowledge sharing(training,global knowledge calls,exchange weeks)</t>
        </is>
      </c>
      <c r="L340" t="b">
        <v>0</v>
      </c>
      <c r="M340" t="inlineStr">
        <is>
          <t>Non-Billable</t>
        </is>
      </c>
      <c r="N340" s="6">
        <f>IF(B340="","",IF(ISNUMBER(B340),TEXT(B340,"YYYY-MM"),LEFT(B340,7)))</f>
        <v/>
      </c>
    </row>
    <row r="341">
      <c r="A341" t="inlineStr">
        <is>
          <t>Abel Ansu</t>
        </is>
      </c>
      <c r="B341" s="4" t="n">
        <v>46175</v>
      </c>
      <c r="C341" t="inlineStr">
        <is>
          <t>/</t>
        </is>
      </c>
      <c r="D341" t="inlineStr">
        <is>
          <t>Abel Ansu</t>
        </is>
      </c>
      <c r="E341" t="inlineStr">
        <is>
          <t>Abel Ansu</t>
        </is>
      </c>
      <c r="F341" s="5" t="n">
        <v>46181.40790509259</v>
      </c>
      <c r="H341" t="inlineStr">
        <is>
          <t>Non-Billable Tasks</t>
        </is>
      </c>
      <c r="I341" t="n">
        <v>8</v>
      </c>
      <c r="K341" t="inlineStr">
        <is>
          <t>Professional development and Knowledge sharing(training,global knowledge calls,exchange weeks)</t>
        </is>
      </c>
      <c r="L341" t="b">
        <v>0</v>
      </c>
      <c r="M341" t="inlineStr">
        <is>
          <t>Non-Billable</t>
        </is>
      </c>
      <c r="N341" s="6">
        <f>IF(B341="","",IF(ISNUMBER(B341),TEXT(B341,"YYYY-MM"),LEFT(B341,7)))</f>
        <v/>
      </c>
    </row>
    <row r="342">
      <c r="A342" t="inlineStr">
        <is>
          <t>Louis Defo</t>
        </is>
      </c>
      <c r="B342" s="4" t="n">
        <v>46175</v>
      </c>
      <c r="C342" t="inlineStr">
        <is>
          <t>PF Traing</t>
        </is>
      </c>
      <c r="D342" t="inlineStr">
        <is>
          <t>Louis Defo</t>
        </is>
      </c>
      <c r="E342" t="inlineStr">
        <is>
          <t>Louis Defo</t>
        </is>
      </c>
      <c r="F342" s="5" t="n">
        <v>46181.3783912037</v>
      </c>
      <c r="H342" t="inlineStr">
        <is>
          <t>Non-Billable Tasks</t>
        </is>
      </c>
      <c r="I342" t="n">
        <v>8</v>
      </c>
      <c r="L342" t="b">
        <v>0</v>
      </c>
      <c r="M342" t="inlineStr">
        <is>
          <t>Non-Billable</t>
        </is>
      </c>
      <c r="N342" s="6">
        <f>IF(B342="","",IF(ISNUMBER(B342),TEXT(B342,"YYYY-MM"),LEFT(B342,7)))</f>
        <v/>
      </c>
    </row>
    <row r="343">
      <c r="A343" t="inlineStr">
        <is>
          <t>Stephen Doso</t>
        </is>
      </c>
      <c r="B343" s="4" t="n">
        <v>46175</v>
      </c>
      <c r="C343" t="inlineStr">
        <is>
          <t>Business Skills Training</t>
        </is>
      </c>
      <c r="D343" t="inlineStr">
        <is>
          <t>Stephen Doso</t>
        </is>
      </c>
      <c r="E343" t="inlineStr">
        <is>
          <t>Stephen Doso</t>
        </is>
      </c>
      <c r="F343" s="5" t="n">
        <v>46180.37944444444</v>
      </c>
      <c r="H343" t="inlineStr">
        <is>
          <t>Non-Billable Tasks</t>
        </is>
      </c>
      <c r="I343" t="n">
        <v>8</v>
      </c>
      <c r="K343" t="inlineStr">
        <is>
          <t>Professional development and Knowledge sharing(training,global knowledge calls,exchange weeks)</t>
        </is>
      </c>
      <c r="L343" t="b">
        <v>0</v>
      </c>
      <c r="M343" t="inlineStr">
        <is>
          <t>Non-Billable</t>
        </is>
      </c>
      <c r="N343" s="6">
        <f>IF(B343="","",IF(ISNUMBER(B343),TEXT(B343,"YYYY-MM"),LEFT(B343,7)))</f>
        <v/>
      </c>
    </row>
    <row r="344">
      <c r="A344" t="inlineStr">
        <is>
          <t>Patricia Offei</t>
        </is>
      </c>
      <c r="B344" s="4" t="n">
        <v>46175</v>
      </c>
      <c r="C344" t="inlineStr">
        <is>
          <t>Coomunications Training</t>
        </is>
      </c>
      <c r="D344" t="inlineStr">
        <is>
          <t>Patricia Offei</t>
        </is>
      </c>
      <c r="E344" t="inlineStr">
        <is>
          <t>Patricia Offei</t>
        </is>
      </c>
      <c r="F344" s="5" t="n">
        <v>46178.7215162037</v>
      </c>
      <c r="H344" t="inlineStr">
        <is>
          <t>Non-Billable Tasks</t>
        </is>
      </c>
      <c r="I344" t="n">
        <v>8</v>
      </c>
      <c r="K344" t="inlineStr">
        <is>
          <t>Professional development and Knowledge sharing(training,global knowledge calls,exchange weeks)</t>
        </is>
      </c>
      <c r="L344" t="b">
        <v>0</v>
      </c>
      <c r="M344" t="inlineStr">
        <is>
          <t>Non-Billable</t>
        </is>
      </c>
      <c r="N344" s="6">
        <f>IF(B344="","",IF(ISNUMBER(B344),TEXT(B344,"YYYY-MM"),LEFT(B344,7)))</f>
        <v/>
      </c>
    </row>
    <row r="345">
      <c r="A345" t="inlineStr">
        <is>
          <t>Daleba Bernard Kpenahi Raymond</t>
        </is>
      </c>
      <c r="B345" s="4" t="n">
        <v>46175</v>
      </c>
      <c r="C345" t="inlineStr">
        <is>
          <t>/</t>
        </is>
      </c>
      <c r="D345" t="inlineStr">
        <is>
          <t>Daleba Bernard Kpenahi Raymond</t>
        </is>
      </c>
      <c r="E345" t="inlineStr">
        <is>
          <t>Daleba Bernard Kpenahi Raymond</t>
        </is>
      </c>
      <c r="F345" s="5" t="n">
        <v>46176.38893518518</v>
      </c>
      <c r="H345" t="inlineStr">
        <is>
          <t>Non-Billable Tasks</t>
        </is>
      </c>
      <c r="I345" t="n">
        <v>8</v>
      </c>
      <c r="K345" t="inlineStr">
        <is>
          <t>Communication/Data/Training</t>
        </is>
      </c>
      <c r="L345" t="b">
        <v>0</v>
      </c>
      <c r="M345" t="inlineStr">
        <is>
          <t>Non-Billable</t>
        </is>
      </c>
      <c r="N345" s="6">
        <f>IF(B345="","",IF(ISNUMBER(B345),TEXT(B345,"YYYY-MM"),LEFT(B345,7)))</f>
        <v/>
      </c>
    </row>
    <row r="346">
      <c r="A346" t="inlineStr">
        <is>
          <t>Clement Obeng-Manu</t>
        </is>
      </c>
      <c r="B346" s="4" t="n">
        <v>46175</v>
      </c>
      <c r="C346" t="inlineStr">
        <is>
          <t>/</t>
        </is>
      </c>
      <c r="D346" t="inlineStr">
        <is>
          <t>Clement Obeng-Manu</t>
        </is>
      </c>
      <c r="E346" t="inlineStr">
        <is>
          <t>Clement Obeng-Manu</t>
        </is>
      </c>
      <c r="F346" s="5" t="n">
        <v>46176.29004629629</v>
      </c>
      <c r="H346" t="inlineStr">
        <is>
          <t>Non-Billable Tasks</t>
        </is>
      </c>
      <c r="I346" t="n">
        <v>8</v>
      </c>
      <c r="K346" t="inlineStr">
        <is>
          <t>Staff Meetings (Quartely Staff Meetings, Adhoc meetings, Welfare)</t>
        </is>
      </c>
      <c r="L346" t="b">
        <v>0</v>
      </c>
      <c r="M346" t="inlineStr">
        <is>
          <t>Non-Billable</t>
        </is>
      </c>
      <c r="N346" s="6">
        <f>IF(B346="","",IF(ISNUMBER(B346),TEXT(B346,"YYYY-MM"),LEFT(B346,7)))</f>
        <v/>
      </c>
    </row>
    <row r="347">
      <c r="A347" t="inlineStr">
        <is>
          <t>Augustus Asamoah</t>
        </is>
      </c>
      <c r="B347" s="4" t="n">
        <v>46174</v>
      </c>
      <c r="C347" t="inlineStr">
        <is>
          <t>/</t>
        </is>
      </c>
      <c r="D347" t="inlineStr">
        <is>
          <t>Augustus Asamoah</t>
        </is>
      </c>
      <c r="E347" t="inlineStr">
        <is>
          <t>Augustus Asamoah</t>
        </is>
      </c>
      <c r="F347" s="5" t="n">
        <v>46210.3503125</v>
      </c>
      <c r="H347" t="inlineStr">
        <is>
          <t>Non-Billable Tasks</t>
        </is>
      </c>
      <c r="I347" t="n">
        <v>8</v>
      </c>
      <c r="K347" t="inlineStr">
        <is>
          <t>Professional development and Knowledge sharing(training,global knowledge calls,exchange weeks)</t>
        </is>
      </c>
      <c r="L347" t="b">
        <v>0</v>
      </c>
      <c r="M347" t="inlineStr">
        <is>
          <t>Non-Billable</t>
        </is>
      </c>
      <c r="N347" s="6">
        <f>IF(B347="","",IF(ISNUMBER(B347),TEXT(B347,"YYYY-MM"),LEFT(B347,7)))</f>
        <v/>
      </c>
    </row>
    <row r="348">
      <c r="A348" t="inlineStr">
        <is>
          <t>Afua Serwah Akoto Prempeh</t>
        </is>
      </c>
      <c r="B348" s="4" t="n">
        <v>46174</v>
      </c>
      <c r="C348" t="inlineStr">
        <is>
          <t>/</t>
        </is>
      </c>
      <c r="D348" t="inlineStr">
        <is>
          <t>Afua Serwah Akoto Prempeh</t>
        </is>
      </c>
      <c r="E348" t="inlineStr">
        <is>
          <t>Afua Serwah Akoto Prempeh</t>
        </is>
      </c>
      <c r="F348" s="5" t="n">
        <v>46204.55894675926</v>
      </c>
      <c r="H348" t="inlineStr">
        <is>
          <t>Non-Billable Tasks</t>
        </is>
      </c>
      <c r="I348" t="n">
        <v>0</v>
      </c>
      <c r="K348" t="inlineStr">
        <is>
          <t>Professional development and Knowledge sharing(training,global knowledge calls,exchange weeks)</t>
        </is>
      </c>
      <c r="L348" t="b">
        <v>0</v>
      </c>
      <c r="M348" t="inlineStr">
        <is>
          <t>Non-Billable</t>
        </is>
      </c>
      <c r="N348" s="6">
        <f>IF(B348="","",IF(ISNUMBER(B348),TEXT(B348,"YYYY-MM"),LEFT(B348,7)))</f>
        <v/>
      </c>
    </row>
    <row r="349">
      <c r="A349" t="inlineStr">
        <is>
          <t>Afua Serwah Akoto Prempeh</t>
        </is>
      </c>
      <c r="B349" s="4" t="n">
        <v>46174</v>
      </c>
      <c r="C349" t="inlineStr">
        <is>
          <t>Stakeholder validation meeting.</t>
        </is>
      </c>
      <c r="D349" t="inlineStr">
        <is>
          <t>Afua Serwah Akoto Prempeh</t>
        </is>
      </c>
      <c r="E349" t="inlineStr">
        <is>
          <t>Afua Serwah Akoto Prempeh</t>
        </is>
      </c>
      <c r="F349" s="5" t="n">
        <v>46204.55355324074</v>
      </c>
      <c r="G349" t="inlineStr">
        <is>
          <t>Output 4</t>
        </is>
      </c>
      <c r="H349" t="inlineStr">
        <is>
          <t>P23AC00C00 - FGMC</t>
        </is>
      </c>
      <c r="I349" t="n">
        <v>8</v>
      </c>
      <c r="K349" t="inlineStr">
        <is>
          <t>P23AC03A00 - Project Management</t>
        </is>
      </c>
      <c r="L349" t="b">
        <v>0</v>
      </c>
      <c r="M349" t="inlineStr">
        <is>
          <t>Non-Billable</t>
        </is>
      </c>
      <c r="N349" s="6">
        <f>IF(B349="","",IF(ISNUMBER(B349),TEXT(B349,"YYYY-MM"),LEFT(B349,7)))</f>
        <v/>
      </c>
    </row>
    <row r="350">
      <c r="A350" t="inlineStr">
        <is>
          <t>Soro TCHEREGNIMIN</t>
        </is>
      </c>
      <c r="B350" s="4" t="n">
        <v>46174</v>
      </c>
      <c r="C350" t="inlineStr">
        <is>
          <t>Mandatory training</t>
        </is>
      </c>
      <c r="D350" t="inlineStr">
        <is>
          <t>Soro TCHEREGNIMIN</t>
        </is>
      </c>
      <c r="E350" t="inlineStr">
        <is>
          <t>Soro TCHEREGNIMIN</t>
        </is>
      </c>
      <c r="F350" s="5" t="n">
        <v>46195.67246527778</v>
      </c>
      <c r="H350" t="inlineStr">
        <is>
          <t>Business and Project Management Training</t>
        </is>
      </c>
      <c r="I350" t="n">
        <v>8</v>
      </c>
      <c r="L350" t="b">
        <v>1</v>
      </c>
      <c r="M350" t="inlineStr">
        <is>
          <t>Non-Billable</t>
        </is>
      </c>
      <c r="N350" s="6">
        <f>IF(B350="","",IF(ISNUMBER(B350),TEXT(B350,"YYYY-MM"),LEFT(B350,7)))</f>
        <v/>
      </c>
    </row>
    <row r="351">
      <c r="A351" t="inlineStr">
        <is>
          <t>Helena Tetteh</t>
        </is>
      </c>
      <c r="B351" s="4" t="n">
        <v>46174</v>
      </c>
      <c r="C351" t="inlineStr">
        <is>
          <t>MANDATORY training and meetings</t>
        </is>
      </c>
      <c r="D351" t="inlineStr">
        <is>
          <t xml:space="preserve">Helena Tetteh </t>
        </is>
      </c>
      <c r="E351" t="inlineStr">
        <is>
          <t>Helena Tetteh</t>
        </is>
      </c>
      <c r="F351" s="5" t="n">
        <v>46195.5040162037</v>
      </c>
      <c r="H351" t="inlineStr">
        <is>
          <t>Non-Billable Tasks</t>
        </is>
      </c>
      <c r="I351" t="n">
        <v>8</v>
      </c>
      <c r="K351" t="inlineStr">
        <is>
          <t>Professional development and Knowledge sharing(training,global knowledge calls,exchange weeks)</t>
        </is>
      </c>
      <c r="L351" t="b">
        <v>0</v>
      </c>
      <c r="M351" t="inlineStr">
        <is>
          <t>Non-Billable</t>
        </is>
      </c>
      <c r="N351" s="6">
        <f>IF(B351="","",IF(ISNUMBER(B351),TEXT(B351,"YYYY-MM"),LEFT(B351,7)))</f>
        <v/>
      </c>
    </row>
    <row r="352">
      <c r="A352" t="inlineStr">
        <is>
          <t>Frederick Antwi</t>
        </is>
      </c>
      <c r="B352" s="4" t="n">
        <v>46174</v>
      </c>
      <c r="C352" t="inlineStr">
        <is>
          <t>Particicpated in Communication training the full week</t>
        </is>
      </c>
      <c r="D352" t="inlineStr">
        <is>
          <t>Frederick Antwi</t>
        </is>
      </c>
      <c r="E352" t="inlineStr">
        <is>
          <t>Frederick Antwi</t>
        </is>
      </c>
      <c r="F352" s="5" t="n">
        <v>46195.45326388889</v>
      </c>
      <c r="H352" t="inlineStr">
        <is>
          <t>Business and Project Management Training</t>
        </is>
      </c>
      <c r="I352" t="n">
        <v>8</v>
      </c>
      <c r="L352" t="b">
        <v>1</v>
      </c>
      <c r="M352" t="inlineStr">
        <is>
          <t>Non-Billable</t>
        </is>
      </c>
      <c r="N352" s="6">
        <f>IF(B352="","",IF(ISNUMBER(B352),TEXT(B352,"YYYY-MM"),LEFT(B352,7)))</f>
        <v/>
      </c>
    </row>
    <row r="353">
      <c r="A353" t="inlineStr">
        <is>
          <t>Ekow Nyamekye Tawiah</t>
        </is>
      </c>
      <c r="B353" s="4" t="n">
        <v>46174</v>
      </c>
      <c r="C353" t="inlineStr">
        <is>
          <t>/</t>
        </is>
      </c>
      <c r="D353" t="inlineStr">
        <is>
          <t>Ekow Nyamekye Tawiah</t>
        </is>
      </c>
      <c r="E353" t="inlineStr">
        <is>
          <t>Ekow Nyamekye Tawiah</t>
        </is>
      </c>
      <c r="F353" s="5" t="n">
        <v>46191.62376157408</v>
      </c>
      <c r="H353" t="inlineStr">
        <is>
          <t>Non-Billable Tasks</t>
        </is>
      </c>
      <c r="I353" t="n">
        <v>4</v>
      </c>
      <c r="K353" t="inlineStr">
        <is>
          <t>Professional development and Knowledge sharing(training,global knowledge calls,exchange weeks)</t>
        </is>
      </c>
      <c r="L353" t="b">
        <v>0</v>
      </c>
      <c r="M353" t="inlineStr">
        <is>
          <t>Non-Billable</t>
        </is>
      </c>
      <c r="N353" s="6">
        <f>IF(B353="","",IF(ISNUMBER(B353),TEXT(B353,"YYYY-MM"),LEFT(B353,7)))</f>
        <v/>
      </c>
    </row>
    <row r="354">
      <c r="A354" t="inlineStr">
        <is>
          <t>Afua Serwah Akoto Prempeh</t>
        </is>
      </c>
      <c r="B354" s="4" t="n">
        <v>46174</v>
      </c>
      <c r="C354" t="inlineStr">
        <is>
          <t>/</t>
        </is>
      </c>
      <c r="D354" t="inlineStr">
        <is>
          <t>Afua Serwah Akoto Prempeh</t>
        </is>
      </c>
      <c r="E354" t="inlineStr">
        <is>
          <t>Afua Serwah Akoto Prempeh</t>
        </is>
      </c>
      <c r="F354" s="5" t="n">
        <v>46188.40920138889</v>
      </c>
      <c r="H354" t="inlineStr">
        <is>
          <t>Business and Project Management Training</t>
        </is>
      </c>
      <c r="I354" t="n">
        <v>8</v>
      </c>
      <c r="K354" t="inlineStr">
        <is>
          <t>Delivery of Compelling Comunications and Project Management Traininng</t>
        </is>
      </c>
      <c r="L354" t="b">
        <v>1</v>
      </c>
      <c r="M354" t="inlineStr">
        <is>
          <t>Non-Billable</t>
        </is>
      </c>
      <c r="N354" s="6">
        <f>IF(B354="","",IF(ISNUMBER(B354),TEXT(B354,"YYYY-MM"),LEFT(B354,7)))</f>
        <v/>
      </c>
    </row>
    <row r="355">
      <c r="A355" t="inlineStr">
        <is>
          <t>Kwadwo Baniako Nti</t>
        </is>
      </c>
      <c r="B355" s="4" t="n">
        <v>46174</v>
      </c>
      <c r="C355" t="inlineStr">
        <is>
          <t>Staff quarterly meeting, Compelling communication training, Project management training</t>
        </is>
      </c>
      <c r="D355" t="inlineStr">
        <is>
          <t>Kwadwo Baniako Nti</t>
        </is>
      </c>
      <c r="E355" t="inlineStr">
        <is>
          <t>Kwadwo Baniako Nti</t>
        </is>
      </c>
      <c r="F355" s="5" t="n">
        <v>46181.51417824074</v>
      </c>
      <c r="H355" t="inlineStr">
        <is>
          <t>Non-Billable Tasks</t>
        </is>
      </c>
      <c r="I355" t="n">
        <v>8</v>
      </c>
      <c r="K355" t="inlineStr">
        <is>
          <t>Professional development and Knowledge sharing(training,global knowledge calls,exchange weeks)</t>
        </is>
      </c>
      <c r="L355" t="b">
        <v>0</v>
      </c>
      <c r="M355" t="inlineStr">
        <is>
          <t>Non-Billable</t>
        </is>
      </c>
      <c r="N355" s="6">
        <f>IF(B355="","",IF(ISNUMBER(B355),TEXT(B355,"YYYY-MM"),LEFT(B355,7)))</f>
        <v/>
      </c>
    </row>
    <row r="356">
      <c r="A356" t="inlineStr">
        <is>
          <t>Abel Ansu</t>
        </is>
      </c>
      <c r="B356" s="4" t="n">
        <v>46174</v>
      </c>
      <c r="C356" t="inlineStr">
        <is>
          <t>Had updates from AB, financial update from Mawuse, time sheet by Eben, Welfare by Ekow, etc</t>
        </is>
      </c>
      <c r="D356" t="inlineStr">
        <is>
          <t>Abel Ansu</t>
        </is>
      </c>
      <c r="E356" t="inlineStr">
        <is>
          <t>Abel Ansu</t>
        </is>
      </c>
      <c r="F356" s="5" t="n">
        <v>46181.40423611111</v>
      </c>
      <c r="H356" t="inlineStr">
        <is>
          <t>Non-Billable Tasks</t>
        </is>
      </c>
      <c r="I356" t="n">
        <v>8</v>
      </c>
      <c r="K356" t="inlineStr">
        <is>
          <t>Staff Meetings (Quartely Staff Meetings, Adhoc meetings, Welfare)</t>
        </is>
      </c>
      <c r="L356" t="b">
        <v>0</v>
      </c>
      <c r="M356" t="inlineStr">
        <is>
          <t>Non-Billable</t>
        </is>
      </c>
      <c r="N356" s="6">
        <f>IF(B356="","",IF(ISNUMBER(B356),TEXT(B356,"YYYY-MM"),LEFT(B356,7)))</f>
        <v/>
      </c>
    </row>
    <row r="357">
      <c r="A357" t="inlineStr">
        <is>
          <t>Louis Defo</t>
        </is>
      </c>
      <c r="B357" s="4" t="n">
        <v>46174</v>
      </c>
      <c r="C357" t="inlineStr">
        <is>
          <t>PF training</t>
        </is>
      </c>
      <c r="D357" t="inlineStr">
        <is>
          <t>Louis Defo</t>
        </is>
      </c>
      <c r="E357" t="inlineStr">
        <is>
          <t>Louis Defo</t>
        </is>
      </c>
      <c r="F357" s="5" t="n">
        <v>46181.37780092593</v>
      </c>
      <c r="H357" t="inlineStr">
        <is>
          <t>Non-Billable Tasks</t>
        </is>
      </c>
      <c r="I357" t="n">
        <v>8</v>
      </c>
      <c r="L357" t="b">
        <v>0</v>
      </c>
      <c r="M357" t="inlineStr">
        <is>
          <t>Non-Billable</t>
        </is>
      </c>
      <c r="N357" s="6">
        <f>IF(B357="","",IF(ISNUMBER(B357),TEXT(B357,"YYYY-MM"),LEFT(B357,7)))</f>
        <v/>
      </c>
    </row>
    <row r="358">
      <c r="A358" t="inlineStr">
        <is>
          <t>Stephen Doso</t>
        </is>
      </c>
      <c r="B358" s="4" t="n">
        <v>46174</v>
      </c>
      <c r="C358" t="inlineStr">
        <is>
          <t>/</t>
        </is>
      </c>
      <c r="D358" t="inlineStr">
        <is>
          <t>Stephen Doso</t>
        </is>
      </c>
      <c r="E358" t="inlineStr">
        <is>
          <t>Stephen Doso</t>
        </is>
      </c>
      <c r="F358" s="5" t="n">
        <v>46180.37846064815</v>
      </c>
      <c r="G358" t="inlineStr">
        <is>
          <t>Field verification and reporting in Nigeria  (2)</t>
        </is>
      </c>
      <c r="H358" t="inlineStr">
        <is>
          <t>PCGH775 - ESDD of Valency Operations for FMO</t>
        </is>
      </c>
      <c r="I358" t="n">
        <v>3</v>
      </c>
      <c r="J358" t="inlineStr">
        <is>
          <t>PCGH775 - Field Verification (2) (Valency International DMCC)</t>
        </is>
      </c>
      <c r="K358" t="inlineStr">
        <is>
          <t>Analysis and reporting in Nigeria</t>
        </is>
      </c>
      <c r="L358" t="b">
        <v>1</v>
      </c>
      <c r="M358" t="inlineStr">
        <is>
          <t>Billed at a Fixed price</t>
        </is>
      </c>
      <c r="N358" s="6">
        <f>IF(B358="","",IF(ISNUMBER(B358),TEXT(B358,"YYYY-MM"),LEFT(B358,7)))</f>
        <v/>
      </c>
    </row>
    <row r="359">
      <c r="A359" t="inlineStr">
        <is>
          <t>Stephen Doso</t>
        </is>
      </c>
      <c r="B359" s="4" t="n">
        <v>46174</v>
      </c>
      <c r="C359" t="inlineStr">
        <is>
          <t>/</t>
        </is>
      </c>
      <c r="D359" t="inlineStr">
        <is>
          <t>Stephen Doso</t>
        </is>
      </c>
      <c r="E359" t="inlineStr">
        <is>
          <t>Stephen Doso</t>
        </is>
      </c>
      <c r="F359" s="5" t="n">
        <v>46180.37697916666</v>
      </c>
      <c r="H359" t="inlineStr">
        <is>
          <t>Non-Billable Tasks</t>
        </is>
      </c>
      <c r="I359" t="n">
        <v>5</v>
      </c>
      <c r="K359" t="inlineStr">
        <is>
          <t>Staff Meetings (Quartely Staff Meetings, Adhoc meetings, Welfare)</t>
        </is>
      </c>
      <c r="L359" t="b">
        <v>0</v>
      </c>
      <c r="M359" t="inlineStr">
        <is>
          <t>Non-Billable</t>
        </is>
      </c>
      <c r="N359" s="6">
        <f>IF(B359="","",IF(ISNUMBER(B359),TEXT(B359,"YYYY-MM"),LEFT(B359,7)))</f>
        <v/>
      </c>
    </row>
    <row r="360">
      <c r="A360" t="inlineStr">
        <is>
          <t>Patricia Offei</t>
        </is>
      </c>
      <c r="B360" s="4" t="n">
        <v>46174</v>
      </c>
      <c r="C360" t="inlineStr">
        <is>
          <t>Staff Quarterly Meeting</t>
        </is>
      </c>
      <c r="D360" t="inlineStr">
        <is>
          <t>Patricia Offei</t>
        </is>
      </c>
      <c r="E360" t="inlineStr">
        <is>
          <t>Patricia Offei</t>
        </is>
      </c>
      <c r="F360" s="5" t="n">
        <v>46178.72149305556</v>
      </c>
      <c r="H360" t="inlineStr">
        <is>
          <t>Non-Billable Tasks</t>
        </is>
      </c>
      <c r="I360" t="n">
        <v>8</v>
      </c>
      <c r="K360" t="inlineStr">
        <is>
          <t>Professional development and Knowledge sharing(training,global knowledge calls,exchange weeks)</t>
        </is>
      </c>
      <c r="L360" t="b">
        <v>0</v>
      </c>
      <c r="M360" t="inlineStr">
        <is>
          <t>Non-Billable</t>
        </is>
      </c>
      <c r="N360" s="6">
        <f>IF(B360="","",IF(ISNUMBER(B360),TEXT(B360,"YYYY-MM"),LEFT(B360,7)))</f>
        <v/>
      </c>
    </row>
    <row r="361">
      <c r="A361" t="inlineStr">
        <is>
          <t>Clement Obeng-Manu</t>
        </is>
      </c>
      <c r="B361" s="4" t="n">
        <v>46174</v>
      </c>
      <c r="C361" t="inlineStr">
        <is>
          <t>/</t>
        </is>
      </c>
      <c r="D361" t="inlineStr">
        <is>
          <t>Clement Obeng-Manu</t>
        </is>
      </c>
      <c r="E361" t="inlineStr">
        <is>
          <t>Clement Obeng-Manu</t>
        </is>
      </c>
      <c r="F361" s="5" t="n">
        <v>46176.29005787037</v>
      </c>
      <c r="H361" t="inlineStr">
        <is>
          <t>Non-Billable Tasks</t>
        </is>
      </c>
      <c r="I361" t="n">
        <v>8</v>
      </c>
      <c r="K361" t="inlineStr">
        <is>
          <t>Staff Meetings (Quartely Staff Meetings, Adhoc meetings, Welfare)</t>
        </is>
      </c>
      <c r="L361" t="b">
        <v>0</v>
      </c>
      <c r="M361" t="inlineStr">
        <is>
          <t>Non-Billable</t>
        </is>
      </c>
      <c r="N361" s="6">
        <f>IF(B361="","",IF(ISNUMBER(B361),TEXT(B361,"YYYY-MM"),LEFT(B361,7)))</f>
        <v/>
      </c>
    </row>
    <row r="362">
      <c r="A362" t="inlineStr">
        <is>
          <t>Daleba Bernard Kpenahi Raymond</t>
        </is>
      </c>
      <c r="B362" s="4" t="n">
        <v>46174</v>
      </c>
      <c r="C362" t="inlineStr">
        <is>
          <t>/</t>
        </is>
      </c>
      <c r="D362" t="inlineStr">
        <is>
          <t>Daleba Bernard Kpenahi Raymond</t>
        </is>
      </c>
      <c r="E362" t="inlineStr">
        <is>
          <t>Daleba Bernard Kpenahi Raymond</t>
        </is>
      </c>
      <c r="F362" s="5" t="n">
        <v>46174.47145833333</v>
      </c>
      <c r="H362" t="inlineStr">
        <is>
          <t>Non-Billable Tasks</t>
        </is>
      </c>
      <c r="I362" t="n">
        <v>0</v>
      </c>
      <c r="K362" t="inlineStr">
        <is>
          <t>Communication/Data/Training</t>
        </is>
      </c>
      <c r="L362" t="b">
        <v>0</v>
      </c>
      <c r="M362" t="inlineStr">
        <is>
          <t>Non-Billable</t>
        </is>
      </c>
      <c r="N362" s="6">
        <f>IF(B362="","",IF(ISNUMBER(B362),TEXT(B362,"YYYY-MM"),LEFT(B362,7)))</f>
        <v/>
      </c>
    </row>
    <row r="363">
      <c r="A363" t="inlineStr">
        <is>
          <t>Daleba Bernard Kpenahi Raymond</t>
        </is>
      </c>
      <c r="B363" s="4" t="n">
        <v>46174</v>
      </c>
      <c r="C363" t="inlineStr">
        <is>
          <t>/</t>
        </is>
      </c>
      <c r="D363" t="inlineStr">
        <is>
          <t>Daleba Bernard Kpenahi Raymond</t>
        </is>
      </c>
      <c r="E363" t="inlineStr">
        <is>
          <t>Daleba Bernard Kpenahi Raymond</t>
        </is>
      </c>
      <c r="F363" s="5" t="n">
        <v>46174.47104166666</v>
      </c>
      <c r="H363" t="inlineStr">
        <is>
          <t>Non-Billable Tasks</t>
        </is>
      </c>
      <c r="I363" t="n">
        <v>8</v>
      </c>
      <c r="K363" t="inlineStr">
        <is>
          <t>Staff Meetings (Quartely Staff Meetings, Adhoc meetings, Welfare)</t>
        </is>
      </c>
      <c r="L363" t="b">
        <v>0</v>
      </c>
      <c r="M363" t="inlineStr">
        <is>
          <t>Non-Billable</t>
        </is>
      </c>
      <c r="N363" s="6">
        <f>IF(B363="","",IF(ISNUMBER(B363),TEXT(B363,"YYYY-MM"),LEFT(B363,7)))</f>
        <v/>
      </c>
    </row>
    <row r="364">
      <c r="A364" t="inlineStr">
        <is>
          <t>Helena Tetteh</t>
        </is>
      </c>
      <c r="B364" s="4" t="n">
        <v>46171</v>
      </c>
      <c r="C364" t="inlineStr">
        <is>
          <t>Ghana local initiatives analysis &amp; prioritization for cocoa, oil palm, Timber. Review grading methodology, alignment calls with Taylor Crabbe, etc</t>
        </is>
      </c>
      <c r="D364" t="inlineStr">
        <is>
          <t xml:space="preserve">Helena Tetteh </t>
        </is>
      </c>
      <c r="E364" t="inlineStr">
        <is>
          <t>Helena Tetteh</t>
        </is>
      </c>
      <c r="F364" s="5" t="n">
        <v>46195.50128472222</v>
      </c>
      <c r="G364" t="inlineStr">
        <is>
          <t>Output 2.3</t>
        </is>
      </c>
      <c r="H364" t="inlineStr">
        <is>
          <t>P23AC00C00 - FGMC</t>
        </is>
      </c>
      <c r="I364" t="n">
        <v>8</v>
      </c>
      <c r="K364" t="inlineStr">
        <is>
          <t>P23AC22A00 - Output Two (Elevating Local Solutions - West Africa)</t>
        </is>
      </c>
      <c r="L364" t="b">
        <v>0</v>
      </c>
      <c r="M364" t="inlineStr">
        <is>
          <t>Non-Billable</t>
        </is>
      </c>
      <c r="N364" s="6">
        <f>IF(B364="","",IF(ISNUMBER(B364),TEXT(B364,"YYYY-MM"),LEFT(B364,7)))</f>
        <v/>
      </c>
    </row>
    <row r="365">
      <c r="A365" t="inlineStr">
        <is>
          <t>Frederick Antwi</t>
        </is>
      </c>
      <c r="B365" s="4" t="n">
        <v>46171</v>
      </c>
      <c r="C365" t="inlineStr">
        <is>
          <t>/</t>
        </is>
      </c>
      <c r="D365" t="inlineStr">
        <is>
          <t>Frederick Antwi</t>
        </is>
      </c>
      <c r="E365" t="inlineStr">
        <is>
          <t>Frederick Antwi</t>
        </is>
      </c>
      <c r="F365" s="5" t="n">
        <v>46195.45258101852</v>
      </c>
      <c r="H365" t="inlineStr">
        <is>
          <t>P13PC00A00 - Private Sector Companies</t>
        </is>
      </c>
      <c r="I365" t="n">
        <v>8</v>
      </c>
      <c r="L365" t="b">
        <v>0</v>
      </c>
      <c r="M365" t="inlineStr">
        <is>
          <t>Non-Billable</t>
        </is>
      </c>
      <c r="N365" s="6">
        <f>IF(B365="","",IF(ISNUMBER(B365),TEXT(B365,"YYYY-MM"),LEFT(B365,7)))</f>
        <v/>
      </c>
    </row>
    <row r="366">
      <c r="A366" t="inlineStr">
        <is>
          <t>Ekow Nyamekye Tawiah</t>
        </is>
      </c>
      <c r="B366" s="4" t="n">
        <v>46171</v>
      </c>
      <c r="C366" t="inlineStr">
        <is>
          <t>Deforestation Risk Analysis for Cameroon, Mauritius, Mozambique, Nigeria and Reunion (Developing process flow)</t>
        </is>
      </c>
      <c r="D366" t="inlineStr">
        <is>
          <t>Ekow Nyamekye Tawiah</t>
        </is>
      </c>
      <c r="E366" t="inlineStr">
        <is>
          <t>Ekow Nyamekye Tawiah</t>
        </is>
      </c>
      <c r="F366" s="5" t="n">
        <v>46209.38650462963</v>
      </c>
      <c r="H366" t="inlineStr">
        <is>
          <t>PCGH778 - General Support</t>
        </is>
      </c>
      <c r="I366" t="n">
        <v>4</v>
      </c>
      <c r="J366" t="inlineStr">
        <is>
          <t>PCGH778 - Support to Other Workstreams (3) (Proforest Limited(PCUK GBP))</t>
        </is>
      </c>
      <c r="K366" t="inlineStr">
        <is>
          <t>(WS3: Deforestation) Deforestation Remote Risk Assessment</t>
        </is>
      </c>
      <c r="L366" t="b">
        <v>1</v>
      </c>
      <c r="M366" t="inlineStr">
        <is>
          <t>Billed at a Fixed price</t>
        </is>
      </c>
      <c r="N366" s="6">
        <f>IF(B366="","",IF(ISNUMBER(B366),TEXT(B366,"YYYY-MM"),LEFT(B366,7)))</f>
        <v/>
      </c>
    </row>
    <row r="367">
      <c r="A367" t="inlineStr">
        <is>
          <t>Ekow Nyamekye Tawiah</t>
        </is>
      </c>
      <c r="B367" s="4" t="n">
        <v>46171</v>
      </c>
      <c r="C367" t="inlineStr">
        <is>
          <t>/</t>
        </is>
      </c>
      <c r="D367" t="inlineStr">
        <is>
          <t>Ekow Nyamekye Tawiah</t>
        </is>
      </c>
      <c r="E367" t="inlineStr">
        <is>
          <t>Ekow Nyamekye Tawiah</t>
        </is>
      </c>
      <c r="F367" s="5" t="n">
        <v>46191.62766203703</v>
      </c>
      <c r="H367" t="inlineStr">
        <is>
          <t>PCGH722</t>
        </is>
      </c>
      <c r="I367" t="n">
        <v>0</v>
      </c>
      <c r="J367" t="inlineStr">
        <is>
          <t>PCGH722 - Analysis and Reporting (3) (Sucrivoire SA)</t>
        </is>
      </c>
      <c r="K367" t="inlineStr">
        <is>
          <t>Analysis and Reporting (3)</t>
        </is>
      </c>
      <c r="L367" t="b">
        <v>1</v>
      </c>
      <c r="M367" t="inlineStr">
        <is>
          <t>Billed at a Fixed price</t>
        </is>
      </c>
      <c r="N367" s="6">
        <f>IF(B367="","",IF(ISNUMBER(B367),TEXT(B367,"YYYY-MM"),LEFT(B367,7)))</f>
        <v/>
      </c>
    </row>
    <row r="368">
      <c r="A368" t="inlineStr">
        <is>
          <t>Afua Serwah Akoto Prempeh</t>
        </is>
      </c>
      <c r="B368" s="4" t="n">
        <v>46171</v>
      </c>
      <c r="C368" t="inlineStr">
        <is>
          <t>/</t>
        </is>
      </c>
      <c r="D368" t="inlineStr">
        <is>
          <t>Afua Serwah Akoto Prempeh</t>
        </is>
      </c>
      <c r="E368" t="inlineStr">
        <is>
          <t>Afua Serwah Akoto Prempeh</t>
        </is>
      </c>
      <c r="F368" s="5" t="n">
        <v>46188.50063657408</v>
      </c>
      <c r="H368" t="inlineStr">
        <is>
          <t>Non-Billable Tasks</t>
        </is>
      </c>
      <c r="I368" t="n">
        <v>2</v>
      </c>
      <c r="L368" t="b">
        <v>0</v>
      </c>
      <c r="M368" t="inlineStr">
        <is>
          <t>Non-Billable</t>
        </is>
      </c>
      <c r="N368" s="6">
        <f>IF(B368="","",IF(ISNUMBER(B368),TEXT(B368,"YYYY-MM"),LEFT(B368,7)))</f>
        <v/>
      </c>
    </row>
    <row r="369">
      <c r="A369" t="inlineStr">
        <is>
          <t>Afua Serwah Akoto Prempeh</t>
        </is>
      </c>
      <c r="B369" s="4" t="n">
        <v>46171</v>
      </c>
      <c r="C369" t="inlineStr">
        <is>
          <t>Development of Hershey's NIGERIA Proposal</t>
        </is>
      </c>
      <c r="D369" t="inlineStr">
        <is>
          <t>Afua Serwah Akoto Prempeh</t>
        </is>
      </c>
      <c r="E369" t="inlineStr">
        <is>
          <t>Afua Serwah Akoto Prempeh</t>
        </is>
      </c>
      <c r="F369" s="5" t="n">
        <v>46188.49799768518</v>
      </c>
      <c r="H369" t="inlineStr">
        <is>
          <t>Non-Billable Tasks</t>
        </is>
      </c>
      <c r="I369" t="n">
        <v>5</v>
      </c>
      <c r="K369" t="inlineStr">
        <is>
          <t>Business Development and Networking</t>
        </is>
      </c>
      <c r="L369" t="b">
        <v>0</v>
      </c>
      <c r="M369" t="inlineStr">
        <is>
          <t>Non-Billable</t>
        </is>
      </c>
      <c r="N369" s="6">
        <f>IF(B369="","",IF(ISNUMBER(B369),TEXT(B369,"YYYY-MM"),LEFT(B369,7)))</f>
        <v/>
      </c>
    </row>
    <row r="370">
      <c r="A370" t="inlineStr">
        <is>
          <t>Afua Serwah Akoto Prempeh</t>
        </is>
      </c>
      <c r="B370" s="4" t="n">
        <v>46171</v>
      </c>
      <c r="C370" t="inlineStr">
        <is>
          <t>/</t>
        </is>
      </c>
      <c r="D370" t="inlineStr">
        <is>
          <t>Afua Serwah Akoto Prempeh</t>
        </is>
      </c>
      <c r="E370" t="inlineStr">
        <is>
          <t>Afua Serwah Akoto Prempeh</t>
        </is>
      </c>
      <c r="F370" s="5" t="n">
        <v>46188.44142361111</v>
      </c>
      <c r="H370" t="inlineStr">
        <is>
          <t>Non-Billable Tasks</t>
        </is>
      </c>
      <c r="I370" t="n">
        <v>1</v>
      </c>
      <c r="K370" t="inlineStr">
        <is>
          <t>Staff Meetings (Quartely Staff Meetings, Adhoc meetings, Welfare)</t>
        </is>
      </c>
      <c r="L370" t="b">
        <v>0</v>
      </c>
      <c r="M370" t="inlineStr">
        <is>
          <t>Non-Billable</t>
        </is>
      </c>
      <c r="N370" s="6">
        <f>IF(B370="","",IF(ISNUMBER(B370),TEXT(B370,"YYYY-MM"),LEFT(B370,7)))</f>
        <v/>
      </c>
    </row>
    <row r="371">
      <c r="A371" t="inlineStr">
        <is>
          <t>Stephen Doso</t>
        </is>
      </c>
      <c r="B371" s="4" t="n">
        <v>46171</v>
      </c>
      <c r="C371" t="inlineStr">
        <is>
          <t>/</t>
        </is>
      </c>
      <c r="D371" t="inlineStr">
        <is>
          <t>Stephen Doso</t>
        </is>
      </c>
      <c r="E371" t="inlineStr">
        <is>
          <t>Michael Anim</t>
        </is>
      </c>
      <c r="F371" s="5" t="n">
        <v>46184.39888888889</v>
      </c>
      <c r="H371" t="inlineStr">
        <is>
          <t>PCGH793</t>
        </is>
      </c>
      <c r="I371" t="n">
        <v>8</v>
      </c>
      <c r="J371" t="inlineStr">
        <is>
          <t>PCGH793 - Field work  (3) (Okeosisi Jonathan)</t>
        </is>
      </c>
      <c r="K371" t="inlineStr">
        <is>
          <t>Field Visit and Data Collection</t>
        </is>
      </c>
      <c r="L371" t="b">
        <v>1</v>
      </c>
      <c r="M371" t="inlineStr">
        <is>
          <t>Billed at a Fixed price</t>
        </is>
      </c>
      <c r="N371" s="6">
        <f>IF(B371="","",IF(ISNUMBER(B371),TEXT(B371,"YYYY-MM"),LEFT(B371,7)))</f>
        <v/>
      </c>
    </row>
    <row r="372">
      <c r="A372" t="inlineStr">
        <is>
          <t>Kwadwo Baniako Nti</t>
        </is>
      </c>
      <c r="B372" s="4" t="n">
        <v>46171</v>
      </c>
      <c r="C372" t="inlineStr">
        <is>
          <t>/</t>
        </is>
      </c>
      <c r="D372" t="inlineStr">
        <is>
          <t>Kwadwo Baniako Nti</t>
        </is>
      </c>
      <c r="E372" t="inlineStr">
        <is>
          <t>Michael Anim</t>
        </is>
      </c>
      <c r="F372" s="5" t="n">
        <v>46184.4024537037</v>
      </c>
      <c r="H372" t="inlineStr">
        <is>
          <t>PCGH793</t>
        </is>
      </c>
      <c r="I372" t="n">
        <v>8</v>
      </c>
      <c r="J372" t="inlineStr">
        <is>
          <t>PCGH793 - Field work  (3) (Okeosisi Jonathan)</t>
        </is>
      </c>
      <c r="K372" t="inlineStr">
        <is>
          <t>Field Visit and Data Collection</t>
        </is>
      </c>
      <c r="L372" t="b">
        <v>1</v>
      </c>
      <c r="M372" t="inlineStr">
        <is>
          <t>Billed at a Fixed price</t>
        </is>
      </c>
      <c r="N372" s="6">
        <f>IF(B372="","",IF(ISNUMBER(B372),TEXT(B372,"YYYY-MM"),LEFT(B372,7)))</f>
        <v/>
      </c>
    </row>
    <row r="373">
      <c r="A373" t="inlineStr">
        <is>
          <t>Louis Defo</t>
        </is>
      </c>
      <c r="B373" s="4" t="n">
        <v>46171</v>
      </c>
      <c r="C373" t="inlineStr">
        <is>
          <t>/</t>
        </is>
      </c>
      <c r="D373" t="inlineStr">
        <is>
          <t>Louis Defo</t>
        </is>
      </c>
      <c r="E373" t="inlineStr">
        <is>
          <t>Louis Defo</t>
        </is>
      </c>
      <c r="F373" s="5" t="n">
        <v>46175.32118055555</v>
      </c>
      <c r="H373" t="inlineStr">
        <is>
          <t>PCGH787</t>
        </is>
      </c>
      <c r="I373" t="n">
        <v>8</v>
      </c>
      <c r="J373" t="inlineStr">
        <is>
          <t>PCGH787 - Desk Study (3) (Proforest Limited(PCUK GBP))</t>
        </is>
      </c>
      <c r="L373" t="b">
        <v>1</v>
      </c>
      <c r="M373" t="inlineStr">
        <is>
          <t>Billed at a Fixed price</t>
        </is>
      </c>
      <c r="N373" s="6">
        <f>IF(B373="","",IF(ISNUMBER(B373),TEXT(B373,"YYYY-MM"),LEFT(B373,7)))</f>
        <v/>
      </c>
    </row>
    <row r="374">
      <c r="A374" t="inlineStr">
        <is>
          <t>Soro TCHEREGNIMIN</t>
        </is>
      </c>
      <c r="B374" s="4" t="n">
        <v>46171</v>
      </c>
      <c r="C374" t="inlineStr">
        <is>
          <t>/</t>
        </is>
      </c>
      <c r="D374" t="inlineStr">
        <is>
          <t>Soro TCHEREGNIMIN</t>
        </is>
      </c>
      <c r="E374" t="inlineStr">
        <is>
          <t>Soro TCHEREGNIMIN</t>
        </is>
      </c>
      <c r="F374" s="5" t="n">
        <v>46174.60685185185</v>
      </c>
      <c r="H374" t="inlineStr">
        <is>
          <t>PCGH774 -Evaluation Deep-Dive Action Plans by Socfin Group</t>
        </is>
      </c>
      <c r="I374" t="n">
        <v>8</v>
      </c>
      <c r="J374" t="inlineStr">
        <is>
          <t>PCGH774 - Project Management (2) (Socfinco FR SA)</t>
        </is>
      </c>
      <c r="L374" t="b">
        <v>1</v>
      </c>
      <c r="M374" t="inlineStr">
        <is>
          <t>Billed at a Fixed price</t>
        </is>
      </c>
      <c r="N374" s="6">
        <f>IF(B374="","",IF(ISNUMBER(B374),TEXT(B374,"YYYY-MM"),LEFT(B374,7)))</f>
        <v/>
      </c>
    </row>
    <row r="375">
      <c r="A375" t="inlineStr">
        <is>
          <t>Patricia Offei</t>
        </is>
      </c>
      <c r="B375" s="4" t="n">
        <v>46171</v>
      </c>
      <c r="C375" t="inlineStr">
        <is>
          <t>/</t>
        </is>
      </c>
      <c r="D375" t="inlineStr">
        <is>
          <t>Patricia Offei</t>
        </is>
      </c>
      <c r="E375" t="inlineStr">
        <is>
          <t>Patricia Offei</t>
        </is>
      </c>
      <c r="F375" s="5" t="n">
        <v>46174.47648148148</v>
      </c>
      <c r="H375" t="inlineStr">
        <is>
          <t>PCGH779 - Cote d'Ivoire）</t>
        </is>
      </c>
      <c r="I375" t="n">
        <v>2</v>
      </c>
      <c r="J375" t="inlineStr">
        <is>
          <t>PCGH779 - Tree Planting Project (3) (Proforest Limited(PCUK GBP))</t>
        </is>
      </c>
      <c r="L375" t="b">
        <v>1</v>
      </c>
      <c r="M375" t="inlineStr">
        <is>
          <t>Billed at a Fixed price</t>
        </is>
      </c>
      <c r="N375" s="6">
        <f>IF(B375="","",IF(ISNUMBER(B375),TEXT(B375,"YYYY-MM"),LEFT(B375,7)))</f>
        <v/>
      </c>
    </row>
    <row r="376">
      <c r="A376" t="inlineStr">
        <is>
          <t>Patricia Offei</t>
        </is>
      </c>
      <c r="B376" s="4" t="n">
        <v>46171</v>
      </c>
      <c r="C376" t="inlineStr">
        <is>
          <t>/</t>
        </is>
      </c>
      <c r="D376" t="inlineStr">
        <is>
          <t>Patricia Offei</t>
        </is>
      </c>
      <c r="E376" t="inlineStr">
        <is>
          <t>Patricia Offei</t>
        </is>
      </c>
      <c r="F376" s="5" t="n">
        <v>46174.47600694445</v>
      </c>
      <c r="H376" t="inlineStr">
        <is>
          <t>PCGH774 -Evaluation Deep-Dive Action Plans by Socfin Group</t>
        </is>
      </c>
      <c r="I376" t="n">
        <v>3</v>
      </c>
      <c r="J376" t="inlineStr">
        <is>
          <t>PCGH774 - Project Management (2) (Socfinco FR SA)</t>
        </is>
      </c>
      <c r="L376" t="b">
        <v>1</v>
      </c>
      <c r="M376" t="inlineStr">
        <is>
          <t>Billed at a Fixed price</t>
        </is>
      </c>
      <c r="N376" s="6">
        <f>IF(B376="","",IF(ISNUMBER(B376),TEXT(B376,"YYYY-MM"),LEFT(B376,7)))</f>
        <v/>
      </c>
    </row>
    <row r="377">
      <c r="A377" t="inlineStr">
        <is>
          <t>Patricia Offei</t>
        </is>
      </c>
      <c r="B377" s="4" t="n">
        <v>46171</v>
      </c>
      <c r="C377" t="inlineStr">
        <is>
          <t>/</t>
        </is>
      </c>
      <c r="D377" t="inlineStr">
        <is>
          <t>Patricia Offei</t>
        </is>
      </c>
      <c r="E377" t="inlineStr">
        <is>
          <t>Patricia Offei</t>
        </is>
      </c>
      <c r="F377" s="5" t="n">
        <v>46174.47237268519</v>
      </c>
      <c r="G377" t="inlineStr">
        <is>
          <t>HCV Network Quality Review Process (3)</t>
        </is>
      </c>
      <c r="H377" t="inlineStr">
        <is>
          <t>PCGH722</t>
        </is>
      </c>
      <c r="I377" t="n">
        <v>3</v>
      </c>
      <c r="J377" t="inlineStr">
        <is>
          <t>PCGH722 - HCV Network Quality Review Process (3) (Sucrivoire SA)</t>
        </is>
      </c>
      <c r="K377" t="inlineStr">
        <is>
          <t>HCV Network Quality Review Process (3)</t>
        </is>
      </c>
      <c r="L377" t="b">
        <v>1</v>
      </c>
      <c r="M377" t="inlineStr">
        <is>
          <t>Billed at a Fixed price</t>
        </is>
      </c>
      <c r="N377" s="6">
        <f>IF(B377="","",IF(ISNUMBER(B377),TEXT(B377,"YYYY-MM"),LEFT(B377,7)))</f>
        <v/>
      </c>
    </row>
    <row r="378">
      <c r="A378" t="inlineStr">
        <is>
          <t>Augustus Asamoah</t>
        </is>
      </c>
      <c r="B378" s="4" t="n">
        <v>46171</v>
      </c>
      <c r="C378" t="inlineStr">
        <is>
          <t>/</t>
        </is>
      </c>
      <c r="D378" t="inlineStr">
        <is>
          <t>Augustus Asamoah</t>
        </is>
      </c>
      <c r="E378" t="inlineStr">
        <is>
          <t>Augustus Asamoah</t>
        </is>
      </c>
      <c r="F378" s="5" t="n">
        <v>46174.37273148148</v>
      </c>
      <c r="H378" t="inlineStr">
        <is>
          <t>P13NC00A00 - WALMART II</t>
        </is>
      </c>
      <c r="I378" t="n">
        <v>2</v>
      </c>
      <c r="L378" t="b">
        <v>0</v>
      </c>
      <c r="M378" t="inlineStr">
        <is>
          <t>Non-Billable</t>
        </is>
      </c>
      <c r="N378" s="6">
        <f>IF(B378="","",IF(ISNUMBER(B378),TEXT(B378,"YYYY-MM"),LEFT(B378,7)))</f>
        <v/>
      </c>
    </row>
    <row r="379">
      <c r="A379" t="inlineStr">
        <is>
          <t>Augustus Asamoah</t>
        </is>
      </c>
      <c r="B379" s="4" t="n">
        <v>46171</v>
      </c>
      <c r="C379" t="inlineStr">
        <is>
          <t>/</t>
        </is>
      </c>
      <c r="D379" t="inlineStr">
        <is>
          <t>Augustus Asamoah</t>
        </is>
      </c>
      <c r="E379" t="inlineStr">
        <is>
          <t>Augustus Asamoah</t>
        </is>
      </c>
      <c r="F379" s="5" t="n">
        <v>46174.37253472222</v>
      </c>
      <c r="H379" t="inlineStr">
        <is>
          <t>Non-Billable Tasks</t>
        </is>
      </c>
      <c r="I379" t="n">
        <v>2</v>
      </c>
      <c r="L379" t="b">
        <v>0</v>
      </c>
      <c r="M379" t="inlineStr">
        <is>
          <t>Non-Billable</t>
        </is>
      </c>
      <c r="N379" s="6">
        <f>IF(B379="","",IF(ISNUMBER(B379),TEXT(B379,"YYYY-MM"),LEFT(B379,7)))</f>
        <v/>
      </c>
    </row>
    <row r="380">
      <c r="A380" t="inlineStr">
        <is>
          <t>Augustus Asamoah</t>
        </is>
      </c>
      <c r="B380" s="4" t="n">
        <v>46171</v>
      </c>
      <c r="C380" t="inlineStr">
        <is>
          <t>/</t>
        </is>
      </c>
      <c r="D380" t="inlineStr">
        <is>
          <t>Augustus Asamoah</t>
        </is>
      </c>
      <c r="E380" t="inlineStr">
        <is>
          <t>Augustus Asamoah</t>
        </is>
      </c>
      <c r="F380" s="5" t="n">
        <v>46174.37233796297</v>
      </c>
      <c r="H380" t="inlineStr">
        <is>
          <t>P13QC00A00 - EFI Programme</t>
        </is>
      </c>
      <c r="I380" t="n">
        <v>4</v>
      </c>
      <c r="L380" t="b">
        <v>0</v>
      </c>
      <c r="M380" t="inlineStr">
        <is>
          <t>Non-Billable</t>
        </is>
      </c>
      <c r="N380" s="6">
        <f>IF(B380="","",IF(ISNUMBER(B380),TEXT(B380,"YYYY-MM"),LEFT(B380,7)))</f>
        <v/>
      </c>
    </row>
    <row r="381">
      <c r="A381" t="inlineStr">
        <is>
          <t>Abel Ansu</t>
        </is>
      </c>
      <c r="B381" s="4" t="n">
        <v>46171</v>
      </c>
      <c r="C381" t="inlineStr">
        <is>
          <t>Reorganization of CRMCs were done at Asirifi, Onyinase, and Biaso Kasapin. MTS sensitization was done at Bitre Abebrese with FC</t>
        </is>
      </c>
      <c r="D381" t="inlineStr">
        <is>
          <t>Abel Ansu</t>
        </is>
      </c>
      <c r="E381" t="inlineStr">
        <is>
          <t>Abel Ansu</t>
        </is>
      </c>
      <c r="F381" s="5" t="n">
        <v>46174.21606481481</v>
      </c>
      <c r="H381" t="inlineStr">
        <is>
          <t>Internal</t>
        </is>
      </c>
      <c r="I381" t="n">
        <v>8</v>
      </c>
      <c r="K381" t="inlineStr">
        <is>
          <t>Reorganization of CRMCs</t>
        </is>
      </c>
      <c r="L381" t="b">
        <v>0</v>
      </c>
      <c r="M381" t="inlineStr">
        <is>
          <t>Non-Billable</t>
        </is>
      </c>
      <c r="N381" s="6">
        <f>IF(B381="","",IF(ISNUMBER(B381),TEXT(B381,"YYYY-MM"),LEFT(B381,7)))</f>
        <v/>
      </c>
    </row>
    <row r="382">
      <c r="A382" t="inlineStr">
        <is>
          <t>Clement Obeng-Manu</t>
        </is>
      </c>
      <c r="B382" s="4" t="n">
        <v>46171</v>
      </c>
      <c r="C382" t="inlineStr">
        <is>
          <t>/</t>
        </is>
      </c>
      <c r="D382" t="inlineStr">
        <is>
          <t>Clement Obeng-Manu</t>
        </is>
      </c>
      <c r="E382" t="inlineStr">
        <is>
          <t>Clement Obeng-Manu</t>
        </is>
      </c>
      <c r="F382" s="5" t="n">
        <v>46173.76263888889</v>
      </c>
      <c r="H382" t="inlineStr">
        <is>
          <t>PCGH793</t>
        </is>
      </c>
      <c r="I382" t="n">
        <v>8</v>
      </c>
      <c r="J382" t="inlineStr">
        <is>
          <t>PCGH793 - Desk Study (3) (Okeosisi Jonathan)</t>
        </is>
      </c>
      <c r="L382" t="b">
        <v>1</v>
      </c>
      <c r="M382" t="inlineStr">
        <is>
          <t>Billed at a Fixed price</t>
        </is>
      </c>
      <c r="N382" s="6">
        <f>IF(B382="","",IF(ISNUMBER(B382),TEXT(B382,"YYYY-MM"),LEFT(B382,7)))</f>
        <v/>
      </c>
    </row>
    <row r="383">
      <c r="A383" t="inlineStr">
        <is>
          <t>Daleba Bernard Kpenahi Raymond</t>
        </is>
      </c>
      <c r="B383" s="4" t="n">
        <v>46171</v>
      </c>
      <c r="C383" t="inlineStr">
        <is>
          <t>/</t>
        </is>
      </c>
      <c r="D383" t="inlineStr">
        <is>
          <t>Daleba Bernard Kpenahi Raymond</t>
        </is>
      </c>
      <c r="E383" t="inlineStr">
        <is>
          <t>OdooBot</t>
        </is>
      </c>
      <c r="F383" s="5" t="n">
        <v>46154.70721064815</v>
      </c>
      <c r="H383" t="inlineStr">
        <is>
          <t>Non-Billable Tasks</t>
        </is>
      </c>
      <c r="I383" t="n">
        <v>8</v>
      </c>
      <c r="K383" t="inlineStr">
        <is>
          <t>Leave</t>
        </is>
      </c>
      <c r="L383" t="b">
        <v>0</v>
      </c>
      <c r="M383" t="inlineStr">
        <is>
          <t>Non-Billable</t>
        </is>
      </c>
      <c r="N383" s="6">
        <f>IF(B383="","",IF(ISNUMBER(B383),TEXT(B383,"YYYY-MM"),LEFT(B383,7)))</f>
        <v/>
      </c>
    </row>
    <row r="384">
      <c r="A384" t="inlineStr">
        <is>
          <t>Helena Tetteh</t>
        </is>
      </c>
      <c r="B384" s="4" t="n">
        <v>46170</v>
      </c>
      <c r="C384" t="inlineStr">
        <is>
          <t>Ghana local initiatives analysis &amp; prioritization for cocoa, oil palm, Timber. Review grading methodology, alignment calls with Taylor Crabbe, etc</t>
        </is>
      </c>
      <c r="D384" t="inlineStr">
        <is>
          <t xml:space="preserve">Helena Tetteh </t>
        </is>
      </c>
      <c r="E384" t="inlineStr">
        <is>
          <t>Helena Tetteh</t>
        </is>
      </c>
      <c r="F384" s="5" t="n">
        <v>46195.50108796296</v>
      </c>
      <c r="G384" t="inlineStr">
        <is>
          <t>Output 2.3</t>
        </is>
      </c>
      <c r="H384" t="inlineStr">
        <is>
          <t>P23AC00C00 - FGMC</t>
        </is>
      </c>
      <c r="I384" t="n">
        <v>8</v>
      </c>
      <c r="K384" t="inlineStr">
        <is>
          <t>P23AC22A00 - Output Two (Elevating Local Solutions - West Africa)</t>
        </is>
      </c>
      <c r="L384" t="b">
        <v>0</v>
      </c>
      <c r="M384" t="inlineStr">
        <is>
          <t>Non-Billable</t>
        </is>
      </c>
      <c r="N384" s="6">
        <f>IF(B384="","",IF(ISNUMBER(B384),TEXT(B384,"YYYY-MM"),LEFT(B384,7)))</f>
        <v/>
      </c>
    </row>
    <row r="385">
      <c r="A385" t="inlineStr">
        <is>
          <t>Frederick Antwi</t>
        </is>
      </c>
      <c r="B385" s="4" t="n">
        <v>46170</v>
      </c>
      <c r="C385" t="inlineStr">
        <is>
          <t>/</t>
        </is>
      </c>
      <c r="D385" t="inlineStr">
        <is>
          <t>Frederick Antwi</t>
        </is>
      </c>
      <c r="E385" t="inlineStr">
        <is>
          <t>Frederick Antwi</t>
        </is>
      </c>
      <c r="F385" s="5" t="n">
        <v>46195.45251157408</v>
      </c>
      <c r="H385" t="inlineStr">
        <is>
          <t>P13PC00A00 - Private Sector Companies</t>
        </is>
      </c>
      <c r="I385" t="n">
        <v>8</v>
      </c>
      <c r="L385" t="b">
        <v>0</v>
      </c>
      <c r="M385" t="inlineStr">
        <is>
          <t>Non-Billable</t>
        </is>
      </c>
      <c r="N385" s="6">
        <f>IF(B385="","",IF(ISNUMBER(B385),TEXT(B385,"YYYY-MM"),LEFT(B385,7)))</f>
        <v/>
      </c>
    </row>
    <row r="386">
      <c r="A386" t="inlineStr">
        <is>
          <t>Ekow Nyamekye Tawiah</t>
        </is>
      </c>
      <c r="B386" s="4" t="n">
        <v>46170</v>
      </c>
      <c r="C386" t="inlineStr">
        <is>
          <t>Deforestation Risk Analysis for Cameroon, Mauritius, Mozambique, Nigeria and Reunion (Data sourcing and extraction)</t>
        </is>
      </c>
      <c r="D386" t="inlineStr">
        <is>
          <t>Ekow Nyamekye Tawiah</t>
        </is>
      </c>
      <c r="E386" t="inlineStr">
        <is>
          <t>Ekow Nyamekye Tawiah</t>
        </is>
      </c>
      <c r="F386" s="5" t="n">
        <v>46209.38650462963</v>
      </c>
      <c r="H386" t="inlineStr">
        <is>
          <t>PCGH778 - General Support</t>
        </is>
      </c>
      <c r="I386" t="n">
        <v>4</v>
      </c>
      <c r="J386" t="inlineStr">
        <is>
          <t>PCGH778 - Support to Other Workstreams (3) (Proforest Limited(PCUK GBP))</t>
        </is>
      </c>
      <c r="K386" t="inlineStr">
        <is>
          <t>(WS3: Deforestation) Deforestation Remote Risk Assessment</t>
        </is>
      </c>
      <c r="L386" t="b">
        <v>1</v>
      </c>
      <c r="M386" t="inlineStr">
        <is>
          <t>Billed at a Fixed price</t>
        </is>
      </c>
      <c r="N386" s="6">
        <f>IF(B386="","",IF(ISNUMBER(B386),TEXT(B386,"YYYY-MM"),LEFT(B386,7)))</f>
        <v/>
      </c>
    </row>
    <row r="387">
      <c r="A387" t="inlineStr">
        <is>
          <t>Ekow Nyamekye Tawiah</t>
        </is>
      </c>
      <c r="B387" s="4" t="n">
        <v>46170</v>
      </c>
      <c r="C387" t="inlineStr">
        <is>
          <t>/</t>
        </is>
      </c>
      <c r="D387" t="inlineStr">
        <is>
          <t>Ekow Nyamekye Tawiah</t>
        </is>
      </c>
      <c r="E387" t="inlineStr">
        <is>
          <t>Ekow Nyamekye Tawiah</t>
        </is>
      </c>
      <c r="F387" s="5" t="n">
        <v>46191.62765046296</v>
      </c>
      <c r="H387" t="inlineStr">
        <is>
          <t>PCGH722</t>
        </is>
      </c>
      <c r="I387" t="n">
        <v>0</v>
      </c>
      <c r="J387" t="inlineStr">
        <is>
          <t>PCGH722 - Analysis and Reporting (3) (Sucrivoire SA)</t>
        </is>
      </c>
      <c r="K387" t="inlineStr">
        <is>
          <t>Analysis and Reporting (3)</t>
        </is>
      </c>
      <c r="L387" t="b">
        <v>1</v>
      </c>
      <c r="M387" t="inlineStr">
        <is>
          <t>Billed at a Fixed price</t>
        </is>
      </c>
      <c r="N387" s="6">
        <f>IF(B387="","",IF(ISNUMBER(B387),TEXT(B387,"YYYY-MM"),LEFT(B387,7)))</f>
        <v/>
      </c>
    </row>
    <row r="388">
      <c r="A388" t="inlineStr">
        <is>
          <t>Afua Serwah Akoto Prempeh</t>
        </is>
      </c>
      <c r="B388" s="4" t="n">
        <v>46170</v>
      </c>
      <c r="C388" t="inlineStr">
        <is>
          <t>/</t>
        </is>
      </c>
      <c r="D388" t="inlineStr">
        <is>
          <t>Afua Serwah Akoto Prempeh</t>
        </is>
      </c>
      <c r="E388" t="inlineStr">
        <is>
          <t>Afua Serwah Akoto Prempeh</t>
        </is>
      </c>
      <c r="F388" s="5" t="n">
        <v>46188.50053240741</v>
      </c>
      <c r="H388" t="inlineStr">
        <is>
          <t>Non-Billable Tasks</t>
        </is>
      </c>
      <c r="I388" t="n">
        <v>4</v>
      </c>
      <c r="L388" t="b">
        <v>0</v>
      </c>
      <c r="M388" t="inlineStr">
        <is>
          <t>Non-Billable</t>
        </is>
      </c>
      <c r="N388" s="6">
        <f>IF(B388="","",IF(ISNUMBER(B388),TEXT(B388,"YYYY-MM"),LEFT(B388,7)))</f>
        <v/>
      </c>
    </row>
    <row r="389">
      <c r="A389" t="inlineStr">
        <is>
          <t>Afua Serwah Akoto Prempeh</t>
        </is>
      </c>
      <c r="B389" s="4" t="n">
        <v>46170</v>
      </c>
      <c r="C389" t="inlineStr">
        <is>
          <t>/</t>
        </is>
      </c>
      <c r="D389" t="inlineStr">
        <is>
          <t>Afua Serwah Akoto Prempeh</t>
        </is>
      </c>
      <c r="E389" t="inlineStr">
        <is>
          <t>Afua Serwah Akoto Prempeh</t>
        </is>
      </c>
      <c r="F389" s="5" t="n">
        <v>46188.50030092592</v>
      </c>
      <c r="H389" t="inlineStr">
        <is>
          <t>Business and Project Management Training</t>
        </is>
      </c>
      <c r="I389" t="n">
        <v>2</v>
      </c>
      <c r="L389" t="b">
        <v>1</v>
      </c>
      <c r="M389" t="inlineStr">
        <is>
          <t>Non-Billable</t>
        </is>
      </c>
      <c r="N389" s="6">
        <f>IF(B389="","",IF(ISNUMBER(B389),TEXT(B389,"YYYY-MM"),LEFT(B389,7)))</f>
        <v/>
      </c>
    </row>
    <row r="390">
      <c r="A390" t="inlineStr">
        <is>
          <t>Afua Serwah Akoto Prempeh</t>
        </is>
      </c>
      <c r="B390" s="4" t="n">
        <v>46170</v>
      </c>
      <c r="C390" t="inlineStr">
        <is>
          <t>/</t>
        </is>
      </c>
      <c r="D390" t="inlineStr">
        <is>
          <t>Afua Serwah Akoto Prempeh</t>
        </is>
      </c>
      <c r="E390" t="inlineStr">
        <is>
          <t>Afua Serwah Akoto Prempeh</t>
        </is>
      </c>
      <c r="F390" s="5" t="n">
        <v>46188.50049768519</v>
      </c>
      <c r="H390" t="inlineStr">
        <is>
          <t>Non-Billable Tasks</t>
        </is>
      </c>
      <c r="I390" t="n">
        <v>2</v>
      </c>
      <c r="K390" t="inlineStr">
        <is>
          <t>Staff Meetings (Quartely Staff Meetings, Adhoc meetings, Welfare)</t>
        </is>
      </c>
      <c r="L390" t="b">
        <v>0</v>
      </c>
      <c r="M390" t="inlineStr">
        <is>
          <t>Non-Billable</t>
        </is>
      </c>
      <c r="N390" s="6">
        <f>IF(B390="","",IF(ISNUMBER(B390),TEXT(B390,"YYYY-MM"),LEFT(B390,7)))</f>
        <v/>
      </c>
    </row>
    <row r="391">
      <c r="A391" t="inlineStr">
        <is>
          <t>Stephen Doso</t>
        </is>
      </c>
      <c r="B391" s="4" t="n">
        <v>46170</v>
      </c>
      <c r="C391" t="inlineStr">
        <is>
          <t>/</t>
        </is>
      </c>
      <c r="D391" t="inlineStr">
        <is>
          <t>Stephen Doso</t>
        </is>
      </c>
      <c r="E391" t="inlineStr">
        <is>
          <t>Michael Anim</t>
        </is>
      </c>
      <c r="F391" s="5" t="n">
        <v>46184.40086805556</v>
      </c>
      <c r="H391" t="inlineStr">
        <is>
          <t>PCGH793</t>
        </is>
      </c>
      <c r="I391" t="n">
        <v>8</v>
      </c>
      <c r="J391" t="inlineStr">
        <is>
          <t>PCGH793 - Field work  (3) (Okeosisi Jonathan)</t>
        </is>
      </c>
      <c r="K391" t="inlineStr">
        <is>
          <t>Field Visit and Data Collection</t>
        </is>
      </c>
      <c r="L391" t="b">
        <v>1</v>
      </c>
      <c r="M391" t="inlineStr">
        <is>
          <t>Billed at a Fixed price</t>
        </is>
      </c>
      <c r="N391" s="6">
        <f>IF(B391="","",IF(ISNUMBER(B391),TEXT(B391,"YYYY-MM"),LEFT(B391,7)))</f>
        <v/>
      </c>
    </row>
    <row r="392">
      <c r="A392" t="inlineStr">
        <is>
          <t>Kwadwo Baniako Nti</t>
        </is>
      </c>
      <c r="B392" s="4" t="n">
        <v>46170</v>
      </c>
      <c r="C392" t="inlineStr">
        <is>
          <t>/</t>
        </is>
      </c>
      <c r="D392" t="inlineStr">
        <is>
          <t>Kwadwo Baniako Nti</t>
        </is>
      </c>
      <c r="E392" t="inlineStr">
        <is>
          <t>Michael Anim</t>
        </is>
      </c>
      <c r="F392" s="5" t="n">
        <v>46184.40224537037</v>
      </c>
      <c r="H392" t="inlineStr">
        <is>
          <t>PCGH793</t>
        </is>
      </c>
      <c r="I392" t="n">
        <v>8</v>
      </c>
      <c r="J392" t="inlineStr">
        <is>
          <t>PCGH793 - Field work  (3) (Okeosisi Jonathan)</t>
        </is>
      </c>
      <c r="K392" t="inlineStr">
        <is>
          <t>Field Visit and Data Collection</t>
        </is>
      </c>
      <c r="L392" t="b">
        <v>1</v>
      </c>
      <c r="M392" t="inlineStr">
        <is>
          <t>Billed at a Fixed price</t>
        </is>
      </c>
      <c r="N392" s="6">
        <f>IF(B392="","",IF(ISNUMBER(B392),TEXT(B392,"YYYY-MM"),LEFT(B392,7)))</f>
        <v/>
      </c>
    </row>
    <row r="393">
      <c r="A393" t="inlineStr">
        <is>
          <t>Patricia Offei</t>
        </is>
      </c>
      <c r="B393" s="4" t="n">
        <v>46170</v>
      </c>
      <c r="C393" t="inlineStr">
        <is>
          <t>/</t>
        </is>
      </c>
      <c r="D393" t="inlineStr">
        <is>
          <t>Patricia Offei</t>
        </is>
      </c>
      <c r="E393" t="inlineStr">
        <is>
          <t>Patricia Offei</t>
        </is>
      </c>
      <c r="F393" s="5" t="n">
        <v>46178.70815972222</v>
      </c>
      <c r="H393" t="inlineStr">
        <is>
          <t>PCGH774 -Evaluation Deep-Dive Action Plans by Socfin Group</t>
        </is>
      </c>
      <c r="I393" t="n">
        <v>1</v>
      </c>
      <c r="J393" t="inlineStr">
        <is>
          <t>PCGH774 - Review of operational documents (Socfinco FR SA)</t>
        </is>
      </c>
      <c r="K393" t="inlineStr">
        <is>
          <t>Cameroon (Safacam) - Review of operational documents</t>
        </is>
      </c>
      <c r="L393" t="b">
        <v>1</v>
      </c>
      <c r="M393" t="inlineStr">
        <is>
          <t>Billed at a Fixed price</t>
        </is>
      </c>
      <c r="N393" s="6">
        <f>IF(B393="","",IF(ISNUMBER(B393),TEXT(B393,"YYYY-MM"),LEFT(B393,7)))</f>
        <v/>
      </c>
    </row>
    <row r="394">
      <c r="A394" t="inlineStr">
        <is>
          <t>Louis Defo</t>
        </is>
      </c>
      <c r="B394" s="4" t="n">
        <v>46170</v>
      </c>
      <c r="C394" t="inlineStr">
        <is>
          <t>/</t>
        </is>
      </c>
      <c r="D394" t="inlineStr">
        <is>
          <t>Louis Defo</t>
        </is>
      </c>
      <c r="E394" t="inlineStr">
        <is>
          <t>Louis Defo</t>
        </is>
      </c>
      <c r="F394" s="5" t="n">
        <v>46175.32099537037</v>
      </c>
      <c r="H394" t="inlineStr">
        <is>
          <t>PCGH787</t>
        </is>
      </c>
      <c r="I394" t="n">
        <v>8</v>
      </c>
      <c r="J394" t="inlineStr">
        <is>
          <t>PCGH787 - Desk Study (3) (Proforest Limited(PCUK GBP))</t>
        </is>
      </c>
      <c r="L394" t="b">
        <v>1</v>
      </c>
      <c r="M394" t="inlineStr">
        <is>
          <t>Billed at a Fixed price</t>
        </is>
      </c>
      <c r="N394" s="6">
        <f>IF(B394="","",IF(ISNUMBER(B394),TEXT(B394,"YYYY-MM"),LEFT(B394,7)))</f>
        <v/>
      </c>
    </row>
    <row r="395">
      <c r="A395" t="inlineStr">
        <is>
          <t>Soro TCHEREGNIMIN</t>
        </is>
      </c>
      <c r="B395" s="4" t="n">
        <v>46170</v>
      </c>
      <c r="C395" t="inlineStr">
        <is>
          <t>/</t>
        </is>
      </c>
      <c r="D395" t="inlineStr">
        <is>
          <t>Soro TCHEREGNIMIN</t>
        </is>
      </c>
      <c r="E395" t="inlineStr">
        <is>
          <t>Soro TCHEREGNIMIN</t>
        </is>
      </c>
      <c r="F395" s="5" t="n">
        <v>46174.60679398148</v>
      </c>
      <c r="H395" t="inlineStr">
        <is>
          <t>PCGH774 -Evaluation Deep-Dive Action Plans by Socfin Group</t>
        </is>
      </c>
      <c r="I395" t="n">
        <v>8</v>
      </c>
      <c r="J395" t="inlineStr">
        <is>
          <t>PCGH774 - Project Management (2) (Socfinco FR SA)</t>
        </is>
      </c>
      <c r="L395" t="b">
        <v>1</v>
      </c>
      <c r="M395" t="inlineStr">
        <is>
          <t>Billed at a Fixed price</t>
        </is>
      </c>
      <c r="N395" s="6">
        <f>IF(B395="","",IF(ISNUMBER(B395),TEXT(B395,"YYYY-MM"),LEFT(B395,7)))</f>
        <v/>
      </c>
    </row>
    <row r="396">
      <c r="A396" t="inlineStr">
        <is>
          <t>Patricia Offei</t>
        </is>
      </c>
      <c r="B396" s="4" t="n">
        <v>46170</v>
      </c>
      <c r="C396" t="inlineStr">
        <is>
          <t>/</t>
        </is>
      </c>
      <c r="D396" t="inlineStr">
        <is>
          <t>Patricia Offei</t>
        </is>
      </c>
      <c r="E396" t="inlineStr">
        <is>
          <t>Patricia Offei</t>
        </is>
      </c>
      <c r="F396" s="5" t="n">
        <v>46174.47626157408</v>
      </c>
      <c r="H396" t="inlineStr">
        <is>
          <t>PCGH779 - Cote d'Ivoire）</t>
        </is>
      </c>
      <c r="I396" t="n">
        <v>2</v>
      </c>
      <c r="J396" t="inlineStr">
        <is>
          <t>PCGH779 - Tree Planting Project (3) (Proforest Limited(PCUK GBP))</t>
        </is>
      </c>
      <c r="L396" t="b">
        <v>1</v>
      </c>
      <c r="M396" t="inlineStr">
        <is>
          <t>Billed at a Fixed price</t>
        </is>
      </c>
      <c r="N396" s="6">
        <f>IF(B396="","",IF(ISNUMBER(B396),TEXT(B396,"YYYY-MM"),LEFT(B396,7)))</f>
        <v/>
      </c>
    </row>
    <row r="397">
      <c r="A397" t="inlineStr">
        <is>
          <t>Patricia Offei</t>
        </is>
      </c>
      <c r="B397" s="4" t="n">
        <v>46170</v>
      </c>
      <c r="C397" t="inlineStr">
        <is>
          <t>/</t>
        </is>
      </c>
      <c r="D397" t="inlineStr">
        <is>
          <t>Patricia Offei</t>
        </is>
      </c>
      <c r="E397" t="inlineStr">
        <is>
          <t>Patricia Offei</t>
        </is>
      </c>
      <c r="F397" s="5" t="n">
        <v>46174.47615740741</v>
      </c>
      <c r="H397" t="inlineStr">
        <is>
          <t>PCGH778 - General Support</t>
        </is>
      </c>
      <c r="I397" t="n">
        <v>1</v>
      </c>
      <c r="J397" t="inlineStr">
        <is>
          <t>PCGH778 - Support to Other Workstreams (3) (Proforest Limited(PCUK GBP))</t>
        </is>
      </c>
      <c r="L397" t="b">
        <v>1</v>
      </c>
      <c r="M397" t="inlineStr">
        <is>
          <t>Billed at a Fixed price</t>
        </is>
      </c>
      <c r="N397" s="6">
        <f>IF(B397="","",IF(ISNUMBER(B397),TEXT(B397,"YYYY-MM"),LEFT(B397,7)))</f>
        <v/>
      </c>
    </row>
    <row r="398">
      <c r="A398" t="inlineStr">
        <is>
          <t>Patricia Offei</t>
        </is>
      </c>
      <c r="B398" s="4" t="n">
        <v>46170</v>
      </c>
      <c r="C398" t="inlineStr">
        <is>
          <t>/</t>
        </is>
      </c>
      <c r="D398" t="inlineStr">
        <is>
          <t>Patricia Offei</t>
        </is>
      </c>
      <c r="E398" t="inlineStr">
        <is>
          <t>Patricia Offei</t>
        </is>
      </c>
      <c r="F398" s="5" t="n">
        <v>46174.4759837963</v>
      </c>
      <c r="H398" t="inlineStr">
        <is>
          <t>PCGH774 -Evaluation Deep-Dive Action Plans by Socfin Group</t>
        </is>
      </c>
      <c r="I398" t="n">
        <v>3</v>
      </c>
      <c r="J398" t="inlineStr">
        <is>
          <t>PCGH774 - Project Management (2) (Socfinco FR SA)</t>
        </is>
      </c>
      <c r="L398" t="b">
        <v>1</v>
      </c>
      <c r="M398" t="inlineStr">
        <is>
          <t>Billed at a Fixed price</t>
        </is>
      </c>
      <c r="N398" s="6">
        <f>IF(B398="","",IF(ISNUMBER(B398),TEXT(B398,"YYYY-MM"),LEFT(B398,7)))</f>
        <v/>
      </c>
    </row>
    <row r="399">
      <c r="A399" t="inlineStr">
        <is>
          <t>Patricia Offei</t>
        </is>
      </c>
      <c r="B399" s="4" t="n">
        <v>46170</v>
      </c>
      <c r="C399" t="inlineStr">
        <is>
          <t>/</t>
        </is>
      </c>
      <c r="D399" t="inlineStr">
        <is>
          <t>Patricia Offei</t>
        </is>
      </c>
      <c r="E399" t="inlineStr">
        <is>
          <t>Patricia Offei</t>
        </is>
      </c>
      <c r="F399" s="5" t="n">
        <v>46174.4722800926</v>
      </c>
      <c r="G399" t="inlineStr">
        <is>
          <t>HCV Network Quality Review Process (3)</t>
        </is>
      </c>
      <c r="H399" t="inlineStr">
        <is>
          <t>PCGH722</t>
        </is>
      </c>
      <c r="I399" t="n">
        <v>1</v>
      </c>
      <c r="J399" t="inlineStr">
        <is>
          <t>PCGH722 - HCV Network Quality Review Process (3) (Sucrivoire SA)</t>
        </is>
      </c>
      <c r="K399" t="inlineStr">
        <is>
          <t>HCV Network Quality Review Process (3)</t>
        </is>
      </c>
      <c r="L399" t="b">
        <v>1</v>
      </c>
      <c r="M399" t="inlineStr">
        <is>
          <t>Billed at a Fixed price</t>
        </is>
      </c>
      <c r="N399" s="6">
        <f>IF(B399="","",IF(ISNUMBER(B399),TEXT(B399,"YYYY-MM"),LEFT(B399,7)))</f>
        <v/>
      </c>
    </row>
    <row r="400">
      <c r="A400" t="inlineStr">
        <is>
          <t>Augustus Asamoah</t>
        </is>
      </c>
      <c r="B400" s="4" t="n">
        <v>46170</v>
      </c>
      <c r="C400" t="inlineStr">
        <is>
          <t>/</t>
        </is>
      </c>
      <c r="D400" t="inlineStr">
        <is>
          <t>Augustus Asamoah</t>
        </is>
      </c>
      <c r="E400" t="inlineStr">
        <is>
          <t>Augustus Asamoah</t>
        </is>
      </c>
      <c r="F400" s="5" t="n">
        <v>46174.37574074074</v>
      </c>
      <c r="H400" t="inlineStr">
        <is>
          <t>Non-Billable Tasks</t>
        </is>
      </c>
      <c r="I400" t="n">
        <v>0</v>
      </c>
      <c r="L400" t="b">
        <v>0</v>
      </c>
      <c r="M400" t="inlineStr">
        <is>
          <t>Non-Billable</t>
        </is>
      </c>
      <c r="N400" s="6">
        <f>IF(B400="","",IF(ISNUMBER(B400),TEXT(B400,"YYYY-MM"),LEFT(B400,7)))</f>
        <v/>
      </c>
    </row>
    <row r="401">
      <c r="A401" t="inlineStr">
        <is>
          <t>Augustus Asamoah</t>
        </is>
      </c>
      <c r="B401" s="4" t="n">
        <v>46170</v>
      </c>
      <c r="C401" t="inlineStr">
        <is>
          <t>/</t>
        </is>
      </c>
      <c r="D401" t="inlineStr">
        <is>
          <t>Augustus Asamoah</t>
        </is>
      </c>
      <c r="E401" t="inlineStr">
        <is>
          <t>Augustus Asamoah</t>
        </is>
      </c>
      <c r="F401" s="5" t="n">
        <v>46174.37545138889</v>
      </c>
      <c r="H401" t="inlineStr">
        <is>
          <t>P13QC00A00 - EFI Programme</t>
        </is>
      </c>
      <c r="I401" t="n">
        <v>2</v>
      </c>
      <c r="L401" t="b">
        <v>0</v>
      </c>
      <c r="M401" t="inlineStr">
        <is>
          <t>Non-Billable</t>
        </is>
      </c>
      <c r="N401" s="6">
        <f>IF(B401="","",IF(ISNUMBER(B401),TEXT(B401,"YYYY-MM"),LEFT(B401,7)))</f>
        <v/>
      </c>
    </row>
    <row r="402">
      <c r="A402" t="inlineStr">
        <is>
          <t>Augustus Asamoah</t>
        </is>
      </c>
      <c r="B402" s="4" t="n">
        <v>46170</v>
      </c>
      <c r="C402" t="inlineStr">
        <is>
          <t>/</t>
        </is>
      </c>
      <c r="D402" t="inlineStr">
        <is>
          <t>Augustus Asamoah</t>
        </is>
      </c>
      <c r="E402" t="inlineStr">
        <is>
          <t>Augustus Asamoah</t>
        </is>
      </c>
      <c r="F402" s="5" t="n">
        <v>46174.37484953704</v>
      </c>
      <c r="H402" t="inlineStr">
        <is>
          <t>P13NC00A00 - WALMART II</t>
        </is>
      </c>
      <c r="I402" t="n">
        <v>2</v>
      </c>
      <c r="L402" t="b">
        <v>0</v>
      </c>
      <c r="M402" t="inlineStr">
        <is>
          <t>Non-Billable</t>
        </is>
      </c>
      <c r="N402" s="6">
        <f>IF(B402="","",IF(ISNUMBER(B402),TEXT(B402,"YYYY-MM"),LEFT(B402,7)))</f>
        <v/>
      </c>
    </row>
    <row r="403">
      <c r="A403" t="inlineStr">
        <is>
          <t>Augustus Asamoah</t>
        </is>
      </c>
      <c r="B403" s="4" t="n">
        <v>46170</v>
      </c>
      <c r="C403" t="inlineStr">
        <is>
          <t>/</t>
        </is>
      </c>
      <c r="D403" t="inlineStr">
        <is>
          <t>Augustus Asamoah</t>
        </is>
      </c>
      <c r="E403" t="inlineStr">
        <is>
          <t>Augustus Asamoah</t>
        </is>
      </c>
      <c r="F403" s="5" t="n">
        <v>46174.37291666667</v>
      </c>
      <c r="H403" t="inlineStr">
        <is>
          <t>P13PC00A00 - Private Sector Companies</t>
        </is>
      </c>
      <c r="I403" t="n">
        <v>4</v>
      </c>
      <c r="L403" t="b">
        <v>0</v>
      </c>
      <c r="M403" t="inlineStr">
        <is>
          <t>Non-Billable</t>
        </is>
      </c>
      <c r="N403" s="6">
        <f>IF(B403="","",IF(ISNUMBER(B403),TEXT(B403,"YYYY-MM"),LEFT(B403,7)))</f>
        <v/>
      </c>
    </row>
    <row r="404">
      <c r="A404" t="inlineStr">
        <is>
          <t>Abel Ansu</t>
        </is>
      </c>
      <c r="B404" s="4" t="n">
        <v>46170</v>
      </c>
      <c r="C404" t="inlineStr">
        <is>
          <t>MTS sensitization was done at Gyesewobere and Adiepena. Also CRMC reorganization was done at Sienwi, and Gambia No 1</t>
        </is>
      </c>
      <c r="D404" t="inlineStr">
        <is>
          <t>Abel Ansu</t>
        </is>
      </c>
      <c r="E404" t="inlineStr">
        <is>
          <t>Abel Ansu</t>
        </is>
      </c>
      <c r="F404" s="5" t="n">
        <v>46174.21493055556</v>
      </c>
      <c r="H404" t="inlineStr">
        <is>
          <t>Internal</t>
        </is>
      </c>
      <c r="I404" t="n">
        <v>8</v>
      </c>
      <c r="K404" t="inlineStr">
        <is>
          <t>MTS Sensitization with farmers</t>
        </is>
      </c>
      <c r="L404" t="b">
        <v>0</v>
      </c>
      <c r="M404" t="inlineStr">
        <is>
          <t>Non-Billable</t>
        </is>
      </c>
      <c r="N404" s="6">
        <f>IF(B404="","",IF(ISNUMBER(B404),TEXT(B404,"YYYY-MM"),LEFT(B404,7)))</f>
        <v/>
      </c>
    </row>
    <row r="405">
      <c r="A405" t="inlineStr">
        <is>
          <t>Clement Obeng-Manu</t>
        </is>
      </c>
      <c r="B405" s="4" t="n">
        <v>46170</v>
      </c>
      <c r="C405" t="inlineStr">
        <is>
          <t>/</t>
        </is>
      </c>
      <c r="D405" t="inlineStr">
        <is>
          <t>Clement Obeng-Manu</t>
        </is>
      </c>
      <c r="E405" t="inlineStr">
        <is>
          <t>Clement Obeng-Manu</t>
        </is>
      </c>
      <c r="F405" s="5" t="n">
        <v>46173.76261574074</v>
      </c>
      <c r="H405" t="inlineStr">
        <is>
          <t>PCGH793</t>
        </is>
      </c>
      <c r="I405" t="n">
        <v>8</v>
      </c>
      <c r="J405" t="inlineStr">
        <is>
          <t>PCGH793 - Desk Study (3) (Okeosisi Jonathan)</t>
        </is>
      </c>
      <c r="L405" t="b">
        <v>1</v>
      </c>
      <c r="M405" t="inlineStr">
        <is>
          <t>Billed at a Fixed price</t>
        </is>
      </c>
      <c r="N405" s="6">
        <f>IF(B405="","",IF(ISNUMBER(B405),TEXT(B405,"YYYY-MM"),LEFT(B405,7)))</f>
        <v/>
      </c>
    </row>
    <row r="406">
      <c r="A406" t="inlineStr">
        <is>
          <t>Daleba Bernard Kpenahi Raymond</t>
        </is>
      </c>
      <c r="B406" s="4" t="n">
        <v>46170</v>
      </c>
      <c r="C406" t="inlineStr">
        <is>
          <t>/</t>
        </is>
      </c>
      <c r="D406" t="inlineStr">
        <is>
          <t>Daleba Bernard Kpenahi Raymond</t>
        </is>
      </c>
      <c r="E406" t="inlineStr">
        <is>
          <t>OdooBot</t>
        </is>
      </c>
      <c r="F406" s="5" t="n">
        <v>46154.70721064815</v>
      </c>
      <c r="H406" t="inlineStr">
        <is>
          <t>Non-Billable Tasks</t>
        </is>
      </c>
      <c r="I406" t="n">
        <v>8</v>
      </c>
      <c r="K406" t="inlineStr">
        <is>
          <t>Leave</t>
        </is>
      </c>
      <c r="L406" t="b">
        <v>0</v>
      </c>
      <c r="M406" t="inlineStr">
        <is>
          <t>Non-Billable</t>
        </is>
      </c>
      <c r="N406" s="6">
        <f>IF(B406="","",IF(ISNUMBER(B406),TEXT(B406,"YYYY-MM"),LEFT(B406,7)))</f>
        <v/>
      </c>
    </row>
    <row r="407">
      <c r="A407" t="inlineStr">
        <is>
          <t>Helena Tetteh</t>
        </is>
      </c>
      <c r="B407" s="4" t="n">
        <v>46169</v>
      </c>
      <c r="C407" t="inlineStr">
        <is>
          <t>Muslim holiday</t>
        </is>
      </c>
      <c r="D407" t="inlineStr">
        <is>
          <t xml:space="preserve">Helena Tetteh </t>
        </is>
      </c>
      <c r="E407" t="inlineStr">
        <is>
          <t>Helena Tetteh</t>
        </is>
      </c>
      <c r="F407" s="5" t="n">
        <v>46195.49094907408</v>
      </c>
      <c r="H407" t="inlineStr">
        <is>
          <t>Non-Billable Tasks</t>
        </is>
      </c>
      <c r="I407" t="n">
        <v>8</v>
      </c>
      <c r="K407" t="inlineStr">
        <is>
          <t>Public Holiday</t>
        </is>
      </c>
      <c r="L407" t="b">
        <v>0</v>
      </c>
      <c r="M407" t="inlineStr">
        <is>
          <t>Non-Billable</t>
        </is>
      </c>
      <c r="N407" s="6">
        <f>IF(B407="","",IF(ISNUMBER(B407),TEXT(B407,"YYYY-MM"),LEFT(B407,7)))</f>
        <v/>
      </c>
    </row>
    <row r="408">
      <c r="A408" t="inlineStr">
        <is>
          <t>Frederick Antwi</t>
        </is>
      </c>
      <c r="B408" s="4" t="n">
        <v>46169</v>
      </c>
      <c r="C408" t="inlineStr">
        <is>
          <t>/</t>
        </is>
      </c>
      <c r="D408" t="inlineStr">
        <is>
          <t>Frederick Antwi</t>
        </is>
      </c>
      <c r="E408" t="inlineStr">
        <is>
          <t>Frederick Antwi</t>
        </is>
      </c>
      <c r="F408" s="5" t="n">
        <v>46195.45248842592</v>
      </c>
      <c r="H408" t="inlineStr">
        <is>
          <t>P13PC00A00 - Private Sector Companies</t>
        </is>
      </c>
      <c r="I408" t="n">
        <v>8</v>
      </c>
      <c r="L408" t="b">
        <v>0</v>
      </c>
      <c r="M408" t="inlineStr">
        <is>
          <t>Non-Billable</t>
        </is>
      </c>
      <c r="N408" s="6">
        <f>IF(B408="","",IF(ISNUMBER(B408),TEXT(B408,"YYYY-MM"),LEFT(B408,7)))</f>
        <v/>
      </c>
    </row>
    <row r="409">
      <c r="A409" t="inlineStr">
        <is>
          <t>Ekow Nyamekye Tawiah</t>
        </is>
      </c>
      <c r="B409" s="4" t="n">
        <v>46169</v>
      </c>
      <c r="C409" t="inlineStr">
        <is>
          <t>Deforestation Risk Analysis for Cameroon, Mauritius, Mozambique, Nigeria and Reunion (Data sourcing and extraction)</t>
        </is>
      </c>
      <c r="D409" t="inlineStr">
        <is>
          <t>Ekow Nyamekye Tawiah</t>
        </is>
      </c>
      <c r="E409" t="inlineStr">
        <is>
          <t>Ekow Nyamekye Tawiah</t>
        </is>
      </c>
      <c r="F409" s="5" t="n">
        <v>46209.38650462963</v>
      </c>
      <c r="H409" t="inlineStr">
        <is>
          <t>PCGH778 - General Support</t>
        </is>
      </c>
      <c r="I409" t="n">
        <v>4</v>
      </c>
      <c r="J409" t="inlineStr">
        <is>
          <t>PCGH778 - Support to Other Workstreams (3) (Proforest Limited(PCUK GBP))</t>
        </is>
      </c>
      <c r="K409" t="inlineStr">
        <is>
          <t>(WS3: Deforestation) Deforestation Remote Risk Assessment</t>
        </is>
      </c>
      <c r="L409" t="b">
        <v>1</v>
      </c>
      <c r="M409" t="inlineStr">
        <is>
          <t>Billed at a Fixed price</t>
        </is>
      </c>
      <c r="N409" s="6">
        <f>IF(B409="","",IF(ISNUMBER(B409),TEXT(B409,"YYYY-MM"),LEFT(B409,7)))</f>
        <v/>
      </c>
    </row>
    <row r="410">
      <c r="A410" t="inlineStr">
        <is>
          <t>Ekow Nyamekye Tawiah</t>
        </is>
      </c>
      <c r="B410" s="4" t="n">
        <v>46169</v>
      </c>
      <c r="C410" t="inlineStr">
        <is>
          <t>/</t>
        </is>
      </c>
      <c r="D410" t="inlineStr">
        <is>
          <t>Ekow Nyamekye Tawiah</t>
        </is>
      </c>
      <c r="E410" t="inlineStr">
        <is>
          <t>Ekow Nyamekye Tawiah</t>
        </is>
      </c>
      <c r="F410" s="5" t="n">
        <v>46191.62763888889</v>
      </c>
      <c r="H410" t="inlineStr">
        <is>
          <t>PCGH722</t>
        </is>
      </c>
      <c r="I410" t="n">
        <v>0</v>
      </c>
      <c r="J410" t="inlineStr">
        <is>
          <t>PCGH722 - Analysis and Reporting (3) (Sucrivoire SA)</t>
        </is>
      </c>
      <c r="K410" t="inlineStr">
        <is>
          <t>Analysis and Reporting (3)</t>
        </is>
      </c>
      <c r="L410" t="b">
        <v>1</v>
      </c>
      <c r="M410" t="inlineStr">
        <is>
          <t>Billed at a Fixed price</t>
        </is>
      </c>
      <c r="N410" s="6">
        <f>IF(B410="","",IF(ISNUMBER(B410),TEXT(B410,"YYYY-MM"),LEFT(B410,7)))</f>
        <v/>
      </c>
    </row>
    <row r="411">
      <c r="A411" t="inlineStr">
        <is>
          <t>Afua Serwah Akoto Prempeh</t>
        </is>
      </c>
      <c r="B411" s="4" t="n">
        <v>46169</v>
      </c>
      <c r="C411" t="inlineStr">
        <is>
          <t>/</t>
        </is>
      </c>
      <c r="D411" t="inlineStr">
        <is>
          <t>Afua Serwah Akoto Prempeh</t>
        </is>
      </c>
      <c r="E411" t="inlineStr">
        <is>
          <t>Afua Serwah Akoto Prempeh</t>
        </is>
      </c>
      <c r="F411" s="5" t="n">
        <v>46188.50194444445</v>
      </c>
      <c r="H411" t="inlineStr">
        <is>
          <t>Non-Billable Tasks</t>
        </is>
      </c>
      <c r="I411" t="n">
        <v>6</v>
      </c>
      <c r="L411" t="b">
        <v>0</v>
      </c>
      <c r="M411" t="inlineStr">
        <is>
          <t>Non-Billable</t>
        </is>
      </c>
      <c r="N411" s="6">
        <f>IF(B411="","",IF(ISNUMBER(B411),TEXT(B411,"YYYY-MM"),LEFT(B411,7)))</f>
        <v/>
      </c>
    </row>
    <row r="412">
      <c r="A412" t="inlineStr">
        <is>
          <t>Afua Serwah Akoto Prempeh</t>
        </is>
      </c>
      <c r="B412" s="4" t="n">
        <v>46169</v>
      </c>
      <c r="C412" t="inlineStr">
        <is>
          <t>/</t>
        </is>
      </c>
      <c r="D412" t="inlineStr">
        <is>
          <t>Afua Serwah Akoto Prempeh</t>
        </is>
      </c>
      <c r="E412" t="inlineStr">
        <is>
          <t>Afua Serwah Akoto Prempeh</t>
        </is>
      </c>
      <c r="F412" s="5" t="n">
        <v>46188.44135416667</v>
      </c>
      <c r="H412" t="inlineStr">
        <is>
          <t>Non-Billable Tasks</t>
        </is>
      </c>
      <c r="I412" t="n">
        <v>2</v>
      </c>
      <c r="K412" t="inlineStr">
        <is>
          <t>Staff Meetings (Quartely Staff Meetings, Adhoc meetings, Welfare)</t>
        </is>
      </c>
      <c r="L412" t="b">
        <v>0</v>
      </c>
      <c r="M412" t="inlineStr">
        <is>
          <t>Non-Billable</t>
        </is>
      </c>
      <c r="N412" s="6">
        <f>IF(B412="","",IF(ISNUMBER(B412),TEXT(B412,"YYYY-MM"),LEFT(B412,7)))</f>
        <v/>
      </c>
    </row>
    <row r="413">
      <c r="A413" t="inlineStr">
        <is>
          <t>Stephen Doso</t>
        </is>
      </c>
      <c r="B413" s="4" t="n">
        <v>46169</v>
      </c>
      <c r="C413" t="inlineStr">
        <is>
          <t>/</t>
        </is>
      </c>
      <c r="D413" t="inlineStr">
        <is>
          <t>Stephen Doso</t>
        </is>
      </c>
      <c r="E413" t="inlineStr">
        <is>
          <t>Michael Anim</t>
        </is>
      </c>
      <c r="F413" s="5" t="n">
        <v>46184.40128472223</v>
      </c>
      <c r="H413" t="inlineStr">
        <is>
          <t>PCGH793</t>
        </is>
      </c>
      <c r="I413" t="n">
        <v>8</v>
      </c>
      <c r="J413" t="inlineStr">
        <is>
          <t>PCGH793 - Field work  (3) (Okeosisi Jonathan)</t>
        </is>
      </c>
      <c r="K413" t="inlineStr">
        <is>
          <t>Field Visit and Data Collection</t>
        </is>
      </c>
      <c r="L413" t="b">
        <v>1</v>
      </c>
      <c r="M413" t="inlineStr">
        <is>
          <t>Billed at a Fixed price</t>
        </is>
      </c>
      <c r="N413" s="6">
        <f>IF(B413="","",IF(ISNUMBER(B413),TEXT(B413,"YYYY-MM"),LEFT(B413,7)))</f>
        <v/>
      </c>
    </row>
    <row r="414">
      <c r="A414" t="inlineStr">
        <is>
          <t>Kwadwo Baniako Nti</t>
        </is>
      </c>
      <c r="B414" s="4" t="n">
        <v>46169</v>
      </c>
      <c r="C414" t="inlineStr">
        <is>
          <t>/</t>
        </is>
      </c>
      <c r="D414" t="inlineStr">
        <is>
          <t>Kwadwo Baniako Nti</t>
        </is>
      </c>
      <c r="E414" t="inlineStr">
        <is>
          <t>Michael Anim</t>
        </is>
      </c>
      <c r="F414" s="5" t="n">
        <v>46184.4021412037</v>
      </c>
      <c r="H414" t="inlineStr">
        <is>
          <t>PCGH793</t>
        </is>
      </c>
      <c r="I414" t="n">
        <v>8</v>
      </c>
      <c r="J414" t="inlineStr">
        <is>
          <t>PCGH793 - Field work  (3) (Okeosisi Jonathan)</t>
        </is>
      </c>
      <c r="K414" t="inlineStr">
        <is>
          <t>Field Visit and Data Collection</t>
        </is>
      </c>
      <c r="L414" t="b">
        <v>1</v>
      </c>
      <c r="M414" t="inlineStr">
        <is>
          <t>Billed at a Fixed price</t>
        </is>
      </c>
      <c r="N414" s="6">
        <f>IF(B414="","",IF(ISNUMBER(B414),TEXT(B414,"YYYY-MM"),LEFT(B414,7)))</f>
        <v/>
      </c>
    </row>
    <row r="415">
      <c r="A415" t="inlineStr">
        <is>
          <t>Patricia Offei</t>
        </is>
      </c>
      <c r="B415" s="4" t="n">
        <v>46169</v>
      </c>
      <c r="C415" t="inlineStr">
        <is>
          <t>/</t>
        </is>
      </c>
      <c r="D415" t="inlineStr">
        <is>
          <t>Patricia Offei</t>
        </is>
      </c>
      <c r="E415" t="inlineStr">
        <is>
          <t>Patricia Offei</t>
        </is>
      </c>
      <c r="F415" s="5" t="n">
        <v>46195.55112268519</v>
      </c>
      <c r="H415" t="inlineStr">
        <is>
          <t>PCGH774 -Evaluation Deep-Dive Action Plans by Socfin Group</t>
        </is>
      </c>
      <c r="I415" t="n">
        <v>1</v>
      </c>
      <c r="J415" t="inlineStr">
        <is>
          <t>PCGH774 - Analysis and Reporting (3) (Socfinco FR SA)</t>
        </is>
      </c>
      <c r="K415" t="inlineStr">
        <is>
          <t>[Cameroon, Socapalm （Dibombari + Edéa + Mbongo + Mbambou） Report review] - Analysis and Reporting</t>
        </is>
      </c>
      <c r="L415" t="b">
        <v>1</v>
      </c>
      <c r="M415" t="inlineStr">
        <is>
          <t>Billed at a Fixed price</t>
        </is>
      </c>
      <c r="N415" s="6">
        <f>IF(B415="","",IF(ISNUMBER(B415),TEXT(B415,"YYYY-MM"),LEFT(B415,7)))</f>
        <v/>
      </c>
    </row>
    <row r="416">
      <c r="A416" t="inlineStr">
        <is>
          <t>Louis Defo</t>
        </is>
      </c>
      <c r="B416" s="4" t="n">
        <v>46169</v>
      </c>
      <c r="C416" t="inlineStr">
        <is>
          <t>/</t>
        </is>
      </c>
      <c r="D416" t="inlineStr">
        <is>
          <t>Louis Defo</t>
        </is>
      </c>
      <c r="E416" t="inlineStr">
        <is>
          <t>Louis Defo</t>
        </is>
      </c>
      <c r="F416" s="5" t="n">
        <v>46175.32078703704</v>
      </c>
      <c r="H416" t="inlineStr">
        <is>
          <t>P23AC00C00 - FGMC</t>
        </is>
      </c>
      <c r="I416" t="n">
        <v>8</v>
      </c>
      <c r="L416" t="b">
        <v>0</v>
      </c>
      <c r="M416" t="inlineStr">
        <is>
          <t>Non-Billable</t>
        </is>
      </c>
      <c r="N416" s="6">
        <f>IF(B416="","",IF(ISNUMBER(B416),TEXT(B416,"YYYY-MM"),LEFT(B416,7)))</f>
        <v/>
      </c>
    </row>
    <row r="417">
      <c r="A417" t="inlineStr">
        <is>
          <t>Soro TCHEREGNIMIN</t>
        </is>
      </c>
      <c r="B417" s="4" t="n">
        <v>46169</v>
      </c>
      <c r="C417" t="inlineStr">
        <is>
          <t>Public holiday</t>
        </is>
      </c>
      <c r="D417" t="inlineStr">
        <is>
          <t>Soro TCHEREGNIMIN</t>
        </is>
      </c>
      <c r="E417" t="inlineStr">
        <is>
          <t>Soro TCHEREGNIMIN</t>
        </is>
      </c>
      <c r="F417" s="5" t="n">
        <v>46174.60795138889</v>
      </c>
      <c r="H417" t="inlineStr">
        <is>
          <t>Non-Billable Tasks</t>
        </is>
      </c>
      <c r="I417" t="n">
        <v>8</v>
      </c>
      <c r="L417" t="b">
        <v>0</v>
      </c>
      <c r="M417" t="inlineStr">
        <is>
          <t>Non-Billable</t>
        </is>
      </c>
      <c r="N417" s="6">
        <f>IF(B417="","",IF(ISNUMBER(B417),TEXT(B417,"YYYY-MM"),LEFT(B417,7)))</f>
        <v/>
      </c>
    </row>
    <row r="418">
      <c r="A418" t="inlineStr">
        <is>
          <t>Patricia Offei</t>
        </is>
      </c>
      <c r="B418" s="4" t="n">
        <v>46169</v>
      </c>
      <c r="C418" t="inlineStr">
        <is>
          <t>/</t>
        </is>
      </c>
      <c r="D418" t="inlineStr">
        <is>
          <t>Patricia Offei</t>
        </is>
      </c>
      <c r="E418" t="inlineStr">
        <is>
          <t>Patricia Offei</t>
        </is>
      </c>
      <c r="F418" s="5" t="n">
        <v>46174.47587962963</v>
      </c>
      <c r="H418" t="inlineStr">
        <is>
          <t>PCGH774 -Evaluation Deep-Dive Action Plans by Socfin Group</t>
        </is>
      </c>
      <c r="I418" t="n">
        <v>-4</v>
      </c>
      <c r="J418" t="inlineStr">
        <is>
          <t>PCGH774 - Analysis and Reporting (3) (Socfinco FR SA)</t>
        </is>
      </c>
      <c r="L418" t="b">
        <v>1</v>
      </c>
      <c r="M418" t="inlineStr">
        <is>
          <t>Billed at a Fixed price</t>
        </is>
      </c>
      <c r="N418" s="6">
        <f>IF(B418="","",IF(ISNUMBER(B418),TEXT(B418,"YYYY-MM"),LEFT(B418,7)))</f>
        <v/>
      </c>
    </row>
    <row r="419">
      <c r="A419" t="inlineStr">
        <is>
          <t>Patricia Offei</t>
        </is>
      </c>
      <c r="B419" s="4" t="n">
        <v>46169</v>
      </c>
      <c r="C419" t="inlineStr">
        <is>
          <t>Reporting Socapalm DBI, EDE</t>
        </is>
      </c>
      <c r="D419" t="inlineStr">
        <is>
          <t>Patricia Offei</t>
        </is>
      </c>
      <c r="E419" t="inlineStr">
        <is>
          <t>Patricia Offei</t>
        </is>
      </c>
      <c r="F419" s="5" t="n">
        <v>46174.47559027778</v>
      </c>
      <c r="H419" t="inlineStr">
        <is>
          <t>PCGH774 -Evaluation Deep-Dive Action Plans by Socfin Group</t>
        </is>
      </c>
      <c r="I419" t="n">
        <v>2</v>
      </c>
      <c r="J419" t="inlineStr">
        <is>
          <t>PCGH774 - Analysis and Reporting (3) (Socfinco FR SA)</t>
        </is>
      </c>
      <c r="L419" t="b">
        <v>1</v>
      </c>
      <c r="M419" t="inlineStr">
        <is>
          <t>Billed at a Fixed price</t>
        </is>
      </c>
      <c r="N419" s="6">
        <f>IF(B419="","",IF(ISNUMBER(B419),TEXT(B419,"YYYY-MM"),LEFT(B419,7)))</f>
        <v/>
      </c>
    </row>
    <row r="420">
      <c r="A420" t="inlineStr">
        <is>
          <t>Patricia Offei</t>
        </is>
      </c>
      <c r="B420" s="4" t="n">
        <v>46169</v>
      </c>
      <c r="C420" t="inlineStr">
        <is>
          <t>Review of Borotou Report per HCVRN Comments</t>
        </is>
      </c>
      <c r="D420" t="inlineStr">
        <is>
          <t>Patricia Offei</t>
        </is>
      </c>
      <c r="E420" t="inlineStr">
        <is>
          <t>Patricia Offei</t>
        </is>
      </c>
      <c r="F420" s="5" t="n">
        <v>46174.47215277778</v>
      </c>
      <c r="G420" t="inlineStr">
        <is>
          <t>HCV Network Quality Review Process (3)</t>
        </is>
      </c>
      <c r="H420" t="inlineStr">
        <is>
          <t>PCGH722</t>
        </is>
      </c>
      <c r="I420" t="n">
        <v>0</v>
      </c>
      <c r="J420" t="inlineStr">
        <is>
          <t>PCGH722 - HCV Network Quality Review Process (3) (Sucrivoire SA)</t>
        </is>
      </c>
      <c r="K420" t="inlineStr">
        <is>
          <t>HCV Network Quality Review Process (3)</t>
        </is>
      </c>
      <c r="L420" t="b">
        <v>1</v>
      </c>
      <c r="M420" t="inlineStr">
        <is>
          <t>Billed at a Fixed price</t>
        </is>
      </c>
      <c r="N420" s="6">
        <f>IF(B420="","",IF(ISNUMBER(B420),TEXT(B420,"YYYY-MM"),LEFT(B420,7)))</f>
        <v/>
      </c>
    </row>
    <row r="421">
      <c r="A421" t="inlineStr">
        <is>
          <t>Patricia Offei</t>
        </is>
      </c>
      <c r="B421" s="4" t="n">
        <v>46169</v>
      </c>
      <c r="C421" t="inlineStr">
        <is>
          <t>/</t>
        </is>
      </c>
      <c r="D421" t="inlineStr">
        <is>
          <t>Patricia Offei</t>
        </is>
      </c>
      <c r="E421" t="inlineStr">
        <is>
          <t>Patricia Offei</t>
        </is>
      </c>
      <c r="F421" s="5" t="n">
        <v>46174.47104166666</v>
      </c>
      <c r="H421" t="inlineStr">
        <is>
          <t>PCGH779 - Cote d'Ivoire）</t>
        </is>
      </c>
      <c r="I421" t="n">
        <v>2</v>
      </c>
      <c r="J421" t="inlineStr">
        <is>
          <t>PCGH779 - Tree Planting Project (3) (Proforest Limited(PCUK GBP))</t>
        </is>
      </c>
      <c r="L421" t="b">
        <v>1</v>
      </c>
      <c r="M421" t="inlineStr">
        <is>
          <t>Billed at a Fixed price</t>
        </is>
      </c>
      <c r="N421" s="6">
        <f>IF(B421="","",IF(ISNUMBER(B421),TEXT(B421,"YYYY-MM"),LEFT(B421,7)))</f>
        <v/>
      </c>
    </row>
    <row r="422">
      <c r="A422" t="inlineStr">
        <is>
          <t>Patricia Offei</t>
        </is>
      </c>
      <c r="B422" s="4" t="n">
        <v>46169</v>
      </c>
      <c r="C422" t="inlineStr">
        <is>
          <t>/</t>
        </is>
      </c>
      <c r="D422" t="inlineStr">
        <is>
          <t>Patricia Offei</t>
        </is>
      </c>
      <c r="E422" t="inlineStr">
        <is>
          <t>Patricia Offei</t>
        </is>
      </c>
      <c r="F422" s="5" t="n">
        <v>46174.47099537037</v>
      </c>
      <c r="H422" t="inlineStr">
        <is>
          <t>PCGH778 - General Support</t>
        </is>
      </c>
      <c r="I422" t="n">
        <v>1</v>
      </c>
      <c r="J422" t="inlineStr">
        <is>
          <t>PCGH778 - Support to Other Workstreams (3) (Proforest Limited(PCUK GBP))</t>
        </is>
      </c>
      <c r="L422" t="b">
        <v>1</v>
      </c>
      <c r="M422" t="inlineStr">
        <is>
          <t>Billed at a Fixed price</t>
        </is>
      </c>
      <c r="N422" s="6">
        <f>IF(B422="","",IF(ISNUMBER(B422),TEXT(B422,"YYYY-MM"),LEFT(B422,7)))</f>
        <v/>
      </c>
    </row>
    <row r="423">
      <c r="A423" t="inlineStr">
        <is>
          <t>Patricia Offei</t>
        </is>
      </c>
      <c r="B423" s="4" t="n">
        <v>46169</v>
      </c>
      <c r="C423" t="inlineStr">
        <is>
          <t>/</t>
        </is>
      </c>
      <c r="D423" t="inlineStr">
        <is>
          <t>Patricia Offei</t>
        </is>
      </c>
      <c r="E423" t="inlineStr">
        <is>
          <t>Patricia Offei</t>
        </is>
      </c>
      <c r="F423" s="5" t="n">
        <v>46174.47668981482</v>
      </c>
      <c r="H423" t="inlineStr">
        <is>
          <t>PCGH783 - Zimbabwe HRDD</t>
        </is>
      </c>
      <c r="I423" t="n">
        <v>2</v>
      </c>
      <c r="J423" t="inlineStr">
        <is>
          <t>PCGH783 - Desk Study (3) (Proforest Limited(PCUK GBP))</t>
        </is>
      </c>
      <c r="L423" t="b">
        <v>1</v>
      </c>
      <c r="M423" t="inlineStr">
        <is>
          <t>Billed at a Fixed price</t>
        </is>
      </c>
      <c r="N423" s="6">
        <f>IF(B423="","",IF(ISNUMBER(B423),TEXT(B423,"YYYY-MM"),LEFT(B423,7)))</f>
        <v/>
      </c>
    </row>
    <row r="424">
      <c r="A424" t="inlineStr">
        <is>
          <t>Patricia Offei</t>
        </is>
      </c>
      <c r="B424" s="4" t="n">
        <v>46169</v>
      </c>
      <c r="C424" t="inlineStr">
        <is>
          <t>/</t>
        </is>
      </c>
      <c r="D424" t="inlineStr">
        <is>
          <t>Patricia Offei</t>
        </is>
      </c>
      <c r="E424" t="inlineStr">
        <is>
          <t>Patricia Offei</t>
        </is>
      </c>
      <c r="F424" s="5" t="n">
        <v>46174.47106481482</v>
      </c>
      <c r="H424" t="inlineStr">
        <is>
          <t>PCGH774 -Evaluation Deep-Dive Action Plans by Socfin Group</t>
        </is>
      </c>
      <c r="I424" t="n">
        <v>4</v>
      </c>
      <c r="J424" t="inlineStr">
        <is>
          <t>PCGH774 - Project Management (2) (Socfinco FR SA)</t>
        </is>
      </c>
      <c r="L424" t="b">
        <v>1</v>
      </c>
      <c r="M424" t="inlineStr">
        <is>
          <t>Billed at a Fixed price</t>
        </is>
      </c>
      <c r="N424" s="6">
        <f>IF(B424="","",IF(ISNUMBER(B424),TEXT(B424,"YYYY-MM"),LEFT(B424,7)))</f>
        <v/>
      </c>
    </row>
    <row r="425">
      <c r="A425" t="inlineStr">
        <is>
          <t>Augustus Asamoah</t>
        </is>
      </c>
      <c r="B425" s="4" t="n">
        <v>46169</v>
      </c>
      <c r="C425" t="inlineStr">
        <is>
          <t>/</t>
        </is>
      </c>
      <c r="D425" t="inlineStr">
        <is>
          <t>Augustus Asamoah</t>
        </is>
      </c>
      <c r="E425" t="inlineStr">
        <is>
          <t>Augustus Asamoah</t>
        </is>
      </c>
      <c r="F425" s="5" t="n">
        <v>46174.37586805555</v>
      </c>
      <c r="H425" t="inlineStr">
        <is>
          <t>Non-Billable Tasks</t>
        </is>
      </c>
      <c r="I425" t="n">
        <v>8</v>
      </c>
      <c r="L425" t="b">
        <v>0</v>
      </c>
      <c r="M425" t="inlineStr">
        <is>
          <t>Non-Billable</t>
        </is>
      </c>
      <c r="N425" s="6">
        <f>IF(B425="","",IF(ISNUMBER(B425),TEXT(B425,"YYYY-MM"),LEFT(B425,7)))</f>
        <v/>
      </c>
    </row>
    <row r="426">
      <c r="A426" t="inlineStr">
        <is>
          <t>Abel Ansu</t>
        </is>
      </c>
      <c r="B426" s="4" t="n">
        <v>46169</v>
      </c>
      <c r="C426" t="inlineStr">
        <is>
          <t>Visits were made to Gyesewobere and Adiepena to make arrangements for MTS sensitization with FC on the next day. CRMC reorganization was done at Krakyekrom.</t>
        </is>
      </c>
      <c r="D426" t="inlineStr">
        <is>
          <t>Abel Ansu</t>
        </is>
      </c>
      <c r="E426" t="inlineStr">
        <is>
          <t>Abel Ansu</t>
        </is>
      </c>
      <c r="F426" s="5" t="n">
        <v>46174.21364583333</v>
      </c>
      <c r="H426" t="inlineStr">
        <is>
          <t>Internal</t>
        </is>
      </c>
      <c r="I426" t="n">
        <v>8</v>
      </c>
      <c r="K426" t="inlineStr">
        <is>
          <t>Reorganization of CRMCs</t>
        </is>
      </c>
      <c r="L426" t="b">
        <v>0</v>
      </c>
      <c r="M426" t="inlineStr">
        <is>
          <t>Non-Billable</t>
        </is>
      </c>
      <c r="N426" s="6">
        <f>IF(B426="","",IF(ISNUMBER(B426),TEXT(B426,"YYYY-MM"),LEFT(B426,7)))</f>
        <v/>
      </c>
    </row>
    <row r="427">
      <c r="A427" t="inlineStr">
        <is>
          <t>Clement Obeng-Manu</t>
        </is>
      </c>
      <c r="B427" s="4" t="n">
        <v>46169</v>
      </c>
      <c r="C427" t="inlineStr">
        <is>
          <t>/</t>
        </is>
      </c>
      <c r="D427" t="inlineStr">
        <is>
          <t>Clement Obeng-Manu</t>
        </is>
      </c>
      <c r="E427" t="inlineStr">
        <is>
          <t>Clement Obeng-Manu</t>
        </is>
      </c>
      <c r="F427" s="5" t="n">
        <v>46173.76258101852</v>
      </c>
      <c r="H427" t="inlineStr">
        <is>
          <t>PCGH793</t>
        </is>
      </c>
      <c r="I427" t="n">
        <v>8</v>
      </c>
      <c r="J427" t="inlineStr">
        <is>
          <t>PCGH793 - Desk Study (3) (Okeosisi Jonathan)</t>
        </is>
      </c>
      <c r="L427" t="b">
        <v>1</v>
      </c>
      <c r="M427" t="inlineStr">
        <is>
          <t>Billed at a Fixed price</t>
        </is>
      </c>
      <c r="N427" s="6">
        <f>IF(B427="","",IF(ISNUMBER(B427),TEXT(B427,"YYYY-MM"),LEFT(B427,7)))</f>
        <v/>
      </c>
    </row>
    <row r="428">
      <c r="A428" t="inlineStr">
        <is>
          <t>Daleba Bernard Kpenahi Raymond</t>
        </is>
      </c>
      <c r="B428" s="4" t="n">
        <v>46169</v>
      </c>
      <c r="C428" t="inlineStr">
        <is>
          <t>/</t>
        </is>
      </c>
      <c r="D428" t="inlineStr">
        <is>
          <t>Daleba Bernard Kpenahi Raymond</t>
        </is>
      </c>
      <c r="E428" t="inlineStr">
        <is>
          <t>OdooBot</t>
        </is>
      </c>
      <c r="F428" s="5" t="n">
        <v>46154.70721064815</v>
      </c>
      <c r="H428" t="inlineStr">
        <is>
          <t>Non-Billable Tasks</t>
        </is>
      </c>
      <c r="I428" t="n">
        <v>8</v>
      </c>
      <c r="K428" t="inlineStr">
        <is>
          <t>Leave</t>
        </is>
      </c>
      <c r="L428" t="b">
        <v>0</v>
      </c>
      <c r="M428" t="inlineStr">
        <is>
          <t>Non-Billable</t>
        </is>
      </c>
      <c r="N428" s="6">
        <f>IF(B428="","",IF(ISNUMBER(B428),TEXT(B428,"YYYY-MM"),LEFT(B428,7)))</f>
        <v/>
      </c>
    </row>
    <row r="429">
      <c r="A429" t="inlineStr">
        <is>
          <t>Helena Tetteh</t>
        </is>
      </c>
      <c r="B429" s="4" t="n">
        <v>46168</v>
      </c>
      <c r="C429" t="inlineStr">
        <is>
          <t>Ghana local initiatives analysis &amp; prioritization for cocoa, oil palm, Timber. Review grading methodology, alignment calls with Taylor Crabbe, etc</t>
        </is>
      </c>
      <c r="D429" t="inlineStr">
        <is>
          <t xml:space="preserve">Helena Tetteh </t>
        </is>
      </c>
      <c r="E429" t="inlineStr">
        <is>
          <t>Helena Tetteh</t>
        </is>
      </c>
      <c r="F429" s="5" t="n">
        <v>46195.49002314815</v>
      </c>
      <c r="G429" t="inlineStr">
        <is>
          <t>Output 2.3</t>
        </is>
      </c>
      <c r="H429" t="inlineStr">
        <is>
          <t>P23AC00C00 - FGMC</t>
        </is>
      </c>
      <c r="I429" t="n">
        <v>8</v>
      </c>
      <c r="K429" t="inlineStr">
        <is>
          <t>P23AC22A00 - Output Two (Elevating Local Solutions - West Africa)</t>
        </is>
      </c>
      <c r="L429" t="b">
        <v>0</v>
      </c>
      <c r="M429" t="inlineStr">
        <is>
          <t>Non-Billable</t>
        </is>
      </c>
      <c r="N429" s="6">
        <f>IF(B429="","",IF(ISNUMBER(B429),TEXT(B429,"YYYY-MM"),LEFT(B429,7)))</f>
        <v/>
      </c>
    </row>
    <row r="430">
      <c r="A430" t="inlineStr">
        <is>
          <t>Frederick Antwi</t>
        </is>
      </c>
      <c r="B430" s="4" t="n">
        <v>46168</v>
      </c>
      <c r="C430" t="inlineStr">
        <is>
          <t>/</t>
        </is>
      </c>
      <c r="D430" t="inlineStr">
        <is>
          <t>Frederick Antwi</t>
        </is>
      </c>
      <c r="E430" t="inlineStr">
        <is>
          <t>Frederick Antwi</t>
        </is>
      </c>
      <c r="F430" s="5" t="n">
        <v>46195.45246527778</v>
      </c>
      <c r="H430" t="inlineStr">
        <is>
          <t>P13PC00A00 - Private Sector Companies</t>
        </is>
      </c>
      <c r="I430" t="n">
        <v>8</v>
      </c>
      <c r="L430" t="b">
        <v>0</v>
      </c>
      <c r="M430" t="inlineStr">
        <is>
          <t>Non-Billable</t>
        </is>
      </c>
      <c r="N430" s="6">
        <f>IF(B430="","",IF(ISNUMBER(B430),TEXT(B430,"YYYY-MM"),LEFT(B430,7)))</f>
        <v/>
      </c>
    </row>
    <row r="431">
      <c r="A431" t="inlineStr">
        <is>
          <t>Ekow Nyamekye Tawiah</t>
        </is>
      </c>
      <c r="B431" s="4" t="n">
        <v>46168</v>
      </c>
      <c r="C431" t="inlineStr">
        <is>
          <t>Deforestation Risk Analysis for Cameroon, Mauritius, Mozambique, Nigeria and Reunion (Methodology fine tuning)</t>
        </is>
      </c>
      <c r="D431" t="inlineStr">
        <is>
          <t>Ekow Nyamekye Tawiah</t>
        </is>
      </c>
      <c r="E431" t="inlineStr">
        <is>
          <t>Ekow Nyamekye Tawiah</t>
        </is>
      </c>
      <c r="F431" s="5" t="n">
        <v>46209.38650462963</v>
      </c>
      <c r="H431" t="inlineStr">
        <is>
          <t>PCGH778 - General Support</t>
        </is>
      </c>
      <c r="I431" t="n">
        <v>4</v>
      </c>
      <c r="J431" t="inlineStr">
        <is>
          <t>PCGH778 - Support to Other Workstreams (3) (Proforest Limited(PCUK GBP))</t>
        </is>
      </c>
      <c r="K431" t="inlineStr">
        <is>
          <t>(WS3: Deforestation) Deforestation Remote Risk Assessment</t>
        </is>
      </c>
      <c r="L431" t="b">
        <v>1</v>
      </c>
      <c r="M431" t="inlineStr">
        <is>
          <t>Billed at a Fixed price</t>
        </is>
      </c>
      <c r="N431" s="6">
        <f>IF(B431="","",IF(ISNUMBER(B431),TEXT(B431,"YYYY-MM"),LEFT(B431,7)))</f>
        <v/>
      </c>
    </row>
    <row r="432">
      <c r="A432" t="inlineStr">
        <is>
          <t>Ekow Nyamekye Tawiah</t>
        </is>
      </c>
      <c r="B432" s="4" t="n">
        <v>46168</v>
      </c>
      <c r="C432" t="inlineStr">
        <is>
          <t>/</t>
        </is>
      </c>
      <c r="D432" t="inlineStr">
        <is>
          <t>Ekow Nyamekye Tawiah</t>
        </is>
      </c>
      <c r="E432" t="inlineStr">
        <is>
          <t>Ekow Nyamekye Tawiah</t>
        </is>
      </c>
      <c r="F432" s="5" t="n">
        <v>46191.62762731482</v>
      </c>
      <c r="H432" t="inlineStr">
        <is>
          <t>PCGH722</t>
        </is>
      </c>
      <c r="I432" t="n">
        <v>0</v>
      </c>
      <c r="J432" t="inlineStr">
        <is>
          <t>PCGH722 - Analysis and Reporting (3) (Sucrivoire SA)</t>
        </is>
      </c>
      <c r="K432" t="inlineStr">
        <is>
          <t>Analysis and Reporting (3)</t>
        </is>
      </c>
      <c r="L432" t="b">
        <v>1</v>
      </c>
      <c r="M432" t="inlineStr">
        <is>
          <t>Billed at a Fixed price</t>
        </is>
      </c>
      <c r="N432" s="6">
        <f>IF(B432="","",IF(ISNUMBER(B432),TEXT(B432,"YYYY-MM"),LEFT(B432,7)))</f>
        <v/>
      </c>
    </row>
    <row r="433">
      <c r="A433" t="inlineStr">
        <is>
          <t>Afua Serwah Akoto Prempeh</t>
        </is>
      </c>
      <c r="B433" s="4" t="n">
        <v>46168</v>
      </c>
      <c r="C433" t="inlineStr">
        <is>
          <t>/</t>
        </is>
      </c>
      <c r="D433" t="inlineStr">
        <is>
          <t>Afua Serwah Akoto Prempeh</t>
        </is>
      </c>
      <c r="E433" t="inlineStr">
        <is>
          <t>Afua Serwah Akoto Prempeh</t>
        </is>
      </c>
      <c r="F433" s="5" t="n">
        <v>46188.50190972222</v>
      </c>
      <c r="H433" t="inlineStr">
        <is>
          <t>Non-Billable Tasks</t>
        </is>
      </c>
      <c r="I433" t="n">
        <v>6</v>
      </c>
      <c r="L433" t="b">
        <v>0</v>
      </c>
      <c r="M433" t="inlineStr">
        <is>
          <t>Non-Billable</t>
        </is>
      </c>
      <c r="N433" s="6">
        <f>IF(B433="","",IF(ISNUMBER(B433),TEXT(B433,"YYYY-MM"),LEFT(B433,7)))</f>
        <v/>
      </c>
    </row>
    <row r="434">
      <c r="A434" t="inlineStr">
        <is>
          <t>Afua Serwah Akoto Prempeh</t>
        </is>
      </c>
      <c r="B434" s="4" t="n">
        <v>46168</v>
      </c>
      <c r="C434" t="inlineStr">
        <is>
          <t>/</t>
        </is>
      </c>
      <c r="D434" t="inlineStr">
        <is>
          <t>Afua Serwah Akoto Prempeh</t>
        </is>
      </c>
      <c r="E434" t="inlineStr">
        <is>
          <t>Afua Serwah Akoto Prempeh</t>
        </is>
      </c>
      <c r="F434" s="5" t="n">
        <v>46188.44130787037</v>
      </c>
      <c r="H434" t="inlineStr">
        <is>
          <t>Non-Billable Tasks</t>
        </is>
      </c>
      <c r="I434" t="n">
        <v>2</v>
      </c>
      <c r="K434" t="inlineStr">
        <is>
          <t>Staff Meetings (Quartely Staff Meetings, Adhoc meetings, Welfare)</t>
        </is>
      </c>
      <c r="L434" t="b">
        <v>0</v>
      </c>
      <c r="M434" t="inlineStr">
        <is>
          <t>Non-Billable</t>
        </is>
      </c>
      <c r="N434" s="6">
        <f>IF(B434="","",IF(ISNUMBER(B434),TEXT(B434,"YYYY-MM"),LEFT(B434,7)))</f>
        <v/>
      </c>
    </row>
    <row r="435">
      <c r="A435" t="inlineStr">
        <is>
          <t>Stephen Doso</t>
        </is>
      </c>
      <c r="B435" s="4" t="n">
        <v>46168</v>
      </c>
      <c r="C435" t="inlineStr">
        <is>
          <t>/</t>
        </is>
      </c>
      <c r="D435" t="inlineStr">
        <is>
          <t>Stephen Doso</t>
        </is>
      </c>
      <c r="E435" t="inlineStr">
        <is>
          <t>Michael Anim</t>
        </is>
      </c>
      <c r="F435" s="5" t="n">
        <v>46184.40133101852</v>
      </c>
      <c r="H435" t="inlineStr">
        <is>
          <t>PCGH793</t>
        </is>
      </c>
      <c r="I435" t="n">
        <v>8</v>
      </c>
      <c r="J435" t="inlineStr">
        <is>
          <t>PCGH793 - Field work  (3) (Okeosisi Jonathan)</t>
        </is>
      </c>
      <c r="K435" t="inlineStr">
        <is>
          <t>Field Visit and Data Collection</t>
        </is>
      </c>
      <c r="L435" t="b">
        <v>1</v>
      </c>
      <c r="M435" t="inlineStr">
        <is>
          <t>Billed at a Fixed price</t>
        </is>
      </c>
      <c r="N435" s="6">
        <f>IF(B435="","",IF(ISNUMBER(B435),TEXT(B435,"YYYY-MM"),LEFT(B435,7)))</f>
        <v/>
      </c>
    </row>
    <row r="436">
      <c r="A436" t="inlineStr">
        <is>
          <t>Kwadwo Baniako Nti</t>
        </is>
      </c>
      <c r="B436" s="4" t="n">
        <v>46168</v>
      </c>
      <c r="C436" t="inlineStr">
        <is>
          <t>/</t>
        </is>
      </c>
      <c r="D436" t="inlineStr">
        <is>
          <t>Kwadwo Baniako Nti</t>
        </is>
      </c>
      <c r="E436" t="inlineStr">
        <is>
          <t>Michael Anim</t>
        </is>
      </c>
      <c r="F436" s="5" t="n">
        <v>46184.40206018519</v>
      </c>
      <c r="H436" t="inlineStr">
        <is>
          <t>PCGH793</t>
        </is>
      </c>
      <c r="I436" t="n">
        <v>8</v>
      </c>
      <c r="J436" t="inlineStr">
        <is>
          <t>PCGH793 - Field work  (3) (Okeosisi Jonathan)</t>
        </is>
      </c>
      <c r="K436" t="inlineStr">
        <is>
          <t>Field Visit and Data Collection</t>
        </is>
      </c>
      <c r="L436" t="b">
        <v>1</v>
      </c>
      <c r="M436" t="inlineStr">
        <is>
          <t>Billed at a Fixed price</t>
        </is>
      </c>
      <c r="N436" s="6">
        <f>IF(B436="","",IF(ISNUMBER(B436),TEXT(B436,"YYYY-MM"),LEFT(B436,7)))</f>
        <v/>
      </c>
    </row>
    <row r="437">
      <c r="A437" t="inlineStr">
        <is>
          <t>Patricia Offei</t>
        </is>
      </c>
      <c r="B437" s="4" t="n">
        <v>46168</v>
      </c>
      <c r="C437" t="inlineStr">
        <is>
          <t>Dibombari Report Review</t>
        </is>
      </c>
      <c r="D437" t="inlineStr">
        <is>
          <t>Patricia Offei</t>
        </is>
      </c>
      <c r="E437" t="inlineStr">
        <is>
          <t>Patricia Offei</t>
        </is>
      </c>
      <c r="F437" s="5" t="n">
        <v>46178.70701388889</v>
      </c>
      <c r="H437" t="inlineStr">
        <is>
          <t>PCGH774 -Evaluation Deep-Dive Action Plans by Socfin Group</t>
        </is>
      </c>
      <c r="I437" t="n">
        <v>0</v>
      </c>
      <c r="J437" t="inlineStr">
        <is>
          <t>PCGH774 - Analysis and Reporting (3) (Socfinco FR SA)</t>
        </is>
      </c>
      <c r="K437" t="inlineStr">
        <is>
          <t>[Cameroon, Socapalm （Dibombari + Edéa + Mbongo + Mbambou） Report review] - Analysis and Reporting</t>
        </is>
      </c>
      <c r="L437" t="b">
        <v>1</v>
      </c>
      <c r="M437" t="inlineStr">
        <is>
          <t>Billed at a Fixed price</t>
        </is>
      </c>
      <c r="N437" s="6">
        <f>IF(B437="","",IF(ISNUMBER(B437),TEXT(B437,"YYYY-MM"),LEFT(B437,7)))</f>
        <v/>
      </c>
    </row>
    <row r="438">
      <c r="A438" t="inlineStr">
        <is>
          <t>Louis Defo</t>
        </is>
      </c>
      <c r="B438" s="4" t="n">
        <v>46168</v>
      </c>
      <c r="C438" t="inlineStr">
        <is>
          <t>/</t>
        </is>
      </c>
      <c r="D438" t="inlineStr">
        <is>
          <t>Louis Defo</t>
        </is>
      </c>
      <c r="E438" t="inlineStr">
        <is>
          <t>Louis Defo</t>
        </is>
      </c>
      <c r="F438" s="5" t="n">
        <v>46175.32042824074</v>
      </c>
      <c r="H438" t="inlineStr">
        <is>
          <t>PCGH787</t>
        </is>
      </c>
      <c r="I438" t="n">
        <v>8</v>
      </c>
      <c r="J438" t="inlineStr">
        <is>
          <t>PCGH787 - Desk Study (3) (Proforest Limited(PCUK GBP))</t>
        </is>
      </c>
      <c r="L438" t="b">
        <v>1</v>
      </c>
      <c r="M438" t="inlineStr">
        <is>
          <t>Billed at a Fixed price</t>
        </is>
      </c>
      <c r="N438" s="6">
        <f>IF(B438="","",IF(ISNUMBER(B438),TEXT(B438,"YYYY-MM"),LEFT(B438,7)))</f>
        <v/>
      </c>
    </row>
    <row r="439">
      <c r="A439" t="inlineStr">
        <is>
          <t>Soro TCHEREGNIMIN</t>
        </is>
      </c>
      <c r="B439" s="4" t="n">
        <v>46168</v>
      </c>
      <c r="C439" t="inlineStr">
        <is>
          <t>/</t>
        </is>
      </c>
      <c r="D439" t="inlineStr">
        <is>
          <t>Soro TCHEREGNIMIN</t>
        </is>
      </c>
      <c r="E439" t="inlineStr">
        <is>
          <t>Soro TCHEREGNIMIN</t>
        </is>
      </c>
      <c r="F439" s="5" t="n">
        <v>46174.60670138889</v>
      </c>
      <c r="H439" t="inlineStr">
        <is>
          <t>PCGH774 -Evaluation Deep-Dive Action Plans by Socfin Group</t>
        </is>
      </c>
      <c r="I439" t="n">
        <v>8</v>
      </c>
      <c r="J439" t="inlineStr">
        <is>
          <t>PCGH774 - Project Management (2) (Socfinco FR SA)</t>
        </is>
      </c>
      <c r="L439" t="b">
        <v>1</v>
      </c>
      <c r="M439" t="inlineStr">
        <is>
          <t>Billed at a Fixed price</t>
        </is>
      </c>
      <c r="N439" s="6">
        <f>IF(B439="","",IF(ISNUMBER(B439),TEXT(B439,"YYYY-MM"),LEFT(B439,7)))</f>
        <v/>
      </c>
    </row>
    <row r="440">
      <c r="A440" t="inlineStr">
        <is>
          <t>Patricia Offei</t>
        </is>
      </c>
      <c r="B440" s="4" t="n">
        <v>46168</v>
      </c>
      <c r="C440" t="inlineStr">
        <is>
          <t>/</t>
        </is>
      </c>
      <c r="D440" t="inlineStr">
        <is>
          <t>Patricia Offei</t>
        </is>
      </c>
      <c r="E440" t="inlineStr">
        <is>
          <t>Patricia Offei</t>
        </is>
      </c>
      <c r="F440" s="5" t="n">
        <v>46174.46908564815</v>
      </c>
      <c r="H440" t="inlineStr">
        <is>
          <t>PCGH779 - Cote d'Ivoire）</t>
        </is>
      </c>
      <c r="I440" t="n">
        <v>-1</v>
      </c>
      <c r="J440" t="inlineStr">
        <is>
          <t>PCGH779 - Monitoring and Evaluation (3) (Proforest Limited(PCUK GBP))</t>
        </is>
      </c>
      <c r="L440" t="b">
        <v>1</v>
      </c>
      <c r="M440" t="inlineStr">
        <is>
          <t>Billed at a Fixed price</t>
        </is>
      </c>
      <c r="N440" s="6">
        <f>IF(B440="","",IF(ISNUMBER(B440),TEXT(B440,"YYYY-MM"),LEFT(B440,7)))</f>
        <v/>
      </c>
    </row>
    <row r="441">
      <c r="A441" t="inlineStr">
        <is>
          <t>Patricia Offei</t>
        </is>
      </c>
      <c r="B441" s="4" t="n">
        <v>46168</v>
      </c>
      <c r="C441" t="inlineStr">
        <is>
          <t>Supplier Engagement Survey Follow ups</t>
        </is>
      </c>
      <c r="D441" t="inlineStr">
        <is>
          <t>Patricia Offei</t>
        </is>
      </c>
      <c r="E441" t="inlineStr">
        <is>
          <t>Patricia Offei</t>
        </is>
      </c>
      <c r="F441" s="5" t="n">
        <v>46174.46898148148</v>
      </c>
      <c r="H441" t="inlineStr">
        <is>
          <t>PCGH778 - General Support</t>
        </is>
      </c>
      <c r="I441" t="n">
        <v>2</v>
      </c>
      <c r="J441" t="inlineStr">
        <is>
          <t>PCGH778 - Support to Other Workstreams (3) (Proforest Limited(PCUK GBP))</t>
        </is>
      </c>
      <c r="L441" t="b">
        <v>1</v>
      </c>
      <c r="M441" t="inlineStr">
        <is>
          <t>Billed at a Fixed price</t>
        </is>
      </c>
      <c r="N441" s="6">
        <f>IF(B441="","",IF(ISNUMBER(B441),TEXT(B441,"YYYY-MM"),LEFT(B441,7)))</f>
        <v/>
      </c>
    </row>
    <row r="442">
      <c r="A442" t="inlineStr">
        <is>
          <t>Patricia Offei</t>
        </is>
      </c>
      <c r="B442" s="4" t="n">
        <v>46168</v>
      </c>
      <c r="C442" t="inlineStr">
        <is>
          <t>Reporting Safacam, Socapalm DBI</t>
        </is>
      </c>
      <c r="D442" t="inlineStr">
        <is>
          <t>Patricia Offei</t>
        </is>
      </c>
      <c r="E442" t="inlineStr">
        <is>
          <t>Patricia Offei</t>
        </is>
      </c>
      <c r="F442" s="5" t="n">
        <v>46174.46733796296</v>
      </c>
      <c r="H442" t="inlineStr">
        <is>
          <t>PCGH774 -Evaluation Deep-Dive Action Plans by Socfin Group</t>
        </is>
      </c>
      <c r="I442" t="n">
        <v>4</v>
      </c>
      <c r="J442" t="inlineStr">
        <is>
          <t>PCGH774 - Analysis and Reporting (2) (Socfinco FR SA)</t>
        </is>
      </c>
      <c r="L442" t="b">
        <v>1</v>
      </c>
      <c r="M442" t="inlineStr">
        <is>
          <t>Billed at a Fixed price</t>
        </is>
      </c>
      <c r="N442" s="6">
        <f>IF(B442="","",IF(ISNUMBER(B442),TEXT(B442,"YYYY-MM"),LEFT(B442,7)))</f>
        <v/>
      </c>
    </row>
    <row r="443">
      <c r="A443" t="inlineStr">
        <is>
          <t>Patricia Offei</t>
        </is>
      </c>
      <c r="B443" s="4" t="n">
        <v>46168</v>
      </c>
      <c r="C443" t="inlineStr">
        <is>
          <t>/</t>
        </is>
      </c>
      <c r="D443" t="inlineStr">
        <is>
          <t>Patricia Offei</t>
        </is>
      </c>
      <c r="E443" t="inlineStr">
        <is>
          <t>Patricia Offei</t>
        </is>
      </c>
      <c r="F443" s="5" t="n">
        <v>46174.46513888889</v>
      </c>
      <c r="H443" t="inlineStr">
        <is>
          <t>PCGH779 - Cote d'Ivoire）</t>
        </is>
      </c>
      <c r="I443" t="n">
        <v>2</v>
      </c>
      <c r="J443" t="inlineStr">
        <is>
          <t>PCGH779 - Monitoring and Evaluation (3) (Proforest Limited(PCUK GBP))</t>
        </is>
      </c>
      <c r="L443" t="b">
        <v>1</v>
      </c>
      <c r="M443" t="inlineStr">
        <is>
          <t>Billed at a Fixed price</t>
        </is>
      </c>
      <c r="N443" s="6">
        <f>IF(B443="","",IF(ISNUMBER(B443),TEXT(B443,"YYYY-MM"),LEFT(B443,7)))</f>
        <v/>
      </c>
    </row>
    <row r="444">
      <c r="A444" t="inlineStr">
        <is>
          <t>Patricia Offei</t>
        </is>
      </c>
      <c r="B444" s="4" t="n">
        <v>46168</v>
      </c>
      <c r="C444" t="inlineStr">
        <is>
          <t>/</t>
        </is>
      </c>
      <c r="D444" t="inlineStr">
        <is>
          <t>Patricia Offei</t>
        </is>
      </c>
      <c r="E444" t="inlineStr">
        <is>
          <t>Patricia Offei</t>
        </is>
      </c>
      <c r="F444" s="5" t="n">
        <v>46174.4644675926</v>
      </c>
      <c r="H444" t="inlineStr">
        <is>
          <t>PCGH779 - Cote d'Ivoire）</t>
        </is>
      </c>
      <c r="I444" t="n">
        <v>1</v>
      </c>
      <c r="J444" t="inlineStr">
        <is>
          <t>PCGH779 - Tree Planting Project (3) (Proforest Limited(PCUK GBP))</t>
        </is>
      </c>
      <c r="L444" t="b">
        <v>1</v>
      </c>
      <c r="M444" t="inlineStr">
        <is>
          <t>Billed at a Fixed price</t>
        </is>
      </c>
      <c r="N444" s="6">
        <f>IF(B444="","",IF(ISNUMBER(B444),TEXT(B444,"YYYY-MM"),LEFT(B444,7)))</f>
        <v/>
      </c>
    </row>
    <row r="445">
      <c r="A445" t="inlineStr">
        <is>
          <t>Augustus Asamoah</t>
        </is>
      </c>
      <c r="B445" s="4" t="n">
        <v>46168</v>
      </c>
      <c r="C445" t="inlineStr">
        <is>
          <t>/</t>
        </is>
      </c>
      <c r="D445" t="inlineStr">
        <is>
          <t>Augustus Asamoah</t>
        </is>
      </c>
      <c r="E445" t="inlineStr">
        <is>
          <t>Augustus Asamoah</t>
        </is>
      </c>
      <c r="F445" s="5" t="n">
        <v>46174.37789351852</v>
      </c>
      <c r="H445" t="inlineStr">
        <is>
          <t>P13NC00A00 - WALMART II</t>
        </is>
      </c>
      <c r="I445" t="n">
        <v>2</v>
      </c>
      <c r="L445" t="b">
        <v>0</v>
      </c>
      <c r="M445" t="inlineStr">
        <is>
          <t>Non-Billable</t>
        </is>
      </c>
      <c r="N445" s="6">
        <f>IF(B445="","",IF(ISNUMBER(B445),TEXT(B445,"YYYY-MM"),LEFT(B445,7)))</f>
        <v/>
      </c>
    </row>
    <row r="446">
      <c r="A446" t="inlineStr">
        <is>
          <t>Augustus Asamoah</t>
        </is>
      </c>
      <c r="B446" s="4" t="n">
        <v>46168</v>
      </c>
      <c r="C446" t="inlineStr">
        <is>
          <t>/</t>
        </is>
      </c>
      <c r="D446" t="inlineStr">
        <is>
          <t>Augustus Asamoah</t>
        </is>
      </c>
      <c r="E446" t="inlineStr">
        <is>
          <t>Augustus Asamoah</t>
        </is>
      </c>
      <c r="F446" s="5" t="n">
        <v>46174.3762037037</v>
      </c>
      <c r="H446" t="inlineStr">
        <is>
          <t>P13PC00A00 - Private Sector Companies</t>
        </is>
      </c>
      <c r="I446" t="n">
        <v>4</v>
      </c>
      <c r="L446" t="b">
        <v>0</v>
      </c>
      <c r="M446" t="inlineStr">
        <is>
          <t>Non-Billable</t>
        </is>
      </c>
      <c r="N446" s="6">
        <f>IF(B446="","",IF(ISNUMBER(B446),TEXT(B446,"YYYY-MM"),LEFT(B446,7)))</f>
        <v/>
      </c>
    </row>
    <row r="447">
      <c r="A447" t="inlineStr">
        <is>
          <t>Augustus Asamoah</t>
        </is>
      </c>
      <c r="B447" s="4" t="n">
        <v>46168</v>
      </c>
      <c r="C447" t="inlineStr">
        <is>
          <t>/</t>
        </is>
      </c>
      <c r="D447" t="inlineStr">
        <is>
          <t>Augustus Asamoah</t>
        </is>
      </c>
      <c r="E447" t="inlineStr">
        <is>
          <t>Augustus Asamoah</t>
        </is>
      </c>
      <c r="F447" s="5" t="n">
        <v>46174.37607638889</v>
      </c>
      <c r="H447" t="inlineStr">
        <is>
          <t>P13QC00A00 - EFI Programme</t>
        </is>
      </c>
      <c r="I447" t="n">
        <v>2</v>
      </c>
      <c r="L447" t="b">
        <v>0</v>
      </c>
      <c r="M447" t="inlineStr">
        <is>
          <t>Non-Billable</t>
        </is>
      </c>
      <c r="N447" s="6">
        <f>IF(B447="","",IF(ISNUMBER(B447),TEXT(B447,"YYYY-MM"),LEFT(B447,7)))</f>
        <v/>
      </c>
    </row>
    <row r="448">
      <c r="A448" t="inlineStr">
        <is>
          <t>Abel Ansu</t>
        </is>
      </c>
      <c r="B448" s="4" t="n">
        <v>46168</v>
      </c>
      <c r="C448" t="inlineStr">
        <is>
          <t>Visit was made to the Abonyere forest with Paa to determine the areas deserving of lining and pegging and line clearing</t>
        </is>
      </c>
      <c r="D448" t="inlineStr">
        <is>
          <t>Abel Ansu</t>
        </is>
      </c>
      <c r="E448" t="inlineStr">
        <is>
          <t>Abel Ansu</t>
        </is>
      </c>
      <c r="F448" s="5" t="n">
        <v>46174.20988425926</v>
      </c>
      <c r="H448" t="inlineStr">
        <is>
          <t>Internal</t>
        </is>
      </c>
      <c r="I448" t="n">
        <v>8</v>
      </c>
      <c r="K448" t="inlineStr">
        <is>
          <t>Visit to MTS site</t>
        </is>
      </c>
      <c r="L448" t="b">
        <v>0</v>
      </c>
      <c r="M448" t="inlineStr">
        <is>
          <t>Non-Billable</t>
        </is>
      </c>
      <c r="N448" s="6">
        <f>IF(B448="","",IF(ISNUMBER(B448),TEXT(B448,"YYYY-MM"),LEFT(B448,7)))</f>
        <v/>
      </c>
    </row>
    <row r="449">
      <c r="A449" t="inlineStr">
        <is>
          <t>Clement Obeng-Manu</t>
        </is>
      </c>
      <c r="B449" s="4" t="n">
        <v>46168</v>
      </c>
      <c r="C449" t="inlineStr">
        <is>
          <t>/</t>
        </is>
      </c>
      <c r="D449" t="inlineStr">
        <is>
          <t>Clement Obeng-Manu</t>
        </is>
      </c>
      <c r="E449" t="inlineStr">
        <is>
          <t>Clement Obeng-Manu</t>
        </is>
      </c>
      <c r="F449" s="5" t="n">
        <v>46173.76255787037</v>
      </c>
      <c r="H449" t="inlineStr">
        <is>
          <t>PCGH793</t>
        </is>
      </c>
      <c r="I449" t="n">
        <v>8</v>
      </c>
      <c r="J449" t="inlineStr">
        <is>
          <t>PCGH793 - Desk Study (3) (Okeosisi Jonathan)</t>
        </is>
      </c>
      <c r="L449" t="b">
        <v>1</v>
      </c>
      <c r="M449" t="inlineStr">
        <is>
          <t>Billed at a Fixed price</t>
        </is>
      </c>
      <c r="N449" s="6">
        <f>IF(B449="","",IF(ISNUMBER(B449),TEXT(B449,"YYYY-MM"),LEFT(B449,7)))</f>
        <v/>
      </c>
    </row>
    <row r="450">
      <c r="A450" t="inlineStr">
        <is>
          <t>Daleba Bernard Kpenahi Raymond</t>
        </is>
      </c>
      <c r="B450" s="4" t="n">
        <v>46168</v>
      </c>
      <c r="C450" t="inlineStr">
        <is>
          <t>/</t>
        </is>
      </c>
      <c r="D450" t="inlineStr">
        <is>
          <t>Daleba Bernard Kpenahi Raymond</t>
        </is>
      </c>
      <c r="E450" t="inlineStr">
        <is>
          <t>Daleba Bernard Kpenahi Raymond</t>
        </is>
      </c>
      <c r="F450" s="5" t="n">
        <v>46160.42498842593</v>
      </c>
      <c r="H450" t="inlineStr">
        <is>
          <t>PCGH774 -Evaluation Deep-Dive Action Plans by Socfin Group</t>
        </is>
      </c>
      <c r="I450" t="n">
        <v>8</v>
      </c>
      <c r="J450" t="inlineStr">
        <is>
          <t>PCGH774 - Tier 3 (Socfinco FR SA)</t>
        </is>
      </c>
      <c r="K450" t="inlineStr">
        <is>
          <t>SOGB - Analysis and reporting</t>
        </is>
      </c>
      <c r="L450" t="b">
        <v>1</v>
      </c>
      <c r="M450" t="inlineStr">
        <is>
          <t>Billed at a Fixed price</t>
        </is>
      </c>
      <c r="N450" s="6">
        <f>IF(B450="","",IF(ISNUMBER(B450),TEXT(B450,"YYYY-MM"),LEFT(B450,7)))</f>
        <v/>
      </c>
    </row>
    <row r="451">
      <c r="A451" t="inlineStr">
        <is>
          <t>Daleba Bernard Kpenahi Raymond</t>
        </is>
      </c>
      <c r="B451" s="4" t="n">
        <v>46168</v>
      </c>
      <c r="C451" t="inlineStr">
        <is>
          <t>/</t>
        </is>
      </c>
      <c r="D451" t="inlineStr">
        <is>
          <t>Daleba Bernard Kpenahi Raymond</t>
        </is>
      </c>
      <c r="E451" t="inlineStr">
        <is>
          <t>Daleba Bernard Kpenahi Raymond</t>
        </is>
      </c>
      <c r="F451" s="5" t="n">
        <v>46160.4249537037</v>
      </c>
      <c r="H451" t="inlineStr">
        <is>
          <t>Non-Billable Tasks</t>
        </is>
      </c>
      <c r="I451" t="n">
        <v>0</v>
      </c>
      <c r="K451" t="inlineStr">
        <is>
          <t>Leave</t>
        </is>
      </c>
      <c r="L451" t="b">
        <v>0</v>
      </c>
      <c r="M451" t="inlineStr">
        <is>
          <t>Non-Billable</t>
        </is>
      </c>
      <c r="N451" s="6">
        <f>IF(B451="","",IF(ISNUMBER(B451),TEXT(B451,"YYYY-MM"),LEFT(B451,7)))</f>
        <v/>
      </c>
    </row>
    <row r="452">
      <c r="A452" t="inlineStr">
        <is>
          <t>Frederick Antwi</t>
        </is>
      </c>
      <c r="B452" s="4" t="n">
        <v>46167</v>
      </c>
      <c r="C452" t="inlineStr">
        <is>
          <t>/</t>
        </is>
      </c>
      <c r="D452" t="inlineStr">
        <is>
          <t>Frederick Antwi</t>
        </is>
      </c>
      <c r="E452" t="inlineStr">
        <is>
          <t>Frederick Antwi</t>
        </is>
      </c>
      <c r="F452" s="5" t="n">
        <v>46195.45245370371</v>
      </c>
      <c r="H452" t="inlineStr">
        <is>
          <t>P13PC00A00 - Private Sector Companies</t>
        </is>
      </c>
      <c r="I452" t="n">
        <v>8</v>
      </c>
      <c r="L452" t="b">
        <v>0</v>
      </c>
      <c r="M452" t="inlineStr">
        <is>
          <t>Non-Billable</t>
        </is>
      </c>
      <c r="N452" s="6">
        <f>IF(B452="","",IF(ISNUMBER(B452),TEXT(B452,"YYYY-MM"),LEFT(B452,7)))</f>
        <v/>
      </c>
    </row>
    <row r="453">
      <c r="A453" t="inlineStr">
        <is>
          <t>Helena Tetteh</t>
        </is>
      </c>
      <c r="B453" s="4" t="n">
        <v>46167</v>
      </c>
      <c r="C453" t="inlineStr">
        <is>
          <t>Internal monthly catch-up meeting (morning) &amp; Global update call (afternoon)/ Template development for internal ( Ghana local initiatives) analysis &amp; prioritization for cocoa, oil palm, Timber. Review grading methodology, alignment calls with Taylor Crabbe Ghana local initiatives analysis &amp; prioritization for cocoa, oil palm, Timber. Review grading methodology, alignment calls with Taylor Crabbe, to compare and analyze, etc</t>
        </is>
      </c>
      <c r="D453" t="inlineStr">
        <is>
          <t xml:space="preserve">Helena Tetteh </t>
        </is>
      </c>
      <c r="E453" t="inlineStr">
        <is>
          <t>Helena Tetteh</t>
        </is>
      </c>
      <c r="F453" s="5" t="n">
        <v>46195.50310185185</v>
      </c>
      <c r="G453" t="inlineStr">
        <is>
          <t>Output 2.3</t>
        </is>
      </c>
      <c r="H453" t="inlineStr">
        <is>
          <t>P23AC00C00 - FGMC</t>
        </is>
      </c>
      <c r="I453" t="n">
        <v>8</v>
      </c>
      <c r="K453" t="inlineStr">
        <is>
          <t>P23AC22A00 - Output Two (Elevating Local Solutions - West Africa)</t>
        </is>
      </c>
      <c r="L453" t="b">
        <v>0</v>
      </c>
      <c r="M453" t="inlineStr">
        <is>
          <t>Non-Billable</t>
        </is>
      </c>
      <c r="N453" s="6">
        <f>IF(B453="","",IF(ISNUMBER(B453),TEXT(B453,"YYYY-MM"),LEFT(B453,7)))</f>
        <v/>
      </c>
    </row>
    <row r="454">
      <c r="A454" t="inlineStr">
        <is>
          <t>Ekow Nyamekye Tawiah</t>
        </is>
      </c>
      <c r="B454" s="4" t="n">
        <v>46167</v>
      </c>
      <c r="C454" t="inlineStr">
        <is>
          <t>Deforestation Risk Analysis for Cameroon, Mauritius, Mozambique, Nigeria and Reunion (Methodology fine tuning)</t>
        </is>
      </c>
      <c r="D454" t="inlineStr">
        <is>
          <t>Ekow Nyamekye Tawiah</t>
        </is>
      </c>
      <c r="E454" t="inlineStr">
        <is>
          <t>Ekow Nyamekye Tawiah</t>
        </is>
      </c>
      <c r="F454" s="5" t="n">
        <v>46209.38650462963</v>
      </c>
      <c r="H454" t="inlineStr">
        <is>
          <t>PCGH778 - General Support</t>
        </is>
      </c>
      <c r="I454" t="n">
        <v>4</v>
      </c>
      <c r="J454" t="inlineStr">
        <is>
          <t>PCGH778 - Support to Other Workstreams (3) (Proforest Limited(PCUK GBP))</t>
        </is>
      </c>
      <c r="K454" t="inlineStr">
        <is>
          <t>(WS3: Deforestation) Deforestation Remote Risk Assessment</t>
        </is>
      </c>
      <c r="L454" t="b">
        <v>1</v>
      </c>
      <c r="M454" t="inlineStr">
        <is>
          <t>Billed at a Fixed price</t>
        </is>
      </c>
      <c r="N454" s="6">
        <f>IF(B454="","",IF(ISNUMBER(B454),TEXT(B454,"YYYY-MM"),LEFT(B454,7)))</f>
        <v/>
      </c>
    </row>
    <row r="455">
      <c r="A455" t="inlineStr">
        <is>
          <t>Ekow Nyamekye Tawiah</t>
        </is>
      </c>
      <c r="B455" s="4" t="n">
        <v>46167</v>
      </c>
      <c r="C455" t="inlineStr">
        <is>
          <t>Re-analysis and resubmission (1st resubmission) of HCV report</t>
        </is>
      </c>
      <c r="D455" t="inlineStr">
        <is>
          <t>Ekow Nyamekye Tawiah</t>
        </is>
      </c>
      <c r="E455" t="inlineStr">
        <is>
          <t>Ekow Nyamekye Tawiah</t>
        </is>
      </c>
      <c r="F455" s="5" t="n">
        <v>46191.62761574074</v>
      </c>
      <c r="H455" t="inlineStr">
        <is>
          <t>PCGH722</t>
        </is>
      </c>
      <c r="I455" t="n">
        <v>0</v>
      </c>
      <c r="J455" t="inlineStr">
        <is>
          <t>PCGH722 - Analysis and Reporting (3) (Sucrivoire SA)</t>
        </is>
      </c>
      <c r="K455" t="inlineStr">
        <is>
          <t>Analysis and Reporting (3)</t>
        </is>
      </c>
      <c r="L455" t="b">
        <v>1</v>
      </c>
      <c r="M455" t="inlineStr">
        <is>
          <t>Billed at a Fixed price</t>
        </is>
      </c>
      <c r="N455" s="6">
        <f>IF(B455="","",IF(ISNUMBER(B455),TEXT(B455,"YYYY-MM"),LEFT(B455,7)))</f>
        <v/>
      </c>
    </row>
    <row r="456">
      <c r="A456" t="inlineStr">
        <is>
          <t>Afua Serwah Akoto Prempeh</t>
        </is>
      </c>
      <c r="B456" s="4" t="n">
        <v>46167</v>
      </c>
      <c r="C456" t="inlineStr">
        <is>
          <t>/</t>
        </is>
      </c>
      <c r="D456" t="inlineStr">
        <is>
          <t>Afua Serwah Akoto Prempeh</t>
        </is>
      </c>
      <c r="E456" t="inlineStr">
        <is>
          <t>Afua Serwah Akoto Prempeh</t>
        </is>
      </c>
      <c r="F456" s="5" t="n">
        <v>46188.50219907407</v>
      </c>
      <c r="H456" t="inlineStr">
        <is>
          <t>Non-Billable Tasks</t>
        </is>
      </c>
      <c r="I456" t="n">
        <v>3</v>
      </c>
      <c r="L456" t="b">
        <v>0</v>
      </c>
      <c r="M456" t="inlineStr">
        <is>
          <t>Non-Billable</t>
        </is>
      </c>
      <c r="N456" s="6">
        <f>IF(B456="","",IF(ISNUMBER(B456),TEXT(B456,"YYYY-MM"),LEFT(B456,7)))</f>
        <v/>
      </c>
    </row>
    <row r="457">
      <c r="A457" t="inlineStr">
        <is>
          <t>Afua Serwah Akoto Prempeh</t>
        </is>
      </c>
      <c r="B457" s="4" t="n">
        <v>46167</v>
      </c>
      <c r="C457" t="inlineStr">
        <is>
          <t>/</t>
        </is>
      </c>
      <c r="D457" t="inlineStr">
        <is>
          <t>Afua Serwah Akoto Prempeh</t>
        </is>
      </c>
      <c r="E457" t="inlineStr">
        <is>
          <t>Afua Serwah Akoto Prempeh</t>
        </is>
      </c>
      <c r="F457" s="5" t="n">
        <v>46188.50212962963</v>
      </c>
      <c r="H457" t="inlineStr">
        <is>
          <t>Business and Project Management Training</t>
        </is>
      </c>
      <c r="I457" t="n">
        <v>1</v>
      </c>
      <c r="L457" t="b">
        <v>1</v>
      </c>
      <c r="M457" t="inlineStr">
        <is>
          <t>Non-Billable</t>
        </is>
      </c>
      <c r="N457" s="6">
        <f>IF(B457="","",IF(ISNUMBER(B457),TEXT(B457,"YYYY-MM"),LEFT(B457,7)))</f>
        <v/>
      </c>
    </row>
    <row r="458">
      <c r="A458" t="inlineStr">
        <is>
          <t>Afua Serwah Akoto Prempeh</t>
        </is>
      </c>
      <c r="B458" s="4" t="n">
        <v>46167</v>
      </c>
      <c r="C458" t="inlineStr">
        <is>
          <t>/</t>
        </is>
      </c>
      <c r="D458" t="inlineStr">
        <is>
          <t>Afua Serwah Akoto Prempeh</t>
        </is>
      </c>
      <c r="E458" t="inlineStr">
        <is>
          <t>Afua Serwah Akoto Prempeh</t>
        </is>
      </c>
      <c r="F458" s="5" t="n">
        <v>46188.50208333333</v>
      </c>
      <c r="H458" t="inlineStr">
        <is>
          <t>Non-Billable Tasks</t>
        </is>
      </c>
      <c r="I458" t="n">
        <v>4</v>
      </c>
      <c r="K458" t="inlineStr">
        <is>
          <t>Staff Meetings (Quartely Staff Meetings, Adhoc meetings, Welfare)</t>
        </is>
      </c>
      <c r="L458" t="b">
        <v>0</v>
      </c>
      <c r="M458" t="inlineStr">
        <is>
          <t>Non-Billable</t>
        </is>
      </c>
      <c r="N458" s="6">
        <f>IF(B458="","",IF(ISNUMBER(B458),TEXT(B458,"YYYY-MM"),LEFT(B458,7)))</f>
        <v/>
      </c>
    </row>
    <row r="459">
      <c r="A459" t="inlineStr">
        <is>
          <t>Stephen Doso</t>
        </is>
      </c>
      <c r="B459" s="4" t="n">
        <v>46167</v>
      </c>
      <c r="C459" t="inlineStr">
        <is>
          <t>/</t>
        </is>
      </c>
      <c r="D459" t="inlineStr">
        <is>
          <t>Stephen Doso</t>
        </is>
      </c>
      <c r="E459" t="inlineStr">
        <is>
          <t>Michael Anim</t>
        </is>
      </c>
      <c r="F459" s="5" t="n">
        <v>46184.40136574074</v>
      </c>
      <c r="H459" t="inlineStr">
        <is>
          <t>PCGH793</t>
        </is>
      </c>
      <c r="I459" t="n">
        <v>8</v>
      </c>
      <c r="J459" t="inlineStr">
        <is>
          <t>PCGH793 - Field work  (3) (Okeosisi Jonathan)</t>
        </is>
      </c>
      <c r="K459" t="inlineStr">
        <is>
          <t>Field Visit and Data Collection</t>
        </is>
      </c>
      <c r="L459" t="b">
        <v>1</v>
      </c>
      <c r="M459" t="inlineStr">
        <is>
          <t>Billed at a Fixed price</t>
        </is>
      </c>
      <c r="N459" s="6">
        <f>IF(B459="","",IF(ISNUMBER(B459),TEXT(B459,"YYYY-MM"),LEFT(B459,7)))</f>
        <v/>
      </c>
    </row>
    <row r="460">
      <c r="A460" t="inlineStr">
        <is>
          <t>Kwadwo Baniako Nti</t>
        </is>
      </c>
      <c r="B460" s="4" t="n">
        <v>46167</v>
      </c>
      <c r="C460" t="inlineStr">
        <is>
          <t>Institutional engagements</t>
        </is>
      </c>
      <c r="D460" t="inlineStr">
        <is>
          <t>Kwadwo Baniako Nti</t>
        </is>
      </c>
      <c r="E460" t="inlineStr">
        <is>
          <t>Michael Anim</t>
        </is>
      </c>
      <c r="F460" s="5" t="n">
        <v>46184.40231481481</v>
      </c>
      <c r="H460" t="inlineStr">
        <is>
          <t>PCGH793</t>
        </is>
      </c>
      <c r="I460" t="n">
        <v>0</v>
      </c>
      <c r="J460" t="inlineStr">
        <is>
          <t>PCGH793 - Field work  (3) (Okeosisi Jonathan)</t>
        </is>
      </c>
      <c r="K460" t="inlineStr">
        <is>
          <t>Field Visit and Data Collection</t>
        </is>
      </c>
      <c r="L460" t="b">
        <v>1</v>
      </c>
      <c r="M460" t="inlineStr">
        <is>
          <t>Billed at a Fixed price</t>
        </is>
      </c>
      <c r="N460" s="6">
        <f>IF(B460="","",IF(ISNUMBER(B460),TEXT(B460,"YYYY-MM"),LEFT(B460,7)))</f>
        <v/>
      </c>
    </row>
    <row r="461">
      <c r="A461" t="inlineStr">
        <is>
          <t>Kwadwo Baniako Nti</t>
        </is>
      </c>
      <c r="B461" s="4" t="n">
        <v>46167</v>
      </c>
      <c r="C461" t="inlineStr">
        <is>
          <t>Community engagements and verification of groundthruthing points</t>
        </is>
      </c>
      <c r="D461" t="inlineStr">
        <is>
          <t>Kwadwo Baniako Nti</t>
        </is>
      </c>
      <c r="E461" t="inlineStr">
        <is>
          <t>Michael Anim</t>
        </is>
      </c>
      <c r="F461" s="5" t="n">
        <v>46184.401875</v>
      </c>
      <c r="H461" t="inlineStr">
        <is>
          <t>PCGH793</t>
        </is>
      </c>
      <c r="I461" t="n">
        <v>8</v>
      </c>
      <c r="J461" t="inlineStr">
        <is>
          <t>PCGH793 - Field work  (3) (Okeosisi Jonathan)</t>
        </is>
      </c>
      <c r="K461" t="inlineStr">
        <is>
          <t>Field Visit and Data Collection</t>
        </is>
      </c>
      <c r="L461" t="b">
        <v>1</v>
      </c>
      <c r="M461" t="inlineStr">
        <is>
          <t>Billed at a Fixed price</t>
        </is>
      </c>
      <c r="N461" s="6">
        <f>IF(B461="","",IF(ISNUMBER(B461),TEXT(B461,"YYYY-MM"),LEFT(B461,7)))</f>
        <v/>
      </c>
    </row>
    <row r="462">
      <c r="A462" t="inlineStr">
        <is>
          <t>Louis Defo</t>
        </is>
      </c>
      <c r="B462" s="4" t="n">
        <v>46167</v>
      </c>
      <c r="C462" t="inlineStr">
        <is>
          <t>/</t>
        </is>
      </c>
      <c r="D462" t="inlineStr">
        <is>
          <t>Louis Defo</t>
        </is>
      </c>
      <c r="E462" t="inlineStr">
        <is>
          <t>Louis Defo</t>
        </is>
      </c>
      <c r="F462" s="5" t="n">
        <v>46175.32025462963</v>
      </c>
      <c r="H462" t="inlineStr">
        <is>
          <t>PCGH787</t>
        </is>
      </c>
      <c r="I462" t="n">
        <v>8</v>
      </c>
      <c r="J462" t="inlineStr">
        <is>
          <t>PCGH787 - Desk Study (3) (Proforest Limited(PCUK GBP))</t>
        </is>
      </c>
      <c r="L462" t="b">
        <v>1</v>
      </c>
      <c r="M462" t="inlineStr">
        <is>
          <t>Billed at a Fixed price</t>
        </is>
      </c>
      <c r="N462" s="6">
        <f>IF(B462="","",IF(ISNUMBER(B462),TEXT(B462,"YYYY-MM"),LEFT(B462,7)))</f>
        <v/>
      </c>
    </row>
    <row r="463">
      <c r="A463" t="inlineStr">
        <is>
          <t>Soro TCHEREGNIMIN</t>
        </is>
      </c>
      <c r="B463" s="4" t="n">
        <v>46167</v>
      </c>
      <c r="C463" t="inlineStr">
        <is>
          <t>finalisation of the Proforest verification PPT and report</t>
        </is>
      </c>
      <c r="D463" t="inlineStr">
        <is>
          <t>Soro TCHEREGNIMIN</t>
        </is>
      </c>
      <c r="E463" t="inlineStr">
        <is>
          <t>Soro TCHEREGNIMIN</t>
        </is>
      </c>
      <c r="F463" s="5" t="n">
        <v>46174.6064699074</v>
      </c>
      <c r="H463" t="inlineStr">
        <is>
          <t>PCGH774 -Evaluation Deep-Dive Action Plans by Socfin Group</t>
        </is>
      </c>
      <c r="I463" t="n">
        <v>8</v>
      </c>
      <c r="J463" t="inlineStr">
        <is>
          <t>PCGH774 - Project Management (2) (Socfinco FR SA)</t>
        </is>
      </c>
      <c r="L463" t="b">
        <v>1</v>
      </c>
      <c r="M463" t="inlineStr">
        <is>
          <t>Billed at a Fixed price</t>
        </is>
      </c>
      <c r="N463" s="6">
        <f>IF(B463="","",IF(ISNUMBER(B463),TEXT(B463,"YYYY-MM"),LEFT(B463,7)))</f>
        <v/>
      </c>
    </row>
    <row r="464">
      <c r="A464" t="inlineStr">
        <is>
          <t>Soro TCHEREGNIMIN</t>
        </is>
      </c>
      <c r="B464" s="4" t="n">
        <v>46167</v>
      </c>
      <c r="C464" t="inlineStr">
        <is>
          <t>Field visit report</t>
        </is>
      </c>
      <c r="D464" t="inlineStr">
        <is>
          <t>Soro TCHEREGNIMIN</t>
        </is>
      </c>
      <c r="E464" t="inlineStr">
        <is>
          <t>Soro TCHEREGNIMIN</t>
        </is>
      </c>
      <c r="F464" s="5" t="n">
        <v>46174.60657407407</v>
      </c>
      <c r="H464" t="inlineStr">
        <is>
          <t>PCGH779 - Cote d'Ivoire）</t>
        </is>
      </c>
      <c r="I464" t="n">
        <v>0</v>
      </c>
      <c r="J464" t="inlineStr">
        <is>
          <t>PCGH779 - Tree Planting Project (3) (Proforest Limited(PCUK GBP))</t>
        </is>
      </c>
      <c r="L464" t="b">
        <v>1</v>
      </c>
      <c r="M464" t="inlineStr">
        <is>
          <t>Billed at a Fixed price</t>
        </is>
      </c>
      <c r="N464" s="6">
        <f>IF(B464="","",IF(ISNUMBER(B464),TEXT(B464,"YYYY-MM"),LEFT(B464,7)))</f>
        <v/>
      </c>
    </row>
    <row r="465">
      <c r="A465" t="inlineStr">
        <is>
          <t>Patricia Offei</t>
        </is>
      </c>
      <c r="B465" s="4" t="n">
        <v>46167</v>
      </c>
      <c r="C465" t="inlineStr">
        <is>
          <t>TOIL for 16 May 2026</t>
        </is>
      </c>
      <c r="D465" t="inlineStr">
        <is>
          <t>Patricia Offei</t>
        </is>
      </c>
      <c r="E465" t="inlineStr">
        <is>
          <t>Patricia Offei</t>
        </is>
      </c>
      <c r="F465" s="5" t="n">
        <v>46174.46424768519</v>
      </c>
      <c r="H465" t="inlineStr">
        <is>
          <t>Non-Billable Tasks</t>
        </is>
      </c>
      <c r="I465" t="n">
        <v>8</v>
      </c>
      <c r="K465" t="inlineStr">
        <is>
          <t>TOIL</t>
        </is>
      </c>
      <c r="L465" t="b">
        <v>0</v>
      </c>
      <c r="M465" t="inlineStr">
        <is>
          <t>Non-Billable</t>
        </is>
      </c>
      <c r="N465" s="6">
        <f>IF(B465="","",IF(ISNUMBER(B465),TEXT(B465,"YYYY-MM"),LEFT(B465,7)))</f>
        <v/>
      </c>
    </row>
    <row r="466">
      <c r="A466" t="inlineStr">
        <is>
          <t>Augustus Asamoah</t>
        </is>
      </c>
      <c r="B466" s="4" t="n">
        <v>46167</v>
      </c>
      <c r="C466" t="inlineStr">
        <is>
          <t>LEW Meeting</t>
        </is>
      </c>
      <c r="D466" t="inlineStr">
        <is>
          <t>Augustus Asamoah</t>
        </is>
      </c>
      <c r="E466" t="inlineStr">
        <is>
          <t>Augustus Asamoah</t>
        </is>
      </c>
      <c r="F466" s="5" t="n">
        <v>46174.37211805556</v>
      </c>
      <c r="H466" t="inlineStr">
        <is>
          <t>Non-Billable Tasks</t>
        </is>
      </c>
      <c r="I466" t="n">
        <v>0</v>
      </c>
      <c r="L466" t="b">
        <v>0</v>
      </c>
      <c r="M466" t="inlineStr">
        <is>
          <t>Non-Billable</t>
        </is>
      </c>
      <c r="N466" s="6">
        <f>IF(B466="","",IF(ISNUMBER(B466),TEXT(B466,"YYYY-MM"),LEFT(B466,7)))</f>
        <v/>
      </c>
    </row>
    <row r="467">
      <c r="A467" t="inlineStr">
        <is>
          <t>Augustus Asamoah</t>
        </is>
      </c>
      <c r="B467" s="4" t="n">
        <v>46167</v>
      </c>
      <c r="C467" t="inlineStr">
        <is>
          <t>/</t>
        </is>
      </c>
      <c r="D467" t="inlineStr">
        <is>
          <t>Augustus Asamoah</t>
        </is>
      </c>
      <c r="E467" t="inlineStr">
        <is>
          <t>Augustus Asamoah</t>
        </is>
      </c>
      <c r="F467" s="5" t="n">
        <v>46174.37811342593</v>
      </c>
      <c r="H467" t="inlineStr">
        <is>
          <t>P13QC00A00 - EFI Programme</t>
        </is>
      </c>
      <c r="I467" t="n">
        <v>2</v>
      </c>
      <c r="L467" t="b">
        <v>0</v>
      </c>
      <c r="M467" t="inlineStr">
        <is>
          <t>Non-Billable</t>
        </is>
      </c>
      <c r="N467" s="6">
        <f>IF(B467="","",IF(ISNUMBER(B467),TEXT(B467,"YYYY-MM"),LEFT(B467,7)))</f>
        <v/>
      </c>
    </row>
    <row r="468">
      <c r="A468" t="inlineStr">
        <is>
          <t>Augustus Asamoah</t>
        </is>
      </c>
      <c r="B468" s="4" t="n">
        <v>46167</v>
      </c>
      <c r="C468" t="inlineStr">
        <is>
          <t>/</t>
        </is>
      </c>
      <c r="D468" t="inlineStr">
        <is>
          <t>Augustus Asamoah</t>
        </is>
      </c>
      <c r="E468" t="inlineStr">
        <is>
          <t>Augustus Asamoah</t>
        </is>
      </c>
      <c r="F468" s="5" t="n">
        <v>46174.37806712963</v>
      </c>
      <c r="H468" t="inlineStr">
        <is>
          <t>P13PC00A00 - Private Sector Companies</t>
        </is>
      </c>
      <c r="I468" t="n">
        <v>2</v>
      </c>
      <c r="L468" t="b">
        <v>0</v>
      </c>
      <c r="M468" t="inlineStr">
        <is>
          <t>Non-Billable</t>
        </is>
      </c>
      <c r="N468" s="6">
        <f>IF(B468="","",IF(ISNUMBER(B468),TEXT(B468,"YYYY-MM"),LEFT(B468,7)))</f>
        <v/>
      </c>
    </row>
    <row r="469">
      <c r="A469" t="inlineStr">
        <is>
          <t>Augustus Asamoah</t>
        </is>
      </c>
      <c r="B469" s="4" t="n">
        <v>46167</v>
      </c>
      <c r="C469" t="inlineStr">
        <is>
          <t>/</t>
        </is>
      </c>
      <c r="D469" t="inlineStr">
        <is>
          <t>Augustus Asamoah</t>
        </is>
      </c>
      <c r="E469" t="inlineStr">
        <is>
          <t>Augustus Asamoah</t>
        </is>
      </c>
      <c r="F469" s="5" t="n">
        <v>46174.37800925926</v>
      </c>
      <c r="H469" t="inlineStr">
        <is>
          <t>P13NC00A00 - WALMART II</t>
        </is>
      </c>
      <c r="I469" t="n">
        <v>4</v>
      </c>
      <c r="L469" t="b">
        <v>0</v>
      </c>
      <c r="M469" t="inlineStr">
        <is>
          <t>Non-Billable</t>
        </is>
      </c>
      <c r="N469" s="6">
        <f>IF(B469="","",IF(ISNUMBER(B469),TEXT(B469,"YYYY-MM"),LEFT(B469,7)))</f>
        <v/>
      </c>
    </row>
    <row r="470">
      <c r="A470" t="inlineStr">
        <is>
          <t>Abel Ansu</t>
        </is>
      </c>
      <c r="B470" s="4" t="n">
        <v>46167</v>
      </c>
      <c r="C470" t="inlineStr">
        <is>
          <t>Lining and Pegging at Tokrom in the Goa shelter and Gambia in the Bia shelter were monitored</t>
        </is>
      </c>
      <c r="D470" t="inlineStr">
        <is>
          <t>Abel Ansu</t>
        </is>
      </c>
      <c r="E470" t="inlineStr">
        <is>
          <t>Abel Ansu</t>
        </is>
      </c>
      <c r="F470" s="5" t="n">
        <v>46174.20790509259</v>
      </c>
      <c r="H470" t="inlineStr">
        <is>
          <t>Internal</t>
        </is>
      </c>
      <c r="I470" t="n">
        <v>8</v>
      </c>
      <c r="K470" t="inlineStr">
        <is>
          <t>Monitored ongoing lining and pegging for MTS</t>
        </is>
      </c>
      <c r="L470" t="b">
        <v>0</v>
      </c>
      <c r="M470" t="inlineStr">
        <is>
          <t>Non-Billable</t>
        </is>
      </c>
      <c r="N470" s="6">
        <f>IF(B470="","",IF(ISNUMBER(B470),TEXT(B470,"YYYY-MM"),LEFT(B470,7)))</f>
        <v/>
      </c>
    </row>
    <row r="471">
      <c r="A471" t="inlineStr">
        <is>
          <t>Clement Obeng-Manu</t>
        </is>
      </c>
      <c r="B471" s="4" t="n">
        <v>46167</v>
      </c>
      <c r="C471" t="inlineStr">
        <is>
          <t>Field work</t>
        </is>
      </c>
      <c r="D471" t="inlineStr">
        <is>
          <t>Clement Obeng-Manu</t>
        </is>
      </c>
      <c r="E471" t="inlineStr">
        <is>
          <t>Clement Obeng-Manu</t>
        </is>
      </c>
      <c r="F471" s="5" t="n">
        <v>46173.76247685185</v>
      </c>
      <c r="H471" t="inlineStr">
        <is>
          <t>PCGH793</t>
        </is>
      </c>
      <c r="I471" t="n">
        <v>8</v>
      </c>
      <c r="L471" t="b">
        <v>1</v>
      </c>
      <c r="M471" t="inlineStr">
        <is>
          <t>Non-Billable</t>
        </is>
      </c>
      <c r="N471" s="6">
        <f>IF(B471="","",IF(ISNUMBER(B471),TEXT(B471,"YYYY-MM"),LEFT(B471,7)))</f>
        <v/>
      </c>
    </row>
    <row r="472">
      <c r="A472" t="inlineStr">
        <is>
          <t>Daleba Bernard Kpenahi Raymond</t>
        </is>
      </c>
      <c r="B472" s="4" t="n">
        <v>46167</v>
      </c>
      <c r="C472" t="inlineStr">
        <is>
          <t>/</t>
        </is>
      </c>
      <c r="D472" t="inlineStr">
        <is>
          <t>Daleba Bernard Kpenahi Raymond</t>
        </is>
      </c>
      <c r="E472" t="inlineStr">
        <is>
          <t>Daleba Bernard Kpenahi Raymond</t>
        </is>
      </c>
      <c r="F472" s="5" t="n">
        <v>46160.42486111111</v>
      </c>
      <c r="H472" t="inlineStr">
        <is>
          <t>PCGH774 -Evaluation Deep-Dive Action Plans by Socfin Group</t>
        </is>
      </c>
      <c r="I472" t="n">
        <v>8</v>
      </c>
      <c r="J472" t="inlineStr">
        <is>
          <t>PCGH774 - Tier 3 (Socfinco FR SA)</t>
        </is>
      </c>
      <c r="K472" t="inlineStr">
        <is>
          <t>SOGB - Analysis and reporting</t>
        </is>
      </c>
      <c r="L472" t="b">
        <v>1</v>
      </c>
      <c r="M472" t="inlineStr">
        <is>
          <t>Billed at a Fixed price</t>
        </is>
      </c>
      <c r="N472" s="6">
        <f>IF(B472="","",IF(ISNUMBER(B472),TEXT(B472,"YYYY-MM"),LEFT(B472,7)))</f>
        <v/>
      </c>
    </row>
    <row r="473">
      <c r="A473" t="inlineStr">
        <is>
          <t>Daleba Bernard Kpenahi Raymond</t>
        </is>
      </c>
      <c r="B473" s="4" t="n">
        <v>46167</v>
      </c>
      <c r="C473" t="inlineStr">
        <is>
          <t xml:space="preserve">Annual leave </t>
        </is>
      </c>
      <c r="D473" t="inlineStr">
        <is>
          <t>Daleba Bernard Kpenahi Raymond</t>
        </is>
      </c>
      <c r="E473" t="inlineStr">
        <is>
          <t>Daleba Bernard Kpenahi Raymond</t>
        </is>
      </c>
      <c r="F473" s="5" t="n">
        <v>46160.42490740741</v>
      </c>
      <c r="H473" t="inlineStr">
        <is>
          <t>Non-Billable Tasks</t>
        </is>
      </c>
      <c r="I473" t="n">
        <v>0</v>
      </c>
      <c r="K473" t="inlineStr">
        <is>
          <t>Leave</t>
        </is>
      </c>
      <c r="L473" t="b">
        <v>0</v>
      </c>
      <c r="M473" t="inlineStr">
        <is>
          <t>Non-Billable</t>
        </is>
      </c>
      <c r="N473" s="6">
        <f>IF(B473="","",IF(ISNUMBER(B473),TEXT(B473,"YYYY-MM"),LEFT(B473,7)))</f>
        <v/>
      </c>
    </row>
    <row r="474">
      <c r="A474" t="inlineStr">
        <is>
          <t>Kwadwo Baniako Nti</t>
        </is>
      </c>
      <c r="B474" s="4" t="n">
        <v>46165</v>
      </c>
      <c r="C474" t="inlineStr">
        <is>
          <t>/</t>
        </is>
      </c>
      <c r="D474" t="inlineStr">
        <is>
          <t>Kwadwo Baniako Nti</t>
        </is>
      </c>
      <c r="E474" t="inlineStr">
        <is>
          <t>Kwadwo Baniako Nti</t>
        </is>
      </c>
      <c r="F474" s="5" t="n">
        <v>46181.52185185185</v>
      </c>
      <c r="H474" t="inlineStr">
        <is>
          <t>PCGH793</t>
        </is>
      </c>
      <c r="I474" t="n">
        <v>0</v>
      </c>
      <c r="J474" t="inlineStr">
        <is>
          <t>PCGH793 - Field work  (3) (Okeosisi Jonathan)</t>
        </is>
      </c>
      <c r="K474" t="inlineStr">
        <is>
          <t>Field Visit and Data Collection</t>
        </is>
      </c>
      <c r="L474" t="b">
        <v>1</v>
      </c>
      <c r="M474" t="inlineStr">
        <is>
          <t>Billed at a Fixed price</t>
        </is>
      </c>
      <c r="N474" s="6">
        <f>IF(B474="","",IF(ISNUMBER(B474),TEXT(B474,"YYYY-MM"),LEFT(B474,7)))</f>
        <v/>
      </c>
    </row>
    <row r="475">
      <c r="A475" t="inlineStr">
        <is>
          <t>Afua Serwah Akoto Prempeh</t>
        </is>
      </c>
      <c r="B475" s="4" t="n">
        <v>46164</v>
      </c>
      <c r="C475" t="inlineStr">
        <is>
          <t>/</t>
        </is>
      </c>
      <c r="D475" t="inlineStr">
        <is>
          <t>Afua Serwah Akoto Prempeh</t>
        </is>
      </c>
      <c r="E475" t="inlineStr">
        <is>
          <t>Afua Serwah Akoto Prempeh</t>
        </is>
      </c>
      <c r="F475" s="5" t="n">
        <v>46204.560625</v>
      </c>
      <c r="H475" t="inlineStr">
        <is>
          <t>Non-Billable Tasks</t>
        </is>
      </c>
      <c r="I475" t="n">
        <v>8</v>
      </c>
      <c r="L475" t="b">
        <v>0</v>
      </c>
      <c r="M475" t="inlineStr">
        <is>
          <t>Non-Billable</t>
        </is>
      </c>
      <c r="N475" s="6">
        <f>IF(B475="","",IF(ISNUMBER(B475),TEXT(B475,"YYYY-MM"),LEFT(B475,7)))</f>
        <v/>
      </c>
    </row>
    <row r="476">
      <c r="A476" t="inlineStr">
        <is>
          <t>Frederick Antwi</t>
        </is>
      </c>
      <c r="B476" s="4" t="n">
        <v>46164</v>
      </c>
      <c r="C476" t="inlineStr">
        <is>
          <t>/</t>
        </is>
      </c>
      <c r="D476" t="inlineStr">
        <is>
          <t>Frederick Antwi</t>
        </is>
      </c>
      <c r="E476" t="inlineStr">
        <is>
          <t>Frederick Antwi</t>
        </is>
      </c>
      <c r="F476" s="5" t="n">
        <v>46195.45175925926</v>
      </c>
      <c r="H476" t="inlineStr">
        <is>
          <t>Non-Billable Tasks</t>
        </is>
      </c>
      <c r="I476" t="n">
        <v>2</v>
      </c>
      <c r="K476" t="inlineStr">
        <is>
          <t>Professional development and Knowledge sharing(training,global knowledge calls,exchange weeks)</t>
        </is>
      </c>
      <c r="L476" t="b">
        <v>0</v>
      </c>
      <c r="M476" t="inlineStr">
        <is>
          <t>Non-Billable</t>
        </is>
      </c>
      <c r="N476" s="6">
        <f>IF(B476="","",IF(ISNUMBER(B476),TEXT(B476,"YYYY-MM"),LEFT(B476,7)))</f>
        <v/>
      </c>
    </row>
    <row r="477">
      <c r="A477" t="inlineStr">
        <is>
          <t>Frederick Antwi</t>
        </is>
      </c>
      <c r="B477" s="4" t="n">
        <v>46164</v>
      </c>
      <c r="C477" t="inlineStr">
        <is>
          <t>/</t>
        </is>
      </c>
      <c r="D477" t="inlineStr">
        <is>
          <t>Frederick Antwi</t>
        </is>
      </c>
      <c r="E477" t="inlineStr">
        <is>
          <t>Frederick Antwi</t>
        </is>
      </c>
      <c r="F477" s="5" t="n">
        <v>46195.45171296296</v>
      </c>
      <c r="H477" t="inlineStr">
        <is>
          <t>P13PC00A00 - Private Sector Companies</t>
        </is>
      </c>
      <c r="I477" t="n">
        <v>6</v>
      </c>
      <c r="L477" t="b">
        <v>0</v>
      </c>
      <c r="M477" t="inlineStr">
        <is>
          <t>Non-Billable</t>
        </is>
      </c>
      <c r="N477" s="6">
        <f>IF(B477="","",IF(ISNUMBER(B477),TEXT(B477,"YYYY-MM"),LEFT(B477,7)))</f>
        <v/>
      </c>
    </row>
    <row r="478">
      <c r="A478" t="inlineStr">
        <is>
          <t>Ekow Nyamekye Tawiah</t>
        </is>
      </c>
      <c r="B478" s="4" t="n">
        <v>46164</v>
      </c>
      <c r="C478" t="inlineStr">
        <is>
          <t>/</t>
        </is>
      </c>
      <c r="D478" t="inlineStr">
        <is>
          <t>Ekow Nyamekye Tawiah</t>
        </is>
      </c>
      <c r="E478" t="inlineStr">
        <is>
          <t>Ekow Nyamekye Tawiah</t>
        </is>
      </c>
      <c r="F478" s="5" t="n">
        <v>46191.59898148148</v>
      </c>
      <c r="H478" t="inlineStr">
        <is>
          <t>PCGH778 - General Support</t>
        </is>
      </c>
      <c r="I478" t="n">
        <v>4</v>
      </c>
      <c r="J478" t="inlineStr">
        <is>
          <t>PCGH778 - Support to Other Workstreams (3) (Proforest Limited(PCUK GBP))</t>
        </is>
      </c>
      <c r="L478" t="b">
        <v>1</v>
      </c>
      <c r="M478" t="inlineStr">
        <is>
          <t>Billed at a Fixed price</t>
        </is>
      </c>
      <c r="N478" s="6">
        <f>IF(B478="","",IF(ISNUMBER(B478),TEXT(B478,"YYYY-MM"),LEFT(B478,7)))</f>
        <v/>
      </c>
    </row>
    <row r="479">
      <c r="A479" t="inlineStr">
        <is>
          <t>Stephen Doso</t>
        </is>
      </c>
      <c r="B479" s="4" t="n">
        <v>46164</v>
      </c>
      <c r="C479" t="inlineStr">
        <is>
          <t>/</t>
        </is>
      </c>
      <c r="D479" t="inlineStr">
        <is>
          <t>Stephen Doso</t>
        </is>
      </c>
      <c r="E479" t="inlineStr">
        <is>
          <t>Michael Anim</t>
        </is>
      </c>
      <c r="F479" s="5" t="n">
        <v>46184.40138888889</v>
      </c>
      <c r="H479" t="inlineStr">
        <is>
          <t>PCGH793</t>
        </is>
      </c>
      <c r="I479" t="n">
        <v>8</v>
      </c>
      <c r="J479" t="inlineStr">
        <is>
          <t>PCGH793 - Field work  (3) (Okeosisi Jonathan)</t>
        </is>
      </c>
      <c r="K479" t="inlineStr">
        <is>
          <t>Field Visit and Data Collection</t>
        </is>
      </c>
      <c r="L479" t="b">
        <v>1</v>
      </c>
      <c r="M479" t="inlineStr">
        <is>
          <t>Billed at a Fixed price</t>
        </is>
      </c>
      <c r="N479" s="6">
        <f>IF(B479="","",IF(ISNUMBER(B479),TEXT(B479,"YYYY-MM"),LEFT(B479,7)))</f>
        <v/>
      </c>
    </row>
    <row r="480">
      <c r="A480" t="inlineStr">
        <is>
          <t>Kwadwo Baniako Nti</t>
        </is>
      </c>
      <c r="B480" s="4" t="n">
        <v>46164</v>
      </c>
      <c r="C480" t="inlineStr">
        <is>
          <t>/</t>
        </is>
      </c>
      <c r="D480" t="inlineStr">
        <is>
          <t>Kwadwo Baniako Nti</t>
        </is>
      </c>
      <c r="E480" t="inlineStr">
        <is>
          <t>Kwadwo Baniako Nti</t>
        </is>
      </c>
      <c r="F480" s="5" t="n">
        <v>46181.52130787037</v>
      </c>
      <c r="H480" t="inlineStr">
        <is>
          <t>PCGH793</t>
        </is>
      </c>
      <c r="I480" t="n">
        <v>8</v>
      </c>
      <c r="J480" t="inlineStr">
        <is>
          <t>PCGH793 - Field work  (3) (Okeosisi Jonathan)</t>
        </is>
      </c>
      <c r="K480" t="inlineStr">
        <is>
          <t>Field Visit and Data Collection</t>
        </is>
      </c>
      <c r="L480" t="b">
        <v>1</v>
      </c>
      <c r="M480" t="inlineStr">
        <is>
          <t>Billed at a Fixed price</t>
        </is>
      </c>
      <c r="N480" s="6">
        <f>IF(B480="","",IF(ISNUMBER(B480),TEXT(B480,"YYYY-MM"),LEFT(B480,7)))</f>
        <v/>
      </c>
    </row>
    <row r="481">
      <c r="A481" t="inlineStr">
        <is>
          <t>Augustus Asamoah</t>
        </is>
      </c>
      <c r="B481" s="4" t="n">
        <v>46164</v>
      </c>
      <c r="C481" t="inlineStr">
        <is>
          <t>/</t>
        </is>
      </c>
      <c r="D481" t="inlineStr">
        <is>
          <t>Augustus Asamoah</t>
        </is>
      </c>
      <c r="E481" t="inlineStr">
        <is>
          <t>Augustus Asamoah</t>
        </is>
      </c>
      <c r="F481" s="5" t="n">
        <v>46174.36652777778</v>
      </c>
      <c r="H481" t="inlineStr">
        <is>
          <t>P13QC00A00 - EFI Programme</t>
        </is>
      </c>
      <c r="I481" t="n">
        <v>8</v>
      </c>
      <c r="L481" t="b">
        <v>0</v>
      </c>
      <c r="M481" t="inlineStr">
        <is>
          <t>Non-Billable</t>
        </is>
      </c>
      <c r="N481" s="6">
        <f>IF(B481="","",IF(ISNUMBER(B481),TEXT(B481,"YYYY-MM"),LEFT(B481,7)))</f>
        <v/>
      </c>
    </row>
    <row r="482">
      <c r="A482" t="inlineStr">
        <is>
          <t>Clement Obeng-Manu</t>
        </is>
      </c>
      <c r="B482" s="4" t="n">
        <v>46164</v>
      </c>
      <c r="C482" t="inlineStr">
        <is>
          <t>/</t>
        </is>
      </c>
      <c r="D482" t="inlineStr">
        <is>
          <t>Clement Obeng-Manu</t>
        </is>
      </c>
      <c r="E482" t="inlineStr">
        <is>
          <t>Clement Obeng-Manu</t>
        </is>
      </c>
      <c r="F482" s="5" t="n">
        <v>46173.76195601852</v>
      </c>
      <c r="H482" t="inlineStr">
        <is>
          <t>PCGH793</t>
        </is>
      </c>
      <c r="I482" t="n">
        <v>8</v>
      </c>
      <c r="J482" t="inlineStr">
        <is>
          <t>PCGH793 - Desk Study (3) (Okeosisi Jonathan)</t>
        </is>
      </c>
      <c r="L482" t="b">
        <v>1</v>
      </c>
      <c r="M482" t="inlineStr">
        <is>
          <t>Billed at a Fixed price</t>
        </is>
      </c>
      <c r="N482" s="6">
        <f>IF(B482="","",IF(ISNUMBER(B482),TEXT(B482,"YYYY-MM"),LEFT(B482,7)))</f>
        <v/>
      </c>
    </row>
    <row r="483">
      <c r="A483" t="inlineStr">
        <is>
          <t>Abel Ansu</t>
        </is>
      </c>
      <c r="B483" s="4" t="n">
        <v>46164</v>
      </c>
      <c r="C483" t="inlineStr">
        <is>
          <t>Visited Biaso, Bitre and Agravi to pick GPS coordinates of the boundaries of areas cleared for MTS</t>
        </is>
      </c>
      <c r="D483" t="inlineStr">
        <is>
          <t>Abel Ansu</t>
        </is>
      </c>
      <c r="E483" t="inlineStr">
        <is>
          <t>Abel Ansu</t>
        </is>
      </c>
      <c r="F483" s="5" t="n">
        <v>46168.48994212963</v>
      </c>
      <c r="H483" t="inlineStr">
        <is>
          <t>Internal</t>
        </is>
      </c>
      <c r="I483" t="n">
        <v>8</v>
      </c>
      <c r="K483" t="inlineStr">
        <is>
          <t>Measurement of MTS Cleared sites</t>
        </is>
      </c>
      <c r="L483" t="b">
        <v>0</v>
      </c>
      <c r="M483" t="inlineStr">
        <is>
          <t>Non-Billable</t>
        </is>
      </c>
      <c r="N483" s="6">
        <f>IF(B483="","",IF(ISNUMBER(B483),TEXT(B483,"YYYY-MM"),LEFT(B483,7)))</f>
        <v/>
      </c>
    </row>
    <row r="484">
      <c r="A484" t="inlineStr">
        <is>
          <t>Helena Tetteh</t>
        </is>
      </c>
      <c r="B484" s="4" t="n">
        <v>46164</v>
      </c>
      <c r="C484" t="inlineStr">
        <is>
          <t>/</t>
        </is>
      </c>
      <c r="D484" t="inlineStr">
        <is>
          <t xml:space="preserve">Helena Tetteh </t>
        </is>
      </c>
      <c r="E484" t="inlineStr">
        <is>
          <t>Helena Tetteh</t>
        </is>
      </c>
      <c r="F484" s="5" t="n">
        <v>46168.44618055555</v>
      </c>
      <c r="H484" t="inlineStr">
        <is>
          <t>Non-Billable Tasks</t>
        </is>
      </c>
      <c r="I484" t="n">
        <v>8</v>
      </c>
      <c r="K484" t="inlineStr">
        <is>
          <t>Annual Leave</t>
        </is>
      </c>
      <c r="L484" t="b">
        <v>0</v>
      </c>
      <c r="M484" t="inlineStr">
        <is>
          <t>Non-Billable</t>
        </is>
      </c>
      <c r="N484" s="6">
        <f>IF(B484="","",IF(ISNUMBER(B484),TEXT(B484,"YYYY-MM"),LEFT(B484,7)))</f>
        <v/>
      </c>
    </row>
    <row r="485">
      <c r="A485" t="inlineStr">
        <is>
          <t>Louis Defo</t>
        </is>
      </c>
      <c r="B485" s="4" t="n">
        <v>46164</v>
      </c>
      <c r="C485" t="inlineStr">
        <is>
          <t>/</t>
        </is>
      </c>
      <c r="D485" t="inlineStr">
        <is>
          <t>Louis Defo</t>
        </is>
      </c>
      <c r="E485" t="inlineStr">
        <is>
          <t>Louis Defo</t>
        </is>
      </c>
      <c r="F485" s="5" t="n">
        <v>46164.62857638889</v>
      </c>
      <c r="H485" t="inlineStr">
        <is>
          <t>P23AC00C00 - FGMC</t>
        </is>
      </c>
      <c r="I485" t="n">
        <v>8</v>
      </c>
      <c r="L485" t="b">
        <v>0</v>
      </c>
      <c r="M485" t="inlineStr">
        <is>
          <t>Non-Billable</t>
        </is>
      </c>
      <c r="N485" s="6">
        <f>IF(B485="","",IF(ISNUMBER(B485),TEXT(B485,"YYYY-MM"),LEFT(B485,7)))</f>
        <v/>
      </c>
    </row>
    <row r="486">
      <c r="A486" t="inlineStr">
        <is>
          <t>Soro TCHEREGNIMIN</t>
        </is>
      </c>
      <c r="B486" s="4" t="n">
        <v>46164</v>
      </c>
      <c r="C486" t="inlineStr">
        <is>
          <t>/</t>
        </is>
      </c>
      <c r="D486" t="inlineStr">
        <is>
          <t>Soro TCHEREGNIMIN</t>
        </is>
      </c>
      <c r="E486" t="inlineStr">
        <is>
          <t>Soro TCHEREGNIMIN</t>
        </is>
      </c>
      <c r="F486" s="5" t="n">
        <v>46163.6640162037</v>
      </c>
      <c r="H486" t="inlineStr">
        <is>
          <t>PCGH774 -Evaluation Deep-Dive Action Plans by Socfin Group</t>
        </is>
      </c>
      <c r="I486" t="n">
        <v>8</v>
      </c>
      <c r="J486" t="inlineStr">
        <is>
          <t>PCGH774 - Tier 3 (Socfinco FR SA)</t>
        </is>
      </c>
      <c r="K486" t="inlineStr">
        <is>
          <t xml:space="preserve">SOGB - Analysis and reporting </t>
        </is>
      </c>
      <c r="L486" t="b">
        <v>1</v>
      </c>
      <c r="M486" t="inlineStr">
        <is>
          <t>Billed at a Fixed price</t>
        </is>
      </c>
      <c r="N486" s="6">
        <f>IF(B486="","",IF(ISNUMBER(B486),TEXT(B486,"YYYY-MM"),LEFT(B486,7)))</f>
        <v/>
      </c>
    </row>
    <row r="487">
      <c r="A487" t="inlineStr">
        <is>
          <t>Patricia Offei</t>
        </is>
      </c>
      <c r="B487" s="4" t="n">
        <v>46164</v>
      </c>
      <c r="C487" t="inlineStr">
        <is>
          <t>/</t>
        </is>
      </c>
      <c r="D487" t="inlineStr">
        <is>
          <t>Patricia Offei</t>
        </is>
      </c>
      <c r="E487" t="inlineStr">
        <is>
          <t>Patricia Offei</t>
        </is>
      </c>
      <c r="F487" s="5" t="n">
        <v>46162.60626157407</v>
      </c>
      <c r="H487" t="inlineStr">
        <is>
          <t>PCGH779 - Cote d'Ivoire）</t>
        </is>
      </c>
      <c r="I487" t="n">
        <v>8</v>
      </c>
      <c r="J487" t="inlineStr">
        <is>
          <t>PCGH779 - Tree Planting Project (3) (Proforest Limited(PCUK GBP))</t>
        </is>
      </c>
      <c r="K487" t="inlineStr">
        <is>
          <t>WS 15.1: Tree Planting &amp; Biodiversity Conservation</t>
        </is>
      </c>
      <c r="L487" t="b">
        <v>1</v>
      </c>
      <c r="M487" t="inlineStr">
        <is>
          <t>Billed at a Fixed price</t>
        </is>
      </c>
      <c r="N487" s="6">
        <f>IF(B487="","",IF(ISNUMBER(B487),TEXT(B487,"YYYY-MM"),LEFT(B487,7)))</f>
        <v/>
      </c>
    </row>
    <row r="488">
      <c r="A488" t="inlineStr">
        <is>
          <t>Daleba Bernard Kpenahi Raymond</t>
        </is>
      </c>
      <c r="B488" s="4" t="n">
        <v>46164</v>
      </c>
      <c r="C488" t="inlineStr">
        <is>
          <t>/</t>
        </is>
      </c>
      <c r="D488" t="inlineStr">
        <is>
          <t>Daleba Bernard Kpenahi Raymond</t>
        </is>
      </c>
      <c r="E488" t="inlineStr">
        <is>
          <t>Michael Anim</t>
        </is>
      </c>
      <c r="F488" s="5" t="n">
        <v>46163.52891203704</v>
      </c>
      <c r="H488" t="inlineStr">
        <is>
          <t>PCGH779 - Cote d'Ivoire）</t>
        </is>
      </c>
      <c r="I488" t="n">
        <v>8</v>
      </c>
      <c r="J488" t="inlineStr">
        <is>
          <t>PCGH779 - Tree Planting Project (3) (Proforest Limited(PCUK GBP))</t>
        </is>
      </c>
      <c r="L488" t="b">
        <v>1</v>
      </c>
      <c r="M488" t="inlineStr">
        <is>
          <t>Billed at a Fixed price</t>
        </is>
      </c>
      <c r="N488" s="6">
        <f>IF(B488="","",IF(ISNUMBER(B488),TEXT(B488,"YYYY-MM"),LEFT(B488,7)))</f>
        <v/>
      </c>
    </row>
    <row r="489">
      <c r="A489" t="inlineStr">
        <is>
          <t>Frederick Antwi</t>
        </is>
      </c>
      <c r="B489" s="4" t="n">
        <v>46163</v>
      </c>
      <c r="C489" t="inlineStr">
        <is>
          <t>/</t>
        </is>
      </c>
      <c r="D489" t="inlineStr">
        <is>
          <t>Frederick Antwi</t>
        </is>
      </c>
      <c r="E489" t="inlineStr">
        <is>
          <t>Frederick Antwi</t>
        </is>
      </c>
      <c r="F489" s="5" t="n">
        <v>46195.45140046296</v>
      </c>
      <c r="H489" t="inlineStr">
        <is>
          <t>PCGH790 - Nestle Soy Support</t>
        </is>
      </c>
      <c r="I489" t="n">
        <v>6</v>
      </c>
      <c r="J489" t="inlineStr">
        <is>
          <t>PCGH790 - Desk Study (3) (Proforest Limited(PCUK USD))</t>
        </is>
      </c>
      <c r="L489" t="b">
        <v>1</v>
      </c>
      <c r="M489" t="inlineStr">
        <is>
          <t>Billed at a Fixed price</t>
        </is>
      </c>
      <c r="N489" s="6">
        <f>IF(B489="","",IF(ISNUMBER(B489),TEXT(B489,"YYYY-MM"),LEFT(B489,7)))</f>
        <v/>
      </c>
    </row>
    <row r="490">
      <c r="A490" t="inlineStr">
        <is>
          <t>Frederick Antwi</t>
        </is>
      </c>
      <c r="B490" s="4" t="n">
        <v>46163</v>
      </c>
      <c r="C490" t="inlineStr">
        <is>
          <t>Global Production landscape call</t>
        </is>
      </c>
      <c r="D490" t="inlineStr">
        <is>
          <t>Frederick Antwi</t>
        </is>
      </c>
      <c r="E490" t="inlineStr">
        <is>
          <t>Frederick Antwi</t>
        </is>
      </c>
      <c r="F490" s="5" t="n">
        <v>46195.45137731481</v>
      </c>
      <c r="H490" t="inlineStr">
        <is>
          <t>Non-Billable Tasks</t>
        </is>
      </c>
      <c r="I490" t="n">
        <v>2</v>
      </c>
      <c r="K490" t="inlineStr">
        <is>
          <t>Professional development and Knowledge sharing(training,global knowledge calls,exchange weeks)</t>
        </is>
      </c>
      <c r="L490" t="b">
        <v>0</v>
      </c>
      <c r="M490" t="inlineStr">
        <is>
          <t>Non-Billable</t>
        </is>
      </c>
      <c r="N490" s="6">
        <f>IF(B490="","",IF(ISNUMBER(B490),TEXT(B490,"YYYY-MM"),LEFT(B490,7)))</f>
        <v/>
      </c>
    </row>
    <row r="491">
      <c r="A491" t="inlineStr">
        <is>
          <t>Ekow Nyamekye Tawiah</t>
        </is>
      </c>
      <c r="B491" s="4" t="n">
        <v>46163</v>
      </c>
      <c r="C491" t="inlineStr">
        <is>
          <t>/</t>
        </is>
      </c>
      <c r="D491" t="inlineStr">
        <is>
          <t>Ekow Nyamekye Tawiah</t>
        </is>
      </c>
      <c r="E491" t="inlineStr">
        <is>
          <t>Ekow Nyamekye Tawiah</t>
        </is>
      </c>
      <c r="F491" s="5" t="n">
        <v>46191.59894675926</v>
      </c>
      <c r="H491" t="inlineStr">
        <is>
          <t>PCGH778 - General Support</t>
        </is>
      </c>
      <c r="I491" t="n">
        <v>4</v>
      </c>
      <c r="J491" t="inlineStr">
        <is>
          <t>PCGH778 - Support to Other Workstreams (3) (Proforest Limited(PCUK GBP))</t>
        </is>
      </c>
      <c r="L491" t="b">
        <v>1</v>
      </c>
      <c r="M491" t="inlineStr">
        <is>
          <t>Billed at a Fixed price</t>
        </is>
      </c>
      <c r="N491" s="6">
        <f>IF(B491="","",IF(ISNUMBER(B491),TEXT(B491,"YYYY-MM"),LEFT(B491,7)))</f>
        <v/>
      </c>
    </row>
    <row r="492">
      <c r="A492" t="inlineStr">
        <is>
          <t>Stephen Doso</t>
        </is>
      </c>
      <c r="B492" s="4" t="n">
        <v>46163</v>
      </c>
      <c r="C492" t="inlineStr">
        <is>
          <t>/</t>
        </is>
      </c>
      <c r="D492" t="inlineStr">
        <is>
          <t>Stephen Doso</t>
        </is>
      </c>
      <c r="E492" t="inlineStr">
        <is>
          <t>Michael Anim</t>
        </is>
      </c>
      <c r="F492" s="5" t="n">
        <v>46184.40141203703</v>
      </c>
      <c r="H492" t="inlineStr">
        <is>
          <t>PCGH793</t>
        </is>
      </c>
      <c r="I492" t="n">
        <v>8</v>
      </c>
      <c r="J492" t="inlineStr">
        <is>
          <t>PCGH793 - Field work  (3) (Okeosisi Jonathan)</t>
        </is>
      </c>
      <c r="K492" t="inlineStr">
        <is>
          <t>Field Visit and Data Collection</t>
        </is>
      </c>
      <c r="L492" t="b">
        <v>1</v>
      </c>
      <c r="M492" t="inlineStr">
        <is>
          <t>Billed at a Fixed price</t>
        </is>
      </c>
      <c r="N492" s="6">
        <f>IF(B492="","",IF(ISNUMBER(B492),TEXT(B492,"YYYY-MM"),LEFT(B492,7)))</f>
        <v/>
      </c>
    </row>
    <row r="493">
      <c r="A493" t="inlineStr">
        <is>
          <t>Kwadwo Baniako Nti</t>
        </is>
      </c>
      <c r="B493" s="4" t="n">
        <v>46163</v>
      </c>
      <c r="C493" t="inlineStr">
        <is>
          <t>/</t>
        </is>
      </c>
      <c r="D493" t="inlineStr">
        <is>
          <t>Kwadwo Baniako Nti</t>
        </is>
      </c>
      <c r="E493" t="inlineStr">
        <is>
          <t>Kwadwo Baniako Nti</t>
        </is>
      </c>
      <c r="F493" s="5" t="n">
        <v>46181.52134259259</v>
      </c>
      <c r="H493" t="inlineStr">
        <is>
          <t>PCGH793</t>
        </is>
      </c>
      <c r="I493" t="n">
        <v>8</v>
      </c>
      <c r="J493" t="inlineStr">
        <is>
          <t>PCGH793 - Field work  (3) (Okeosisi Jonathan)</t>
        </is>
      </c>
      <c r="K493" t="inlineStr">
        <is>
          <t>Field Visit and Data Collection</t>
        </is>
      </c>
      <c r="L493" t="b">
        <v>1</v>
      </c>
      <c r="M493" t="inlineStr">
        <is>
          <t>Billed at a Fixed price</t>
        </is>
      </c>
      <c r="N493" s="6">
        <f>IF(B493="","",IF(ISNUMBER(B493),TEXT(B493,"YYYY-MM"),LEFT(B493,7)))</f>
        <v/>
      </c>
    </row>
    <row r="494">
      <c r="A494" t="inlineStr">
        <is>
          <t>Mawuse Agblobi</t>
        </is>
      </c>
      <c r="B494" s="4" t="n">
        <v>46163</v>
      </c>
      <c r="C494" t="inlineStr">
        <is>
          <t>Time Off (1/1)</t>
        </is>
      </c>
      <c r="D494" t="inlineStr">
        <is>
          <t>Afua Serwah Akoto Prempeh</t>
        </is>
      </c>
      <c r="E494" t="inlineStr">
        <is>
          <t>Mawuse Agblobi</t>
        </is>
      </c>
      <c r="F494" s="5" t="n">
        <v>46174.89994212963</v>
      </c>
      <c r="H494" t="inlineStr">
        <is>
          <t>Internal</t>
        </is>
      </c>
      <c r="I494" t="n">
        <v>8</v>
      </c>
      <c r="K494" t="inlineStr">
        <is>
          <t>Time Off</t>
        </is>
      </c>
      <c r="L494" t="b">
        <v>0</v>
      </c>
      <c r="M494" t="inlineStr">
        <is>
          <t>Non-Billable</t>
        </is>
      </c>
      <c r="N494" s="6">
        <f>IF(B494="","",IF(ISNUMBER(B494),TEXT(B494,"YYYY-MM"),LEFT(B494,7)))</f>
        <v/>
      </c>
    </row>
    <row r="495">
      <c r="A495" t="inlineStr">
        <is>
          <t>Augustus Asamoah</t>
        </is>
      </c>
      <c r="B495" s="4" t="n">
        <v>46163</v>
      </c>
      <c r="C495" t="inlineStr">
        <is>
          <t>/</t>
        </is>
      </c>
      <c r="D495" t="inlineStr">
        <is>
          <t>Augustus Asamoah</t>
        </is>
      </c>
      <c r="E495" t="inlineStr">
        <is>
          <t>Augustus Asamoah</t>
        </is>
      </c>
      <c r="F495" s="5" t="n">
        <v>46174.36645833333</v>
      </c>
      <c r="H495" t="inlineStr">
        <is>
          <t>P13QC00A00 - EFI Programme</t>
        </is>
      </c>
      <c r="I495" t="n">
        <v>8</v>
      </c>
      <c r="L495" t="b">
        <v>0</v>
      </c>
      <c r="M495" t="inlineStr">
        <is>
          <t>Non-Billable</t>
        </is>
      </c>
      <c r="N495" s="6">
        <f>IF(B495="","",IF(ISNUMBER(B495),TEXT(B495,"YYYY-MM"),LEFT(B495,7)))</f>
        <v/>
      </c>
    </row>
    <row r="496">
      <c r="A496" t="inlineStr">
        <is>
          <t>Clement Obeng-Manu</t>
        </is>
      </c>
      <c r="B496" s="4" t="n">
        <v>46163</v>
      </c>
      <c r="C496" t="inlineStr">
        <is>
          <t>/</t>
        </is>
      </c>
      <c r="D496" t="inlineStr">
        <is>
          <t>Clement Obeng-Manu</t>
        </is>
      </c>
      <c r="E496" t="inlineStr">
        <is>
          <t>Clement Obeng-Manu</t>
        </is>
      </c>
      <c r="F496" s="5" t="n">
        <v>46173.7619212963</v>
      </c>
      <c r="H496" t="inlineStr">
        <is>
          <t>PCGH793</t>
        </is>
      </c>
      <c r="I496" t="n">
        <v>8</v>
      </c>
      <c r="J496" t="inlineStr">
        <is>
          <t>PCGH793 - Desk Study (3) (Okeosisi Jonathan)</t>
        </is>
      </c>
      <c r="L496" t="b">
        <v>1</v>
      </c>
      <c r="M496" t="inlineStr">
        <is>
          <t>Billed at a Fixed price</t>
        </is>
      </c>
      <c r="N496" s="6">
        <f>IF(B496="","",IF(ISNUMBER(B496),TEXT(B496,"YYYY-MM"),LEFT(B496,7)))</f>
        <v/>
      </c>
    </row>
    <row r="497">
      <c r="A497" t="inlineStr">
        <is>
          <t>Abel Ansu</t>
        </is>
      </c>
      <c r="B497" s="4" t="n">
        <v>46163</v>
      </c>
      <c r="C497" t="inlineStr">
        <is>
          <t>Met the MTS committee at Gyesewobre to plan for lining and pegging. Also monitored lining and pegging at Aboagyaa (Bia Tano)</t>
        </is>
      </c>
      <c r="D497" t="inlineStr">
        <is>
          <t>Abel Ansu</t>
        </is>
      </c>
      <c r="E497" t="inlineStr">
        <is>
          <t>Abel Ansu</t>
        </is>
      </c>
      <c r="F497" s="5" t="n">
        <v>46168.48894675926</v>
      </c>
      <c r="H497" t="inlineStr">
        <is>
          <t>Internal</t>
        </is>
      </c>
      <c r="I497" t="n">
        <v>8</v>
      </c>
      <c r="K497" t="inlineStr">
        <is>
          <t>Meeting of MTS Committee</t>
        </is>
      </c>
      <c r="L497" t="b">
        <v>0</v>
      </c>
      <c r="M497" t="inlineStr">
        <is>
          <t>Non-Billable</t>
        </is>
      </c>
      <c r="N497" s="6">
        <f>IF(B497="","",IF(ISNUMBER(B497),TEXT(B497,"YYYY-MM"),LEFT(B497,7)))</f>
        <v/>
      </c>
    </row>
    <row r="498">
      <c r="A498" t="inlineStr">
        <is>
          <t>Helena Tetteh</t>
        </is>
      </c>
      <c r="B498" s="4" t="n">
        <v>46163</v>
      </c>
      <c r="C498" t="inlineStr">
        <is>
          <t>/</t>
        </is>
      </c>
      <c r="D498" t="inlineStr">
        <is>
          <t xml:space="preserve">Helena Tetteh </t>
        </is>
      </c>
      <c r="E498" t="inlineStr">
        <is>
          <t>Helena Tetteh</t>
        </is>
      </c>
      <c r="F498" s="5" t="n">
        <v>46168.44614583333</v>
      </c>
      <c r="H498" t="inlineStr">
        <is>
          <t>Non-Billable Tasks</t>
        </is>
      </c>
      <c r="I498" t="n">
        <v>8</v>
      </c>
      <c r="K498" t="inlineStr">
        <is>
          <t>Annual Leave</t>
        </is>
      </c>
      <c r="L498" t="b">
        <v>0</v>
      </c>
      <c r="M498" t="inlineStr">
        <is>
          <t>Non-Billable</t>
        </is>
      </c>
      <c r="N498" s="6">
        <f>IF(B498="","",IF(ISNUMBER(B498),TEXT(B498,"YYYY-MM"),LEFT(B498,7)))</f>
        <v/>
      </c>
    </row>
    <row r="499">
      <c r="A499" t="inlineStr">
        <is>
          <t>Louis Defo</t>
        </is>
      </c>
      <c r="B499" s="4" t="n">
        <v>46163</v>
      </c>
      <c r="C499" t="inlineStr">
        <is>
          <t>/</t>
        </is>
      </c>
      <c r="D499" t="inlineStr">
        <is>
          <t>Louis Defo</t>
        </is>
      </c>
      <c r="E499" t="inlineStr">
        <is>
          <t>Louis Defo</t>
        </is>
      </c>
      <c r="F499" s="5" t="n">
        <v>46164.6280787037</v>
      </c>
      <c r="H499" t="inlineStr">
        <is>
          <t>PCGH787</t>
        </is>
      </c>
      <c r="I499" t="n">
        <v>8</v>
      </c>
      <c r="J499" t="inlineStr">
        <is>
          <t>PCGH787 - Desk Study (3) (Proforest Limited(PCUK GBP))</t>
        </is>
      </c>
      <c r="L499" t="b">
        <v>1</v>
      </c>
      <c r="M499" t="inlineStr">
        <is>
          <t>Billed at a Fixed price</t>
        </is>
      </c>
      <c r="N499" s="6">
        <f>IF(B499="","",IF(ISNUMBER(B499),TEXT(B499,"YYYY-MM"),LEFT(B499,7)))</f>
        <v/>
      </c>
    </row>
    <row r="500">
      <c r="A500" t="inlineStr">
        <is>
          <t>Soro TCHEREGNIMIN</t>
        </is>
      </c>
      <c r="B500" s="4" t="n">
        <v>46163</v>
      </c>
      <c r="C500" t="inlineStr">
        <is>
          <t>Zuenoula field visit</t>
        </is>
      </c>
      <c r="D500" t="inlineStr">
        <is>
          <t>Soro TCHEREGNIMIN</t>
        </is>
      </c>
      <c r="E500" t="inlineStr">
        <is>
          <t>Soro TCHEREGNIMIN</t>
        </is>
      </c>
      <c r="F500" s="5" t="n">
        <v>46163.66304398148</v>
      </c>
      <c r="H500" t="inlineStr">
        <is>
          <t>PCGH779 - Cote d'Ivoire）</t>
        </is>
      </c>
      <c r="I500" t="n">
        <v>8</v>
      </c>
      <c r="J500" t="inlineStr">
        <is>
          <t>PCGH779 - Tree Planting Project (3) (Proforest Limited(PCUK GBP))</t>
        </is>
      </c>
      <c r="L500" t="b">
        <v>1</v>
      </c>
      <c r="M500" t="inlineStr">
        <is>
          <t>Billed at a Fixed price</t>
        </is>
      </c>
      <c r="N500" s="6">
        <f>IF(B500="","",IF(ISNUMBER(B500),TEXT(B500,"YYYY-MM"),LEFT(B500,7)))</f>
        <v/>
      </c>
    </row>
    <row r="501">
      <c r="A501" t="inlineStr">
        <is>
          <t>Patricia Offei</t>
        </is>
      </c>
      <c r="B501" s="4" t="n">
        <v>46163</v>
      </c>
      <c r="C501" t="inlineStr">
        <is>
          <t>/</t>
        </is>
      </c>
      <c r="D501" t="inlineStr">
        <is>
          <t>Patricia Offei</t>
        </is>
      </c>
      <c r="E501" t="inlineStr">
        <is>
          <t>Patricia Offei</t>
        </is>
      </c>
      <c r="F501" s="5" t="n">
        <v>46162.60622685185</v>
      </c>
      <c r="H501" t="inlineStr">
        <is>
          <t>PCGH779 - Cote d'Ivoire）</t>
        </is>
      </c>
      <c r="I501" t="n">
        <v>8</v>
      </c>
      <c r="J501" t="inlineStr">
        <is>
          <t>PCGH779 - Tree Planting Project (3) (Proforest Limited(PCUK GBP))</t>
        </is>
      </c>
      <c r="K501" t="inlineStr">
        <is>
          <t>WS 15.1: Tree Planting &amp; Biodiversity Conservation</t>
        </is>
      </c>
      <c r="L501" t="b">
        <v>1</v>
      </c>
      <c r="M501" t="inlineStr">
        <is>
          <t>Billed at a Fixed price</t>
        </is>
      </c>
      <c r="N501" s="6">
        <f>IF(B501="","",IF(ISNUMBER(B501),TEXT(B501,"YYYY-MM"),LEFT(B501,7)))</f>
        <v/>
      </c>
    </row>
    <row r="502">
      <c r="A502" t="inlineStr">
        <is>
          <t>Daleba Bernard Kpenahi Raymond</t>
        </is>
      </c>
      <c r="B502" s="4" t="n">
        <v>46163</v>
      </c>
      <c r="C502" t="inlineStr">
        <is>
          <t>/</t>
        </is>
      </c>
      <c r="D502" t="inlineStr">
        <is>
          <t>Daleba Bernard Kpenahi Raymond</t>
        </is>
      </c>
      <c r="E502" t="inlineStr">
        <is>
          <t>Michael Anim</t>
        </is>
      </c>
      <c r="F502" s="5" t="n">
        <v>46163.52895833334</v>
      </c>
      <c r="H502" t="inlineStr">
        <is>
          <t>PCGH779 - Cote d'Ivoire）</t>
        </is>
      </c>
      <c r="I502" t="n">
        <v>8</v>
      </c>
      <c r="J502" t="inlineStr">
        <is>
          <t>PCGH779 - Tree Planting Project (3) (Proforest Limited(PCUK GBP))</t>
        </is>
      </c>
      <c r="L502" t="b">
        <v>1</v>
      </c>
      <c r="M502" t="inlineStr">
        <is>
          <t>Billed at a Fixed price</t>
        </is>
      </c>
      <c r="N502" s="6">
        <f>IF(B502="","",IF(ISNUMBER(B502),TEXT(B502,"YYYY-MM"),LEFT(B502,7)))</f>
        <v/>
      </c>
    </row>
    <row r="503">
      <c r="A503" t="inlineStr">
        <is>
          <t>Afua Serwah Akoto Prempeh</t>
        </is>
      </c>
      <c r="B503" s="4" t="n">
        <v>46162</v>
      </c>
      <c r="C503" t="inlineStr">
        <is>
          <t>/</t>
        </is>
      </c>
      <c r="D503" t="inlineStr">
        <is>
          <t>Afua Serwah Akoto Prempeh</t>
        </is>
      </c>
      <c r="E503" t="inlineStr">
        <is>
          <t>Afua Serwah Akoto Prempeh</t>
        </is>
      </c>
      <c r="F503" s="5" t="n">
        <v>46204.56060185185</v>
      </c>
      <c r="H503" t="inlineStr">
        <is>
          <t>Non-Billable Tasks</t>
        </is>
      </c>
      <c r="I503" t="n">
        <v>8</v>
      </c>
      <c r="L503" t="b">
        <v>0</v>
      </c>
      <c r="M503" t="inlineStr">
        <is>
          <t>Non-Billable</t>
        </is>
      </c>
      <c r="N503" s="6">
        <f>IF(B503="","",IF(ISNUMBER(B503),TEXT(B503,"YYYY-MM"),LEFT(B503,7)))</f>
        <v/>
      </c>
    </row>
    <row r="504">
      <c r="A504" t="inlineStr">
        <is>
          <t>Frederick Antwi</t>
        </is>
      </c>
      <c r="B504" s="4" t="n">
        <v>46162</v>
      </c>
      <c r="C504" t="inlineStr">
        <is>
          <t>/</t>
        </is>
      </c>
      <c r="D504" t="inlineStr">
        <is>
          <t>Frederick Antwi</t>
        </is>
      </c>
      <c r="E504" t="inlineStr">
        <is>
          <t>Frederick Antwi</t>
        </is>
      </c>
      <c r="F504" s="5" t="n">
        <v>46195.44831018519</v>
      </c>
      <c r="H504" t="inlineStr">
        <is>
          <t>PCGH790 - Nestle Soy Support</t>
        </is>
      </c>
      <c r="I504" t="n">
        <v>6</v>
      </c>
      <c r="J504" t="inlineStr">
        <is>
          <t>PCGH790 - Desk Study (3) (Proforest Limited(PCUK USD))</t>
        </is>
      </c>
      <c r="L504" t="b">
        <v>1</v>
      </c>
      <c r="M504" t="inlineStr">
        <is>
          <t>Billed at a Fixed price</t>
        </is>
      </c>
      <c r="N504" s="6">
        <f>IF(B504="","",IF(ISNUMBER(B504),TEXT(B504,"YYYY-MM"),LEFT(B504,7)))</f>
        <v/>
      </c>
    </row>
    <row r="505">
      <c r="A505" t="inlineStr">
        <is>
          <t>Frederick Antwi</t>
        </is>
      </c>
      <c r="B505" s="4" t="n">
        <v>46162</v>
      </c>
      <c r="C505" t="inlineStr">
        <is>
          <t>/</t>
        </is>
      </c>
      <c r="D505" t="inlineStr">
        <is>
          <t>Frederick Antwi</t>
        </is>
      </c>
      <c r="E505" t="inlineStr">
        <is>
          <t>Frederick Antwi</t>
        </is>
      </c>
      <c r="F505" s="5" t="n">
        <v>46195.44811342593</v>
      </c>
      <c r="H505" t="inlineStr">
        <is>
          <t>P13NC00A00 - WALMART II</t>
        </is>
      </c>
      <c r="I505" t="n">
        <v>2</v>
      </c>
      <c r="L505" t="b">
        <v>0</v>
      </c>
      <c r="M505" t="inlineStr">
        <is>
          <t>Non-Billable</t>
        </is>
      </c>
      <c r="N505" s="6">
        <f>IF(B505="","",IF(ISNUMBER(B505),TEXT(B505,"YYYY-MM"),LEFT(B505,7)))</f>
        <v/>
      </c>
    </row>
    <row r="506">
      <c r="A506" t="inlineStr">
        <is>
          <t>Stephen Doso</t>
        </is>
      </c>
      <c r="B506" s="4" t="n">
        <v>46162</v>
      </c>
      <c r="C506" t="inlineStr">
        <is>
          <t>/</t>
        </is>
      </c>
      <c r="D506" t="inlineStr">
        <is>
          <t>Stephen Doso</t>
        </is>
      </c>
      <c r="E506" t="inlineStr">
        <is>
          <t>Michael Anim</t>
        </is>
      </c>
      <c r="F506" s="5" t="n">
        <v>46184.40152777778</v>
      </c>
      <c r="H506" t="inlineStr">
        <is>
          <t>PCGH793</t>
        </is>
      </c>
      <c r="I506" t="n">
        <v>8</v>
      </c>
      <c r="J506" t="inlineStr">
        <is>
          <t>PCGH793 - Field work  (3) (Okeosisi Jonathan)</t>
        </is>
      </c>
      <c r="K506" t="inlineStr">
        <is>
          <t>Field Visit and Data Collection</t>
        </is>
      </c>
      <c r="L506" t="b">
        <v>1</v>
      </c>
      <c r="M506" t="inlineStr">
        <is>
          <t>Billed at a Fixed price</t>
        </is>
      </c>
      <c r="N506" s="6">
        <f>IF(B506="","",IF(ISNUMBER(B506),TEXT(B506,"YYYY-MM"),LEFT(B506,7)))</f>
        <v/>
      </c>
    </row>
    <row r="507">
      <c r="A507" t="inlineStr">
        <is>
          <t>Kwadwo Baniako Nti</t>
        </is>
      </c>
      <c r="B507" s="4" t="n">
        <v>46162</v>
      </c>
      <c r="C507" t="inlineStr">
        <is>
          <t>/</t>
        </is>
      </c>
      <c r="D507" t="inlineStr">
        <is>
          <t>Kwadwo Baniako Nti</t>
        </is>
      </c>
      <c r="E507" t="inlineStr">
        <is>
          <t>Kwadwo Baniako Nti</t>
        </is>
      </c>
      <c r="F507" s="5" t="n">
        <v>46181.52976851852</v>
      </c>
      <c r="G507" t="inlineStr">
        <is>
          <t>Training and Capacity Building</t>
        </is>
      </c>
      <c r="H507" t="inlineStr">
        <is>
          <t>PCGH762 - GVL HCSA Restoration Project</t>
        </is>
      </c>
      <c r="I507" t="n">
        <v>4</v>
      </c>
      <c r="J507" t="inlineStr">
        <is>
          <t>PCGH762 - Training and Capacity Building (Golden Veroleum Liberia)</t>
        </is>
      </c>
      <c r="K507" t="inlineStr">
        <is>
          <t>Training and Capacity Building</t>
        </is>
      </c>
      <c r="L507" t="b">
        <v>1</v>
      </c>
      <c r="M507" t="inlineStr">
        <is>
          <t>Billed at a Fixed price</t>
        </is>
      </c>
      <c r="N507" s="6">
        <f>IF(B507="","",IF(ISNUMBER(B507),TEXT(B507,"YYYY-MM"),LEFT(B507,7)))</f>
        <v/>
      </c>
    </row>
    <row r="508">
      <c r="A508" t="inlineStr">
        <is>
          <t>Kwadwo Baniako Nti</t>
        </is>
      </c>
      <c r="B508" s="4" t="n">
        <v>46162</v>
      </c>
      <c r="C508" t="inlineStr">
        <is>
          <t>/</t>
        </is>
      </c>
      <c r="D508" t="inlineStr">
        <is>
          <t>Kwadwo Baniako Nti</t>
        </is>
      </c>
      <c r="E508" t="inlineStr">
        <is>
          <t>Kwadwo Baniako Nti</t>
        </is>
      </c>
      <c r="F508" s="5" t="n">
        <v>46181.52971064814</v>
      </c>
      <c r="G508" t="inlineStr">
        <is>
          <t>Communication and Other Materials</t>
        </is>
      </c>
      <c r="H508" t="inlineStr">
        <is>
          <t>PCGH762 - GVL HCSA Restoration Project</t>
        </is>
      </c>
      <c r="I508" t="n">
        <v>4</v>
      </c>
      <c r="J508" t="inlineStr">
        <is>
          <t>PCGH762 - Communication and Other Materials (Golden Veroleum Liberia)</t>
        </is>
      </c>
      <c r="K508" t="inlineStr">
        <is>
          <t>Communication and Other Materials</t>
        </is>
      </c>
      <c r="L508" t="b">
        <v>1</v>
      </c>
      <c r="M508" t="inlineStr">
        <is>
          <t>Billed at a Fixed price</t>
        </is>
      </c>
      <c r="N508" s="6">
        <f>IF(B508="","",IF(ISNUMBER(B508),TEXT(B508,"YYYY-MM"),LEFT(B508,7)))</f>
        <v/>
      </c>
    </row>
    <row r="509">
      <c r="A509" t="inlineStr">
        <is>
          <t>Augustus Asamoah</t>
        </is>
      </c>
      <c r="B509" s="4" t="n">
        <v>46162</v>
      </c>
      <c r="C509" t="inlineStr">
        <is>
          <t>/</t>
        </is>
      </c>
      <c r="D509" t="inlineStr">
        <is>
          <t>Augustus Asamoah</t>
        </is>
      </c>
      <c r="E509" t="inlineStr">
        <is>
          <t>Augustus Asamoah</t>
        </is>
      </c>
      <c r="F509" s="5" t="n">
        <v>46174.36644675926</v>
      </c>
      <c r="H509" t="inlineStr">
        <is>
          <t>P13QC00A00 - EFI Programme</t>
        </is>
      </c>
      <c r="I509" t="n">
        <v>8</v>
      </c>
      <c r="L509" t="b">
        <v>0</v>
      </c>
      <c r="M509" t="inlineStr">
        <is>
          <t>Non-Billable</t>
        </is>
      </c>
      <c r="N509" s="6">
        <f>IF(B509="","",IF(ISNUMBER(B509),TEXT(B509,"YYYY-MM"),LEFT(B509,7)))</f>
        <v/>
      </c>
    </row>
    <row r="510">
      <c r="A510" t="inlineStr">
        <is>
          <t>Clement Obeng-Manu</t>
        </is>
      </c>
      <c r="B510" s="4" t="n">
        <v>46162</v>
      </c>
      <c r="C510" t="inlineStr">
        <is>
          <t>/</t>
        </is>
      </c>
      <c r="D510" t="inlineStr">
        <is>
          <t>Clement Obeng-Manu</t>
        </is>
      </c>
      <c r="E510" t="inlineStr">
        <is>
          <t>Clement Obeng-Manu</t>
        </is>
      </c>
      <c r="F510" s="5" t="n">
        <v>46173.76189814815</v>
      </c>
      <c r="H510" t="inlineStr">
        <is>
          <t>PCGH793</t>
        </is>
      </c>
      <c r="I510" t="n">
        <v>8</v>
      </c>
      <c r="J510" t="inlineStr">
        <is>
          <t>PCGH793 - Desk Study (3) (Okeosisi Jonathan)</t>
        </is>
      </c>
      <c r="L510" t="b">
        <v>1</v>
      </c>
      <c r="M510" t="inlineStr">
        <is>
          <t>Billed at a Fixed price</t>
        </is>
      </c>
      <c r="N510" s="6">
        <f>IF(B510="","",IF(ISNUMBER(B510),TEXT(B510,"YYYY-MM"),LEFT(B510,7)))</f>
        <v/>
      </c>
    </row>
    <row r="511">
      <c r="A511" t="inlineStr">
        <is>
          <t>Abel Ansu</t>
        </is>
      </c>
      <c r="B511" s="4" t="n">
        <v>46162</v>
      </c>
      <c r="C511" t="inlineStr">
        <is>
          <t>Monitored lining and pegging at Tokrom &amp; Kensere (Goa shelter) and Gambia (Bia shelter)</t>
        </is>
      </c>
      <c r="D511" t="inlineStr">
        <is>
          <t>Abel Ansu</t>
        </is>
      </c>
      <c r="E511" t="inlineStr">
        <is>
          <t>Abel Ansu</t>
        </is>
      </c>
      <c r="F511" s="5" t="n">
        <v>46168.48783564815</v>
      </c>
      <c r="H511" t="inlineStr">
        <is>
          <t>Internal</t>
        </is>
      </c>
      <c r="I511" t="n">
        <v>8</v>
      </c>
      <c r="K511" t="inlineStr">
        <is>
          <t>Monitored ongoing lining and pegging for MTS</t>
        </is>
      </c>
      <c r="L511" t="b">
        <v>0</v>
      </c>
      <c r="M511" t="inlineStr">
        <is>
          <t>Non-Billable</t>
        </is>
      </c>
      <c r="N511" s="6">
        <f>IF(B511="","",IF(ISNUMBER(B511),TEXT(B511,"YYYY-MM"),LEFT(B511,7)))</f>
        <v/>
      </c>
    </row>
    <row r="512">
      <c r="A512" t="inlineStr">
        <is>
          <t>Helena Tetteh</t>
        </is>
      </c>
      <c r="B512" s="4" t="n">
        <v>46162</v>
      </c>
      <c r="C512" t="inlineStr">
        <is>
          <t>/</t>
        </is>
      </c>
      <c r="D512" t="inlineStr">
        <is>
          <t xml:space="preserve">Helena Tetteh </t>
        </is>
      </c>
      <c r="E512" t="inlineStr">
        <is>
          <t>Helena Tetteh</t>
        </is>
      </c>
      <c r="F512" s="5" t="n">
        <v>46168.44611111111</v>
      </c>
      <c r="H512" t="inlineStr">
        <is>
          <t>Non-Billable Tasks</t>
        </is>
      </c>
      <c r="I512" t="n">
        <v>8</v>
      </c>
      <c r="K512" t="inlineStr">
        <is>
          <t>Annual Leave</t>
        </is>
      </c>
      <c r="L512" t="b">
        <v>0</v>
      </c>
      <c r="M512" t="inlineStr">
        <is>
          <t>Non-Billable</t>
        </is>
      </c>
      <c r="N512" s="6">
        <f>IF(B512="","",IF(ISNUMBER(B512),TEXT(B512,"YYYY-MM"),LEFT(B512,7)))</f>
        <v/>
      </c>
    </row>
    <row r="513">
      <c r="A513" t="inlineStr">
        <is>
          <t>Louis Defo</t>
        </is>
      </c>
      <c r="B513" s="4" t="n">
        <v>46162</v>
      </c>
      <c r="C513" t="inlineStr">
        <is>
          <t>/</t>
        </is>
      </c>
      <c r="D513" t="inlineStr">
        <is>
          <t>Louis Defo</t>
        </is>
      </c>
      <c r="E513" t="inlineStr">
        <is>
          <t>Louis Defo</t>
        </is>
      </c>
      <c r="F513" s="5" t="n">
        <v>46164.62787037037</v>
      </c>
      <c r="H513" t="inlineStr">
        <is>
          <t>Non-Billable Tasks</t>
        </is>
      </c>
      <c r="I513" t="n">
        <v>8</v>
      </c>
      <c r="L513" t="b">
        <v>0</v>
      </c>
      <c r="M513" t="inlineStr">
        <is>
          <t>Non-Billable</t>
        </is>
      </c>
      <c r="N513" s="6">
        <f>IF(B513="","",IF(ISNUMBER(B513),TEXT(B513,"YYYY-MM"),LEFT(B513,7)))</f>
        <v/>
      </c>
    </row>
    <row r="514">
      <c r="A514" t="inlineStr">
        <is>
          <t>Soro TCHEREGNIMIN</t>
        </is>
      </c>
      <c r="B514" s="4" t="n">
        <v>46162</v>
      </c>
      <c r="C514" t="inlineStr">
        <is>
          <t>/</t>
        </is>
      </c>
      <c r="D514" t="inlineStr">
        <is>
          <t>Soro TCHEREGNIMIN</t>
        </is>
      </c>
      <c r="E514" t="inlineStr">
        <is>
          <t>Soro TCHEREGNIMIN</t>
        </is>
      </c>
      <c r="F514" s="5" t="n">
        <v>46163.66417824074</v>
      </c>
      <c r="H514" t="inlineStr">
        <is>
          <t>PCGH779 - Cote d'Ivoire）</t>
        </is>
      </c>
      <c r="I514" t="n">
        <v>8</v>
      </c>
      <c r="J514" t="inlineStr">
        <is>
          <t>PCGH779 - Tree Planting Project (3) (Proforest Limited(PCUK GBP))</t>
        </is>
      </c>
      <c r="L514" t="b">
        <v>1</v>
      </c>
      <c r="M514" t="inlineStr">
        <is>
          <t>Billed at a Fixed price</t>
        </is>
      </c>
      <c r="N514" s="6">
        <f>IF(B514="","",IF(ISNUMBER(B514),TEXT(B514,"YYYY-MM"),LEFT(B514,7)))</f>
        <v/>
      </c>
    </row>
    <row r="515">
      <c r="A515" t="inlineStr">
        <is>
          <t>James Parker Mckeown</t>
        </is>
      </c>
      <c r="B515" s="4" t="n">
        <v>46162</v>
      </c>
      <c r="C515" t="inlineStr">
        <is>
          <t xml:space="preserve">Staff Utilization Review </t>
        </is>
      </c>
      <c r="D515" t="inlineStr">
        <is>
          <t>James Parker Mckeown</t>
        </is>
      </c>
      <c r="E515" t="inlineStr">
        <is>
          <t>James Parker Mckeown</t>
        </is>
      </c>
      <c r="F515" s="5" t="n">
        <v>46162.85168981482</v>
      </c>
      <c r="H515" t="inlineStr">
        <is>
          <t>Non-Billable Tasks</t>
        </is>
      </c>
      <c r="I515" t="n">
        <v>2.5</v>
      </c>
      <c r="K515" t="inlineStr">
        <is>
          <t>Senior Management Activities</t>
        </is>
      </c>
      <c r="L515" t="b">
        <v>0</v>
      </c>
      <c r="M515" t="inlineStr">
        <is>
          <t>Non-Billable</t>
        </is>
      </c>
      <c r="N515" s="6">
        <f>IF(B515="","",IF(ISNUMBER(B515),TEXT(B515,"YYYY-MM"),LEFT(B515,7)))</f>
        <v/>
      </c>
    </row>
    <row r="516">
      <c r="A516" t="inlineStr">
        <is>
          <t>James Parker Mckeown</t>
        </is>
      </c>
      <c r="B516" s="4" t="n">
        <v>46162</v>
      </c>
      <c r="C516" t="inlineStr">
        <is>
          <t>ISEAL partner workshop - coordination</t>
        </is>
      </c>
      <c r="D516" t="inlineStr">
        <is>
          <t>James Parker Mckeown</t>
        </is>
      </c>
      <c r="E516" t="inlineStr">
        <is>
          <t>James Parker Mckeown</t>
        </is>
      </c>
      <c r="F516" s="5" t="n">
        <v>46162.8509375</v>
      </c>
      <c r="G516" t="inlineStr">
        <is>
          <t>Output 2.3</t>
        </is>
      </c>
      <c r="H516" t="inlineStr">
        <is>
          <t>P23AC00C00 - FGMC</t>
        </is>
      </c>
      <c r="I516" t="n">
        <v>1</v>
      </c>
      <c r="K516" t="inlineStr">
        <is>
          <t>P23AC22A00 - Output Two (Elevating Local Solutions - West Africa)</t>
        </is>
      </c>
      <c r="L516" t="b">
        <v>0</v>
      </c>
      <c r="M516" t="inlineStr">
        <is>
          <t>Non-Billable</t>
        </is>
      </c>
      <c r="N516" s="6">
        <f>IF(B516="","",IF(ISNUMBER(B516),TEXT(B516,"YYYY-MM"),LEFT(B516,7)))</f>
        <v/>
      </c>
    </row>
    <row r="517">
      <c r="A517" t="inlineStr">
        <is>
          <t>James Parker Mckeown</t>
        </is>
      </c>
      <c r="B517" s="4" t="n">
        <v>46162</v>
      </c>
      <c r="C517" t="inlineStr">
        <is>
          <t>PCGH and PICH BIP - Harmonisation of critical actions relating to Policy and Regulation</t>
        </is>
      </c>
      <c r="D517" t="inlineStr">
        <is>
          <t>James Parker Mckeown</t>
        </is>
      </c>
      <c r="E517" t="inlineStr">
        <is>
          <t>James Parker Mckeown</t>
        </is>
      </c>
      <c r="F517" s="5" t="n">
        <v>46162.85038194444</v>
      </c>
      <c r="H517" t="inlineStr">
        <is>
          <t>Non-Billable Tasks</t>
        </is>
      </c>
      <c r="I517" t="n">
        <v>1</v>
      </c>
      <c r="K517" t="inlineStr">
        <is>
          <t>BIP MSI Mapping Exercise</t>
        </is>
      </c>
      <c r="L517" t="b">
        <v>0</v>
      </c>
      <c r="M517" t="inlineStr">
        <is>
          <t>Non-Billable</t>
        </is>
      </c>
      <c r="N517" s="6">
        <f>IF(B517="","",IF(ISNUMBER(B517),TEXT(B517,"YYYY-MM"),LEFT(B517,7)))</f>
        <v/>
      </c>
    </row>
    <row r="518">
      <c r="A518" t="inlineStr">
        <is>
          <t>James Parker Mckeown</t>
        </is>
      </c>
      <c r="B518" s="4" t="n">
        <v>46162</v>
      </c>
      <c r="C518" t="inlineStr">
        <is>
          <t>ISEAL-PF-BMRC country analysis</t>
        </is>
      </c>
      <c r="D518" t="inlineStr">
        <is>
          <t>James Parker Mckeown</t>
        </is>
      </c>
      <c r="E518" t="inlineStr">
        <is>
          <t>James Parker Mckeown</t>
        </is>
      </c>
      <c r="F518" s="5" t="n">
        <v>46162.84983796296</v>
      </c>
      <c r="G518" t="inlineStr">
        <is>
          <t>Output 3</t>
        </is>
      </c>
      <c r="H518" t="inlineStr">
        <is>
          <t>P23AC00C00 - FGMC</t>
        </is>
      </c>
      <c r="I518" t="n">
        <v>1</v>
      </c>
      <c r="K518" t="inlineStr">
        <is>
          <t>P23AC13A00 - Output one (Demand Side Analysis and Policy Intergration.</t>
        </is>
      </c>
      <c r="L518" t="b">
        <v>0</v>
      </c>
      <c r="M518" t="inlineStr">
        <is>
          <t>Non-Billable</t>
        </is>
      </c>
      <c r="N518" s="6">
        <f>IF(B518="","",IF(ISNUMBER(B518),TEXT(B518,"YYYY-MM"),LEFT(B518,7)))</f>
        <v/>
      </c>
    </row>
    <row r="519">
      <c r="A519" t="inlineStr">
        <is>
          <t>James Parker Mckeown</t>
        </is>
      </c>
      <c r="B519" s="4" t="n">
        <v>46162</v>
      </c>
      <c r="C519" t="inlineStr">
        <is>
          <t>Checking in on the Ghana impact studies</t>
        </is>
      </c>
      <c r="D519" t="inlineStr">
        <is>
          <t>James Parker Mckeown</t>
        </is>
      </c>
      <c r="E519" t="inlineStr">
        <is>
          <t>James Parker Mckeown</t>
        </is>
      </c>
      <c r="F519" s="5" t="n">
        <v>46162.84259259259</v>
      </c>
      <c r="H519" t="inlineStr">
        <is>
          <t>PCGH786 - Impact Level Baseline assessment for FGMC</t>
        </is>
      </c>
      <c r="I519" t="n">
        <v>0</v>
      </c>
      <c r="J519" t="inlineStr">
        <is>
          <t>PCGH786 - Analysis and Reporting (3) (NIRAS Group (UK) Ltd)</t>
        </is>
      </c>
      <c r="K519" t="inlineStr">
        <is>
          <t>Analysis and Reporting (3)</t>
        </is>
      </c>
      <c r="L519" t="b">
        <v>1</v>
      </c>
      <c r="M519" t="inlineStr">
        <is>
          <t>Billed at a Fixed price</t>
        </is>
      </c>
      <c r="N519" s="6">
        <f>IF(B519="","",IF(ISNUMBER(B519),TEXT(B519,"YYYY-MM"),LEFT(B519,7)))</f>
        <v/>
      </c>
    </row>
    <row r="520">
      <c r="A520" t="inlineStr">
        <is>
          <t>Ekow Nyamekye Tawiah</t>
        </is>
      </c>
      <c r="B520" s="4" t="n">
        <v>46162</v>
      </c>
      <c r="C520" t="inlineStr">
        <is>
          <t>Review of QP comments for Borotou Koro</t>
        </is>
      </c>
      <c r="D520" t="inlineStr">
        <is>
          <t>Ekow Nyamekye Tawiah</t>
        </is>
      </c>
      <c r="E520" t="inlineStr">
        <is>
          <t>Ekow Nyamekye Tawiah</t>
        </is>
      </c>
      <c r="F520" s="5" t="n">
        <v>46162.83258101852</v>
      </c>
      <c r="H520" t="inlineStr">
        <is>
          <t>PCGH722</t>
        </is>
      </c>
      <c r="I520" t="n">
        <v>4</v>
      </c>
      <c r="J520" t="inlineStr">
        <is>
          <t>PCGH722 - Analysis and Reporting (3) (Sucrivoire SA)</t>
        </is>
      </c>
      <c r="K520" t="inlineStr">
        <is>
          <t>Analysis and Reporting (3)</t>
        </is>
      </c>
      <c r="L520" t="b">
        <v>1</v>
      </c>
      <c r="M520" t="inlineStr">
        <is>
          <t>Billed at a Fixed price</t>
        </is>
      </c>
      <c r="N520" s="6">
        <f>IF(B520="","",IF(ISNUMBER(B520),TEXT(B520,"YYYY-MM"),LEFT(B520,7)))</f>
        <v/>
      </c>
    </row>
    <row r="521">
      <c r="A521" t="inlineStr">
        <is>
          <t>Patricia Offei</t>
        </is>
      </c>
      <c r="B521" s="4" t="n">
        <v>46162</v>
      </c>
      <c r="C521" t="inlineStr">
        <is>
          <t>Zuenoula Site visit</t>
        </is>
      </c>
      <c r="D521" t="inlineStr">
        <is>
          <t>Patricia Offei</t>
        </is>
      </c>
      <c r="E521" t="inlineStr">
        <is>
          <t>Patricia Offei</t>
        </is>
      </c>
      <c r="F521" s="5" t="n">
        <v>46162.6062037037</v>
      </c>
      <c r="H521" t="inlineStr">
        <is>
          <t>PCGH779 - Cote d'Ivoire）</t>
        </is>
      </c>
      <c r="I521" t="n">
        <v>8</v>
      </c>
      <c r="J521" t="inlineStr">
        <is>
          <t>PCGH779 - Tree Planting Project (3) (Proforest Limited(PCUK GBP))</t>
        </is>
      </c>
      <c r="K521" t="inlineStr">
        <is>
          <t>WS 15.1: Tree Planting &amp; Biodiversity Conservation</t>
        </is>
      </c>
      <c r="L521" t="b">
        <v>1</v>
      </c>
      <c r="M521" t="inlineStr">
        <is>
          <t>Billed at a Fixed price</t>
        </is>
      </c>
      <c r="N521" s="6">
        <f>IF(B521="","",IF(ISNUMBER(B521),TEXT(B521,"YYYY-MM"),LEFT(B521,7)))</f>
        <v/>
      </c>
    </row>
    <row r="522">
      <c r="A522" t="inlineStr">
        <is>
          <t>Kingsley Fitz-Gerald Severine</t>
        </is>
      </c>
      <c r="B522" s="4" t="n">
        <v>46162</v>
      </c>
      <c r="C522" t="inlineStr">
        <is>
          <t>/</t>
        </is>
      </c>
      <c r="D522" t="inlineStr">
        <is>
          <t>Kingsley Fitz-Gerald Severine</t>
        </is>
      </c>
      <c r="E522" t="inlineStr">
        <is>
          <t>Kingsley Fitz-Gerald Severine</t>
        </is>
      </c>
      <c r="F522" s="5" t="n">
        <v>46162.55938657407</v>
      </c>
      <c r="H522" t="inlineStr">
        <is>
          <t>PCGH792</t>
        </is>
      </c>
      <c r="I522" t="n">
        <v>0</v>
      </c>
      <c r="J522" t="inlineStr">
        <is>
          <t>PCGH792 - Desk Study (3) (Okeosisi Jonathan)</t>
        </is>
      </c>
      <c r="L522" t="b">
        <v>1</v>
      </c>
      <c r="M522" t="inlineStr">
        <is>
          <t>Billed at a Fixed price</t>
        </is>
      </c>
      <c r="N522" s="6">
        <f>IF(B522="","",IF(ISNUMBER(B522),TEXT(B522,"YYYY-MM"),LEFT(B522,7)))</f>
        <v/>
      </c>
    </row>
    <row r="523">
      <c r="A523" t="inlineStr">
        <is>
          <t>Daleba Bernard Kpenahi Raymond</t>
        </is>
      </c>
      <c r="B523" s="4" t="n">
        <v>46162</v>
      </c>
      <c r="C523" t="inlineStr">
        <is>
          <t>/</t>
        </is>
      </c>
      <c r="D523" t="inlineStr">
        <is>
          <t>Daleba Bernard Kpenahi Raymond</t>
        </is>
      </c>
      <c r="E523" t="inlineStr">
        <is>
          <t>Michael Anim</t>
        </is>
      </c>
      <c r="F523" s="5" t="n">
        <v>46163.52905092593</v>
      </c>
      <c r="H523" t="inlineStr">
        <is>
          <t>PCGH779 - Cote d'Ivoire）</t>
        </is>
      </c>
      <c r="I523" t="n">
        <v>8</v>
      </c>
      <c r="J523" t="inlineStr">
        <is>
          <t>PCGH779 - Tree Planting Project (3) (Proforest Limited(PCUK GBP))</t>
        </is>
      </c>
      <c r="L523" t="b">
        <v>1</v>
      </c>
      <c r="M523" t="inlineStr">
        <is>
          <t>Billed at a Fixed price</t>
        </is>
      </c>
      <c r="N523" s="6">
        <f>IF(B523="","",IF(ISNUMBER(B523),TEXT(B523,"YYYY-MM"),LEFT(B523,7)))</f>
        <v/>
      </c>
    </row>
    <row r="524">
      <c r="A524" t="inlineStr">
        <is>
          <t>Afua Serwah Akoto Prempeh</t>
        </is>
      </c>
      <c r="B524" s="4" t="n">
        <v>46161</v>
      </c>
      <c r="C524" t="inlineStr">
        <is>
          <t>/</t>
        </is>
      </c>
      <c r="D524" t="inlineStr">
        <is>
          <t>Afua Serwah Akoto Prempeh</t>
        </is>
      </c>
      <c r="E524" t="inlineStr">
        <is>
          <t>Afua Serwah Akoto Prempeh</t>
        </is>
      </c>
      <c r="F524" s="5" t="n">
        <v>46204.56056712963</v>
      </c>
      <c r="H524" t="inlineStr">
        <is>
          <t>Non-Billable Tasks</t>
        </is>
      </c>
      <c r="I524" t="n">
        <v>8</v>
      </c>
      <c r="L524" t="b">
        <v>0</v>
      </c>
      <c r="M524" t="inlineStr">
        <is>
          <t>Non-Billable</t>
        </is>
      </c>
      <c r="N524" s="6">
        <f>IF(B524="","",IF(ISNUMBER(B524),TEXT(B524,"YYYY-MM"),LEFT(B524,7)))</f>
        <v/>
      </c>
    </row>
    <row r="525">
      <c r="A525" t="inlineStr">
        <is>
          <t>Frederick Antwi</t>
        </is>
      </c>
      <c r="B525" s="4" t="n">
        <v>46161</v>
      </c>
      <c r="C525" t="inlineStr">
        <is>
          <t>/</t>
        </is>
      </c>
      <c r="D525" t="inlineStr">
        <is>
          <t>Frederick Antwi</t>
        </is>
      </c>
      <c r="E525" t="inlineStr">
        <is>
          <t>Frederick Antwi</t>
        </is>
      </c>
      <c r="F525" s="5" t="n">
        <v>46195.44770833333</v>
      </c>
      <c r="H525" t="inlineStr">
        <is>
          <t>PCGH790 - Nestle Soy Support</t>
        </is>
      </c>
      <c r="I525" t="n">
        <v>7</v>
      </c>
      <c r="J525" t="inlineStr">
        <is>
          <t>PCGH790 - Desk Study (3) (Proforest Limited(PCUK USD))</t>
        </is>
      </c>
      <c r="L525" t="b">
        <v>1</v>
      </c>
      <c r="M525" t="inlineStr">
        <is>
          <t>Billed at a Fixed price</t>
        </is>
      </c>
      <c r="N525" s="6">
        <f>IF(B525="","",IF(ISNUMBER(B525),TEXT(B525,"YYYY-MM"),LEFT(B525,7)))</f>
        <v/>
      </c>
    </row>
    <row r="526">
      <c r="A526" t="inlineStr">
        <is>
          <t>Frederick Antwi</t>
        </is>
      </c>
      <c r="B526" s="4" t="n">
        <v>46161</v>
      </c>
      <c r="C526" t="inlineStr">
        <is>
          <t>/</t>
        </is>
      </c>
      <c r="D526" t="inlineStr">
        <is>
          <t>Frederick Antwi</t>
        </is>
      </c>
      <c r="E526" t="inlineStr">
        <is>
          <t>Frederick Antwi</t>
        </is>
      </c>
      <c r="F526" s="5" t="n">
        <v>46195.44724537037</v>
      </c>
      <c r="H526" t="inlineStr">
        <is>
          <t>P13PC00A00 - Private Sector Companies</t>
        </is>
      </c>
      <c r="I526" t="n">
        <v>1</v>
      </c>
      <c r="L526" t="b">
        <v>0</v>
      </c>
      <c r="M526" t="inlineStr">
        <is>
          <t>Non-Billable</t>
        </is>
      </c>
      <c r="N526" s="6">
        <f>IF(B526="","",IF(ISNUMBER(B526),TEXT(B526,"YYYY-MM"),LEFT(B526,7)))</f>
        <v/>
      </c>
    </row>
    <row r="527">
      <c r="A527" t="inlineStr">
        <is>
          <t>Stephen Doso</t>
        </is>
      </c>
      <c r="B527" s="4" t="n">
        <v>46161</v>
      </c>
      <c r="C527" t="inlineStr">
        <is>
          <t>/</t>
        </is>
      </c>
      <c r="D527" t="inlineStr">
        <is>
          <t>Stephen Doso</t>
        </is>
      </c>
      <c r="E527" t="inlineStr">
        <is>
          <t>Michael Anim</t>
        </is>
      </c>
      <c r="F527" s="5" t="n">
        <v>46184.40341435185</v>
      </c>
      <c r="H527" t="inlineStr">
        <is>
          <t>PCGH793</t>
        </is>
      </c>
      <c r="I527" t="n">
        <v>4</v>
      </c>
      <c r="J527" t="inlineStr">
        <is>
          <t>PCGH793 - Desk Study (3) (Okeosisi Jonathan)</t>
        </is>
      </c>
      <c r="K527" t="inlineStr">
        <is>
          <t>Pre - Assessment and desk-Based Review of documents</t>
        </is>
      </c>
      <c r="L527" t="b">
        <v>1</v>
      </c>
      <c r="M527" t="inlineStr">
        <is>
          <t>Billed at a Fixed price</t>
        </is>
      </c>
      <c r="N527" s="6">
        <f>IF(B527="","",IF(ISNUMBER(B527),TEXT(B527,"YYYY-MM"),LEFT(B527,7)))</f>
        <v/>
      </c>
    </row>
    <row r="528">
      <c r="A528" t="inlineStr">
        <is>
          <t>Kwadwo Baniako Nti</t>
        </is>
      </c>
      <c r="B528" s="4" t="n">
        <v>46161</v>
      </c>
      <c r="C528" t="inlineStr">
        <is>
          <t>/</t>
        </is>
      </c>
      <c r="D528" t="inlineStr">
        <is>
          <t>Kwadwo Baniako Nti</t>
        </is>
      </c>
      <c r="E528" t="inlineStr">
        <is>
          <t>Kwadwo Baniako Nti</t>
        </is>
      </c>
      <c r="F528" s="5" t="n">
        <v>46181.52975694444</v>
      </c>
      <c r="G528" t="inlineStr">
        <is>
          <t>Communication and Other Materials</t>
        </is>
      </c>
      <c r="H528" t="inlineStr">
        <is>
          <t>PCGH762 - GVL HCSA Restoration Project</t>
        </is>
      </c>
      <c r="I528" t="n">
        <v>4</v>
      </c>
      <c r="J528" t="inlineStr">
        <is>
          <t>PCGH762 - Communication and Other Materials (Golden Veroleum Liberia)</t>
        </is>
      </c>
      <c r="K528" t="inlineStr">
        <is>
          <t>Communication and Other Materials</t>
        </is>
      </c>
      <c r="L528" t="b">
        <v>1</v>
      </c>
      <c r="M528" t="inlineStr">
        <is>
          <t>Billed at a Fixed price</t>
        </is>
      </c>
      <c r="N528" s="6">
        <f>IF(B528="","",IF(ISNUMBER(B528),TEXT(B528,"YYYY-MM"),LEFT(B528,7)))</f>
        <v/>
      </c>
    </row>
    <row r="529">
      <c r="A529" t="inlineStr">
        <is>
          <t>Kwadwo Baniako Nti</t>
        </is>
      </c>
      <c r="B529" s="4" t="n">
        <v>46161</v>
      </c>
      <c r="C529" t="inlineStr">
        <is>
          <t>/</t>
        </is>
      </c>
      <c r="D529" t="inlineStr">
        <is>
          <t>Kwadwo Baniako Nti</t>
        </is>
      </c>
      <c r="E529" t="inlineStr">
        <is>
          <t>Kwadwo Baniako Nti</t>
        </is>
      </c>
      <c r="F529" s="5" t="n">
        <v>46181.52952546296</v>
      </c>
      <c r="G529" t="inlineStr">
        <is>
          <t>Training and Capacity Building</t>
        </is>
      </c>
      <c r="H529" t="inlineStr">
        <is>
          <t>PCGH762 - GVL HCSA Restoration Project</t>
        </is>
      </c>
      <c r="I529" t="n">
        <v>4</v>
      </c>
      <c r="J529" t="inlineStr">
        <is>
          <t>PCGH762 - Training and Capacity Building (Golden Veroleum Liberia)</t>
        </is>
      </c>
      <c r="K529" t="inlineStr">
        <is>
          <t>Training and Capacity Building</t>
        </is>
      </c>
      <c r="L529" t="b">
        <v>1</v>
      </c>
      <c r="M529" t="inlineStr">
        <is>
          <t>Billed at a Fixed price</t>
        </is>
      </c>
      <c r="N529" s="6">
        <f>IF(B529="","",IF(ISNUMBER(B529),TEXT(B529,"YYYY-MM"),LEFT(B529,7)))</f>
        <v/>
      </c>
    </row>
    <row r="530">
      <c r="A530" t="inlineStr">
        <is>
          <t>Augustus Asamoah</t>
        </is>
      </c>
      <c r="B530" s="4" t="n">
        <v>46161</v>
      </c>
      <c r="C530" t="inlineStr">
        <is>
          <t>/</t>
        </is>
      </c>
      <c r="D530" t="inlineStr">
        <is>
          <t>Augustus Asamoah</t>
        </is>
      </c>
      <c r="E530" t="inlineStr">
        <is>
          <t>Augustus Asamoah</t>
        </is>
      </c>
      <c r="F530" s="5" t="n">
        <v>46174.37053240741</v>
      </c>
      <c r="H530" t="inlineStr">
        <is>
          <t>P13PC00A00 - Private Sector Companies</t>
        </is>
      </c>
      <c r="I530" t="n">
        <v>3</v>
      </c>
      <c r="L530" t="b">
        <v>0</v>
      </c>
      <c r="M530" t="inlineStr">
        <is>
          <t>Non-Billable</t>
        </is>
      </c>
      <c r="N530" s="6">
        <f>IF(B530="","",IF(ISNUMBER(B530),TEXT(B530,"YYYY-MM"),LEFT(B530,7)))</f>
        <v/>
      </c>
    </row>
    <row r="531">
      <c r="A531" t="inlineStr">
        <is>
          <t>Augustus Asamoah</t>
        </is>
      </c>
      <c r="B531" s="4" t="n">
        <v>46161</v>
      </c>
      <c r="C531" t="inlineStr">
        <is>
          <t>/</t>
        </is>
      </c>
      <c r="D531" t="inlineStr">
        <is>
          <t>Augustus Asamoah</t>
        </is>
      </c>
      <c r="E531" t="inlineStr">
        <is>
          <t>Augustus Asamoah</t>
        </is>
      </c>
      <c r="F531" s="5" t="n">
        <v>46174.36994212963</v>
      </c>
      <c r="H531" t="inlineStr">
        <is>
          <t>Non-Billable Tasks</t>
        </is>
      </c>
      <c r="I531" t="n">
        <v>1</v>
      </c>
      <c r="L531" t="b">
        <v>0</v>
      </c>
      <c r="M531" t="inlineStr">
        <is>
          <t>Non-Billable</t>
        </is>
      </c>
      <c r="N531" s="6">
        <f>IF(B531="","",IF(ISNUMBER(B531),TEXT(B531,"YYYY-MM"),LEFT(B531,7)))</f>
        <v/>
      </c>
    </row>
    <row r="532">
      <c r="A532" t="inlineStr">
        <is>
          <t>Augustus Asamoah</t>
        </is>
      </c>
      <c r="B532" s="4" t="n">
        <v>46161</v>
      </c>
      <c r="C532" t="inlineStr">
        <is>
          <t>/</t>
        </is>
      </c>
      <c r="D532" t="inlineStr">
        <is>
          <t>Augustus Asamoah</t>
        </is>
      </c>
      <c r="E532" t="inlineStr">
        <is>
          <t>Augustus Asamoah</t>
        </is>
      </c>
      <c r="F532" s="5" t="n">
        <v>46174.36983796296</v>
      </c>
      <c r="H532" t="inlineStr">
        <is>
          <t>P13QC00A00 - EFI Programme</t>
        </is>
      </c>
      <c r="I532" t="n">
        <v>4</v>
      </c>
      <c r="L532" t="b">
        <v>0</v>
      </c>
      <c r="M532" t="inlineStr">
        <is>
          <t>Non-Billable</t>
        </is>
      </c>
      <c r="N532" s="6">
        <f>IF(B532="","",IF(ISNUMBER(B532),TEXT(B532,"YYYY-MM"),LEFT(B532,7)))</f>
        <v/>
      </c>
    </row>
    <row r="533">
      <c r="A533" t="inlineStr">
        <is>
          <t>Clement Obeng-Manu</t>
        </is>
      </c>
      <c r="B533" s="4" t="n">
        <v>46161</v>
      </c>
      <c r="C533" t="inlineStr">
        <is>
          <t>/</t>
        </is>
      </c>
      <c r="D533" t="inlineStr">
        <is>
          <t>Clement Obeng-Manu</t>
        </is>
      </c>
      <c r="E533" t="inlineStr">
        <is>
          <t>Clement Obeng-Manu</t>
        </is>
      </c>
      <c r="F533" s="5" t="n">
        <v>46173.761875</v>
      </c>
      <c r="H533" t="inlineStr">
        <is>
          <t>PCGH793</t>
        </is>
      </c>
      <c r="I533" t="n">
        <v>8</v>
      </c>
      <c r="J533" t="inlineStr">
        <is>
          <t>PCGH793 - Desk Study (3) (Okeosisi Jonathan)</t>
        </is>
      </c>
      <c r="L533" t="b">
        <v>1</v>
      </c>
      <c r="M533" t="inlineStr">
        <is>
          <t>Billed at a Fixed price</t>
        </is>
      </c>
      <c r="N533" s="6">
        <f>IF(B533="","",IF(ISNUMBER(B533),TEXT(B533,"YYYY-MM"),LEFT(B533,7)))</f>
        <v/>
      </c>
    </row>
    <row r="534">
      <c r="A534" t="inlineStr">
        <is>
          <t>Abel Ansu</t>
        </is>
      </c>
      <c r="B534" s="4" t="n">
        <v>46161</v>
      </c>
      <c r="C534" t="inlineStr">
        <is>
          <t>Checked up on ongoing lining and pegging at Gambia. Also inspected cleared land for MTS at Bediako</t>
        </is>
      </c>
      <c r="D534" t="inlineStr">
        <is>
          <t>Abel Ansu</t>
        </is>
      </c>
      <c r="E534" t="inlineStr">
        <is>
          <t>Abel Ansu</t>
        </is>
      </c>
      <c r="F534" s="5" t="n">
        <v>46168.48684027778</v>
      </c>
      <c r="H534" t="inlineStr">
        <is>
          <t>Internal</t>
        </is>
      </c>
      <c r="I534" t="n">
        <v>8</v>
      </c>
      <c r="K534" t="inlineStr">
        <is>
          <t>Monitored ongoing lining and pegging for MTS</t>
        </is>
      </c>
      <c r="L534" t="b">
        <v>0</v>
      </c>
      <c r="M534" t="inlineStr">
        <is>
          <t>Non-Billable</t>
        </is>
      </c>
      <c r="N534" s="6">
        <f>IF(B534="","",IF(ISNUMBER(B534),TEXT(B534,"YYYY-MM"),LEFT(B534,7)))</f>
        <v/>
      </c>
    </row>
    <row r="535">
      <c r="A535" t="inlineStr">
        <is>
          <t>Helena Tetteh</t>
        </is>
      </c>
      <c r="B535" s="4" t="n">
        <v>46161</v>
      </c>
      <c r="C535" t="inlineStr">
        <is>
          <t>/</t>
        </is>
      </c>
      <c r="D535" t="inlineStr">
        <is>
          <t xml:space="preserve">Helena Tetteh </t>
        </is>
      </c>
      <c r="E535" t="inlineStr">
        <is>
          <t>Helena Tetteh</t>
        </is>
      </c>
      <c r="F535" s="5" t="n">
        <v>46168.44608796296</v>
      </c>
      <c r="H535" t="inlineStr">
        <is>
          <t>Non-Billable Tasks</t>
        </is>
      </c>
      <c r="I535" t="n">
        <v>8</v>
      </c>
      <c r="K535" t="inlineStr">
        <is>
          <t>Annual Leave</t>
        </is>
      </c>
      <c r="L535" t="b">
        <v>0</v>
      </c>
      <c r="M535" t="inlineStr">
        <is>
          <t>Non-Billable</t>
        </is>
      </c>
      <c r="N535" s="6">
        <f>IF(B535="","",IF(ISNUMBER(B535),TEXT(B535,"YYYY-MM"),LEFT(B535,7)))</f>
        <v/>
      </c>
    </row>
    <row r="536">
      <c r="A536" t="inlineStr">
        <is>
          <t>Louis Defo</t>
        </is>
      </c>
      <c r="B536" s="4" t="n">
        <v>46161</v>
      </c>
      <c r="C536" t="inlineStr">
        <is>
          <t>/</t>
        </is>
      </c>
      <c r="D536" t="inlineStr">
        <is>
          <t>Louis Defo</t>
        </is>
      </c>
      <c r="E536" t="inlineStr">
        <is>
          <t>Louis Defo</t>
        </is>
      </c>
      <c r="F536" s="5" t="n">
        <v>46164.62689814815</v>
      </c>
      <c r="H536" t="inlineStr">
        <is>
          <t>PCGH787</t>
        </is>
      </c>
      <c r="I536" t="n">
        <v>8</v>
      </c>
      <c r="J536" t="inlineStr">
        <is>
          <t>PCGH787 - Desk Study (3) (Proforest Limited(PCUK GBP))</t>
        </is>
      </c>
      <c r="L536" t="b">
        <v>1</v>
      </c>
      <c r="M536" t="inlineStr">
        <is>
          <t>Billed at a Fixed price</t>
        </is>
      </c>
      <c r="N536" s="6">
        <f>IF(B536="","",IF(ISNUMBER(B536),TEXT(B536,"YYYY-MM"),LEFT(B536,7)))</f>
        <v/>
      </c>
    </row>
    <row r="537">
      <c r="A537" t="inlineStr">
        <is>
          <t>Soro TCHEREGNIMIN</t>
        </is>
      </c>
      <c r="B537" s="4" t="n">
        <v>46161</v>
      </c>
      <c r="C537" t="inlineStr">
        <is>
          <t>/</t>
        </is>
      </c>
      <c r="D537" t="inlineStr">
        <is>
          <t>Soro TCHEREGNIMIN</t>
        </is>
      </c>
      <c r="E537" t="inlineStr">
        <is>
          <t>Soro TCHEREGNIMIN</t>
        </is>
      </c>
      <c r="F537" s="5" t="n">
        <v>46163.66366898148</v>
      </c>
      <c r="H537" t="inlineStr">
        <is>
          <t>PCGH774 -Evaluation Deep-Dive Action Plans by Socfin Group</t>
        </is>
      </c>
      <c r="I537" t="n">
        <v>0</v>
      </c>
      <c r="J537" t="inlineStr">
        <is>
          <t>PCGH774 - Tier 3 (Socfinco FR SA)</t>
        </is>
      </c>
      <c r="K537" t="inlineStr">
        <is>
          <t xml:space="preserve">SOGB - Analysis and reporting </t>
        </is>
      </c>
      <c r="L537" t="b">
        <v>1</v>
      </c>
      <c r="M537" t="inlineStr">
        <is>
          <t>Billed at a Fixed price</t>
        </is>
      </c>
      <c r="N537" s="6">
        <f>IF(B537="","",IF(ISNUMBER(B537),TEXT(B537,"YYYY-MM"),LEFT(B537,7)))</f>
        <v/>
      </c>
    </row>
    <row r="538">
      <c r="A538" t="inlineStr">
        <is>
          <t>Soro TCHEREGNIMIN</t>
        </is>
      </c>
      <c r="B538" s="4" t="n">
        <v>46161</v>
      </c>
      <c r="C538" t="inlineStr">
        <is>
          <t>/</t>
        </is>
      </c>
      <c r="D538" t="inlineStr">
        <is>
          <t>Soro TCHEREGNIMIN</t>
        </is>
      </c>
      <c r="E538" t="inlineStr">
        <is>
          <t>Soro TCHEREGNIMIN</t>
        </is>
      </c>
      <c r="F538" s="5" t="n">
        <v>46163.66344907408</v>
      </c>
      <c r="H538" t="inlineStr">
        <is>
          <t>PCGH779 - Cote d'Ivoire）</t>
        </is>
      </c>
      <c r="I538" t="n">
        <v>8</v>
      </c>
      <c r="J538" t="inlineStr">
        <is>
          <t>PCGH779 - Tree Planting Project (3) (Proforest Limited(PCUK GBP))</t>
        </is>
      </c>
      <c r="L538" t="b">
        <v>1</v>
      </c>
      <c r="M538" t="inlineStr">
        <is>
          <t>Billed at a Fixed price</t>
        </is>
      </c>
      <c r="N538" s="6">
        <f>IF(B538="","",IF(ISNUMBER(B538),TEXT(B538,"YYYY-MM"),LEFT(B538,7)))</f>
        <v/>
      </c>
    </row>
    <row r="539">
      <c r="A539" t="inlineStr">
        <is>
          <t>Ekow Nyamekye Tawiah</t>
        </is>
      </c>
      <c r="B539" s="4" t="n">
        <v>46161</v>
      </c>
      <c r="C539" t="inlineStr">
        <is>
          <t>Deforestation Risk Analysis</t>
        </is>
      </c>
      <c r="D539" t="inlineStr">
        <is>
          <t>Ekow Nyamekye Tawiah</t>
        </is>
      </c>
      <c r="E539" t="inlineStr">
        <is>
          <t>Ekow Nyamekye Tawiah</t>
        </is>
      </c>
      <c r="F539" s="5" t="n">
        <v>46162.86417824074</v>
      </c>
      <c r="H539" t="inlineStr">
        <is>
          <t>PCGH778 - General Support</t>
        </is>
      </c>
      <c r="I539" t="n">
        <v>4</v>
      </c>
      <c r="J539" t="inlineStr">
        <is>
          <t>PCGH778 - Support to Other Workstreams (3) (Proforest Limited(PCUK GBP))</t>
        </is>
      </c>
      <c r="L539" t="b">
        <v>1</v>
      </c>
      <c r="M539" t="inlineStr">
        <is>
          <t>Billed at a Fixed price</t>
        </is>
      </c>
      <c r="N539" s="6">
        <f>IF(B539="","",IF(ISNUMBER(B539),TEXT(B539,"YYYY-MM"),LEFT(B539,7)))</f>
        <v/>
      </c>
    </row>
    <row r="540">
      <c r="A540" t="inlineStr">
        <is>
          <t>James Parker Mckeown</t>
        </is>
      </c>
      <c r="B540" s="4" t="n">
        <v>46161</v>
      </c>
      <c r="C540" t="inlineStr">
        <is>
          <t>GVL: Finalizing quarterly report with Kwadwo</t>
        </is>
      </c>
      <c r="D540" t="inlineStr">
        <is>
          <t>James Parker Mckeown</t>
        </is>
      </c>
      <c r="E540" t="inlineStr">
        <is>
          <t>James Parker Mckeown</t>
        </is>
      </c>
      <c r="F540" s="5" t="n">
        <v>46162.84909722222</v>
      </c>
      <c r="H540" t="inlineStr">
        <is>
          <t>PCGH762 - GVL HCSA Restoration Project</t>
        </is>
      </c>
      <c r="I540" t="n">
        <v>4</v>
      </c>
      <c r="J540" t="inlineStr">
        <is>
          <t>PCGH762 - Development and Implementation of MEL Framework (Golden Veroleum Liberia)</t>
        </is>
      </c>
      <c r="K540" t="inlineStr">
        <is>
          <t>Development and Implementation of MEL Framework</t>
        </is>
      </c>
      <c r="L540" t="b">
        <v>1</v>
      </c>
      <c r="M540" t="inlineStr">
        <is>
          <t>Billed at a Fixed price</t>
        </is>
      </c>
      <c r="N540" s="6">
        <f>IF(B540="","",IF(ISNUMBER(B540),TEXT(B540,"YYYY-MM"),LEFT(B540,7)))</f>
        <v/>
      </c>
    </row>
    <row r="541">
      <c r="A541" t="inlineStr">
        <is>
          <t>James Parker Mckeown</t>
        </is>
      </c>
      <c r="B541" s="4" t="n">
        <v>46161</v>
      </c>
      <c r="C541" t="inlineStr">
        <is>
          <t xml:space="preserve">Submission of documents for Brazil visa
</t>
        </is>
      </c>
      <c r="D541" t="inlineStr">
        <is>
          <t>James Parker Mckeown</t>
        </is>
      </c>
      <c r="E541" t="inlineStr">
        <is>
          <t>James Parker Mckeown</t>
        </is>
      </c>
      <c r="F541" s="5" t="n">
        <v>46162.84827546297</v>
      </c>
      <c r="H541" t="inlineStr">
        <is>
          <t>Non-Billable Tasks</t>
        </is>
      </c>
      <c r="I541" t="n">
        <v>3</v>
      </c>
      <c r="K541" t="inlineStr">
        <is>
          <t>Professional development and Knowledge sharing(training,global knowledge calls,exchange weeks)</t>
        </is>
      </c>
      <c r="L541" t="b">
        <v>0</v>
      </c>
      <c r="M541" t="inlineStr">
        <is>
          <t>Non-Billable</t>
        </is>
      </c>
      <c r="N541" s="6">
        <f>IF(B541="","",IF(ISNUMBER(B541),TEXT(B541,"YYYY-MM"),LEFT(B541,7)))</f>
        <v/>
      </c>
    </row>
    <row r="542">
      <c r="A542" t="inlineStr">
        <is>
          <t>James Parker Mckeown</t>
        </is>
      </c>
      <c r="B542" s="4" t="n">
        <v>46161</v>
      </c>
      <c r="C542" t="inlineStr">
        <is>
          <t>Printing of documents for Brazil visa application</t>
        </is>
      </c>
      <c r="D542" t="inlineStr">
        <is>
          <t>James Parker Mckeown</t>
        </is>
      </c>
      <c r="E542" t="inlineStr">
        <is>
          <t>James Parker Mckeown</t>
        </is>
      </c>
      <c r="F542" s="5" t="n">
        <v>46162.84724537037</v>
      </c>
      <c r="H542" t="inlineStr">
        <is>
          <t>Non-Billable Tasks</t>
        </is>
      </c>
      <c r="I542" t="n">
        <v>3</v>
      </c>
      <c r="K542" t="inlineStr">
        <is>
          <t>Professional development and Knowledge sharing(training,global knowledge calls,exchange weeks)</t>
        </is>
      </c>
      <c r="L542" t="b">
        <v>0</v>
      </c>
      <c r="M542" t="inlineStr">
        <is>
          <t>Non-Billable</t>
        </is>
      </c>
      <c r="N542" s="6">
        <f>IF(B542="","",IF(ISNUMBER(B542),TEXT(B542,"YYYY-MM"),LEFT(B542,7)))</f>
        <v/>
      </c>
    </row>
    <row r="543">
      <c r="A543" t="inlineStr">
        <is>
          <t>Patricia Offei</t>
        </is>
      </c>
      <c r="B543" s="4" t="n">
        <v>46161</v>
      </c>
      <c r="C543" t="inlineStr">
        <is>
          <t>/</t>
        </is>
      </c>
      <c r="D543" t="inlineStr">
        <is>
          <t>Patricia Offei</t>
        </is>
      </c>
      <c r="E543" t="inlineStr">
        <is>
          <t>Patricia Offei</t>
        </is>
      </c>
      <c r="F543" s="5" t="n">
        <v>46162.60616898148</v>
      </c>
      <c r="H543" t="inlineStr">
        <is>
          <t>PCGH779 - Cote d'Ivoire）</t>
        </is>
      </c>
      <c r="I543" t="n">
        <v>8</v>
      </c>
      <c r="J543" t="inlineStr">
        <is>
          <t>PCGH779 - Tree Planting Project (3) (Proforest Limited(PCUK GBP))</t>
        </is>
      </c>
      <c r="K543" t="inlineStr">
        <is>
          <t>WS 15.1: Tree Planting &amp; Biodiversity Conservation</t>
        </is>
      </c>
      <c r="L543" t="b">
        <v>1</v>
      </c>
      <c r="M543" t="inlineStr">
        <is>
          <t>Billed at a Fixed price</t>
        </is>
      </c>
      <c r="N543" s="6">
        <f>IF(B543="","",IF(ISNUMBER(B543),TEXT(B543,"YYYY-MM"),LEFT(B543,7)))</f>
        <v/>
      </c>
    </row>
    <row r="544">
      <c r="A544" t="inlineStr">
        <is>
          <t>Daleba Bernard Kpenahi Raymond</t>
        </is>
      </c>
      <c r="B544" s="4" t="n">
        <v>46161</v>
      </c>
      <c r="C544" t="inlineStr">
        <is>
          <t>/</t>
        </is>
      </c>
      <c r="D544" t="inlineStr">
        <is>
          <t>Daleba Bernard Kpenahi Raymond</t>
        </is>
      </c>
      <c r="E544" t="inlineStr">
        <is>
          <t>Michael Anim</t>
        </is>
      </c>
      <c r="F544" s="5" t="n">
        <v>46163.52981481481</v>
      </c>
      <c r="H544" t="inlineStr">
        <is>
          <t>PCGH779 - Cote d'Ivoire）</t>
        </is>
      </c>
      <c r="I544" t="n">
        <v>8</v>
      </c>
      <c r="J544" t="inlineStr">
        <is>
          <t>PCGH779 - Tree Planting Project (3) (Proforest Limited(PCUK GBP))</t>
        </is>
      </c>
      <c r="L544" t="b">
        <v>1</v>
      </c>
      <c r="M544" t="inlineStr">
        <is>
          <t>Billed at a Fixed price</t>
        </is>
      </c>
      <c r="N544" s="6">
        <f>IF(B544="","",IF(ISNUMBER(B544),TEXT(B544,"YYYY-MM"),LEFT(B544,7)))</f>
        <v/>
      </c>
    </row>
    <row r="545">
      <c r="A545" t="inlineStr">
        <is>
          <t>Afua Serwah Akoto Prempeh</t>
        </is>
      </c>
      <c r="B545" s="4" t="n">
        <v>46160</v>
      </c>
      <c r="C545" t="inlineStr">
        <is>
          <t>/</t>
        </is>
      </c>
      <c r="D545" t="inlineStr">
        <is>
          <t>Afua Serwah Akoto Prempeh</t>
        </is>
      </c>
      <c r="E545" t="inlineStr">
        <is>
          <t>Afua Serwah Akoto Prempeh</t>
        </is>
      </c>
      <c r="F545" s="5" t="n">
        <v>46204.56053240741</v>
      </c>
      <c r="H545" t="inlineStr">
        <is>
          <t>Non-Billable Tasks</t>
        </is>
      </c>
      <c r="I545" t="n">
        <v>8</v>
      </c>
      <c r="L545" t="b">
        <v>0</v>
      </c>
      <c r="M545" t="inlineStr">
        <is>
          <t>Non-Billable</t>
        </is>
      </c>
      <c r="N545" s="6">
        <f>IF(B545="","",IF(ISNUMBER(B545),TEXT(B545,"YYYY-MM"),LEFT(B545,7)))</f>
        <v/>
      </c>
    </row>
    <row r="546">
      <c r="A546" t="inlineStr">
        <is>
          <t>Frederick Antwi</t>
        </is>
      </c>
      <c r="B546" s="4" t="n">
        <v>46160</v>
      </c>
      <c r="C546" t="inlineStr">
        <is>
          <t>/</t>
        </is>
      </c>
      <c r="D546" t="inlineStr">
        <is>
          <t>Frederick Antwi</t>
        </is>
      </c>
      <c r="E546" t="inlineStr">
        <is>
          <t>Frederick Antwi</t>
        </is>
      </c>
      <c r="F546" s="5" t="n">
        <v>46195.44704861111</v>
      </c>
      <c r="H546" t="inlineStr">
        <is>
          <t>PCGH790 - Nestle Soy Support</t>
        </is>
      </c>
      <c r="I546" t="n">
        <v>5</v>
      </c>
      <c r="J546" t="inlineStr">
        <is>
          <t>PCGH790 - Desk Study (3) (Proforest Limited(PCUK USD))</t>
        </is>
      </c>
      <c r="L546" t="b">
        <v>1</v>
      </c>
      <c r="M546" t="inlineStr">
        <is>
          <t>Billed at a Fixed price</t>
        </is>
      </c>
      <c r="N546" s="6">
        <f>IF(B546="","",IF(ISNUMBER(B546),TEXT(B546,"YYYY-MM"),LEFT(B546,7)))</f>
        <v/>
      </c>
    </row>
    <row r="547">
      <c r="A547" t="inlineStr">
        <is>
          <t>Frederick Antwi</t>
        </is>
      </c>
      <c r="B547" s="4" t="n">
        <v>46160</v>
      </c>
      <c r="C547" t="inlineStr">
        <is>
          <t>EFI communication awareness requirements</t>
        </is>
      </c>
      <c r="D547" t="inlineStr">
        <is>
          <t>Frederick Antwi</t>
        </is>
      </c>
      <c r="E547" t="inlineStr">
        <is>
          <t>Frederick Antwi</t>
        </is>
      </c>
      <c r="F547" s="5" t="n">
        <v>46195.44679398148</v>
      </c>
      <c r="H547" t="inlineStr">
        <is>
          <t>P13QC00A00 - EFI Programme</t>
        </is>
      </c>
      <c r="I547" t="n">
        <v>1</v>
      </c>
      <c r="L547" t="b">
        <v>0</v>
      </c>
      <c r="M547" t="inlineStr">
        <is>
          <t>Non-Billable</t>
        </is>
      </c>
      <c r="N547" s="6">
        <f>IF(B547="","",IF(ISNUMBER(B547),TEXT(B547,"YYYY-MM"),LEFT(B547,7)))</f>
        <v/>
      </c>
    </row>
    <row r="548">
      <c r="A548" t="inlineStr">
        <is>
          <t>Daleba Bernard Kpenahi Raymond</t>
        </is>
      </c>
      <c r="B548" s="4" t="n">
        <v>46160</v>
      </c>
      <c r="C548" t="inlineStr">
        <is>
          <t>/</t>
        </is>
      </c>
      <c r="D548" t="inlineStr">
        <is>
          <t>Daleba Bernard Kpenahi Raymond</t>
        </is>
      </c>
      <c r="E548" t="inlineStr">
        <is>
          <t>Daleba Bernard Kpenahi Raymond</t>
        </is>
      </c>
      <c r="F548" s="5" t="n">
        <v>46185.40103009259</v>
      </c>
      <c r="H548" t="inlineStr">
        <is>
          <t>PCGH779 - Cote d'Ivoire）</t>
        </is>
      </c>
      <c r="I548" t="n">
        <v>-0.5</v>
      </c>
      <c r="J548" t="inlineStr">
        <is>
          <t>PCGH779 - Tree Planting Project (3) (Proforest Limited(PCUK GBP))</t>
        </is>
      </c>
      <c r="L548" t="b">
        <v>1</v>
      </c>
      <c r="M548" t="inlineStr">
        <is>
          <t>Billed at a Fixed price</t>
        </is>
      </c>
      <c r="N548" s="6">
        <f>IF(B548="","",IF(ISNUMBER(B548),TEXT(B548,"YYYY-MM"),LEFT(B548,7)))</f>
        <v/>
      </c>
    </row>
    <row r="549">
      <c r="A549" t="inlineStr">
        <is>
          <t>Frederick Antwi</t>
        </is>
      </c>
      <c r="B549" s="4" t="n">
        <v>46160</v>
      </c>
      <c r="C549" t="inlineStr">
        <is>
          <t>/</t>
        </is>
      </c>
      <c r="D549" t="inlineStr">
        <is>
          <t>Frederick Antwi</t>
        </is>
      </c>
      <c r="E549" t="inlineStr">
        <is>
          <t>Frederick Antwi</t>
        </is>
      </c>
      <c r="F549" s="5" t="n">
        <v>46195.44689814815</v>
      </c>
      <c r="H549" t="inlineStr">
        <is>
          <t>P13NC00A00 - WALMART II</t>
        </is>
      </c>
      <c r="I549" t="n">
        <v>2</v>
      </c>
      <c r="L549" t="b">
        <v>0</v>
      </c>
      <c r="M549" t="inlineStr">
        <is>
          <t>Non-Billable</t>
        </is>
      </c>
      <c r="N549" s="6">
        <f>IF(B549="","",IF(ISNUMBER(B549),TEXT(B549,"YYYY-MM"),LEFT(B549,7)))</f>
        <v/>
      </c>
    </row>
    <row r="550">
      <c r="A550" t="inlineStr">
        <is>
          <t>Frederick Antwi</t>
        </is>
      </c>
      <c r="B550" s="4" t="n">
        <v>46160</v>
      </c>
      <c r="C550" t="inlineStr">
        <is>
          <t>/</t>
        </is>
      </c>
      <c r="D550" t="inlineStr">
        <is>
          <t>Frederick Antwi</t>
        </is>
      </c>
      <c r="E550" t="inlineStr">
        <is>
          <t>Frederick Antwi</t>
        </is>
      </c>
      <c r="F550" s="5" t="n">
        <v>46182.39506944444</v>
      </c>
      <c r="H550" t="inlineStr">
        <is>
          <t>P13PC00A00 - Private Sector Companies</t>
        </is>
      </c>
      <c r="I550" t="n">
        <v>0</v>
      </c>
      <c r="L550" t="b">
        <v>0</v>
      </c>
      <c r="M550" t="inlineStr">
        <is>
          <t>Non-Billable</t>
        </is>
      </c>
      <c r="N550" s="6">
        <f>IF(B550="","",IF(ISNUMBER(B550),TEXT(B550,"YYYY-MM"),LEFT(B550,7)))</f>
        <v/>
      </c>
    </row>
    <row r="551">
      <c r="A551" t="inlineStr">
        <is>
          <t>Kwadwo Baniako Nti</t>
        </is>
      </c>
      <c r="B551" s="4" t="n">
        <v>46160</v>
      </c>
      <c r="C551" t="inlineStr">
        <is>
          <t>/</t>
        </is>
      </c>
      <c r="D551" t="inlineStr">
        <is>
          <t>Kwadwo Baniako Nti</t>
        </is>
      </c>
      <c r="E551" t="inlineStr">
        <is>
          <t>Kwadwo Baniako Nti</t>
        </is>
      </c>
      <c r="F551" s="5" t="n">
        <v>46181.52940972222</v>
      </c>
      <c r="G551" t="inlineStr">
        <is>
          <t>Training and Capacity Building</t>
        </is>
      </c>
      <c r="H551" t="inlineStr">
        <is>
          <t>PCGH762 - GVL HCSA Restoration Project</t>
        </is>
      </c>
      <c r="I551" t="n">
        <v>0</v>
      </c>
      <c r="J551" t="inlineStr">
        <is>
          <t>PCGH762 - Training and Capacity Building (Golden Veroleum Liberia)</t>
        </is>
      </c>
      <c r="K551" t="inlineStr">
        <is>
          <t>Training and Capacity Building</t>
        </is>
      </c>
      <c r="L551" t="b">
        <v>1</v>
      </c>
      <c r="M551" t="inlineStr">
        <is>
          <t>Billed at a Fixed price</t>
        </is>
      </c>
      <c r="N551" s="6">
        <f>IF(B551="","",IF(ISNUMBER(B551),TEXT(B551,"YYYY-MM"),LEFT(B551,7)))</f>
        <v/>
      </c>
    </row>
    <row r="552">
      <c r="A552" t="inlineStr">
        <is>
          <t>Kwadwo Baniako Nti</t>
        </is>
      </c>
      <c r="B552" s="4" t="n">
        <v>46160</v>
      </c>
      <c r="C552" t="inlineStr">
        <is>
          <t>/</t>
        </is>
      </c>
      <c r="D552" t="inlineStr">
        <is>
          <t>Kwadwo Baniako Nti</t>
        </is>
      </c>
      <c r="E552" t="inlineStr">
        <is>
          <t>Kwadwo Baniako Nti</t>
        </is>
      </c>
      <c r="F552" s="5" t="n">
        <v>46181.52415509259</v>
      </c>
      <c r="G552" t="inlineStr">
        <is>
          <t>Communication and Other Materials</t>
        </is>
      </c>
      <c r="H552" t="inlineStr">
        <is>
          <t>PCGH762 - GVL HCSA Restoration Project</t>
        </is>
      </c>
      <c r="I552" t="n">
        <v>8</v>
      </c>
      <c r="J552" t="inlineStr">
        <is>
          <t>PCGH762 - Communication and Other Materials (Golden Veroleum Liberia)</t>
        </is>
      </c>
      <c r="K552" t="inlineStr">
        <is>
          <t>Communication and Other Materials</t>
        </is>
      </c>
      <c r="L552" t="b">
        <v>1</v>
      </c>
      <c r="M552" t="inlineStr">
        <is>
          <t>Billed at a Fixed price</t>
        </is>
      </c>
      <c r="N552" s="6">
        <f>IF(B552="","",IF(ISNUMBER(B552),TEXT(B552,"YYYY-MM"),LEFT(B552,7)))</f>
        <v/>
      </c>
    </row>
    <row r="553">
      <c r="A553" t="inlineStr">
        <is>
          <t>Kwadwo Baniako Nti</t>
        </is>
      </c>
      <c r="B553" s="4" t="n">
        <v>46160</v>
      </c>
      <c r="C553" t="inlineStr">
        <is>
          <t>Community engagement and verification of points</t>
        </is>
      </c>
      <c r="D553" t="inlineStr">
        <is>
          <t>Kwadwo Baniako Nti</t>
        </is>
      </c>
      <c r="E553" t="inlineStr">
        <is>
          <t>Kwadwo Baniako Nti</t>
        </is>
      </c>
      <c r="F553" s="5" t="n">
        <v>46181.52121527777</v>
      </c>
      <c r="H553" t="inlineStr">
        <is>
          <t>PCGH793</t>
        </is>
      </c>
      <c r="I553" t="n">
        <v>0</v>
      </c>
      <c r="J553" t="inlineStr">
        <is>
          <t>PCGH793 - Field work  (3) (Okeosisi Jonathan)</t>
        </is>
      </c>
      <c r="K553" t="inlineStr">
        <is>
          <t>Field Visit and Data Collection</t>
        </is>
      </c>
      <c r="L553" t="b">
        <v>1</v>
      </c>
      <c r="M553" t="inlineStr">
        <is>
          <t>Billed at a Fixed price</t>
        </is>
      </c>
      <c r="N553" s="6">
        <f>IF(B553="","",IF(ISNUMBER(B553),TEXT(B553,"YYYY-MM"),LEFT(B553,7)))</f>
        <v/>
      </c>
    </row>
    <row r="554">
      <c r="A554" t="inlineStr">
        <is>
          <t>Augustus Asamoah</t>
        </is>
      </c>
      <c r="B554" s="4" t="n">
        <v>46160</v>
      </c>
      <c r="C554" t="inlineStr">
        <is>
          <t>/</t>
        </is>
      </c>
      <c r="D554" t="inlineStr">
        <is>
          <t>Augustus Asamoah</t>
        </is>
      </c>
      <c r="E554" t="inlineStr">
        <is>
          <t>Augustus Asamoah</t>
        </is>
      </c>
      <c r="F554" s="5" t="n">
        <v>46174.36914351852</v>
      </c>
      <c r="H554" t="inlineStr">
        <is>
          <t>Non-Billable Tasks</t>
        </is>
      </c>
      <c r="I554" t="n">
        <v>0</v>
      </c>
      <c r="L554" t="b">
        <v>0</v>
      </c>
      <c r="M554" t="inlineStr">
        <is>
          <t>Non-Billable</t>
        </is>
      </c>
      <c r="N554" s="6">
        <f>IF(B554="","",IF(ISNUMBER(B554),TEXT(B554,"YYYY-MM"),LEFT(B554,7)))</f>
        <v/>
      </c>
    </row>
    <row r="555">
      <c r="A555" t="inlineStr">
        <is>
          <t>Augustus Asamoah</t>
        </is>
      </c>
      <c r="B555" s="4" t="n">
        <v>46160</v>
      </c>
      <c r="C555" t="inlineStr">
        <is>
          <t>/</t>
        </is>
      </c>
      <c r="D555" t="inlineStr">
        <is>
          <t>Augustus Asamoah</t>
        </is>
      </c>
      <c r="E555" t="inlineStr">
        <is>
          <t>Augustus Asamoah</t>
        </is>
      </c>
      <c r="F555" s="5" t="n">
        <v>46174.36879629629</v>
      </c>
      <c r="H555" t="inlineStr">
        <is>
          <t>P13PC00A00 - Private Sector Companies</t>
        </is>
      </c>
      <c r="I555" t="n">
        <v>3</v>
      </c>
      <c r="L555" t="b">
        <v>0</v>
      </c>
      <c r="M555" t="inlineStr">
        <is>
          <t>Non-Billable</t>
        </is>
      </c>
      <c r="N555" s="6">
        <f>IF(B555="","",IF(ISNUMBER(B555),TEXT(B555,"YYYY-MM"),LEFT(B555,7)))</f>
        <v/>
      </c>
    </row>
    <row r="556">
      <c r="A556" t="inlineStr">
        <is>
          <t>Augustus Asamoah</t>
        </is>
      </c>
      <c r="B556" s="4" t="n">
        <v>46160</v>
      </c>
      <c r="C556" t="inlineStr">
        <is>
          <t>/</t>
        </is>
      </c>
      <c r="D556" t="inlineStr">
        <is>
          <t>Augustus Asamoah</t>
        </is>
      </c>
      <c r="E556" t="inlineStr">
        <is>
          <t>Augustus Asamoah</t>
        </is>
      </c>
      <c r="F556" s="5" t="n">
        <v>46174.36721064815</v>
      </c>
      <c r="H556" t="inlineStr">
        <is>
          <t>P13NC00A00 - WALMART II</t>
        </is>
      </c>
      <c r="I556" t="n">
        <v>3</v>
      </c>
      <c r="L556" t="b">
        <v>0</v>
      </c>
      <c r="M556" t="inlineStr">
        <is>
          <t>Non-Billable</t>
        </is>
      </c>
      <c r="N556" s="6">
        <f>IF(B556="","",IF(ISNUMBER(B556),TEXT(B556,"YYYY-MM"),LEFT(B556,7)))</f>
        <v/>
      </c>
    </row>
    <row r="557">
      <c r="A557" t="inlineStr">
        <is>
          <t>Augustus Asamoah</t>
        </is>
      </c>
      <c r="B557" s="4" t="n">
        <v>46160</v>
      </c>
      <c r="C557" t="inlineStr">
        <is>
          <t>/</t>
        </is>
      </c>
      <c r="D557" t="inlineStr">
        <is>
          <t>Augustus Asamoah</t>
        </is>
      </c>
      <c r="E557" t="inlineStr">
        <is>
          <t>Augustus Asamoah</t>
        </is>
      </c>
      <c r="F557" s="5" t="n">
        <v>46174.36663194445</v>
      </c>
      <c r="H557" t="inlineStr">
        <is>
          <t>P13QC00A00 - EFI Programme</t>
        </is>
      </c>
      <c r="I557" t="n">
        <v>2</v>
      </c>
      <c r="L557" t="b">
        <v>0</v>
      </c>
      <c r="M557" t="inlineStr">
        <is>
          <t>Non-Billable</t>
        </is>
      </c>
      <c r="N557" s="6">
        <f>IF(B557="","",IF(ISNUMBER(B557),TEXT(B557,"YYYY-MM"),LEFT(B557,7)))</f>
        <v/>
      </c>
    </row>
    <row r="558">
      <c r="A558" t="inlineStr">
        <is>
          <t>Clement Obeng-Manu</t>
        </is>
      </c>
      <c r="B558" s="4" t="n">
        <v>46160</v>
      </c>
      <c r="C558" t="inlineStr">
        <is>
          <t>Fieldwork</t>
        </is>
      </c>
      <c r="D558" t="inlineStr">
        <is>
          <t>Clement Obeng-Manu</t>
        </is>
      </c>
      <c r="E558" t="inlineStr">
        <is>
          <t>Clement Obeng-Manu</t>
        </is>
      </c>
      <c r="F558" s="5" t="n">
        <v>46173.76180555556</v>
      </c>
      <c r="H558" t="inlineStr">
        <is>
          <t>PCGH793</t>
        </is>
      </c>
      <c r="I558" t="n">
        <v>8</v>
      </c>
      <c r="L558" t="b">
        <v>1</v>
      </c>
      <c r="M558" t="inlineStr">
        <is>
          <t>Non-Billable</t>
        </is>
      </c>
      <c r="N558" s="6">
        <f>IF(B558="","",IF(ISNUMBER(B558),TEXT(B558,"YYYY-MM"),LEFT(B558,7)))</f>
        <v/>
      </c>
    </row>
    <row r="559">
      <c r="A559" t="inlineStr">
        <is>
          <t>Abel Ansu</t>
        </is>
      </c>
      <c r="B559" s="4" t="n">
        <v>46160</v>
      </c>
      <c r="C559" t="inlineStr">
        <is>
          <t>Visited the lining and pegging team at Biaso Kasapin to check progress. Also visited the EPA office in Goaso to enquire about the EPA permit for Asumura Rural Service Center</t>
        </is>
      </c>
      <c r="D559" t="inlineStr">
        <is>
          <t>Abel Ansu</t>
        </is>
      </c>
      <c r="E559" t="inlineStr">
        <is>
          <t>Abel Ansu</t>
        </is>
      </c>
      <c r="F559" s="5" t="n">
        <v>46168.48598379629</v>
      </c>
      <c r="H559" t="inlineStr">
        <is>
          <t>Internal</t>
        </is>
      </c>
      <c r="I559" t="n">
        <v>8</v>
      </c>
      <c r="K559" t="inlineStr">
        <is>
          <t>Monitored ongoing lining and pegging for MTS</t>
        </is>
      </c>
      <c r="L559" t="b">
        <v>0</v>
      </c>
      <c r="M559" t="inlineStr">
        <is>
          <t>Non-Billable</t>
        </is>
      </c>
      <c r="N559" s="6">
        <f>IF(B559="","",IF(ISNUMBER(B559),TEXT(B559,"YYYY-MM"),LEFT(B559,7)))</f>
        <v/>
      </c>
    </row>
    <row r="560">
      <c r="A560" t="inlineStr">
        <is>
          <t>Helena Tetteh</t>
        </is>
      </c>
      <c r="B560" s="4" t="n">
        <v>46160</v>
      </c>
      <c r="C560" t="inlineStr">
        <is>
          <t>/</t>
        </is>
      </c>
      <c r="D560" t="inlineStr">
        <is>
          <t xml:space="preserve">Helena Tetteh </t>
        </is>
      </c>
      <c r="E560" t="inlineStr">
        <is>
          <t>Helena Tetteh</t>
        </is>
      </c>
      <c r="F560" s="5" t="n">
        <v>46168.44605324074</v>
      </c>
      <c r="H560" t="inlineStr">
        <is>
          <t>Non-Billable Tasks</t>
        </is>
      </c>
      <c r="I560" t="n">
        <v>0</v>
      </c>
      <c r="K560" t="inlineStr">
        <is>
          <t>Annual Leave</t>
        </is>
      </c>
      <c r="L560" t="b">
        <v>0</v>
      </c>
      <c r="M560" t="inlineStr">
        <is>
          <t>Non-Billable</t>
        </is>
      </c>
      <c r="N560" s="6">
        <f>IF(B560="","",IF(ISNUMBER(B560),TEXT(B560,"YYYY-MM"),LEFT(B560,7)))</f>
        <v/>
      </c>
    </row>
    <row r="561">
      <c r="A561" t="inlineStr">
        <is>
          <t>Helena Tetteh</t>
        </is>
      </c>
      <c r="B561" s="4" t="n">
        <v>46160</v>
      </c>
      <c r="C561" t="inlineStr">
        <is>
          <t>/</t>
        </is>
      </c>
      <c r="D561" t="inlineStr">
        <is>
          <t xml:space="preserve">Helena Tetteh </t>
        </is>
      </c>
      <c r="E561" t="inlineStr">
        <is>
          <t>Helena Tetteh</t>
        </is>
      </c>
      <c r="F561" s="5" t="n">
        <v>46168.44565972222</v>
      </c>
      <c r="G561" t="inlineStr">
        <is>
          <t>Output 2.3</t>
        </is>
      </c>
      <c r="H561" t="inlineStr">
        <is>
          <t>P23AC00C00 - FGMC</t>
        </is>
      </c>
      <c r="I561" t="n">
        <v>8</v>
      </c>
      <c r="K561" t="inlineStr">
        <is>
          <t>P23AC22A00 - Output Two (Elevating Local Solutions - West Africa)</t>
        </is>
      </c>
      <c r="L561" t="b">
        <v>0</v>
      </c>
      <c r="M561" t="inlineStr">
        <is>
          <t>Non-Billable</t>
        </is>
      </c>
      <c r="N561" s="6">
        <f>IF(B561="","",IF(ISNUMBER(B561),TEXT(B561,"YYYY-MM"),LEFT(B561,7)))</f>
        <v/>
      </c>
    </row>
    <row r="562">
      <c r="A562" t="inlineStr">
        <is>
          <t>Louis Defo</t>
        </is>
      </c>
      <c r="B562" s="4" t="n">
        <v>46160</v>
      </c>
      <c r="C562" t="inlineStr">
        <is>
          <t>/</t>
        </is>
      </c>
      <c r="D562" t="inlineStr">
        <is>
          <t>Louis Defo</t>
        </is>
      </c>
      <c r="E562" t="inlineStr">
        <is>
          <t>Louis Defo</t>
        </is>
      </c>
      <c r="F562" s="5" t="n">
        <v>46164.62668981482</v>
      </c>
      <c r="H562" t="inlineStr">
        <is>
          <t>PCGH787</t>
        </is>
      </c>
      <c r="I562" t="n">
        <v>8</v>
      </c>
      <c r="J562" t="inlineStr">
        <is>
          <t>PCGH787 - Desk Study (3) (Proforest Limited(PCUK GBP))</t>
        </is>
      </c>
      <c r="L562" t="b">
        <v>1</v>
      </c>
      <c r="M562" t="inlineStr">
        <is>
          <t>Billed at a Fixed price</t>
        </is>
      </c>
      <c r="N562" s="6">
        <f>IF(B562="","",IF(ISNUMBER(B562),TEXT(B562,"YYYY-MM"),LEFT(B562,7)))</f>
        <v/>
      </c>
    </row>
    <row r="563">
      <c r="A563" t="inlineStr">
        <is>
          <t>Soro TCHEREGNIMIN</t>
        </is>
      </c>
      <c r="B563" s="4" t="n">
        <v>46160</v>
      </c>
      <c r="C563" t="inlineStr">
        <is>
          <t>/</t>
        </is>
      </c>
      <c r="D563" t="inlineStr">
        <is>
          <t>Soro TCHEREGNIMIN</t>
        </is>
      </c>
      <c r="E563" t="inlineStr">
        <is>
          <t>Soro TCHEREGNIMIN</t>
        </is>
      </c>
      <c r="F563" s="5" t="n">
        <v>46163.66355324074</v>
      </c>
      <c r="H563" t="inlineStr">
        <is>
          <t>PCGH779 - Cote d'Ivoire）</t>
        </is>
      </c>
      <c r="I563" t="n">
        <v>8</v>
      </c>
      <c r="J563" t="inlineStr">
        <is>
          <t>PCGH779 - Tree Planting Project (3) (Proforest Limited(PCUK GBP))</t>
        </is>
      </c>
      <c r="L563" t="b">
        <v>1</v>
      </c>
      <c r="M563" t="inlineStr">
        <is>
          <t>Billed at a Fixed price</t>
        </is>
      </c>
      <c r="N563" s="6">
        <f>IF(B563="","",IF(ISNUMBER(B563),TEXT(B563,"YYYY-MM"),LEFT(B563,7)))</f>
        <v/>
      </c>
    </row>
    <row r="564">
      <c r="A564" t="inlineStr">
        <is>
          <t>Ekow Nyamekye Tawiah</t>
        </is>
      </c>
      <c r="B564" s="4" t="n">
        <v>46160</v>
      </c>
      <c r="C564" t="inlineStr">
        <is>
          <t>Deforestation Risk Analysis</t>
        </is>
      </c>
      <c r="D564" t="inlineStr">
        <is>
          <t>Ekow Nyamekye Tawiah</t>
        </is>
      </c>
      <c r="E564" t="inlineStr">
        <is>
          <t>Ekow Nyamekye Tawiah</t>
        </is>
      </c>
      <c r="F564" s="5" t="n">
        <v>46162.86180555556</v>
      </c>
      <c r="H564" t="inlineStr">
        <is>
          <t>PCGH778 - General Support</t>
        </is>
      </c>
      <c r="I564" t="n">
        <v>4</v>
      </c>
      <c r="J564" t="inlineStr">
        <is>
          <t>PCGH778 - Support to Other Workstreams (3) (Proforest Limited(PCUK GBP))</t>
        </is>
      </c>
      <c r="L564" t="b">
        <v>1</v>
      </c>
      <c r="M564" t="inlineStr">
        <is>
          <t>Billed at a Fixed price</t>
        </is>
      </c>
      <c r="N564" s="6">
        <f>IF(B564="","",IF(ISNUMBER(B564),TEXT(B564,"YYYY-MM"),LEFT(B564,7)))</f>
        <v/>
      </c>
    </row>
    <row r="565">
      <c r="A565" t="inlineStr">
        <is>
          <t>James Parker Mckeown</t>
        </is>
      </c>
      <c r="B565" s="4" t="n">
        <v>46160</v>
      </c>
      <c r="C565" t="inlineStr">
        <is>
          <t>GVL Restoration project: Reviewing training/capacity building plan with Kwadwo</t>
        </is>
      </c>
      <c r="D565" t="inlineStr">
        <is>
          <t>James Parker Mckeown</t>
        </is>
      </c>
      <c r="E565" t="inlineStr">
        <is>
          <t>James Parker Mckeown</t>
        </is>
      </c>
      <c r="F565" s="5" t="n">
        <v>46162.84659722223</v>
      </c>
      <c r="H565" t="inlineStr">
        <is>
          <t>PCGH762 - GVL HCSA Restoration Project</t>
        </is>
      </c>
      <c r="I565" t="n">
        <v>5</v>
      </c>
      <c r="K565" t="inlineStr">
        <is>
          <t>Training and Capacity Building</t>
        </is>
      </c>
      <c r="L565" t="b">
        <v>1</v>
      </c>
      <c r="M565" t="inlineStr">
        <is>
          <t>Non-Billable</t>
        </is>
      </c>
      <c r="N565" s="6">
        <f>IF(B565="","",IF(ISNUMBER(B565),TEXT(B565,"YYYY-MM"),LEFT(B565,7)))</f>
        <v/>
      </c>
    </row>
    <row r="566">
      <c r="A566" t="inlineStr">
        <is>
          <t>James Parker Mckeown</t>
        </is>
      </c>
      <c r="B566" s="4" t="n">
        <v>46160</v>
      </c>
      <c r="C566" t="inlineStr">
        <is>
          <t>/</t>
        </is>
      </c>
      <c r="D566" t="inlineStr">
        <is>
          <t>James Parker Mckeown</t>
        </is>
      </c>
      <c r="E566" t="inlineStr">
        <is>
          <t>James Parker Mckeown</t>
        </is>
      </c>
      <c r="F566" s="5" t="n">
        <v>46162.8425462963</v>
      </c>
      <c r="H566" t="inlineStr">
        <is>
          <t>PCGH786 - Impact Level Baseline assessment for FGMC</t>
        </is>
      </c>
      <c r="I566" t="n">
        <v>1</v>
      </c>
      <c r="J566" t="inlineStr">
        <is>
          <t>PCGH786 - Analysis and Reporting (3) (NIRAS Group (UK) Ltd)</t>
        </is>
      </c>
      <c r="K566" t="inlineStr">
        <is>
          <t>Analysis and Reporting (3)</t>
        </is>
      </c>
      <c r="L566" t="b">
        <v>1</v>
      </c>
      <c r="M566" t="inlineStr">
        <is>
          <t>Billed at a Fixed price</t>
        </is>
      </c>
      <c r="N566" s="6">
        <f>IF(B566="","",IF(ISNUMBER(B566),TEXT(B566,"YYYY-MM"),LEFT(B566,7)))</f>
        <v/>
      </c>
    </row>
    <row r="567">
      <c r="A567" t="inlineStr">
        <is>
          <t>James Parker Mckeown</t>
        </is>
      </c>
      <c r="B567" s="4" t="n">
        <v>46160</v>
      </c>
      <c r="C567" t="inlineStr">
        <is>
          <t>Proforest_TaylorCrabbe catch-up call on FGMC BRIGDE implementation _Ghana</t>
        </is>
      </c>
      <c r="D567" t="inlineStr">
        <is>
          <t>James Parker Mckeown</t>
        </is>
      </c>
      <c r="E567" t="inlineStr">
        <is>
          <t>James Parker Mckeown</t>
        </is>
      </c>
      <c r="F567" s="5" t="n">
        <v>46162.84170138889</v>
      </c>
      <c r="G567" t="inlineStr">
        <is>
          <t>Output 2.3</t>
        </is>
      </c>
      <c r="H567" t="inlineStr">
        <is>
          <t>P23AC00C00 - FGMC</t>
        </is>
      </c>
      <c r="I567" t="n">
        <v>1.5</v>
      </c>
      <c r="K567" t="inlineStr">
        <is>
          <t>P23AC22A00 - Output Two (Elevating Local Solutions - West Africa)</t>
        </is>
      </c>
      <c r="L567" t="b">
        <v>0</v>
      </c>
      <c r="M567" t="inlineStr">
        <is>
          <t>Non-Billable</t>
        </is>
      </c>
      <c r="N567" s="6">
        <f>IF(B567="","",IF(ISNUMBER(B567),TEXT(B567,"YYYY-MM"),LEFT(B567,7)))</f>
        <v/>
      </c>
    </row>
    <row r="568">
      <c r="A568" t="inlineStr">
        <is>
          <t>James Parker Mckeown</t>
        </is>
      </c>
      <c r="B568" s="4" t="n">
        <v>46160</v>
      </c>
      <c r="C568" t="inlineStr">
        <is>
          <t xml:space="preserve">Senior staff meeting </t>
        </is>
      </c>
      <c r="D568" t="inlineStr">
        <is>
          <t>James Parker Mckeown</t>
        </is>
      </c>
      <c r="E568" t="inlineStr">
        <is>
          <t>James Parker Mckeown</t>
        </is>
      </c>
      <c r="F568" s="5" t="n">
        <v>46162.84096064815</v>
      </c>
      <c r="H568" t="inlineStr">
        <is>
          <t>Non-Billable Tasks</t>
        </is>
      </c>
      <c r="I568" t="n">
        <v>2</v>
      </c>
      <c r="K568" t="inlineStr">
        <is>
          <t>Senior Management Activities</t>
        </is>
      </c>
      <c r="L568" t="b">
        <v>0</v>
      </c>
      <c r="M568" t="inlineStr">
        <is>
          <t>Non-Billable</t>
        </is>
      </c>
      <c r="N568" s="6">
        <f>IF(B568="","",IF(ISNUMBER(B568),TEXT(B568,"YYYY-MM"),LEFT(B568,7)))</f>
        <v/>
      </c>
    </row>
    <row r="569">
      <c r="A569" t="inlineStr">
        <is>
          <t>Patricia Offei</t>
        </is>
      </c>
      <c r="B569" s="4" t="n">
        <v>46160</v>
      </c>
      <c r="C569" t="inlineStr">
        <is>
          <t>/</t>
        </is>
      </c>
      <c r="D569" t="inlineStr">
        <is>
          <t>Patricia Offei</t>
        </is>
      </c>
      <c r="E569" t="inlineStr">
        <is>
          <t>Patricia Offei</t>
        </is>
      </c>
      <c r="F569" s="5" t="n">
        <v>46162.60614583334</v>
      </c>
      <c r="H569" t="inlineStr">
        <is>
          <t>PCGH779 - Cote d'Ivoire）</t>
        </is>
      </c>
      <c r="I569" t="n">
        <v>8</v>
      </c>
      <c r="J569" t="inlineStr">
        <is>
          <t>PCGH779 - Tree Planting Project (3) (Proforest Limited(PCUK GBP))</t>
        </is>
      </c>
      <c r="K569" t="inlineStr">
        <is>
          <t>WS 15.1: Tree Planting &amp; Biodiversity Conservation</t>
        </is>
      </c>
      <c r="L569" t="b">
        <v>1</v>
      </c>
      <c r="M569" t="inlineStr">
        <is>
          <t>Billed at a Fixed price</t>
        </is>
      </c>
      <c r="N569" s="6">
        <f>IF(B569="","",IF(ISNUMBER(B569),TEXT(B569,"YYYY-MM"),LEFT(B569,7)))</f>
        <v/>
      </c>
    </row>
    <row r="570">
      <c r="A570" t="inlineStr">
        <is>
          <t>Kingsley Fitz-Gerald Severine</t>
        </is>
      </c>
      <c r="B570" s="4" t="n">
        <v>46160</v>
      </c>
      <c r="C570" t="inlineStr">
        <is>
          <t>/</t>
        </is>
      </c>
      <c r="D570" t="inlineStr">
        <is>
          <t>Kingsley Fitz-Gerald Severine</t>
        </is>
      </c>
      <c r="E570" t="inlineStr">
        <is>
          <t>Kingsley Fitz-Gerald Severine</t>
        </is>
      </c>
      <c r="F570" s="5" t="n">
        <v>46162.56755787037</v>
      </c>
      <c r="H570" t="inlineStr">
        <is>
          <t>Non-Billable Tasks</t>
        </is>
      </c>
      <c r="I570" t="n">
        <v>2</v>
      </c>
      <c r="K570" t="inlineStr">
        <is>
          <t>Internal Focal points and workstreams</t>
        </is>
      </c>
      <c r="L570" t="b">
        <v>0</v>
      </c>
      <c r="M570" t="inlineStr">
        <is>
          <t>Non-Billable</t>
        </is>
      </c>
      <c r="N570" s="6">
        <f>IF(B570="","",IF(ISNUMBER(B570),TEXT(B570,"YYYY-MM"),LEFT(B570,7)))</f>
        <v/>
      </c>
    </row>
    <row r="571">
      <c r="A571" t="inlineStr">
        <is>
          <t>Daleba Bernard Kpenahi Raymond</t>
        </is>
      </c>
      <c r="B571" s="4" t="n">
        <v>46160</v>
      </c>
      <c r="C571" t="inlineStr">
        <is>
          <t>/</t>
        </is>
      </c>
      <c r="D571" t="inlineStr">
        <is>
          <t>Daleba Bernard Kpenahi Raymond</t>
        </is>
      </c>
      <c r="E571" t="inlineStr">
        <is>
          <t>Daleba Bernard Kpenahi Raymond</t>
        </is>
      </c>
      <c r="F571" s="5" t="n">
        <v>46185.40131944444</v>
      </c>
      <c r="H571" t="inlineStr">
        <is>
          <t>PCGH774 -Evaluation Deep-Dive Action Plans by Socfin Group</t>
        </is>
      </c>
      <c r="I571" t="n">
        <v>0</v>
      </c>
      <c r="J571" t="inlineStr">
        <is>
          <t>PCGH774 - T3 (Socfinco FR SA)</t>
        </is>
      </c>
      <c r="K571" t="inlineStr">
        <is>
          <t xml:space="preserve">SOGB - Field verification/observation/community and stakeholder engagement </t>
        </is>
      </c>
      <c r="L571" t="b">
        <v>1</v>
      </c>
      <c r="M571" t="inlineStr">
        <is>
          <t>Billed at a Fixed price</t>
        </is>
      </c>
      <c r="N571" s="6">
        <f>IF(B571="","",IF(ISNUMBER(B571),TEXT(B571,"YYYY-MM"),LEFT(B571,7)))</f>
        <v/>
      </c>
    </row>
    <row r="572">
      <c r="A572" t="inlineStr">
        <is>
          <t>Daleba Bernard Kpenahi Raymond</t>
        </is>
      </c>
      <c r="B572" s="4" t="n">
        <v>46160</v>
      </c>
      <c r="C572" t="inlineStr">
        <is>
          <t>/</t>
        </is>
      </c>
      <c r="D572" t="inlineStr">
        <is>
          <t>Daleba Bernard Kpenahi Raymond</t>
        </is>
      </c>
      <c r="E572" t="inlineStr">
        <is>
          <t>Michael Anim</t>
        </is>
      </c>
      <c r="F572" s="5" t="n">
        <v>46163.52988425926</v>
      </c>
      <c r="H572" t="inlineStr">
        <is>
          <t>PCGH779 - Cote d'Ivoire）</t>
        </is>
      </c>
      <c r="I572" t="n">
        <v>0.5</v>
      </c>
      <c r="J572" t="inlineStr">
        <is>
          <t>PCGH779 - Tree Planting Project (3) (Proforest Limited(PCUK GBP))</t>
        </is>
      </c>
      <c r="L572" t="b">
        <v>1</v>
      </c>
      <c r="M572" t="inlineStr">
        <is>
          <t>Billed at a Fixed price</t>
        </is>
      </c>
      <c r="N572" s="6">
        <f>IF(B572="","",IF(ISNUMBER(B572),TEXT(B572,"YYYY-MM"),LEFT(B572,7)))</f>
        <v/>
      </c>
    </row>
    <row r="573">
      <c r="A573" t="inlineStr">
        <is>
          <t>Stephen Doso</t>
        </is>
      </c>
      <c r="B573" s="4" t="n">
        <v>46160</v>
      </c>
      <c r="C573" t="inlineStr">
        <is>
          <t>/</t>
        </is>
      </c>
      <c r="D573" t="inlineStr">
        <is>
          <t>Stephen Doso</t>
        </is>
      </c>
      <c r="E573" t="inlineStr">
        <is>
          <t>Stephen Doso</t>
        </is>
      </c>
      <c r="F573" s="5" t="n">
        <v>46160.78278935186</v>
      </c>
      <c r="H573" t="inlineStr">
        <is>
          <t>PCGH769</t>
        </is>
      </c>
      <c r="I573" t="n">
        <v>4</v>
      </c>
      <c r="J573" t="inlineStr">
        <is>
          <t>PCGH769 - Desk Study (2) (Biase Plantations Ltd.)</t>
        </is>
      </c>
      <c r="K573" t="inlineStr">
        <is>
          <t>HCV/HCS - Reporting and review</t>
        </is>
      </c>
      <c r="L573" t="b">
        <v>1</v>
      </c>
      <c r="M573" t="inlineStr">
        <is>
          <t>Billed at a Fixed price</t>
        </is>
      </c>
      <c r="N573" s="6">
        <f>IF(B573="","",IF(ISNUMBER(B573),TEXT(B573,"YYYY-MM"),LEFT(B573,7)))</f>
        <v/>
      </c>
    </row>
    <row r="574">
      <c r="A574" t="inlineStr">
        <is>
          <t>Stephen Doso</t>
        </is>
      </c>
      <c r="B574" s="4" t="n">
        <v>46160</v>
      </c>
      <c r="C574" t="inlineStr">
        <is>
          <t>/</t>
        </is>
      </c>
      <c r="D574" t="inlineStr">
        <is>
          <t>Stephen Doso</t>
        </is>
      </c>
      <c r="E574" t="inlineStr">
        <is>
          <t>Stephen Doso</t>
        </is>
      </c>
      <c r="F574" s="5" t="n">
        <v>46160.77928240741</v>
      </c>
      <c r="G574" t="inlineStr">
        <is>
          <t>Field verification and reporting in Nigeria  (2)</t>
        </is>
      </c>
      <c r="H574" t="inlineStr">
        <is>
          <t>PCGH775 - ESDD of Valency Operations for FMO</t>
        </is>
      </c>
      <c r="I574" t="n">
        <v>1</v>
      </c>
      <c r="J574" t="inlineStr">
        <is>
          <t>PCGH775 - Field Verification (2) (Valency International DMCC)</t>
        </is>
      </c>
      <c r="K574" t="inlineStr">
        <is>
          <t>Analysis and reporting in Nigeria</t>
        </is>
      </c>
      <c r="L574" t="b">
        <v>1</v>
      </c>
      <c r="M574" t="inlineStr">
        <is>
          <t>Billed at a Fixed price</t>
        </is>
      </c>
      <c r="N574" s="6">
        <f>IF(B574="","",IF(ISNUMBER(B574),TEXT(B574,"YYYY-MM"),LEFT(B574,7)))</f>
        <v/>
      </c>
    </row>
    <row r="575">
      <c r="A575" t="inlineStr">
        <is>
          <t>Daleba Bernard Kpenahi Raymond</t>
        </is>
      </c>
      <c r="B575" s="4" t="n">
        <v>46160</v>
      </c>
      <c r="C575" t="inlineStr">
        <is>
          <t xml:space="preserve">
Tree planting activity in Zuenoula (Training of planting team ,Nursery care, How to replant seedlings, Georeferencing of seedlings, Field Practice on transplanting and georeferencing, Mapping of planted area, Georeferencing of 2024 and 2025 planted trees 
</t>
        </is>
      </c>
      <c r="D575" t="inlineStr">
        <is>
          <t>Daleba Bernard Kpenahi Raymond</t>
        </is>
      </c>
      <c r="E575" t="inlineStr">
        <is>
          <t>Michael Anim</t>
        </is>
      </c>
      <c r="F575" s="5" t="n">
        <v>46163.52990740741</v>
      </c>
      <c r="H575" t="inlineStr">
        <is>
          <t>PCGH779 - Cote d'Ivoire）</t>
        </is>
      </c>
      <c r="I575" t="n">
        <v>8</v>
      </c>
      <c r="J575" t="inlineStr">
        <is>
          <t>PCGH779 - Tree Planting Project (3) (Proforest Limited(PCUK GBP))</t>
        </is>
      </c>
      <c r="L575" t="b">
        <v>1</v>
      </c>
      <c r="M575" t="inlineStr">
        <is>
          <t>Billed at a Fixed price</t>
        </is>
      </c>
      <c r="N575" s="6">
        <f>IF(B575="","",IF(ISNUMBER(B575),TEXT(B575,"YYYY-MM"),LEFT(B575,7)))</f>
        <v/>
      </c>
    </row>
    <row r="576">
      <c r="A576" t="inlineStr">
        <is>
          <t>Patricia Offei</t>
        </is>
      </c>
      <c r="B576" s="4" t="n">
        <v>46158</v>
      </c>
      <c r="C576" t="inlineStr">
        <is>
          <t>/</t>
        </is>
      </c>
      <c r="D576" t="inlineStr">
        <is>
          <t>Patricia Offei</t>
        </is>
      </c>
      <c r="E576" t="inlineStr">
        <is>
          <t>Patricia Offei</t>
        </is>
      </c>
      <c r="F576" s="5" t="n">
        <v>46162.60476851852</v>
      </c>
      <c r="H576" t="inlineStr">
        <is>
          <t>PCGH774 -Evaluation Deep-Dive Action Plans by Socfin Group</t>
        </is>
      </c>
      <c r="I576" t="n">
        <v>8</v>
      </c>
      <c r="J576" t="inlineStr">
        <is>
          <t>PCGH774 - Project Management (2) (Socfinco FR SA)</t>
        </is>
      </c>
      <c r="L576" t="b">
        <v>1</v>
      </c>
      <c r="M576" t="inlineStr">
        <is>
          <t>Billed at a Fixed price</t>
        </is>
      </c>
      <c r="N576" s="6">
        <f>IF(B576="","",IF(ISNUMBER(B576),TEXT(B576,"YYYY-MM"),LEFT(B576,7)))</f>
        <v/>
      </c>
    </row>
    <row r="577">
      <c r="A577" t="inlineStr">
        <is>
          <t>Afua Serwah Akoto Prempeh</t>
        </is>
      </c>
      <c r="B577" s="4" t="n">
        <v>46157</v>
      </c>
      <c r="C577" t="inlineStr">
        <is>
          <t>/</t>
        </is>
      </c>
      <c r="D577" t="inlineStr">
        <is>
          <t>Afua Serwah Akoto Prempeh</t>
        </is>
      </c>
      <c r="E577" t="inlineStr">
        <is>
          <t>Afua Serwah Akoto Prempeh</t>
        </is>
      </c>
      <c r="F577" s="5" t="n">
        <v>46204.5603125</v>
      </c>
      <c r="H577" t="inlineStr">
        <is>
          <t>Non-Billable Tasks</t>
        </is>
      </c>
      <c r="I577" t="n">
        <v>8</v>
      </c>
      <c r="L577" t="b">
        <v>0</v>
      </c>
      <c r="M577" t="inlineStr">
        <is>
          <t>Non-Billable</t>
        </is>
      </c>
      <c r="N577" s="6">
        <f>IF(B577="","",IF(ISNUMBER(B577),TEXT(B577,"YYYY-MM"),LEFT(B577,7)))</f>
        <v/>
      </c>
    </row>
    <row r="578">
      <c r="A578" t="inlineStr">
        <is>
          <t>Augustus Asamoah</t>
        </is>
      </c>
      <c r="B578" s="4" t="n">
        <v>46157</v>
      </c>
      <c r="C578" t="inlineStr">
        <is>
          <t>/</t>
        </is>
      </c>
      <c r="D578" t="inlineStr">
        <is>
          <t>Augustus Asamoah</t>
        </is>
      </c>
      <c r="E578" t="inlineStr">
        <is>
          <t>Augustus Asamoah</t>
        </is>
      </c>
      <c r="F578" s="5" t="n">
        <v>46174.36436342593</v>
      </c>
      <c r="H578" t="inlineStr">
        <is>
          <t>P13PC00A00 - Private Sector Companies</t>
        </is>
      </c>
      <c r="I578" t="n">
        <v>2</v>
      </c>
      <c r="L578" t="b">
        <v>0</v>
      </c>
      <c r="M578" t="inlineStr">
        <is>
          <t>Non-Billable</t>
        </is>
      </c>
      <c r="N578" s="6">
        <f>IF(B578="","",IF(ISNUMBER(B578),TEXT(B578,"YYYY-MM"),LEFT(B578,7)))</f>
        <v/>
      </c>
    </row>
    <row r="579">
      <c r="A579" t="inlineStr">
        <is>
          <t>Augustus Asamoah</t>
        </is>
      </c>
      <c r="B579" s="4" t="n">
        <v>46157</v>
      </c>
      <c r="C579" t="inlineStr">
        <is>
          <t>/</t>
        </is>
      </c>
      <c r="D579" t="inlineStr">
        <is>
          <t>Augustus Asamoah</t>
        </is>
      </c>
      <c r="E579" t="inlineStr">
        <is>
          <t>Augustus Asamoah</t>
        </is>
      </c>
      <c r="F579" s="5" t="n">
        <v>46174.3643287037</v>
      </c>
      <c r="H579" t="inlineStr">
        <is>
          <t>P13QC00A00 - EFI Programme</t>
        </is>
      </c>
      <c r="I579" t="n">
        <v>3</v>
      </c>
      <c r="L579" t="b">
        <v>0</v>
      </c>
      <c r="M579" t="inlineStr">
        <is>
          <t>Non-Billable</t>
        </is>
      </c>
      <c r="N579" s="6">
        <f>IF(B579="","",IF(ISNUMBER(B579),TEXT(B579,"YYYY-MM"),LEFT(B579,7)))</f>
        <v/>
      </c>
    </row>
    <row r="580">
      <c r="A580" t="inlineStr">
        <is>
          <t>Augustus Asamoah</t>
        </is>
      </c>
      <c r="B580" s="4" t="n">
        <v>46157</v>
      </c>
      <c r="C580" t="inlineStr">
        <is>
          <t>/</t>
        </is>
      </c>
      <c r="D580" t="inlineStr">
        <is>
          <t>Augustus Asamoah</t>
        </is>
      </c>
      <c r="E580" t="inlineStr">
        <is>
          <t>Augustus Asamoah</t>
        </is>
      </c>
      <c r="F580" s="5" t="n">
        <v>46174.36438657407</v>
      </c>
      <c r="H580" t="inlineStr">
        <is>
          <t>PCGH784</t>
        </is>
      </c>
      <c r="I580" t="n">
        <v>0</v>
      </c>
      <c r="J580" t="inlineStr">
        <is>
          <t>PCGH784 - Desk Study (3) (Okeosisi Jonathan)</t>
        </is>
      </c>
      <c r="L580" t="b">
        <v>1</v>
      </c>
      <c r="M580" t="inlineStr">
        <is>
          <t>Billed at a Fixed price</t>
        </is>
      </c>
      <c r="N580" s="6">
        <f>IF(B580="","",IF(ISNUMBER(B580),TEXT(B580,"YYYY-MM"),LEFT(B580,7)))</f>
        <v/>
      </c>
    </row>
    <row r="581">
      <c r="A581" t="inlineStr">
        <is>
          <t>Augustus Asamoah</t>
        </is>
      </c>
      <c r="B581" s="4" t="n">
        <v>46157</v>
      </c>
      <c r="C581" t="inlineStr">
        <is>
          <t>/</t>
        </is>
      </c>
      <c r="D581" t="inlineStr">
        <is>
          <t>Augustus Asamoah</t>
        </is>
      </c>
      <c r="E581" t="inlineStr">
        <is>
          <t>Augustus Asamoah</t>
        </is>
      </c>
      <c r="F581" s="5" t="n">
        <v>46174.3641087963</v>
      </c>
      <c r="H581" t="inlineStr">
        <is>
          <t>P13NC00A00 - WALMART II</t>
        </is>
      </c>
      <c r="I581" t="n">
        <v>3</v>
      </c>
      <c r="L581" t="b">
        <v>0</v>
      </c>
      <c r="M581" t="inlineStr">
        <is>
          <t>Non-Billable</t>
        </is>
      </c>
      <c r="N581" s="6">
        <f>IF(B581="","",IF(ISNUMBER(B581),TEXT(B581,"YYYY-MM"),LEFT(B581,7)))</f>
        <v/>
      </c>
    </row>
    <row r="582">
      <c r="A582" t="inlineStr">
        <is>
          <t>Clement Obeng-Manu</t>
        </is>
      </c>
      <c r="B582" s="4" t="n">
        <v>46157</v>
      </c>
      <c r="C582" t="inlineStr">
        <is>
          <t>/</t>
        </is>
      </c>
      <c r="D582" t="inlineStr">
        <is>
          <t>Clement Obeng-Manu</t>
        </is>
      </c>
      <c r="E582" t="inlineStr">
        <is>
          <t>Clement Obeng-Manu</t>
        </is>
      </c>
      <c r="F582" s="5" t="n">
        <v>46173.76155092593</v>
      </c>
      <c r="H582" t="inlineStr">
        <is>
          <t>PCGH793</t>
        </is>
      </c>
      <c r="I582" t="n">
        <v>8</v>
      </c>
      <c r="J582" t="inlineStr">
        <is>
          <t>PCGH793 - Desk Study (3) (Okeosisi Jonathan)</t>
        </is>
      </c>
      <c r="L582" t="b">
        <v>1</v>
      </c>
      <c r="M582" t="inlineStr">
        <is>
          <t>Billed at a Fixed price</t>
        </is>
      </c>
      <c r="N582" s="6">
        <f>IF(B582="","",IF(ISNUMBER(B582),TEXT(B582,"YYYY-MM"),LEFT(B582,7)))</f>
        <v/>
      </c>
    </row>
    <row r="583">
      <c r="A583" t="inlineStr">
        <is>
          <t>Helena Tetteh</t>
        </is>
      </c>
      <c r="B583" s="4" t="n">
        <v>46157</v>
      </c>
      <c r="C583" t="inlineStr">
        <is>
          <t>/</t>
        </is>
      </c>
      <c r="D583" t="inlineStr">
        <is>
          <t xml:space="preserve">Helena Tetteh </t>
        </is>
      </c>
      <c r="E583" t="inlineStr">
        <is>
          <t>Helena Tetteh</t>
        </is>
      </c>
      <c r="F583" s="5" t="n">
        <v>46168.44539351852</v>
      </c>
      <c r="G583" t="inlineStr">
        <is>
          <t>Output 2.3</t>
        </is>
      </c>
      <c r="H583" t="inlineStr">
        <is>
          <t>P23AC00C00 - FGMC</t>
        </is>
      </c>
      <c r="I583" t="n">
        <v>8</v>
      </c>
      <c r="K583" t="inlineStr">
        <is>
          <t>P23AC22A00 - Output Two (Elevating Local Solutions - West Africa)</t>
        </is>
      </c>
      <c r="L583" t="b">
        <v>0</v>
      </c>
      <c r="M583" t="inlineStr">
        <is>
          <t>Non-Billable</t>
        </is>
      </c>
      <c r="N583" s="6">
        <f>IF(B583="","",IF(ISNUMBER(B583),TEXT(B583,"YYYY-MM"),LEFT(B583,7)))</f>
        <v/>
      </c>
    </row>
    <row r="584">
      <c r="A584" t="inlineStr">
        <is>
          <t>Ekow Nyamekye Tawiah</t>
        </is>
      </c>
      <c r="B584" s="4" t="n">
        <v>46157</v>
      </c>
      <c r="C584" t="inlineStr">
        <is>
          <t>Deforestation Risk Analysis</t>
        </is>
      </c>
      <c r="D584" t="inlineStr">
        <is>
          <t>Ekow Nyamekye Tawiah</t>
        </is>
      </c>
      <c r="E584" t="inlineStr">
        <is>
          <t>Ekow Nyamekye Tawiah</t>
        </is>
      </c>
      <c r="F584" s="5" t="n">
        <v>46162.86649305555</v>
      </c>
      <c r="H584" t="inlineStr">
        <is>
          <t>PCGH778 - General Support</t>
        </is>
      </c>
      <c r="I584" t="n">
        <v>4</v>
      </c>
      <c r="J584" t="inlineStr">
        <is>
          <t>PCGH778 - Support to Other Workstreams (3) (Proforest Limited(PCUK GBP))</t>
        </is>
      </c>
      <c r="L584" t="b">
        <v>1</v>
      </c>
      <c r="M584" t="inlineStr">
        <is>
          <t>Billed at a Fixed price</t>
        </is>
      </c>
      <c r="N584" s="6">
        <f>IF(B584="","",IF(ISNUMBER(B584),TEXT(B584,"YYYY-MM"),LEFT(B584,7)))</f>
        <v/>
      </c>
    </row>
    <row r="585">
      <c r="A585" t="inlineStr">
        <is>
          <t>James Parker Mckeown</t>
        </is>
      </c>
      <c r="B585" s="4" t="n">
        <v>46157</v>
      </c>
      <c r="C585" t="inlineStr">
        <is>
          <t xml:space="preserve">Brazil visa application </t>
        </is>
      </c>
      <c r="D585" t="inlineStr">
        <is>
          <t>James Parker Mckeown</t>
        </is>
      </c>
      <c r="E585" t="inlineStr">
        <is>
          <t>James Parker Mckeown</t>
        </is>
      </c>
      <c r="F585" s="5" t="n">
        <v>46162.83929398148</v>
      </c>
      <c r="H585" t="inlineStr">
        <is>
          <t>Non-Billable Tasks</t>
        </is>
      </c>
      <c r="I585" t="n">
        <v>1</v>
      </c>
      <c r="K585" t="inlineStr">
        <is>
          <t>Professional development and Knowledge sharing(training,global knowledge calls,exchange weeks)</t>
        </is>
      </c>
      <c r="L585" t="b">
        <v>0</v>
      </c>
      <c r="M585" t="inlineStr">
        <is>
          <t>Non-Billable</t>
        </is>
      </c>
      <c r="N585" s="6">
        <f>IF(B585="","",IF(ISNUMBER(B585),TEXT(B585,"YYYY-MM"),LEFT(B585,7)))</f>
        <v/>
      </c>
    </row>
    <row r="586">
      <c r="A586" t="inlineStr">
        <is>
          <t>James Parker Mckeown</t>
        </is>
      </c>
      <c r="B586" s="4" t="n">
        <v>46157</v>
      </c>
      <c r="C586" t="inlineStr">
        <is>
          <t xml:space="preserve">FGMC quarterly budget forecast </t>
        </is>
      </c>
      <c r="D586" t="inlineStr">
        <is>
          <t>James Parker Mckeown</t>
        </is>
      </c>
      <c r="E586" t="inlineStr">
        <is>
          <t>James Parker Mckeown</t>
        </is>
      </c>
      <c r="F586" s="5" t="n">
        <v>46162.83819444444</v>
      </c>
      <c r="G586" t="inlineStr">
        <is>
          <t>Output 4</t>
        </is>
      </c>
      <c r="H586" t="inlineStr">
        <is>
          <t>P23AC00C00 - FGMC</t>
        </is>
      </c>
      <c r="I586" t="n">
        <v>3</v>
      </c>
      <c r="K586" t="inlineStr">
        <is>
          <t>P23AC03A00 - Project Management</t>
        </is>
      </c>
      <c r="L586" t="b">
        <v>0</v>
      </c>
      <c r="M586" t="inlineStr">
        <is>
          <t>Non-Billable</t>
        </is>
      </c>
      <c r="N586" s="6">
        <f>IF(B586="","",IF(ISNUMBER(B586),TEXT(B586,"YYYY-MM"),LEFT(B586,7)))</f>
        <v/>
      </c>
    </row>
    <row r="587">
      <c r="A587" t="inlineStr">
        <is>
          <t>James Parker Mckeown</t>
        </is>
      </c>
      <c r="B587" s="4" t="n">
        <v>46157</v>
      </c>
      <c r="C587" t="inlineStr">
        <is>
          <t>/</t>
        </is>
      </c>
      <c r="D587" t="inlineStr">
        <is>
          <t>James Parker Mckeown</t>
        </is>
      </c>
      <c r="E587" t="inlineStr">
        <is>
          <t>James Parker Mckeown</t>
        </is>
      </c>
      <c r="F587" s="5" t="n">
        <v>46162.83445601852</v>
      </c>
      <c r="G587" t="inlineStr">
        <is>
          <t>Desk Study</t>
        </is>
      </c>
      <c r="H587" t="inlineStr">
        <is>
          <t>PCGH762 - GVL HCSA Restoration Project</t>
        </is>
      </c>
      <c r="I587" t="n">
        <v>4</v>
      </c>
      <c r="J587" t="inlineStr">
        <is>
          <t>PCGH762 - Desk Review, Stakeholder Mapping &amp; Analysis and Engagement (Golden Veroleum Liberia)</t>
        </is>
      </c>
      <c r="K587" t="inlineStr">
        <is>
          <t>Desk Review, Stakeholder Mapping &amp; Analysis and Engagement</t>
        </is>
      </c>
      <c r="L587" t="b">
        <v>1</v>
      </c>
      <c r="M587" t="inlineStr">
        <is>
          <t>Billed at a Fixed price</t>
        </is>
      </c>
      <c r="N587" s="6">
        <f>IF(B587="","",IF(ISNUMBER(B587),TEXT(B587,"YYYY-MM"),LEFT(B587,7)))</f>
        <v/>
      </c>
    </row>
    <row r="588">
      <c r="A588" t="inlineStr">
        <is>
          <t>Patricia Offei</t>
        </is>
      </c>
      <c r="B588" s="4" t="n">
        <v>46157</v>
      </c>
      <c r="C588" t="inlineStr">
        <is>
          <t>/</t>
        </is>
      </c>
      <c r="D588" t="inlineStr">
        <is>
          <t>Patricia Offei</t>
        </is>
      </c>
      <c r="E588" t="inlineStr">
        <is>
          <t>Patricia Offei</t>
        </is>
      </c>
      <c r="F588" s="5" t="n">
        <v>46162.60472222222</v>
      </c>
      <c r="H588" t="inlineStr">
        <is>
          <t>PCGH774 -Evaluation Deep-Dive Action Plans by Socfin Group</t>
        </is>
      </c>
      <c r="I588" t="n">
        <v>8</v>
      </c>
      <c r="J588" t="inlineStr">
        <is>
          <t>PCGH774 - Project Management (2) (Socfinco FR SA)</t>
        </is>
      </c>
      <c r="L588" t="b">
        <v>1</v>
      </c>
      <c r="M588" t="inlineStr">
        <is>
          <t>Billed at a Fixed price</t>
        </is>
      </c>
      <c r="N588" s="6">
        <f>IF(B588="","",IF(ISNUMBER(B588),TEXT(B588,"YYYY-MM"),LEFT(B588,7)))</f>
        <v/>
      </c>
    </row>
    <row r="589">
      <c r="A589" t="inlineStr">
        <is>
          <t>Kwadwo Baniako Nti</t>
        </is>
      </c>
      <c r="B589" s="4" t="n">
        <v>46157</v>
      </c>
      <c r="C589" t="inlineStr">
        <is>
          <t>/</t>
        </is>
      </c>
      <c r="D589" t="inlineStr">
        <is>
          <t>Kwadwo Baniako Nti</t>
        </is>
      </c>
      <c r="E589" t="inlineStr">
        <is>
          <t>Kwadwo Baniako Nti</t>
        </is>
      </c>
      <c r="F589" s="5" t="n">
        <v>46162.39320601852</v>
      </c>
      <c r="G589" t="inlineStr">
        <is>
          <t>Management and Maintenance of the Forest</t>
        </is>
      </c>
      <c r="H589" t="inlineStr">
        <is>
          <t>PCGH762 - GVL HCSA Restoration Project</t>
        </is>
      </c>
      <c r="I589" t="n">
        <v>3</v>
      </c>
      <c r="J589" t="inlineStr">
        <is>
          <t>PCGH762 - Management and Maintenance of the Forest (Golden Veroleum Liberia)</t>
        </is>
      </c>
      <c r="K589" t="inlineStr">
        <is>
          <t>Management and Maintenance of the Forest</t>
        </is>
      </c>
      <c r="L589" t="b">
        <v>1</v>
      </c>
      <c r="M589" t="inlineStr">
        <is>
          <t>Billed at a Fixed price</t>
        </is>
      </c>
      <c r="N589" s="6">
        <f>IF(B589="","",IF(ISNUMBER(B589),TEXT(B589,"YYYY-MM"),LEFT(B589,7)))</f>
        <v/>
      </c>
    </row>
    <row r="590">
      <c r="A590" t="inlineStr">
        <is>
          <t>Kwadwo Baniako Nti</t>
        </is>
      </c>
      <c r="B590" s="4" t="n">
        <v>46157</v>
      </c>
      <c r="C590" t="inlineStr">
        <is>
          <t>/</t>
        </is>
      </c>
      <c r="D590" t="inlineStr">
        <is>
          <t>Kwadwo Baniako Nti</t>
        </is>
      </c>
      <c r="E590" t="inlineStr">
        <is>
          <t>Kwadwo Baniako Nti</t>
        </is>
      </c>
      <c r="F590" s="5" t="n">
        <v>46162.39256944445</v>
      </c>
      <c r="H590" t="inlineStr">
        <is>
          <t>Non-Billable Tasks</t>
        </is>
      </c>
      <c r="I590" t="n">
        <v>4</v>
      </c>
      <c r="K590" t="inlineStr">
        <is>
          <t>Professional development and Knowledge sharing(training,global knowledge calls,exchange weeks)</t>
        </is>
      </c>
      <c r="L590" t="b">
        <v>0</v>
      </c>
      <c r="M590" t="inlineStr">
        <is>
          <t>Non-Billable</t>
        </is>
      </c>
      <c r="N590" s="6">
        <f>IF(B590="","",IF(ISNUMBER(B590),TEXT(B590,"YYYY-MM"),LEFT(B590,7)))</f>
        <v/>
      </c>
    </row>
    <row r="591">
      <c r="A591" t="inlineStr">
        <is>
          <t>Kwadwo Baniako Nti</t>
        </is>
      </c>
      <c r="B591" s="4" t="n">
        <v>46157</v>
      </c>
      <c r="C591" t="inlineStr">
        <is>
          <t>/</t>
        </is>
      </c>
      <c r="D591" t="inlineStr">
        <is>
          <t>Kwadwo Baniako Nti</t>
        </is>
      </c>
      <c r="E591" t="inlineStr">
        <is>
          <t>Kwadwo Baniako Nti</t>
        </is>
      </c>
      <c r="F591" s="5" t="n">
        <v>46162.38859953704</v>
      </c>
      <c r="H591" t="inlineStr">
        <is>
          <t>Internal</t>
        </is>
      </c>
      <c r="I591" t="n">
        <v>1</v>
      </c>
      <c r="K591" t="inlineStr">
        <is>
          <t>Meeting on workplan</t>
        </is>
      </c>
      <c r="L591" t="b">
        <v>0</v>
      </c>
      <c r="M591" t="inlineStr">
        <is>
          <t>Non-Billable</t>
        </is>
      </c>
      <c r="N591" s="6">
        <f>IF(B591="","",IF(ISNUMBER(B591),TEXT(B591,"YYYY-MM"),LEFT(B591,7)))</f>
        <v/>
      </c>
    </row>
    <row r="592">
      <c r="A592" t="inlineStr">
        <is>
          <t>Louis Defo</t>
        </is>
      </c>
      <c r="B592" s="4" t="n">
        <v>46157</v>
      </c>
      <c r="C592" t="inlineStr">
        <is>
          <t>/</t>
        </is>
      </c>
      <c r="D592" t="inlineStr">
        <is>
          <t>Louis Defo</t>
        </is>
      </c>
      <c r="E592" t="inlineStr">
        <is>
          <t>Louis Defo</t>
        </is>
      </c>
      <c r="F592" s="5" t="n">
        <v>46161.33734953704</v>
      </c>
      <c r="H592" t="inlineStr">
        <is>
          <t>PCGH787</t>
        </is>
      </c>
      <c r="I592" t="n">
        <v>8</v>
      </c>
      <c r="J592" t="inlineStr">
        <is>
          <t>PCGH787 - Desk Study (3) (Proforest Limited(PCUK GBP))</t>
        </is>
      </c>
      <c r="L592" t="b">
        <v>1</v>
      </c>
      <c r="M592" t="inlineStr">
        <is>
          <t>Billed at a Fixed price</t>
        </is>
      </c>
      <c r="N592" s="6">
        <f>IF(B592="","",IF(ISNUMBER(B592),TEXT(B592,"YYYY-MM"),LEFT(B592,7)))</f>
        <v/>
      </c>
    </row>
    <row r="593">
      <c r="A593" t="inlineStr">
        <is>
          <t>Stephen Doso</t>
        </is>
      </c>
      <c r="B593" s="4" t="n">
        <v>46157</v>
      </c>
      <c r="C593" t="inlineStr">
        <is>
          <t>/</t>
        </is>
      </c>
      <c r="D593" t="inlineStr">
        <is>
          <t>Stephen Doso</t>
        </is>
      </c>
      <c r="E593" t="inlineStr">
        <is>
          <t>Stephen Doso</t>
        </is>
      </c>
      <c r="F593" s="5" t="n">
        <v>46160.78180555555</v>
      </c>
      <c r="H593" t="inlineStr">
        <is>
          <t>PCGH769</t>
        </is>
      </c>
      <c r="I593" t="n">
        <v>4</v>
      </c>
      <c r="J593" t="inlineStr">
        <is>
          <t>PCGH769 - Desk Study (2) (Biase Plantations Ltd.)</t>
        </is>
      </c>
      <c r="K593" t="inlineStr">
        <is>
          <t>HCV/HCS - Reporting and review</t>
        </is>
      </c>
      <c r="L593" t="b">
        <v>1</v>
      </c>
      <c r="M593" t="inlineStr">
        <is>
          <t>Billed at a Fixed price</t>
        </is>
      </c>
      <c r="N593" s="6">
        <f>IF(B593="","",IF(ISNUMBER(B593),TEXT(B593,"YYYY-MM"),LEFT(B593,7)))</f>
        <v/>
      </c>
    </row>
    <row r="594">
      <c r="A594" t="inlineStr">
        <is>
          <t>Stephen Doso</t>
        </is>
      </c>
      <c r="B594" s="4" t="n">
        <v>46157</v>
      </c>
      <c r="C594" t="inlineStr">
        <is>
          <t>/</t>
        </is>
      </c>
      <c r="D594" t="inlineStr">
        <is>
          <t>Stephen Doso</t>
        </is>
      </c>
      <c r="E594" t="inlineStr">
        <is>
          <t>Stephen Doso</t>
        </is>
      </c>
      <c r="F594" s="5" t="n">
        <v>46160.77583333333</v>
      </c>
      <c r="H594" t="inlineStr">
        <is>
          <t>Non-Billable Tasks</t>
        </is>
      </c>
      <c r="I594" t="n">
        <v>2.5</v>
      </c>
      <c r="K594" t="inlineStr">
        <is>
          <t>Portfolio Team Management</t>
        </is>
      </c>
      <c r="L594" t="b">
        <v>0</v>
      </c>
      <c r="M594" t="inlineStr">
        <is>
          <t>Non-Billable</t>
        </is>
      </c>
      <c r="N594" s="6">
        <f>IF(B594="","",IF(ISNUMBER(B594),TEXT(B594,"YYYY-MM"),LEFT(B594,7)))</f>
        <v/>
      </c>
    </row>
    <row r="595">
      <c r="A595" t="inlineStr">
        <is>
          <t>Stephen Doso</t>
        </is>
      </c>
      <c r="B595" s="4" t="n">
        <v>46157</v>
      </c>
      <c r="C595" t="inlineStr">
        <is>
          <t>/</t>
        </is>
      </c>
      <c r="D595" t="inlineStr">
        <is>
          <t>Stephen Doso</t>
        </is>
      </c>
      <c r="E595" t="inlineStr">
        <is>
          <t>Stephen Doso</t>
        </is>
      </c>
      <c r="F595" s="5" t="n">
        <v>46160.77494212963</v>
      </c>
      <c r="H595" t="inlineStr">
        <is>
          <t>Non-Billable Tasks</t>
        </is>
      </c>
      <c r="I595" t="n">
        <v>1.5</v>
      </c>
      <c r="K595" t="inlineStr">
        <is>
          <t>Senior Management Activities</t>
        </is>
      </c>
      <c r="L595" t="b">
        <v>0</v>
      </c>
      <c r="M595" t="inlineStr">
        <is>
          <t>Non-Billable</t>
        </is>
      </c>
      <c r="N595" s="6">
        <f>IF(B595="","",IF(ISNUMBER(B595),TEXT(B595,"YYYY-MM"),LEFT(B595,7)))</f>
        <v/>
      </c>
    </row>
    <row r="596">
      <c r="A596" t="inlineStr">
        <is>
          <t>Frederick Antwi</t>
        </is>
      </c>
      <c r="B596" s="4" t="n">
        <v>46157</v>
      </c>
      <c r="C596" t="inlineStr">
        <is>
          <t>/</t>
        </is>
      </c>
      <c r="D596" t="inlineStr">
        <is>
          <t>Frederick Antwi</t>
        </is>
      </c>
      <c r="E596" t="inlineStr">
        <is>
          <t>Frederick Antwi</t>
        </is>
      </c>
      <c r="F596" s="5" t="n">
        <v>46160.64400462963</v>
      </c>
      <c r="H596" t="inlineStr">
        <is>
          <t>P13PC00A00 - Private Sector Companies</t>
        </is>
      </c>
      <c r="I596" t="n">
        <v>8</v>
      </c>
      <c r="L596" t="b">
        <v>0</v>
      </c>
      <c r="M596" t="inlineStr">
        <is>
          <t>Non-Billable</t>
        </is>
      </c>
      <c r="N596" s="6">
        <f>IF(B596="","",IF(ISNUMBER(B596),TEXT(B596,"YYYY-MM"),LEFT(B596,7)))</f>
        <v/>
      </c>
    </row>
    <row r="597">
      <c r="A597" t="inlineStr">
        <is>
          <t>Abel Ansu</t>
        </is>
      </c>
      <c r="B597" s="4" t="n">
        <v>46157</v>
      </c>
      <c r="C597" t="inlineStr">
        <is>
          <t xml:space="preserve">Transported pegs for lining and pegging from Pesewu to Gyesewobere </t>
        </is>
      </c>
      <c r="D597" t="inlineStr">
        <is>
          <t>Abel Ansu</t>
        </is>
      </c>
      <c r="E597" t="inlineStr">
        <is>
          <t>Abel Ansu</t>
        </is>
      </c>
      <c r="F597" s="5" t="n">
        <v>46158.22234953703</v>
      </c>
      <c r="H597" t="inlineStr">
        <is>
          <t>Internal</t>
        </is>
      </c>
      <c r="I597" t="n">
        <v>8</v>
      </c>
      <c r="K597" t="inlineStr">
        <is>
          <t>Transportation of pegs</t>
        </is>
      </c>
      <c r="L597" t="b">
        <v>0</v>
      </c>
      <c r="M597" t="inlineStr">
        <is>
          <t>Non-Billable</t>
        </is>
      </c>
      <c r="N597" s="6">
        <f>IF(B597="","",IF(ISNUMBER(B597),TEXT(B597,"YYYY-MM"),LEFT(B597,7)))</f>
        <v/>
      </c>
    </row>
    <row r="598">
      <c r="A598" t="inlineStr">
        <is>
          <t>Soro TCHEREGNIMIN</t>
        </is>
      </c>
      <c r="B598" s="4" t="n">
        <v>46157</v>
      </c>
      <c r="C598" t="inlineStr">
        <is>
          <t>/</t>
        </is>
      </c>
      <c r="D598" t="inlineStr">
        <is>
          <t>Soro TCHEREGNIMIN</t>
        </is>
      </c>
      <c r="E598" t="inlineStr">
        <is>
          <t>Soro TCHEREGNIMIN</t>
        </is>
      </c>
      <c r="F598" s="5" t="n">
        <v>46154.94983796297</v>
      </c>
      <c r="H598" t="inlineStr">
        <is>
          <t>PCGH774 -Evaluation Deep-Dive Action Plans by Socfin Group</t>
        </is>
      </c>
      <c r="I598" t="n">
        <v>8</v>
      </c>
      <c r="J598" t="inlineStr">
        <is>
          <t>PCGH774 - Tier 3 (Socfinco FR SA)</t>
        </is>
      </c>
      <c r="K598" t="inlineStr">
        <is>
          <t xml:space="preserve">SOGB - Analysis and reporting </t>
        </is>
      </c>
      <c r="L598" t="b">
        <v>1</v>
      </c>
      <c r="M598" t="inlineStr">
        <is>
          <t>Billed at a Fixed price</t>
        </is>
      </c>
      <c r="N598" s="6">
        <f>IF(B598="","",IF(ISNUMBER(B598),TEXT(B598,"YYYY-MM"),LEFT(B598,7)))</f>
        <v/>
      </c>
    </row>
    <row r="599">
      <c r="A599" t="inlineStr">
        <is>
          <t>Daleba Bernard Kpenahi Raymond</t>
        </is>
      </c>
      <c r="B599" s="4" t="n">
        <v>46157</v>
      </c>
      <c r="C599" t="inlineStr">
        <is>
          <t>/</t>
        </is>
      </c>
      <c r="D599" t="inlineStr">
        <is>
          <t>Daleba Bernard Kpenahi Raymond</t>
        </is>
      </c>
      <c r="E599" t="inlineStr">
        <is>
          <t>Michael Anim</t>
        </is>
      </c>
      <c r="F599" s="5" t="n">
        <v>46163.52995370371</v>
      </c>
      <c r="H599" t="inlineStr">
        <is>
          <t>PCGH779 - Cote d'Ivoire）</t>
        </is>
      </c>
      <c r="I599" t="n">
        <v>8</v>
      </c>
      <c r="J599" t="inlineStr">
        <is>
          <t>PCGH779 - Tree Planting Project (3) (Proforest Limited(PCUK GBP))</t>
        </is>
      </c>
      <c r="L599" t="b">
        <v>1</v>
      </c>
      <c r="M599" t="inlineStr">
        <is>
          <t>Billed at a Fixed price</t>
        </is>
      </c>
      <c r="N599" s="6">
        <f>IF(B599="","",IF(ISNUMBER(B599),TEXT(B599,"YYYY-MM"),LEFT(B599,7)))</f>
        <v/>
      </c>
    </row>
    <row r="600">
      <c r="A600" t="inlineStr">
        <is>
          <t>Afua Serwah Akoto Prempeh</t>
        </is>
      </c>
      <c r="B600" s="4" t="n">
        <v>46156</v>
      </c>
      <c r="C600" t="inlineStr">
        <is>
          <t>/</t>
        </is>
      </c>
      <c r="D600" t="inlineStr">
        <is>
          <t>Afua Serwah Akoto Prempeh</t>
        </is>
      </c>
      <c r="E600" t="inlineStr">
        <is>
          <t>Afua Serwah Akoto Prempeh</t>
        </is>
      </c>
      <c r="F600" s="5" t="n">
        <v>46204.56025462963</v>
      </c>
      <c r="H600" t="inlineStr">
        <is>
          <t>Non-Billable Tasks</t>
        </is>
      </c>
      <c r="I600" t="n">
        <v>2</v>
      </c>
      <c r="L600" t="b">
        <v>0</v>
      </c>
      <c r="M600" t="inlineStr">
        <is>
          <t>Non-Billable</t>
        </is>
      </c>
      <c r="N600" s="6">
        <f>IF(B600="","",IF(ISNUMBER(B600),TEXT(B600,"YYYY-MM"),LEFT(B600,7)))</f>
        <v/>
      </c>
    </row>
    <row r="601">
      <c r="A601" t="inlineStr">
        <is>
          <t>Afua Serwah Akoto Prempeh</t>
        </is>
      </c>
      <c r="B601" s="4" t="n">
        <v>46156</v>
      </c>
      <c r="C601" t="inlineStr">
        <is>
          <t>/</t>
        </is>
      </c>
      <c r="D601" t="inlineStr">
        <is>
          <t>Afua Serwah Akoto Prempeh</t>
        </is>
      </c>
      <c r="E601" t="inlineStr">
        <is>
          <t>Afua Serwah Akoto Prempeh</t>
        </is>
      </c>
      <c r="F601" s="5" t="n">
        <v>46204.56019675926</v>
      </c>
      <c r="H601" t="inlineStr">
        <is>
          <t>Non-Billable Tasks</t>
        </is>
      </c>
      <c r="I601" t="n">
        <v>2</v>
      </c>
      <c r="K601" t="inlineStr">
        <is>
          <t>Staff Meetings (Quartely Staff Meetings, Adhoc meetings, Welfare)</t>
        </is>
      </c>
      <c r="L601" t="b">
        <v>0</v>
      </c>
      <c r="M601" t="inlineStr">
        <is>
          <t>Non-Billable</t>
        </is>
      </c>
      <c r="N601" s="6">
        <f>IF(B601="","",IF(ISNUMBER(B601),TEXT(B601,"YYYY-MM"),LEFT(B601,7)))</f>
        <v/>
      </c>
    </row>
    <row r="602">
      <c r="A602" t="inlineStr">
        <is>
          <t>Afua Serwah Akoto Prempeh</t>
        </is>
      </c>
      <c r="B602" s="4" t="n">
        <v>46156</v>
      </c>
      <c r="C602" t="inlineStr">
        <is>
          <t>/</t>
        </is>
      </c>
      <c r="D602" t="inlineStr">
        <is>
          <t>Afua Serwah Akoto Prempeh</t>
        </is>
      </c>
      <c r="E602" t="inlineStr">
        <is>
          <t>Afua Serwah Akoto Prempeh</t>
        </is>
      </c>
      <c r="F602" s="5" t="n">
        <v>46188.43628472222</v>
      </c>
      <c r="H602" t="inlineStr">
        <is>
          <t>Business and Project Management Training</t>
        </is>
      </c>
      <c r="I602" t="n">
        <v>4</v>
      </c>
      <c r="L602" t="b">
        <v>1</v>
      </c>
      <c r="M602" t="inlineStr">
        <is>
          <t>Non-Billable</t>
        </is>
      </c>
      <c r="N602" s="6">
        <f>IF(B602="","",IF(ISNUMBER(B602),TEXT(B602,"YYYY-MM"),LEFT(B602,7)))</f>
        <v/>
      </c>
    </row>
    <row r="603">
      <c r="A603" t="inlineStr">
        <is>
          <t>Clement Obeng-Manu</t>
        </is>
      </c>
      <c r="B603" s="4" t="n">
        <v>46156</v>
      </c>
      <c r="C603" t="inlineStr">
        <is>
          <t>/</t>
        </is>
      </c>
      <c r="D603" t="inlineStr">
        <is>
          <t>Clement Obeng-Manu</t>
        </is>
      </c>
      <c r="E603" t="inlineStr">
        <is>
          <t>Clement Obeng-Manu</t>
        </is>
      </c>
      <c r="F603" s="5" t="n">
        <v>46173.76152777778</v>
      </c>
      <c r="H603" t="inlineStr">
        <is>
          <t>PCGH793</t>
        </is>
      </c>
      <c r="I603" t="n">
        <v>8</v>
      </c>
      <c r="J603" t="inlineStr">
        <is>
          <t>PCGH793 - Desk Study (3) (Okeosisi Jonathan)</t>
        </is>
      </c>
      <c r="L603" t="b">
        <v>1</v>
      </c>
      <c r="M603" t="inlineStr">
        <is>
          <t>Billed at a Fixed price</t>
        </is>
      </c>
      <c r="N603" s="6">
        <f>IF(B603="","",IF(ISNUMBER(B603),TEXT(B603,"YYYY-MM"),LEFT(B603,7)))</f>
        <v/>
      </c>
    </row>
    <row r="604">
      <c r="A604" t="inlineStr">
        <is>
          <t>Helena Tetteh</t>
        </is>
      </c>
      <c r="B604" s="4" t="n">
        <v>46156</v>
      </c>
      <c r="C604" t="inlineStr">
        <is>
          <t>/</t>
        </is>
      </c>
      <c r="D604" t="inlineStr">
        <is>
          <t xml:space="preserve">Helena Tetteh </t>
        </is>
      </c>
      <c r="E604" t="inlineStr">
        <is>
          <t>Helena Tetteh</t>
        </is>
      </c>
      <c r="F604" s="5" t="n">
        <v>46168.44537037037</v>
      </c>
      <c r="G604" t="inlineStr">
        <is>
          <t>Output 2.3</t>
        </is>
      </c>
      <c r="H604" t="inlineStr">
        <is>
          <t>P23AC00C00 - FGMC</t>
        </is>
      </c>
      <c r="I604" t="n">
        <v>8</v>
      </c>
      <c r="K604" t="inlineStr">
        <is>
          <t>P23AC22A00 - Output Two (Elevating Local Solutions - West Africa)</t>
        </is>
      </c>
      <c r="L604" t="b">
        <v>0</v>
      </c>
      <c r="M604" t="inlineStr">
        <is>
          <t>Non-Billable</t>
        </is>
      </c>
      <c r="N604" s="6">
        <f>IF(B604="","",IF(ISNUMBER(B604),TEXT(B604,"YYYY-MM"),LEFT(B604,7)))</f>
        <v/>
      </c>
    </row>
    <row r="605">
      <c r="A605" t="inlineStr">
        <is>
          <t>Ekow Nyamekye Tawiah</t>
        </is>
      </c>
      <c r="B605" s="4" t="n">
        <v>46156</v>
      </c>
      <c r="C605" t="inlineStr">
        <is>
          <t>/</t>
        </is>
      </c>
      <c r="D605" t="inlineStr">
        <is>
          <t>Ekow Nyamekye Tawiah</t>
        </is>
      </c>
      <c r="E605" t="inlineStr">
        <is>
          <t>Ekow Nyamekye Tawiah</t>
        </is>
      </c>
      <c r="F605" s="5" t="n">
        <v>46162.86898148148</v>
      </c>
      <c r="H605" t="inlineStr">
        <is>
          <t>Global Internal Projects (GIPs)</t>
        </is>
      </c>
      <c r="I605" t="n">
        <v>4</v>
      </c>
      <c r="L605" t="b">
        <v>1</v>
      </c>
      <c r="M605" t="inlineStr">
        <is>
          <t>Non-Billable</t>
        </is>
      </c>
      <c r="N605" s="6">
        <f>IF(B605="","",IF(ISNUMBER(B605),TEXT(B605,"YYYY-MM"),LEFT(B605,7)))</f>
        <v/>
      </c>
    </row>
    <row r="606">
      <c r="A606" t="inlineStr">
        <is>
          <t>Ekow Nyamekye Tawiah</t>
        </is>
      </c>
      <c r="B606" s="4" t="n">
        <v>46156</v>
      </c>
      <c r="C606" t="inlineStr">
        <is>
          <t>Deforestation Risk Analysis</t>
        </is>
      </c>
      <c r="D606" t="inlineStr">
        <is>
          <t>Ekow Nyamekye Tawiah</t>
        </is>
      </c>
      <c r="E606" t="inlineStr">
        <is>
          <t>Ekow Nyamekye Tawiah</t>
        </is>
      </c>
      <c r="F606" s="5" t="n">
        <v>46162.86909722222</v>
      </c>
      <c r="H606" t="inlineStr">
        <is>
          <t>PCGH778 - General Support</t>
        </is>
      </c>
      <c r="I606" t="n">
        <v>0</v>
      </c>
      <c r="J606" t="inlineStr">
        <is>
          <t>PCGH778 - Support to Other Workstreams (3) (Proforest Limited(PCUK GBP))</t>
        </is>
      </c>
      <c r="L606" t="b">
        <v>1</v>
      </c>
      <c r="M606" t="inlineStr">
        <is>
          <t>Billed at a Fixed price</t>
        </is>
      </c>
      <c r="N606" s="6">
        <f>IF(B606="","",IF(ISNUMBER(B606),TEXT(B606,"YYYY-MM"),LEFT(B606,7)))</f>
        <v/>
      </c>
    </row>
    <row r="607">
      <c r="A607" t="inlineStr">
        <is>
          <t>James Parker Mckeown</t>
        </is>
      </c>
      <c r="B607" s="4" t="n">
        <v>46156</v>
      </c>
      <c r="C607" t="inlineStr">
        <is>
          <t>PFAFR BRIDGE: Weekly Catch-up</t>
        </is>
      </c>
      <c r="D607" t="inlineStr">
        <is>
          <t>James Parker Mckeown</t>
        </is>
      </c>
      <c r="E607" t="inlineStr">
        <is>
          <t>James Parker Mckeown</t>
        </is>
      </c>
      <c r="F607" s="5" t="n">
        <v>46162.83748842592</v>
      </c>
      <c r="G607" t="inlineStr">
        <is>
          <t>Output 4</t>
        </is>
      </c>
      <c r="H607" t="inlineStr">
        <is>
          <t>P23AC00C00 - FGMC</t>
        </is>
      </c>
      <c r="I607" t="n">
        <v>2</v>
      </c>
      <c r="K607" t="inlineStr">
        <is>
          <t>P23AC03A00 - Project Management</t>
        </is>
      </c>
      <c r="L607" t="b">
        <v>0</v>
      </c>
      <c r="M607" t="inlineStr">
        <is>
          <t>Non-Billable</t>
        </is>
      </c>
      <c r="N607" s="6">
        <f>IF(B607="","",IF(ISNUMBER(B607),TEXT(B607,"YYYY-MM"),LEFT(B607,7)))</f>
        <v/>
      </c>
    </row>
    <row r="608">
      <c r="A608" t="inlineStr">
        <is>
          <t>James Parker Mckeown</t>
        </is>
      </c>
      <c r="B608" s="4" t="n">
        <v>46156</v>
      </c>
      <c r="C608" t="inlineStr">
        <is>
          <t xml:space="preserve">Finalizing session plan for institutionalization and exit strategy including pre-reads </t>
        </is>
      </c>
      <c r="D608" t="inlineStr">
        <is>
          <t>James Parker Mckeown</t>
        </is>
      </c>
      <c r="E608" t="inlineStr">
        <is>
          <t>James Parker Mckeown</t>
        </is>
      </c>
      <c r="F608" s="5" t="n">
        <v>46162.83537037037</v>
      </c>
      <c r="H608" t="inlineStr">
        <is>
          <t>Non-Billable Tasks</t>
        </is>
      </c>
      <c r="I608" t="n">
        <v>3</v>
      </c>
      <c r="K608" t="inlineStr">
        <is>
          <t>Internal Focal points and workstreams</t>
        </is>
      </c>
      <c r="L608" t="b">
        <v>0</v>
      </c>
      <c r="M608" t="inlineStr">
        <is>
          <t>Non-Billable</t>
        </is>
      </c>
      <c r="N608" s="6">
        <f>IF(B608="","",IF(ISNUMBER(B608),TEXT(B608,"YYYY-MM"),LEFT(B608,7)))</f>
        <v/>
      </c>
    </row>
    <row r="609">
      <c r="A609" t="inlineStr">
        <is>
          <t>James Parker Mckeown</t>
        </is>
      </c>
      <c r="B609" s="4" t="n">
        <v>46156</v>
      </c>
      <c r="C609" t="inlineStr">
        <is>
          <t>/</t>
        </is>
      </c>
      <c r="D609" t="inlineStr">
        <is>
          <t>James Parker Mckeown</t>
        </is>
      </c>
      <c r="E609" t="inlineStr">
        <is>
          <t>James Parker Mckeown</t>
        </is>
      </c>
      <c r="F609" s="5" t="n">
        <v>46162.83434027778</v>
      </c>
      <c r="G609" t="inlineStr">
        <is>
          <t>Desk Study</t>
        </is>
      </c>
      <c r="H609" t="inlineStr">
        <is>
          <t>PCGH762 - GVL HCSA Restoration Project</t>
        </is>
      </c>
      <c r="I609" t="n">
        <v>3</v>
      </c>
      <c r="J609" t="inlineStr">
        <is>
          <t>PCGH762 - Desk Review, Stakeholder Mapping &amp; Analysis and Engagement (Golden Veroleum Liberia)</t>
        </is>
      </c>
      <c r="K609" t="inlineStr">
        <is>
          <t>Desk Review, Stakeholder Mapping &amp; Analysis and Engagement</t>
        </is>
      </c>
      <c r="L609" t="b">
        <v>1</v>
      </c>
      <c r="M609" t="inlineStr">
        <is>
          <t>Billed at a Fixed price</t>
        </is>
      </c>
      <c r="N609" s="6">
        <f>IF(B609="","",IF(ISNUMBER(B609),TEXT(B609,"YYYY-MM"),LEFT(B609,7)))</f>
        <v/>
      </c>
    </row>
    <row r="610">
      <c r="A610" t="inlineStr">
        <is>
          <t>Patricia Offei</t>
        </is>
      </c>
      <c r="B610" s="4" t="n">
        <v>46156</v>
      </c>
      <c r="C610" t="inlineStr">
        <is>
          <t>/</t>
        </is>
      </c>
      <c r="D610" t="inlineStr">
        <is>
          <t>Patricia Offei</t>
        </is>
      </c>
      <c r="E610" t="inlineStr">
        <is>
          <t>Patricia Offei</t>
        </is>
      </c>
      <c r="F610" s="5" t="n">
        <v>46162.60465277778</v>
      </c>
      <c r="H610" t="inlineStr">
        <is>
          <t>PCGH774 -Evaluation Deep-Dive Action Plans by Socfin Group</t>
        </is>
      </c>
      <c r="I610" t="n">
        <v>8</v>
      </c>
      <c r="J610" t="inlineStr">
        <is>
          <t>PCGH774 - Project Management (2) (Socfinco FR SA)</t>
        </is>
      </c>
      <c r="L610" t="b">
        <v>1</v>
      </c>
      <c r="M610" t="inlineStr">
        <is>
          <t>Billed at a Fixed price</t>
        </is>
      </c>
      <c r="N610" s="6">
        <f>IF(B610="","",IF(ISNUMBER(B610),TEXT(B610,"YYYY-MM"),LEFT(B610,7)))</f>
        <v/>
      </c>
    </row>
    <row r="611">
      <c r="A611" t="inlineStr">
        <is>
          <t>Kingsley Fitz-Gerald Severine</t>
        </is>
      </c>
      <c r="B611" s="4" t="n">
        <v>46156</v>
      </c>
      <c r="C611" t="inlineStr">
        <is>
          <t>/</t>
        </is>
      </c>
      <c r="D611" t="inlineStr">
        <is>
          <t>Kingsley Fitz-Gerald Severine</t>
        </is>
      </c>
      <c r="E611" t="inlineStr">
        <is>
          <t>Kingsley Fitz-Gerald Severine</t>
        </is>
      </c>
      <c r="F611" s="5" t="n">
        <v>46162.56822916667</v>
      </c>
      <c r="H611" t="inlineStr">
        <is>
          <t>Non-Billable Tasks</t>
        </is>
      </c>
      <c r="I611" t="n">
        <v>8</v>
      </c>
      <c r="K611" t="inlineStr">
        <is>
          <t>Professional development and Knowledge sharing(training,global knowledge calls,exchange weeks)</t>
        </is>
      </c>
      <c r="L611" t="b">
        <v>0</v>
      </c>
      <c r="M611" t="inlineStr">
        <is>
          <t>Non-Billable</t>
        </is>
      </c>
      <c r="N611" s="6">
        <f>IF(B611="","",IF(ISNUMBER(B611),TEXT(B611,"YYYY-MM"),LEFT(B611,7)))</f>
        <v/>
      </c>
    </row>
    <row r="612">
      <c r="A612" t="inlineStr">
        <is>
          <t>Kwadwo Baniako Nti</t>
        </is>
      </c>
      <c r="B612" s="4" t="n">
        <v>46156</v>
      </c>
      <c r="C612" t="inlineStr">
        <is>
          <t>/</t>
        </is>
      </c>
      <c r="D612" t="inlineStr">
        <is>
          <t>Kwadwo Baniako Nti</t>
        </is>
      </c>
      <c r="E612" t="inlineStr">
        <is>
          <t>Kwadwo Baniako Nti</t>
        </is>
      </c>
      <c r="F612" s="5" t="n">
        <v>46162.39208333333</v>
      </c>
      <c r="G612" t="inlineStr">
        <is>
          <t>Management and Maintenance of the Forest</t>
        </is>
      </c>
      <c r="H612" t="inlineStr">
        <is>
          <t>PCGH762 - GVL HCSA Restoration Project</t>
        </is>
      </c>
      <c r="I612" t="n">
        <v>2</v>
      </c>
      <c r="J612" t="inlineStr">
        <is>
          <t>PCGH762 - Management and Maintenance of the Forest (Golden Veroleum Liberia)</t>
        </is>
      </c>
      <c r="K612" t="inlineStr">
        <is>
          <t>Management and Maintenance of the Forest</t>
        </is>
      </c>
      <c r="L612" t="b">
        <v>1</v>
      </c>
      <c r="M612" t="inlineStr">
        <is>
          <t>Billed at a Fixed price</t>
        </is>
      </c>
      <c r="N612" s="6">
        <f>IF(B612="","",IF(ISNUMBER(B612),TEXT(B612,"YYYY-MM"),LEFT(B612,7)))</f>
        <v/>
      </c>
    </row>
    <row r="613">
      <c r="A613" t="inlineStr">
        <is>
          <t>Kwadwo Baniako Nti</t>
        </is>
      </c>
      <c r="B613" s="4" t="n">
        <v>46156</v>
      </c>
      <c r="C613" t="inlineStr">
        <is>
          <t>/</t>
        </is>
      </c>
      <c r="D613" t="inlineStr">
        <is>
          <t>Kwadwo Baniako Nti</t>
        </is>
      </c>
      <c r="E613" t="inlineStr">
        <is>
          <t>Kwadwo Baniako Nti</t>
        </is>
      </c>
      <c r="F613" s="5" t="n">
        <v>46162.3915162037</v>
      </c>
      <c r="G613" t="inlineStr">
        <is>
          <t>Communication and Other Materials</t>
        </is>
      </c>
      <c r="H613" t="inlineStr">
        <is>
          <t>PCGH762 - GVL HCSA Restoration Project</t>
        </is>
      </c>
      <c r="I613" t="n">
        <v>3</v>
      </c>
      <c r="J613" t="inlineStr">
        <is>
          <t>PCGH762 - Communication and Other Materials (Golden Veroleum Liberia)</t>
        </is>
      </c>
      <c r="K613" t="inlineStr">
        <is>
          <t>Communication and Other Materials</t>
        </is>
      </c>
      <c r="L613" t="b">
        <v>1</v>
      </c>
      <c r="M613" t="inlineStr">
        <is>
          <t>Billed at a Fixed price</t>
        </is>
      </c>
      <c r="N613" s="6">
        <f>IF(B613="","",IF(ISNUMBER(B613),TEXT(B613,"YYYY-MM"),LEFT(B613,7)))</f>
        <v/>
      </c>
    </row>
    <row r="614">
      <c r="A614" t="inlineStr">
        <is>
          <t>Kwadwo Baniako Nti</t>
        </is>
      </c>
      <c r="B614" s="4" t="n">
        <v>46156</v>
      </c>
      <c r="C614" t="inlineStr">
        <is>
          <t>/</t>
        </is>
      </c>
      <c r="D614" t="inlineStr">
        <is>
          <t>Kwadwo Baniako Nti</t>
        </is>
      </c>
      <c r="E614" t="inlineStr">
        <is>
          <t>Kwadwo Baniako Nti</t>
        </is>
      </c>
      <c r="F614" s="5" t="n">
        <v>46162.39263888889</v>
      </c>
      <c r="H614" t="inlineStr">
        <is>
          <t>Non-Billable Tasks</t>
        </is>
      </c>
      <c r="I614" t="n">
        <v>2</v>
      </c>
      <c r="K614" t="inlineStr">
        <is>
          <t>Professional development and Knowledge sharing(training,global knowledge calls,exchange weeks)</t>
        </is>
      </c>
      <c r="L614" t="b">
        <v>0</v>
      </c>
      <c r="M614" t="inlineStr">
        <is>
          <t>Non-Billable</t>
        </is>
      </c>
      <c r="N614" s="6">
        <f>IF(B614="","",IF(ISNUMBER(B614),TEXT(B614,"YYYY-MM"),LEFT(B614,7)))</f>
        <v/>
      </c>
    </row>
    <row r="615">
      <c r="A615" t="inlineStr">
        <is>
          <t>Kwadwo Baniako Nti</t>
        </is>
      </c>
      <c r="B615" s="4" t="n">
        <v>46156</v>
      </c>
      <c r="C615" t="inlineStr">
        <is>
          <t>/</t>
        </is>
      </c>
      <c r="D615" t="inlineStr">
        <is>
          <t>Kwadwo Baniako Nti</t>
        </is>
      </c>
      <c r="E615" t="inlineStr">
        <is>
          <t>Kwadwo Baniako Nti</t>
        </is>
      </c>
      <c r="F615" s="5" t="n">
        <v>46162.3891087963</v>
      </c>
      <c r="H615" t="inlineStr">
        <is>
          <t>Internal</t>
        </is>
      </c>
      <c r="I615" t="n">
        <v>1</v>
      </c>
      <c r="K615" t="inlineStr">
        <is>
          <t>Meeting on workplan</t>
        </is>
      </c>
      <c r="L615" t="b">
        <v>0</v>
      </c>
      <c r="M615" t="inlineStr">
        <is>
          <t>Non-Billable</t>
        </is>
      </c>
      <c r="N615" s="6">
        <f>IF(B615="","",IF(ISNUMBER(B615),TEXT(B615,"YYYY-MM"),LEFT(B615,7)))</f>
        <v/>
      </c>
    </row>
    <row r="616">
      <c r="A616" t="inlineStr">
        <is>
          <t>Kwadwo Baniako Nti</t>
        </is>
      </c>
      <c r="B616" s="4" t="n">
        <v>46156</v>
      </c>
      <c r="C616" t="inlineStr">
        <is>
          <t>/</t>
        </is>
      </c>
      <c r="D616" t="inlineStr">
        <is>
          <t>Kwadwo Baniako Nti</t>
        </is>
      </c>
      <c r="E616" t="inlineStr">
        <is>
          <t>Kwadwo Baniako Nti</t>
        </is>
      </c>
      <c r="F616" s="5" t="n">
        <v>46162.39053240741</v>
      </c>
      <c r="G616" t="inlineStr">
        <is>
          <t>PCGH786 - Site Assessment (3)</t>
        </is>
      </c>
      <c r="H616" t="inlineStr">
        <is>
          <t>PCGH786 - Impact Level Baseline assessment for FGMC</t>
        </is>
      </c>
      <c r="I616" t="n">
        <v>0</v>
      </c>
      <c r="J616" t="inlineStr">
        <is>
          <t>PCGH786 - Site Assessment (3) (NIRAS Group (UK) Ltd)</t>
        </is>
      </c>
      <c r="K616" t="inlineStr">
        <is>
          <t>Site Assessment</t>
        </is>
      </c>
      <c r="L616" t="b">
        <v>1</v>
      </c>
      <c r="M616" t="inlineStr">
        <is>
          <t>Billed at a Fixed price</t>
        </is>
      </c>
      <c r="N616" s="6">
        <f>IF(B616="","",IF(ISNUMBER(B616),TEXT(B616,"YYYY-MM"),LEFT(B616,7)))</f>
        <v/>
      </c>
    </row>
    <row r="617">
      <c r="A617" t="inlineStr">
        <is>
          <t>Louis Defo</t>
        </is>
      </c>
      <c r="B617" s="4" t="n">
        <v>46156</v>
      </c>
      <c r="C617" t="inlineStr">
        <is>
          <t>/</t>
        </is>
      </c>
      <c r="D617" t="inlineStr">
        <is>
          <t>Louis Defo</t>
        </is>
      </c>
      <c r="E617" t="inlineStr">
        <is>
          <t>Louis Defo</t>
        </is>
      </c>
      <c r="F617" s="5" t="n">
        <v>46161.33712962963</v>
      </c>
      <c r="H617" t="inlineStr">
        <is>
          <t>PCGH787</t>
        </is>
      </c>
      <c r="I617" t="n">
        <v>8</v>
      </c>
      <c r="J617" t="inlineStr">
        <is>
          <t>PCGH787 - Desk Study (3) (Proforest Limited(PCUK GBP))</t>
        </is>
      </c>
      <c r="L617" t="b">
        <v>1</v>
      </c>
      <c r="M617" t="inlineStr">
        <is>
          <t>Billed at a Fixed price</t>
        </is>
      </c>
      <c r="N617" s="6">
        <f>IF(B617="","",IF(ISNUMBER(B617),TEXT(B617,"YYYY-MM"),LEFT(B617,7)))</f>
        <v/>
      </c>
    </row>
    <row r="618">
      <c r="A618" t="inlineStr">
        <is>
          <t>Stephen Doso</t>
        </is>
      </c>
      <c r="B618" s="4" t="n">
        <v>46156</v>
      </c>
      <c r="C618" t="inlineStr">
        <is>
          <t>/</t>
        </is>
      </c>
      <c r="D618" t="inlineStr">
        <is>
          <t>Stephen Doso</t>
        </is>
      </c>
      <c r="E618" t="inlineStr">
        <is>
          <t>Stephen Doso</t>
        </is>
      </c>
      <c r="F618" s="5" t="n">
        <v>46160.77203703704</v>
      </c>
      <c r="H618" t="inlineStr">
        <is>
          <t>Non-Billable Tasks</t>
        </is>
      </c>
      <c r="I618" t="n">
        <v>8</v>
      </c>
      <c r="K618" t="inlineStr">
        <is>
          <t>Professional development and Knowledge sharing(training,global knowledge calls,exchange weeks)</t>
        </is>
      </c>
      <c r="L618" t="b">
        <v>0</v>
      </c>
      <c r="M618" t="inlineStr">
        <is>
          <t>Non-Billable</t>
        </is>
      </c>
      <c r="N618" s="6">
        <f>IF(B618="","",IF(ISNUMBER(B618),TEXT(B618,"YYYY-MM"),LEFT(B618,7)))</f>
        <v/>
      </c>
    </row>
    <row r="619">
      <c r="A619" t="inlineStr">
        <is>
          <t>Frederick Antwi</t>
        </is>
      </c>
      <c r="B619" s="4" t="n">
        <v>46156</v>
      </c>
      <c r="C619" t="inlineStr">
        <is>
          <t>/</t>
        </is>
      </c>
      <c r="D619" t="inlineStr">
        <is>
          <t>Frederick Antwi</t>
        </is>
      </c>
      <c r="E619" t="inlineStr">
        <is>
          <t>Frederick Antwi</t>
        </is>
      </c>
      <c r="F619" s="5" t="n">
        <v>46160.64398148148</v>
      </c>
      <c r="H619" t="inlineStr">
        <is>
          <t>P13PC00A00 - Private Sector Companies</t>
        </is>
      </c>
      <c r="I619" t="n">
        <v>8</v>
      </c>
      <c r="L619" t="b">
        <v>0</v>
      </c>
      <c r="M619" t="inlineStr">
        <is>
          <t>Non-Billable</t>
        </is>
      </c>
      <c r="N619" s="6">
        <f>IF(B619="","",IF(ISNUMBER(B619),TEXT(B619,"YYYY-MM"),LEFT(B619,7)))</f>
        <v/>
      </c>
    </row>
    <row r="620">
      <c r="A620" t="inlineStr">
        <is>
          <t>Abel Ansu</t>
        </is>
      </c>
      <c r="B620" s="4" t="n">
        <v>46156</v>
      </c>
      <c r="C620" t="inlineStr">
        <is>
          <t>Inspected sites cleared for MTS at the Ayum forest (Gyesewobere) and picked coordinates of the boundaries</t>
        </is>
      </c>
      <c r="D620" t="inlineStr">
        <is>
          <t>Abel Ansu</t>
        </is>
      </c>
      <c r="E620" t="inlineStr">
        <is>
          <t>Abel Ansu</t>
        </is>
      </c>
      <c r="F620" s="5" t="n">
        <v>46158.22114583333</v>
      </c>
      <c r="H620" t="inlineStr">
        <is>
          <t>Internal</t>
        </is>
      </c>
      <c r="I620" t="n">
        <v>8</v>
      </c>
      <c r="K620" t="inlineStr">
        <is>
          <t>Monitoring of cleared MTS sites</t>
        </is>
      </c>
      <c r="L620" t="b">
        <v>0</v>
      </c>
      <c r="M620" t="inlineStr">
        <is>
          <t>Non-Billable</t>
        </is>
      </c>
      <c r="N620" s="6">
        <f>IF(B620="","",IF(ISNUMBER(B620),TEXT(B620,"YYYY-MM"),LEFT(B620,7)))</f>
        <v/>
      </c>
    </row>
    <row r="621">
      <c r="A621" t="inlineStr">
        <is>
          <t>Augustus Asamoah</t>
        </is>
      </c>
      <c r="B621" s="4" t="n">
        <v>46156</v>
      </c>
      <c r="C621" t="inlineStr">
        <is>
          <t>/</t>
        </is>
      </c>
      <c r="D621" t="inlineStr">
        <is>
          <t>Augustus Asamoah</t>
        </is>
      </c>
      <c r="E621" t="inlineStr">
        <is>
          <t>Augustus Asamoah</t>
        </is>
      </c>
      <c r="F621" s="5" t="n">
        <v>46156.7071412037</v>
      </c>
      <c r="H621" t="inlineStr">
        <is>
          <t>P13PC00A00 - Private Sector Companies</t>
        </is>
      </c>
      <c r="I621" t="n">
        <v>1</v>
      </c>
      <c r="L621" t="b">
        <v>0</v>
      </c>
      <c r="M621" t="inlineStr">
        <is>
          <t>Non-Billable</t>
        </is>
      </c>
      <c r="N621" s="6">
        <f>IF(B621="","",IF(ISNUMBER(B621),TEXT(B621,"YYYY-MM"),LEFT(B621,7)))</f>
        <v/>
      </c>
    </row>
    <row r="622">
      <c r="A622" t="inlineStr">
        <is>
          <t>Augustus Asamoah</t>
        </is>
      </c>
      <c r="B622" s="4" t="n">
        <v>46156</v>
      </c>
      <c r="C622" t="inlineStr">
        <is>
          <t>/</t>
        </is>
      </c>
      <c r="D622" t="inlineStr">
        <is>
          <t>Augustus Asamoah</t>
        </is>
      </c>
      <c r="E622" t="inlineStr">
        <is>
          <t>Augustus Asamoah</t>
        </is>
      </c>
      <c r="F622" s="5" t="n">
        <v>46156.70688657407</v>
      </c>
      <c r="H622" t="inlineStr">
        <is>
          <t>P13NC00A00 - WALMART II</t>
        </is>
      </c>
      <c r="I622" t="n">
        <v>3</v>
      </c>
      <c r="L622" t="b">
        <v>0</v>
      </c>
      <c r="M622" t="inlineStr">
        <is>
          <t>Non-Billable</t>
        </is>
      </c>
      <c r="N622" s="6">
        <f>IF(B622="","",IF(ISNUMBER(B622),TEXT(B622,"YYYY-MM"),LEFT(B622,7)))</f>
        <v/>
      </c>
    </row>
    <row r="623">
      <c r="A623" t="inlineStr">
        <is>
          <t>Augustus Asamoah</t>
        </is>
      </c>
      <c r="B623" s="4" t="n">
        <v>46156</v>
      </c>
      <c r="C623" t="inlineStr">
        <is>
          <t>/</t>
        </is>
      </c>
      <c r="D623" t="inlineStr">
        <is>
          <t>Augustus Asamoah</t>
        </is>
      </c>
      <c r="E623" t="inlineStr">
        <is>
          <t>Augustus Asamoah</t>
        </is>
      </c>
      <c r="F623" s="5" t="n">
        <v>46156.70681712963</v>
      </c>
      <c r="H623" t="inlineStr">
        <is>
          <t>P13QC00A00 - EFI Programme</t>
        </is>
      </c>
      <c r="I623" t="n">
        <v>4</v>
      </c>
      <c r="L623" t="b">
        <v>0</v>
      </c>
      <c r="M623" t="inlineStr">
        <is>
          <t>Non-Billable</t>
        </is>
      </c>
      <c r="N623" s="6">
        <f>IF(B623="","",IF(ISNUMBER(B623),TEXT(B623,"YYYY-MM"),LEFT(B623,7)))</f>
        <v/>
      </c>
    </row>
    <row r="624">
      <c r="A624" t="inlineStr">
        <is>
          <t>Soro TCHEREGNIMIN</t>
        </is>
      </c>
      <c r="B624" s="4" t="n">
        <v>46156</v>
      </c>
      <c r="C624" t="inlineStr">
        <is>
          <t>/</t>
        </is>
      </c>
      <c r="D624" t="inlineStr">
        <is>
          <t>Soro TCHEREGNIMIN</t>
        </is>
      </c>
      <c r="E624" t="inlineStr">
        <is>
          <t>Soro TCHEREGNIMIN</t>
        </is>
      </c>
      <c r="F624" s="5" t="n">
        <v>46154.9497337963</v>
      </c>
      <c r="H624" t="inlineStr">
        <is>
          <t>PCGH774 -Evaluation Deep-Dive Action Plans by Socfin Group</t>
        </is>
      </c>
      <c r="I624" t="n">
        <v>8</v>
      </c>
      <c r="J624" t="inlineStr">
        <is>
          <t>PCGH774 - Tier 3 (Socfinco FR SA)</t>
        </is>
      </c>
      <c r="K624" t="inlineStr">
        <is>
          <t xml:space="preserve">SOGB - Analysis and reporting </t>
        </is>
      </c>
      <c r="L624" t="b">
        <v>1</v>
      </c>
      <c r="M624" t="inlineStr">
        <is>
          <t>Billed at a Fixed price</t>
        </is>
      </c>
      <c r="N624" s="6">
        <f>IF(B624="","",IF(ISNUMBER(B624),TEXT(B624,"YYYY-MM"),LEFT(B624,7)))</f>
        <v/>
      </c>
    </row>
    <row r="625">
      <c r="A625" t="inlineStr">
        <is>
          <t>Daleba Bernard Kpenahi Raymond</t>
        </is>
      </c>
      <c r="B625" s="4" t="n">
        <v>46156</v>
      </c>
      <c r="C625" t="inlineStr">
        <is>
          <t>/</t>
        </is>
      </c>
      <c r="D625" t="inlineStr">
        <is>
          <t>Daleba Bernard Kpenahi Raymond</t>
        </is>
      </c>
      <c r="E625" t="inlineStr">
        <is>
          <t>Michael Anim</t>
        </is>
      </c>
      <c r="F625" s="5" t="n">
        <v>46163.52997685185</v>
      </c>
      <c r="H625" t="inlineStr">
        <is>
          <t>PCGH779 - Cote d'Ivoire）</t>
        </is>
      </c>
      <c r="I625" t="n">
        <v>8</v>
      </c>
      <c r="J625" t="inlineStr">
        <is>
          <t>PCGH779 - Tree Planting Project (3) (Proforest Limited(PCUK GBP))</t>
        </is>
      </c>
      <c r="L625" t="b">
        <v>1</v>
      </c>
      <c r="M625" t="inlineStr">
        <is>
          <t>Billed at a Fixed price</t>
        </is>
      </c>
      <c r="N625" s="6">
        <f>IF(B625="","",IF(ISNUMBER(B625),TEXT(B625,"YYYY-MM"),LEFT(B625,7)))</f>
        <v/>
      </c>
    </row>
    <row r="626">
      <c r="A626" t="inlineStr">
        <is>
          <t>Afua Serwah Akoto Prempeh</t>
        </is>
      </c>
      <c r="B626" s="4" t="n">
        <v>46155</v>
      </c>
      <c r="C626" t="inlineStr">
        <is>
          <t>/</t>
        </is>
      </c>
      <c r="D626" t="inlineStr">
        <is>
          <t>Afua Serwah Akoto Prempeh</t>
        </is>
      </c>
      <c r="E626" t="inlineStr">
        <is>
          <t>Afua Serwah Akoto Prempeh</t>
        </is>
      </c>
      <c r="F626" s="5" t="n">
        <v>46188.50293981482</v>
      </c>
      <c r="H626" t="inlineStr">
        <is>
          <t>Non-Billable Tasks</t>
        </is>
      </c>
      <c r="I626" t="n">
        <v>2</v>
      </c>
      <c r="L626" t="b">
        <v>0</v>
      </c>
      <c r="M626" t="inlineStr">
        <is>
          <t>Non-Billable</t>
        </is>
      </c>
      <c r="N626" s="6">
        <f>IF(B626="","",IF(ISNUMBER(B626),TEXT(B626,"YYYY-MM"),LEFT(B626,7)))</f>
        <v/>
      </c>
    </row>
    <row r="627">
      <c r="A627" t="inlineStr">
        <is>
          <t>Afua Serwah Akoto Prempeh</t>
        </is>
      </c>
      <c r="B627" s="4" t="n">
        <v>46155</v>
      </c>
      <c r="C627" t="inlineStr">
        <is>
          <t>/</t>
        </is>
      </c>
      <c r="D627" t="inlineStr">
        <is>
          <t>Afua Serwah Akoto Prempeh</t>
        </is>
      </c>
      <c r="E627" t="inlineStr">
        <is>
          <t>Afua Serwah Akoto Prempeh</t>
        </is>
      </c>
      <c r="F627" s="5" t="n">
        <v>46188.50289351852</v>
      </c>
      <c r="H627" t="inlineStr">
        <is>
          <t>Non-Billable Tasks</t>
        </is>
      </c>
      <c r="I627" t="n">
        <v>2</v>
      </c>
      <c r="K627" t="inlineStr">
        <is>
          <t>Staff Meetings (Quartely Staff Meetings, Adhoc meetings, Welfare)</t>
        </is>
      </c>
      <c r="L627" t="b">
        <v>0</v>
      </c>
      <c r="M627" t="inlineStr">
        <is>
          <t>Non-Billable</t>
        </is>
      </c>
      <c r="N627" s="6">
        <f>IF(B627="","",IF(ISNUMBER(B627),TEXT(B627,"YYYY-MM"),LEFT(B627,7)))</f>
        <v/>
      </c>
    </row>
    <row r="628">
      <c r="A628" t="inlineStr">
        <is>
          <t>Afua Serwah Akoto Prempeh</t>
        </is>
      </c>
      <c r="B628" s="4" t="n">
        <v>46155</v>
      </c>
      <c r="C628" t="inlineStr">
        <is>
          <t>/</t>
        </is>
      </c>
      <c r="D628" t="inlineStr">
        <is>
          <t>Afua Serwah Akoto Prempeh</t>
        </is>
      </c>
      <c r="E628" t="inlineStr">
        <is>
          <t>Afua Serwah Akoto Prempeh</t>
        </is>
      </c>
      <c r="F628" s="5" t="n">
        <v>46188.43621527778</v>
      </c>
      <c r="H628" t="inlineStr">
        <is>
          <t>Business and Project Management Training</t>
        </is>
      </c>
      <c r="I628" t="n">
        <v>4</v>
      </c>
      <c r="L628" t="b">
        <v>1</v>
      </c>
      <c r="M628" t="inlineStr">
        <is>
          <t>Non-Billable</t>
        </is>
      </c>
      <c r="N628" s="6">
        <f>IF(B628="","",IF(ISNUMBER(B628),TEXT(B628,"YYYY-MM"),LEFT(B628,7)))</f>
        <v/>
      </c>
    </row>
    <row r="629">
      <c r="A629" t="inlineStr">
        <is>
          <t>Clement Obeng-Manu</t>
        </is>
      </c>
      <c r="B629" s="4" t="n">
        <v>46155</v>
      </c>
      <c r="C629" t="inlineStr">
        <is>
          <t>/</t>
        </is>
      </c>
      <c r="D629" t="inlineStr">
        <is>
          <t>Clement Obeng-Manu</t>
        </is>
      </c>
      <c r="E629" t="inlineStr">
        <is>
          <t>Clement Obeng-Manu</t>
        </is>
      </c>
      <c r="F629" s="5" t="n">
        <v>46173.76149305556</v>
      </c>
      <c r="H629" t="inlineStr">
        <is>
          <t>PCGH793</t>
        </is>
      </c>
      <c r="I629" t="n">
        <v>8</v>
      </c>
      <c r="J629" t="inlineStr">
        <is>
          <t>PCGH793 - Desk Study (3) (Okeosisi Jonathan)</t>
        </is>
      </c>
      <c r="L629" t="b">
        <v>1</v>
      </c>
      <c r="M629" t="inlineStr">
        <is>
          <t>Billed at a Fixed price</t>
        </is>
      </c>
      <c r="N629" s="6">
        <f>IF(B629="","",IF(ISNUMBER(B629),TEXT(B629,"YYYY-MM"),LEFT(B629,7)))</f>
        <v/>
      </c>
    </row>
    <row r="630">
      <c r="A630" t="inlineStr">
        <is>
          <t>Helena Tetteh</t>
        </is>
      </c>
      <c r="B630" s="4" t="n">
        <v>46155</v>
      </c>
      <c r="C630" t="inlineStr">
        <is>
          <t>/</t>
        </is>
      </c>
      <c r="D630" t="inlineStr">
        <is>
          <t xml:space="preserve">Helena Tetteh </t>
        </is>
      </c>
      <c r="E630" t="inlineStr">
        <is>
          <t>Helena Tetteh</t>
        </is>
      </c>
      <c r="F630" s="5" t="n">
        <v>46168.44534722222</v>
      </c>
      <c r="G630" t="inlineStr">
        <is>
          <t>Output 2.3</t>
        </is>
      </c>
      <c r="H630" t="inlineStr">
        <is>
          <t>P23AC00C00 - FGMC</t>
        </is>
      </c>
      <c r="I630" t="n">
        <v>8</v>
      </c>
      <c r="K630" t="inlineStr">
        <is>
          <t>P23AC22A00 - Output Two (Elevating Local Solutions - West Africa)</t>
        </is>
      </c>
      <c r="L630" t="b">
        <v>0</v>
      </c>
      <c r="M630" t="inlineStr">
        <is>
          <t>Non-Billable</t>
        </is>
      </c>
      <c r="N630" s="6">
        <f>IF(B630="","",IF(ISNUMBER(B630),TEXT(B630,"YYYY-MM"),LEFT(B630,7)))</f>
        <v/>
      </c>
    </row>
    <row r="631">
      <c r="A631" t="inlineStr">
        <is>
          <t>Ekow Nyamekye Tawiah</t>
        </is>
      </c>
      <c r="B631" s="4" t="n">
        <v>46155</v>
      </c>
      <c r="C631" t="inlineStr">
        <is>
          <t>Deforestation Risk Analysis</t>
        </is>
      </c>
      <c r="D631" t="inlineStr">
        <is>
          <t>Ekow Nyamekye Tawiah</t>
        </is>
      </c>
      <c r="E631" t="inlineStr">
        <is>
          <t>Ekow Nyamekye Tawiah</t>
        </is>
      </c>
      <c r="F631" s="5" t="n">
        <v>46162.86574074074</v>
      </c>
      <c r="H631" t="inlineStr">
        <is>
          <t>PCGH778 - General Support</t>
        </is>
      </c>
      <c r="I631" t="n">
        <v>4</v>
      </c>
      <c r="J631" t="inlineStr">
        <is>
          <t>PCGH778 - Support to Other Workstreams (3) (Proforest Limited(PCUK GBP))</t>
        </is>
      </c>
      <c r="L631" t="b">
        <v>1</v>
      </c>
      <c r="M631" t="inlineStr">
        <is>
          <t>Billed at a Fixed price</t>
        </is>
      </c>
      <c r="N631" s="6">
        <f>IF(B631="","",IF(ISNUMBER(B631),TEXT(B631,"YYYY-MM"),LEFT(B631,7)))</f>
        <v/>
      </c>
    </row>
    <row r="632">
      <c r="A632" t="inlineStr">
        <is>
          <t>James Parker Mckeown</t>
        </is>
      </c>
      <c r="B632" s="4" t="n">
        <v>46155</v>
      </c>
      <c r="C632" t="inlineStr">
        <is>
          <t>/</t>
        </is>
      </c>
      <c r="D632" t="inlineStr">
        <is>
          <t>James Parker Mckeown</t>
        </is>
      </c>
      <c r="E632" t="inlineStr">
        <is>
          <t>James Parker Mckeown</t>
        </is>
      </c>
      <c r="F632" s="5" t="n">
        <v>46162.83681712963</v>
      </c>
      <c r="G632" t="inlineStr">
        <is>
          <t>Desk Study</t>
        </is>
      </c>
      <c r="H632" t="inlineStr">
        <is>
          <t>PCGH762 - GVL HCSA Restoration Project</t>
        </is>
      </c>
      <c r="I632" t="n">
        <v>3</v>
      </c>
      <c r="J632" t="inlineStr">
        <is>
          <t>PCGH762 - Desk Review, Stakeholder Mapping &amp; Analysis and Engagement (Golden Veroleum Liberia)</t>
        </is>
      </c>
      <c r="K632" t="inlineStr">
        <is>
          <t>Desk Review, Stakeholder Mapping &amp; Analysis and Engagement</t>
        </is>
      </c>
      <c r="L632" t="b">
        <v>1</v>
      </c>
      <c r="M632" t="inlineStr">
        <is>
          <t>Billed at a Fixed price</t>
        </is>
      </c>
      <c r="N632" s="6">
        <f>IF(B632="","",IF(ISNUMBER(B632),TEXT(B632,"YYYY-MM"),LEFT(B632,7)))</f>
        <v/>
      </c>
    </row>
    <row r="633">
      <c r="A633" t="inlineStr">
        <is>
          <t>James Parker Mckeown</t>
        </is>
      </c>
      <c r="B633" s="4" t="n">
        <v>46155</v>
      </c>
      <c r="C633" t="inlineStr">
        <is>
          <t xml:space="preserve">Addressing comments on Safeguard information collected for AA, SP &amp; SE-NW  </t>
        </is>
      </c>
      <c r="D633" t="inlineStr">
        <is>
          <t>James Parker Mckeown</t>
        </is>
      </c>
      <c r="E633" t="inlineStr">
        <is>
          <t>James Parker Mckeown</t>
        </is>
      </c>
      <c r="F633" s="5" t="n">
        <v>46162.83409722222</v>
      </c>
      <c r="H633" t="inlineStr">
        <is>
          <t>Non-Billable Tasks</t>
        </is>
      </c>
      <c r="I633" t="n">
        <v>2</v>
      </c>
      <c r="K633" t="inlineStr">
        <is>
          <t>Internal Focal points and workstreams</t>
        </is>
      </c>
      <c r="L633" t="b">
        <v>0</v>
      </c>
      <c r="M633" t="inlineStr">
        <is>
          <t>Non-Billable</t>
        </is>
      </c>
      <c r="N633" s="6">
        <f>IF(B633="","",IF(ISNUMBER(B633),TEXT(B633,"YYYY-MM"),LEFT(B633,7)))</f>
        <v/>
      </c>
    </row>
    <row r="634">
      <c r="A634" t="inlineStr">
        <is>
          <t>James Parker Mckeown</t>
        </is>
      </c>
      <c r="B634" s="4" t="n">
        <v>46155</v>
      </c>
      <c r="C634" t="inlineStr">
        <is>
          <t>/</t>
        </is>
      </c>
      <c r="D634" t="inlineStr">
        <is>
          <t>James Parker Mckeown</t>
        </is>
      </c>
      <c r="E634" t="inlineStr">
        <is>
          <t>James Parker Mckeown</t>
        </is>
      </c>
      <c r="F634" s="5" t="n">
        <v>46162.83238425926</v>
      </c>
      <c r="G634" t="inlineStr">
        <is>
          <t>Output 4</t>
        </is>
      </c>
      <c r="H634" t="inlineStr">
        <is>
          <t>P23AC00C00 - FGMC</t>
        </is>
      </c>
      <c r="I634" t="n">
        <v>3</v>
      </c>
      <c r="K634" t="inlineStr">
        <is>
          <t>P23AC03A00 - Project Management</t>
        </is>
      </c>
      <c r="L634" t="b">
        <v>0</v>
      </c>
      <c r="M634" t="inlineStr">
        <is>
          <t>Non-Billable</t>
        </is>
      </c>
      <c r="N634" s="6">
        <f>IF(B634="","",IF(ISNUMBER(B634),TEXT(B634,"YYYY-MM"),LEFT(B634,7)))</f>
        <v/>
      </c>
    </row>
    <row r="635">
      <c r="A635" t="inlineStr">
        <is>
          <t>Patricia Offei</t>
        </is>
      </c>
      <c r="B635" s="4" t="n">
        <v>46155</v>
      </c>
      <c r="C635" t="inlineStr">
        <is>
          <t>/</t>
        </is>
      </c>
      <c r="D635" t="inlineStr">
        <is>
          <t>Patricia Offei</t>
        </is>
      </c>
      <c r="E635" t="inlineStr">
        <is>
          <t>Patricia Offei</t>
        </is>
      </c>
      <c r="F635" s="5" t="n">
        <v>46162.60461805556</v>
      </c>
      <c r="H635" t="inlineStr">
        <is>
          <t>PCGH774 -Evaluation Deep-Dive Action Plans by Socfin Group</t>
        </is>
      </c>
      <c r="I635" t="n">
        <v>8</v>
      </c>
      <c r="J635" t="inlineStr">
        <is>
          <t>PCGH774 - Project Management (2) (Socfinco FR SA)</t>
        </is>
      </c>
      <c r="L635" t="b">
        <v>1</v>
      </c>
      <c r="M635" t="inlineStr">
        <is>
          <t>Billed at a Fixed price</t>
        </is>
      </c>
      <c r="N635" s="6">
        <f>IF(B635="","",IF(ISNUMBER(B635),TEXT(B635,"YYYY-MM"),LEFT(B635,7)))</f>
        <v/>
      </c>
    </row>
    <row r="636">
      <c r="A636" t="inlineStr">
        <is>
          <t>Kingsley Fitz-Gerald Severine</t>
        </is>
      </c>
      <c r="B636" s="4" t="n">
        <v>46155</v>
      </c>
      <c r="C636" t="inlineStr">
        <is>
          <t>/</t>
        </is>
      </c>
      <c r="D636" t="inlineStr">
        <is>
          <t>Kingsley Fitz-Gerald Severine</t>
        </is>
      </c>
      <c r="E636" t="inlineStr">
        <is>
          <t>Kingsley Fitz-Gerald Severine</t>
        </is>
      </c>
      <c r="F636" s="5" t="n">
        <v>46162.56821759259</v>
      </c>
      <c r="H636" t="inlineStr">
        <is>
          <t>Non-Billable Tasks</t>
        </is>
      </c>
      <c r="I636" t="n">
        <v>8</v>
      </c>
      <c r="K636" t="inlineStr">
        <is>
          <t>Professional development and Knowledge sharing(training,global knowledge calls,exchange weeks)</t>
        </is>
      </c>
      <c r="L636" t="b">
        <v>0</v>
      </c>
      <c r="M636" t="inlineStr">
        <is>
          <t>Non-Billable</t>
        </is>
      </c>
      <c r="N636" s="6">
        <f>IF(B636="","",IF(ISNUMBER(B636),TEXT(B636,"YYYY-MM"),LEFT(B636,7)))</f>
        <v/>
      </c>
    </row>
    <row r="637">
      <c r="A637" t="inlineStr">
        <is>
          <t>Kwadwo Baniako Nti</t>
        </is>
      </c>
      <c r="B637" s="4" t="n">
        <v>46155</v>
      </c>
      <c r="C637" t="inlineStr">
        <is>
          <t>/</t>
        </is>
      </c>
      <c r="D637" t="inlineStr">
        <is>
          <t>Kwadwo Baniako Nti</t>
        </is>
      </c>
      <c r="E637" t="inlineStr">
        <is>
          <t>Kwadwo Baniako Nti</t>
        </is>
      </c>
      <c r="F637" s="5" t="n">
        <v>46162.39207175926</v>
      </c>
      <c r="G637" t="inlineStr">
        <is>
          <t>Management and Maintenance of the Forest</t>
        </is>
      </c>
      <c r="H637" t="inlineStr">
        <is>
          <t>PCGH762 - GVL HCSA Restoration Project</t>
        </is>
      </c>
      <c r="I637" t="n">
        <v>2</v>
      </c>
      <c r="J637" t="inlineStr">
        <is>
          <t>PCGH762 - Management and Maintenance of the Forest (Golden Veroleum Liberia)</t>
        </is>
      </c>
      <c r="K637" t="inlineStr">
        <is>
          <t>Management and Maintenance of the Forest</t>
        </is>
      </c>
      <c r="L637" t="b">
        <v>1</v>
      </c>
      <c r="M637" t="inlineStr">
        <is>
          <t>Billed at a Fixed price</t>
        </is>
      </c>
      <c r="N637" s="6">
        <f>IF(B637="","",IF(ISNUMBER(B637),TEXT(B637,"YYYY-MM"),LEFT(B637,7)))</f>
        <v/>
      </c>
    </row>
    <row r="638">
      <c r="A638" t="inlineStr">
        <is>
          <t>Kwadwo Baniako Nti</t>
        </is>
      </c>
      <c r="B638" s="4" t="n">
        <v>46155</v>
      </c>
      <c r="C638" t="inlineStr">
        <is>
          <t>/</t>
        </is>
      </c>
      <c r="D638" t="inlineStr">
        <is>
          <t>Kwadwo Baniako Nti</t>
        </is>
      </c>
      <c r="E638" t="inlineStr">
        <is>
          <t>Kwadwo Baniako Nti</t>
        </is>
      </c>
      <c r="F638" s="5" t="n">
        <v>46162.39153935185</v>
      </c>
      <c r="G638" t="inlineStr">
        <is>
          <t>Communication and Other Materials</t>
        </is>
      </c>
      <c r="H638" t="inlineStr">
        <is>
          <t>PCGH762 - GVL HCSA Restoration Project</t>
        </is>
      </c>
      <c r="I638" t="n">
        <v>3</v>
      </c>
      <c r="J638" t="inlineStr">
        <is>
          <t>PCGH762 - Communication and Other Materials (Golden Veroleum Liberia)</t>
        </is>
      </c>
      <c r="K638" t="inlineStr">
        <is>
          <t>Communication and Other Materials</t>
        </is>
      </c>
      <c r="L638" t="b">
        <v>1</v>
      </c>
      <c r="M638" t="inlineStr">
        <is>
          <t>Billed at a Fixed price</t>
        </is>
      </c>
      <c r="N638" s="6">
        <f>IF(B638="","",IF(ISNUMBER(B638),TEXT(B638,"YYYY-MM"),LEFT(B638,7)))</f>
        <v/>
      </c>
    </row>
    <row r="639">
      <c r="A639" t="inlineStr">
        <is>
          <t>Kwadwo Baniako Nti</t>
        </is>
      </c>
      <c r="B639" s="4" t="n">
        <v>46155</v>
      </c>
      <c r="C639" t="inlineStr">
        <is>
          <t>/</t>
        </is>
      </c>
      <c r="D639" t="inlineStr">
        <is>
          <t>Kwadwo Baniako Nti</t>
        </is>
      </c>
      <c r="E639" t="inlineStr">
        <is>
          <t>Kwadwo Baniako Nti</t>
        </is>
      </c>
      <c r="F639" s="5" t="n">
        <v>46161.75813657408</v>
      </c>
      <c r="G639" t="inlineStr">
        <is>
          <t>PCGH786 - Site Assessment (3)</t>
        </is>
      </c>
      <c r="H639" t="inlineStr">
        <is>
          <t>PCGH786 - Impact Level Baseline assessment for FGMC</t>
        </is>
      </c>
      <c r="I639" t="n">
        <v>3</v>
      </c>
      <c r="J639" t="inlineStr">
        <is>
          <t>PCGH786 - Site Assessment (3) (NIRAS Group (UK) Ltd)</t>
        </is>
      </c>
      <c r="K639" t="inlineStr">
        <is>
          <t>Site Assessment</t>
        </is>
      </c>
      <c r="L639" t="b">
        <v>1</v>
      </c>
      <c r="M639" t="inlineStr">
        <is>
          <t>Billed at a Fixed price</t>
        </is>
      </c>
      <c r="N639" s="6">
        <f>IF(B639="","",IF(ISNUMBER(B639),TEXT(B639,"YYYY-MM"),LEFT(B639,7)))</f>
        <v/>
      </c>
    </row>
    <row r="640">
      <c r="A640" t="inlineStr">
        <is>
          <t>Louis Defo</t>
        </is>
      </c>
      <c r="B640" s="4" t="n">
        <v>46155</v>
      </c>
      <c r="C640" t="inlineStr">
        <is>
          <t>/</t>
        </is>
      </c>
      <c r="D640" t="inlineStr">
        <is>
          <t>Louis Defo</t>
        </is>
      </c>
      <c r="E640" t="inlineStr">
        <is>
          <t>Louis Defo</t>
        </is>
      </c>
      <c r="F640" s="5" t="n">
        <v>46161.33689814815</v>
      </c>
      <c r="H640" t="inlineStr">
        <is>
          <t>PCGH787</t>
        </is>
      </c>
      <c r="I640" t="n">
        <v>8</v>
      </c>
      <c r="J640" t="inlineStr">
        <is>
          <t>PCGH787 - Desk Study (3) (Proforest Limited(PCUK GBP))</t>
        </is>
      </c>
      <c r="L640" t="b">
        <v>1</v>
      </c>
      <c r="M640" t="inlineStr">
        <is>
          <t>Billed at a Fixed price</t>
        </is>
      </c>
      <c r="N640" s="6">
        <f>IF(B640="","",IF(ISNUMBER(B640),TEXT(B640,"YYYY-MM"),LEFT(B640,7)))</f>
        <v/>
      </c>
    </row>
    <row r="641">
      <c r="A641" t="inlineStr">
        <is>
          <t>Stephen Doso</t>
        </is>
      </c>
      <c r="B641" s="4" t="n">
        <v>46155</v>
      </c>
      <c r="C641" t="inlineStr">
        <is>
          <t>/</t>
        </is>
      </c>
      <c r="D641" t="inlineStr">
        <is>
          <t>Stephen Doso</t>
        </is>
      </c>
      <c r="E641" t="inlineStr">
        <is>
          <t>Stephen Doso</t>
        </is>
      </c>
      <c r="F641" s="5" t="n">
        <v>46160.77196759259</v>
      </c>
      <c r="H641" t="inlineStr">
        <is>
          <t>Non-Billable Tasks</t>
        </is>
      </c>
      <c r="I641" t="n">
        <v>8</v>
      </c>
      <c r="K641" t="inlineStr">
        <is>
          <t>Professional development and Knowledge sharing(training,global knowledge calls,exchange weeks)</t>
        </is>
      </c>
      <c r="L641" t="b">
        <v>0</v>
      </c>
      <c r="M641" t="inlineStr">
        <is>
          <t>Non-Billable</t>
        </is>
      </c>
      <c r="N641" s="6">
        <f>IF(B641="","",IF(ISNUMBER(B641),TEXT(B641,"YYYY-MM"),LEFT(B641,7)))</f>
        <v/>
      </c>
    </row>
    <row r="642">
      <c r="A642" t="inlineStr">
        <is>
          <t>Frederick Antwi</t>
        </is>
      </c>
      <c r="B642" s="4" t="n">
        <v>46155</v>
      </c>
      <c r="C642" t="inlineStr">
        <is>
          <t>/</t>
        </is>
      </c>
      <c r="D642" t="inlineStr">
        <is>
          <t>Frederick Antwi</t>
        </is>
      </c>
      <c r="E642" t="inlineStr">
        <is>
          <t>Frederick Antwi</t>
        </is>
      </c>
      <c r="F642" s="5" t="n">
        <v>46160.6438425926</v>
      </c>
      <c r="H642" t="inlineStr">
        <is>
          <t>P13PC00A00 - Private Sector Companies</t>
        </is>
      </c>
      <c r="I642" t="n">
        <v>8</v>
      </c>
      <c r="L642" t="b">
        <v>0</v>
      </c>
      <c r="M642" t="inlineStr">
        <is>
          <t>Non-Billable</t>
        </is>
      </c>
      <c r="N642" s="6">
        <f>IF(B642="","",IF(ISNUMBER(B642),TEXT(B642,"YYYY-MM"),LEFT(B642,7)))</f>
        <v/>
      </c>
    </row>
    <row r="643">
      <c r="A643" t="inlineStr">
        <is>
          <t>Abel Ansu</t>
        </is>
      </c>
      <c r="B643" s="4" t="n">
        <v>46155</v>
      </c>
      <c r="C643" t="inlineStr">
        <is>
          <t>Joined the lining and pegging team at compartment 24 of the Bia shelter (Biaso Kasapin)</t>
        </is>
      </c>
      <c r="D643" t="inlineStr">
        <is>
          <t>Abel Ansu</t>
        </is>
      </c>
      <c r="E643" t="inlineStr">
        <is>
          <t>Abel Ansu</t>
        </is>
      </c>
      <c r="F643" s="5" t="n">
        <v>46158.21994212963</v>
      </c>
      <c r="H643" t="inlineStr">
        <is>
          <t>Internal</t>
        </is>
      </c>
      <c r="I643" t="n">
        <v>8</v>
      </c>
      <c r="K643" t="inlineStr">
        <is>
          <t>Monitored ongoing lining and pegging for MTS</t>
        </is>
      </c>
      <c r="L643" t="b">
        <v>0</v>
      </c>
      <c r="M643" t="inlineStr">
        <is>
          <t>Non-Billable</t>
        </is>
      </c>
      <c r="N643" s="6">
        <f>IF(B643="","",IF(ISNUMBER(B643),TEXT(B643,"YYYY-MM"),LEFT(B643,7)))</f>
        <v/>
      </c>
    </row>
    <row r="644">
      <c r="A644" t="inlineStr">
        <is>
          <t>Augustus Asamoah</t>
        </is>
      </c>
      <c r="B644" s="4" t="n">
        <v>46155</v>
      </c>
      <c r="C644" t="inlineStr">
        <is>
          <t>/</t>
        </is>
      </c>
      <c r="D644" t="inlineStr">
        <is>
          <t>Augustus Asamoah</t>
        </is>
      </c>
      <c r="E644" t="inlineStr">
        <is>
          <t>Augustus Asamoah</t>
        </is>
      </c>
      <c r="F644" s="5" t="n">
        <v>46156.7065162037</v>
      </c>
      <c r="H644" t="inlineStr">
        <is>
          <t>P13QC00A00 - EFI Programme</t>
        </is>
      </c>
      <c r="I644" t="n">
        <v>2</v>
      </c>
      <c r="L644" t="b">
        <v>0</v>
      </c>
      <c r="M644" t="inlineStr">
        <is>
          <t>Non-Billable</t>
        </is>
      </c>
      <c r="N644" s="6">
        <f>IF(B644="","",IF(ISNUMBER(B644),TEXT(B644,"YYYY-MM"),LEFT(B644,7)))</f>
        <v/>
      </c>
    </row>
    <row r="645">
      <c r="A645" t="inlineStr">
        <is>
          <t>Augustus Asamoah</t>
        </is>
      </c>
      <c r="B645" s="4" t="n">
        <v>46155</v>
      </c>
      <c r="C645" t="inlineStr">
        <is>
          <t>/</t>
        </is>
      </c>
      <c r="D645" t="inlineStr">
        <is>
          <t>Augustus Asamoah</t>
        </is>
      </c>
      <c r="E645" t="inlineStr">
        <is>
          <t>Augustus Asamoah</t>
        </is>
      </c>
      <c r="F645" s="5" t="n">
        <v>46156.70643518519</v>
      </c>
      <c r="H645" t="inlineStr">
        <is>
          <t>P13NC00A00 - WALMART II</t>
        </is>
      </c>
      <c r="I645" t="n">
        <v>2</v>
      </c>
      <c r="L645" t="b">
        <v>0</v>
      </c>
      <c r="M645" t="inlineStr">
        <is>
          <t>Non-Billable</t>
        </is>
      </c>
      <c r="N645" s="6">
        <f>IF(B645="","",IF(ISNUMBER(B645),TEXT(B645,"YYYY-MM"),LEFT(B645,7)))</f>
        <v/>
      </c>
    </row>
    <row r="646">
      <c r="A646" t="inlineStr">
        <is>
          <t>Augustus Asamoah</t>
        </is>
      </c>
      <c r="B646" s="4" t="n">
        <v>46155</v>
      </c>
      <c r="C646" t="inlineStr">
        <is>
          <t>/</t>
        </is>
      </c>
      <c r="D646" t="inlineStr">
        <is>
          <t>Augustus Asamoah</t>
        </is>
      </c>
      <c r="E646" t="inlineStr">
        <is>
          <t>Augustus Asamoah</t>
        </is>
      </c>
      <c r="F646" s="5" t="n">
        <v>46156.705625</v>
      </c>
      <c r="H646" t="inlineStr">
        <is>
          <t>P13PC00A00 - Private Sector Companies</t>
        </is>
      </c>
      <c r="I646" t="n">
        <v>4</v>
      </c>
      <c r="L646" t="b">
        <v>0</v>
      </c>
      <c r="M646" t="inlineStr">
        <is>
          <t>Non-Billable</t>
        </is>
      </c>
      <c r="N646" s="6">
        <f>IF(B646="","",IF(ISNUMBER(B646),TEXT(B646,"YYYY-MM"),LEFT(B646,7)))</f>
        <v/>
      </c>
    </row>
    <row r="647">
      <c r="A647" t="inlineStr">
        <is>
          <t>Soro TCHEREGNIMIN</t>
        </is>
      </c>
      <c r="B647" s="4" t="n">
        <v>46155</v>
      </c>
      <c r="C647" t="inlineStr">
        <is>
          <t>/</t>
        </is>
      </c>
      <c r="D647" t="inlineStr">
        <is>
          <t>Soro TCHEREGNIMIN</t>
        </is>
      </c>
      <c r="E647" t="inlineStr">
        <is>
          <t>Soro TCHEREGNIMIN</t>
        </is>
      </c>
      <c r="F647" s="5" t="n">
        <v>46154.9496412037</v>
      </c>
      <c r="H647" t="inlineStr">
        <is>
          <t>PCGH774 -Evaluation Deep-Dive Action Plans by Socfin Group</t>
        </is>
      </c>
      <c r="I647" t="n">
        <v>8</v>
      </c>
      <c r="J647" t="inlineStr">
        <is>
          <t>PCGH774 - Tier 3 (Socfinco FR SA)</t>
        </is>
      </c>
      <c r="K647" t="inlineStr">
        <is>
          <t xml:space="preserve">SOGB - Analysis and reporting </t>
        </is>
      </c>
      <c r="L647" t="b">
        <v>1</v>
      </c>
      <c r="M647" t="inlineStr">
        <is>
          <t>Billed at a Fixed price</t>
        </is>
      </c>
      <c r="N647" s="6">
        <f>IF(B647="","",IF(ISNUMBER(B647),TEXT(B647,"YYYY-MM"),LEFT(B647,7)))</f>
        <v/>
      </c>
    </row>
    <row r="648">
      <c r="A648" t="inlineStr">
        <is>
          <t>Daleba Bernard Kpenahi Raymond</t>
        </is>
      </c>
      <c r="B648" s="4" t="n">
        <v>46155</v>
      </c>
      <c r="C648" t="inlineStr">
        <is>
          <t>/</t>
        </is>
      </c>
      <c r="D648" t="inlineStr">
        <is>
          <t>Daleba Bernard Kpenahi Raymond</t>
        </is>
      </c>
      <c r="E648" t="inlineStr">
        <is>
          <t>Michael Anim</t>
        </is>
      </c>
      <c r="F648" s="5" t="n">
        <v>46163.53</v>
      </c>
      <c r="H648" t="inlineStr">
        <is>
          <t>PCGH779 - Cote d'Ivoire）</t>
        </is>
      </c>
      <c r="I648" t="n">
        <v>8</v>
      </c>
      <c r="J648" t="inlineStr">
        <is>
          <t>PCGH779 - Tree Planting Project (3) (Proforest Limited(PCUK GBP))</t>
        </is>
      </c>
      <c r="L648" t="b">
        <v>1</v>
      </c>
      <c r="M648" t="inlineStr">
        <is>
          <t>Billed at a Fixed price</t>
        </is>
      </c>
      <c r="N648" s="6">
        <f>IF(B648="","",IF(ISNUMBER(B648),TEXT(B648,"YYYY-MM"),LEFT(B648,7)))</f>
        <v/>
      </c>
    </row>
    <row r="649">
      <c r="A649" t="inlineStr">
        <is>
          <t>Afua Serwah Akoto Prempeh</t>
        </is>
      </c>
      <c r="B649" s="4" t="n">
        <v>46154</v>
      </c>
      <c r="C649" t="inlineStr">
        <is>
          <t>/</t>
        </is>
      </c>
      <c r="D649" t="inlineStr">
        <is>
          <t>Afua Serwah Akoto Prempeh</t>
        </is>
      </c>
      <c r="E649" t="inlineStr">
        <is>
          <t>Afua Serwah Akoto Prempeh</t>
        </is>
      </c>
      <c r="F649" s="5" t="n">
        <v>46188.50274305556</v>
      </c>
      <c r="H649" t="inlineStr">
        <is>
          <t>Non-Billable Tasks</t>
        </is>
      </c>
      <c r="I649" t="n">
        <v>5</v>
      </c>
      <c r="L649" t="b">
        <v>0</v>
      </c>
      <c r="M649" t="inlineStr">
        <is>
          <t>Non-Billable</t>
        </is>
      </c>
      <c r="N649" s="6">
        <f>IF(B649="","",IF(ISNUMBER(B649),TEXT(B649,"YYYY-MM"),LEFT(B649,7)))</f>
        <v/>
      </c>
    </row>
    <row r="650">
      <c r="A650" t="inlineStr">
        <is>
          <t>Afua Serwah Akoto Prempeh</t>
        </is>
      </c>
      <c r="B650" s="4" t="n">
        <v>46154</v>
      </c>
      <c r="C650" t="inlineStr">
        <is>
          <t>/</t>
        </is>
      </c>
      <c r="D650" t="inlineStr">
        <is>
          <t>Afua Serwah Akoto Prempeh</t>
        </is>
      </c>
      <c r="E650" t="inlineStr">
        <is>
          <t>Afua Serwah Akoto Prempeh</t>
        </is>
      </c>
      <c r="F650" s="5" t="n">
        <v>46188.43614583334</v>
      </c>
      <c r="H650" t="inlineStr">
        <is>
          <t>Business and Project Management Training</t>
        </is>
      </c>
      <c r="I650" t="n">
        <v>3</v>
      </c>
      <c r="L650" t="b">
        <v>1</v>
      </c>
      <c r="M650" t="inlineStr">
        <is>
          <t>Non-Billable</t>
        </is>
      </c>
      <c r="N650" s="6">
        <f>IF(B650="","",IF(ISNUMBER(B650),TEXT(B650,"YYYY-MM"),LEFT(B650,7)))</f>
        <v/>
      </c>
    </row>
    <row r="651">
      <c r="A651" t="inlineStr">
        <is>
          <t>Clement Obeng-Manu</t>
        </is>
      </c>
      <c r="B651" s="4" t="n">
        <v>46154</v>
      </c>
      <c r="C651" t="inlineStr">
        <is>
          <t>/</t>
        </is>
      </c>
      <c r="D651" t="inlineStr">
        <is>
          <t>Clement Obeng-Manu</t>
        </is>
      </c>
      <c r="E651" t="inlineStr">
        <is>
          <t>Clement Obeng-Manu</t>
        </is>
      </c>
      <c r="F651" s="5" t="n">
        <v>46173.7614699074</v>
      </c>
      <c r="H651" t="inlineStr">
        <is>
          <t>PCGH793</t>
        </is>
      </c>
      <c r="I651" t="n">
        <v>8</v>
      </c>
      <c r="J651" t="inlineStr">
        <is>
          <t>PCGH793 - Desk Study (3) (Okeosisi Jonathan)</t>
        </is>
      </c>
      <c r="L651" t="b">
        <v>1</v>
      </c>
      <c r="M651" t="inlineStr">
        <is>
          <t>Billed at a Fixed price</t>
        </is>
      </c>
      <c r="N651" s="6">
        <f>IF(B651="","",IF(ISNUMBER(B651),TEXT(B651,"YYYY-MM"),LEFT(B651,7)))</f>
        <v/>
      </c>
    </row>
    <row r="652">
      <c r="A652" t="inlineStr">
        <is>
          <t>Helena Tetteh</t>
        </is>
      </c>
      <c r="B652" s="4" t="n">
        <v>46154</v>
      </c>
      <c r="C652" t="inlineStr">
        <is>
          <t>/</t>
        </is>
      </c>
      <c r="D652" t="inlineStr">
        <is>
          <t xml:space="preserve">Helena Tetteh </t>
        </is>
      </c>
      <c r="E652" t="inlineStr">
        <is>
          <t>Helena Tetteh</t>
        </is>
      </c>
      <c r="F652" s="5" t="n">
        <v>46168.4453125</v>
      </c>
      <c r="G652" t="inlineStr">
        <is>
          <t>Output 2.3</t>
        </is>
      </c>
      <c r="H652" t="inlineStr">
        <is>
          <t>P23AC00C00 - FGMC</t>
        </is>
      </c>
      <c r="I652" t="n">
        <v>8</v>
      </c>
      <c r="K652" t="inlineStr">
        <is>
          <t>P23AC22A00 - Output Two (Elevating Local Solutions - West Africa)</t>
        </is>
      </c>
      <c r="L652" t="b">
        <v>0</v>
      </c>
      <c r="M652" t="inlineStr">
        <is>
          <t>Non-Billable</t>
        </is>
      </c>
      <c r="N652" s="6">
        <f>IF(B652="","",IF(ISNUMBER(B652),TEXT(B652,"YYYY-MM"),LEFT(B652,7)))</f>
        <v/>
      </c>
    </row>
    <row r="653">
      <c r="A653" t="inlineStr">
        <is>
          <t>Ekow Nyamekye Tawiah</t>
        </is>
      </c>
      <c r="B653" s="4" t="n">
        <v>46154</v>
      </c>
      <c r="C653" t="inlineStr">
        <is>
          <t>Deforestation Risk Analysis</t>
        </is>
      </c>
      <c r="D653" t="inlineStr">
        <is>
          <t>Ekow Nyamekye Tawiah</t>
        </is>
      </c>
      <c r="E653" t="inlineStr">
        <is>
          <t>Ekow Nyamekye Tawiah</t>
        </is>
      </c>
      <c r="F653" s="5" t="n">
        <v>46162.86546296296</v>
      </c>
      <c r="H653" t="inlineStr">
        <is>
          <t>PCGH778 - General Support</t>
        </is>
      </c>
      <c r="I653" t="n">
        <v>4</v>
      </c>
      <c r="J653" t="inlineStr">
        <is>
          <t>PCGH778 - Support to Other Workstreams (3) (Proforest Limited(PCUK GBP))</t>
        </is>
      </c>
      <c r="L653" t="b">
        <v>1</v>
      </c>
      <c r="M653" t="inlineStr">
        <is>
          <t>Billed at a Fixed price</t>
        </is>
      </c>
      <c r="N653" s="6">
        <f>IF(B653="","",IF(ISNUMBER(B653),TEXT(B653,"YYYY-MM"),LEFT(B653,7)))</f>
        <v/>
      </c>
    </row>
    <row r="654">
      <c r="A654" t="inlineStr">
        <is>
          <t>James Parker Mckeown</t>
        </is>
      </c>
      <c r="B654" s="4" t="n">
        <v>46154</v>
      </c>
      <c r="C654" t="inlineStr">
        <is>
          <t>Assignment of Roles-FGMC Y2 Workplan</t>
        </is>
      </c>
      <c r="D654" t="inlineStr">
        <is>
          <t>James Parker Mckeown</t>
        </is>
      </c>
      <c r="E654" t="inlineStr">
        <is>
          <t>James Parker Mckeown</t>
        </is>
      </c>
      <c r="F654" s="5" t="n">
        <v>46162.83243055556</v>
      </c>
      <c r="G654" t="inlineStr">
        <is>
          <t>Output 4</t>
        </is>
      </c>
      <c r="H654" t="inlineStr">
        <is>
          <t>P23AC00C00 - FGMC</t>
        </is>
      </c>
      <c r="I654" t="n">
        <v>0</v>
      </c>
      <c r="K654" t="inlineStr">
        <is>
          <t>P23AC03A00 - Project Management</t>
        </is>
      </c>
      <c r="L654" t="b">
        <v>0</v>
      </c>
      <c r="M654" t="inlineStr">
        <is>
          <t>Non-Billable</t>
        </is>
      </c>
      <c r="N654" s="6">
        <f>IF(B654="","",IF(ISNUMBER(B654),TEXT(B654,"YYYY-MM"),LEFT(B654,7)))</f>
        <v/>
      </c>
    </row>
    <row r="655">
      <c r="A655" t="inlineStr">
        <is>
          <t>James Parker Mckeown</t>
        </is>
      </c>
      <c r="B655" s="4" t="n">
        <v>46154</v>
      </c>
      <c r="C655" t="inlineStr">
        <is>
          <t>/</t>
        </is>
      </c>
      <c r="D655" t="inlineStr">
        <is>
          <t>James Parker Mckeown</t>
        </is>
      </c>
      <c r="E655" t="inlineStr">
        <is>
          <t>James Parker Mckeown</t>
        </is>
      </c>
      <c r="F655" s="5" t="n">
        <v>46162.83158564815</v>
      </c>
      <c r="G655" t="inlineStr">
        <is>
          <t>Desk Study</t>
        </is>
      </c>
      <c r="H655" t="inlineStr">
        <is>
          <t>PCGH762 - GVL HCSA Restoration Project</t>
        </is>
      </c>
      <c r="I655" t="n">
        <v>4</v>
      </c>
      <c r="J655" t="inlineStr">
        <is>
          <t>PCGH762 - Desk Review, Stakeholder Mapping &amp; Analysis and Engagement (Golden Veroleum Liberia)</t>
        </is>
      </c>
      <c r="K655" t="inlineStr">
        <is>
          <t>Desk Review, Stakeholder Mapping &amp; Analysis and Engagement</t>
        </is>
      </c>
      <c r="L655" t="b">
        <v>1</v>
      </c>
      <c r="M655" t="inlineStr">
        <is>
          <t>Billed at a Fixed price</t>
        </is>
      </c>
      <c r="N655" s="6">
        <f>IF(B655="","",IF(ISNUMBER(B655),TEXT(B655,"YYYY-MM"),LEFT(B655,7)))</f>
        <v/>
      </c>
    </row>
    <row r="656">
      <c r="A656" t="inlineStr">
        <is>
          <t>James Parker Mckeown</t>
        </is>
      </c>
      <c r="B656" s="4" t="n">
        <v>46154</v>
      </c>
      <c r="C656" t="inlineStr">
        <is>
          <t>JFF/Proforest - Proposal Feedback</t>
        </is>
      </c>
      <c r="D656" t="inlineStr">
        <is>
          <t>James Parker Mckeown</t>
        </is>
      </c>
      <c r="E656" t="inlineStr">
        <is>
          <t>James Parker Mckeown</t>
        </is>
      </c>
      <c r="F656" s="5" t="n">
        <v>46162.83100694444</v>
      </c>
      <c r="H656" t="inlineStr">
        <is>
          <t>Non-Billable Tasks</t>
        </is>
      </c>
      <c r="I656" t="n">
        <v>1</v>
      </c>
      <c r="K656" t="inlineStr">
        <is>
          <t>Business Development and Networking</t>
        </is>
      </c>
      <c r="L656" t="b">
        <v>0</v>
      </c>
      <c r="M656" t="inlineStr">
        <is>
          <t>Non-Billable</t>
        </is>
      </c>
      <c r="N656" s="6">
        <f>IF(B656="","",IF(ISNUMBER(B656),TEXT(B656,"YYYY-MM"),LEFT(B656,7)))</f>
        <v/>
      </c>
    </row>
    <row r="657">
      <c r="A657" t="inlineStr">
        <is>
          <t>James Parker Mckeown</t>
        </is>
      </c>
      <c r="B657" s="4" t="n">
        <v>46154</v>
      </c>
      <c r="C657" t="inlineStr">
        <is>
          <t>LEW 2026 Institutionalization &amp; Exit Strategy Session – Planning Call</t>
        </is>
      </c>
      <c r="D657" t="inlineStr">
        <is>
          <t>James Parker Mckeown</t>
        </is>
      </c>
      <c r="E657" t="inlineStr">
        <is>
          <t>James Parker Mckeown</t>
        </is>
      </c>
      <c r="F657" s="5" t="n">
        <v>46162.83042824074</v>
      </c>
      <c r="H657" t="inlineStr">
        <is>
          <t>Non-Billable Tasks</t>
        </is>
      </c>
      <c r="I657" t="n">
        <v>1</v>
      </c>
      <c r="K657" t="inlineStr">
        <is>
          <t>Internal Focal points and workstreams</t>
        </is>
      </c>
      <c r="L657" t="b">
        <v>0</v>
      </c>
      <c r="M657" t="inlineStr">
        <is>
          <t>Non-Billable</t>
        </is>
      </c>
      <c r="N657" s="6">
        <f>IF(B657="","",IF(ISNUMBER(B657),TEXT(B657,"YYYY-MM"),LEFT(B657,7)))</f>
        <v/>
      </c>
    </row>
    <row r="658">
      <c r="A658" t="inlineStr">
        <is>
          <t>James Parker Mckeown</t>
        </is>
      </c>
      <c r="B658" s="4" t="n">
        <v>46154</v>
      </c>
      <c r="C658" t="inlineStr">
        <is>
          <t>/</t>
        </is>
      </c>
      <c r="D658" t="inlineStr">
        <is>
          <t>James Parker Mckeown</t>
        </is>
      </c>
      <c r="E658" t="inlineStr">
        <is>
          <t>James Parker Mckeown</t>
        </is>
      </c>
      <c r="F658" s="5" t="n">
        <v>46162.82841435185</v>
      </c>
      <c r="H658" t="inlineStr">
        <is>
          <t>PCGH762 - GVL HCSA Restoration Project</t>
        </is>
      </c>
      <c r="I658" t="n">
        <v>2</v>
      </c>
      <c r="J658" t="inlineStr">
        <is>
          <t>PCGH762 - Training and Capacity Building (Golden Veroleum Liberia)</t>
        </is>
      </c>
      <c r="K658" t="inlineStr">
        <is>
          <t>Training and Capacity Building</t>
        </is>
      </c>
      <c r="L658" t="b">
        <v>1</v>
      </c>
      <c r="M658" t="inlineStr">
        <is>
          <t>Billed at a Fixed price</t>
        </is>
      </c>
      <c r="N658" s="6">
        <f>IF(B658="","",IF(ISNUMBER(B658),TEXT(B658,"YYYY-MM"),LEFT(B658,7)))</f>
        <v/>
      </c>
    </row>
    <row r="659">
      <c r="A659" t="inlineStr">
        <is>
          <t>Patricia Offei</t>
        </is>
      </c>
      <c r="B659" s="4" t="n">
        <v>46154</v>
      </c>
      <c r="C659" t="inlineStr">
        <is>
          <t>/</t>
        </is>
      </c>
      <c r="D659" t="inlineStr">
        <is>
          <t>Patricia Offei</t>
        </is>
      </c>
      <c r="E659" t="inlineStr">
        <is>
          <t>Patricia Offei</t>
        </is>
      </c>
      <c r="F659" s="5" t="n">
        <v>46162.60458333333</v>
      </c>
      <c r="H659" t="inlineStr">
        <is>
          <t>PCGH774 -Evaluation Deep-Dive Action Plans by Socfin Group</t>
        </is>
      </c>
      <c r="I659" t="n">
        <v>8</v>
      </c>
      <c r="J659" t="inlineStr">
        <is>
          <t>PCGH774 - Project Management (2) (Socfinco FR SA)</t>
        </is>
      </c>
      <c r="L659" t="b">
        <v>1</v>
      </c>
      <c r="M659" t="inlineStr">
        <is>
          <t>Billed at a Fixed price</t>
        </is>
      </c>
      <c r="N659" s="6">
        <f>IF(B659="","",IF(ISNUMBER(B659),TEXT(B659,"YYYY-MM"),LEFT(B659,7)))</f>
        <v/>
      </c>
    </row>
    <row r="660">
      <c r="A660" t="inlineStr">
        <is>
          <t>Kingsley Fitz-Gerald Severine</t>
        </is>
      </c>
      <c r="B660" s="4" t="n">
        <v>46154</v>
      </c>
      <c r="C660" t="inlineStr">
        <is>
          <t xml:space="preserve">RSPO harmonisation workshop
</t>
        </is>
      </c>
      <c r="D660" t="inlineStr">
        <is>
          <t>Kingsley Fitz-Gerald Severine</t>
        </is>
      </c>
      <c r="E660" t="inlineStr">
        <is>
          <t>Kingsley Fitz-Gerald Severine</t>
        </is>
      </c>
      <c r="F660" s="5" t="n">
        <v>46162.56815972222</v>
      </c>
      <c r="H660" t="inlineStr">
        <is>
          <t>Non-Billable Tasks</t>
        </is>
      </c>
      <c r="I660" t="n">
        <v>8</v>
      </c>
      <c r="K660" t="inlineStr">
        <is>
          <t>Professional development and Knowledge sharing(training,global knowledge calls,exchange weeks)</t>
        </is>
      </c>
      <c r="L660" t="b">
        <v>0</v>
      </c>
      <c r="M660" t="inlineStr">
        <is>
          <t>Non-Billable</t>
        </is>
      </c>
      <c r="N660" s="6">
        <f>IF(B660="","",IF(ISNUMBER(B660),TEXT(B660,"YYYY-MM"),LEFT(B660,7)))</f>
        <v/>
      </c>
    </row>
    <row r="661">
      <c r="A661" t="inlineStr">
        <is>
          <t>Kwadwo Baniako Nti</t>
        </is>
      </c>
      <c r="B661" s="4" t="n">
        <v>46154</v>
      </c>
      <c r="C661" t="inlineStr">
        <is>
          <t>/</t>
        </is>
      </c>
      <c r="D661" t="inlineStr">
        <is>
          <t>Kwadwo Baniako Nti</t>
        </is>
      </c>
      <c r="E661" t="inlineStr">
        <is>
          <t>Kwadwo Baniako Nti</t>
        </is>
      </c>
      <c r="F661" s="5" t="n">
        <v>46162.39253472222</v>
      </c>
      <c r="H661" t="inlineStr">
        <is>
          <t>Non-Billable Tasks</t>
        </is>
      </c>
      <c r="I661" t="n">
        <v>1</v>
      </c>
      <c r="K661" t="inlineStr">
        <is>
          <t>Professional development and Knowledge sharing(training,global knowledge calls,exchange weeks)</t>
        </is>
      </c>
      <c r="L661" t="b">
        <v>0</v>
      </c>
      <c r="M661" t="inlineStr">
        <is>
          <t>Non-Billable</t>
        </is>
      </c>
      <c r="N661" s="6">
        <f>IF(B661="","",IF(ISNUMBER(B661),TEXT(B661,"YYYY-MM"),LEFT(B661,7)))</f>
        <v/>
      </c>
    </row>
    <row r="662">
      <c r="A662" t="inlineStr">
        <is>
          <t>Kwadwo Baniako Nti</t>
        </is>
      </c>
      <c r="B662" s="4" t="n">
        <v>46154</v>
      </c>
      <c r="C662" t="inlineStr">
        <is>
          <t>/</t>
        </is>
      </c>
      <c r="D662" t="inlineStr">
        <is>
          <t>Kwadwo Baniako Nti</t>
        </is>
      </c>
      <c r="E662" t="inlineStr">
        <is>
          <t>Kwadwo Baniako Nti</t>
        </is>
      </c>
      <c r="F662" s="5" t="n">
        <v>46162.39204861111</v>
      </c>
      <c r="G662" t="inlineStr">
        <is>
          <t>Management and Maintenance of the Forest</t>
        </is>
      </c>
      <c r="H662" t="inlineStr">
        <is>
          <t>PCGH762 - GVL HCSA Restoration Project</t>
        </is>
      </c>
      <c r="I662" t="n">
        <v>2</v>
      </c>
      <c r="J662" t="inlineStr">
        <is>
          <t>PCGH762 - Management and Maintenance of the Forest (Golden Veroleum Liberia)</t>
        </is>
      </c>
      <c r="K662" t="inlineStr">
        <is>
          <t>Management and Maintenance of the Forest</t>
        </is>
      </c>
      <c r="L662" t="b">
        <v>1</v>
      </c>
      <c r="M662" t="inlineStr">
        <is>
          <t>Billed at a Fixed price</t>
        </is>
      </c>
      <c r="N662" s="6">
        <f>IF(B662="","",IF(ISNUMBER(B662),TEXT(B662,"YYYY-MM"),LEFT(B662,7)))</f>
        <v/>
      </c>
    </row>
    <row r="663">
      <c r="A663" t="inlineStr">
        <is>
          <t>Kwadwo Baniako Nti</t>
        </is>
      </c>
      <c r="B663" s="4" t="n">
        <v>46154</v>
      </c>
      <c r="C663" t="inlineStr">
        <is>
          <t>/</t>
        </is>
      </c>
      <c r="D663" t="inlineStr">
        <is>
          <t>Kwadwo Baniako Nti</t>
        </is>
      </c>
      <c r="E663" t="inlineStr">
        <is>
          <t>Kwadwo Baniako Nti</t>
        </is>
      </c>
      <c r="F663" s="5" t="n">
        <v>46162.39128472222</v>
      </c>
      <c r="G663" t="inlineStr">
        <is>
          <t>Communication and Other Materials</t>
        </is>
      </c>
      <c r="H663" t="inlineStr">
        <is>
          <t>PCGH762 - GVL HCSA Restoration Project</t>
        </is>
      </c>
      <c r="I663" t="n">
        <v>2</v>
      </c>
      <c r="J663" t="inlineStr">
        <is>
          <t>PCGH762 - Communication and Other Materials (Golden Veroleum Liberia)</t>
        </is>
      </c>
      <c r="K663" t="inlineStr">
        <is>
          <t>Communication and Other Materials</t>
        </is>
      </c>
      <c r="L663" t="b">
        <v>1</v>
      </c>
      <c r="M663" t="inlineStr">
        <is>
          <t>Billed at a Fixed price</t>
        </is>
      </c>
      <c r="N663" s="6">
        <f>IF(B663="","",IF(ISNUMBER(B663),TEXT(B663,"YYYY-MM"),LEFT(B663,7)))</f>
        <v/>
      </c>
    </row>
    <row r="664">
      <c r="A664" t="inlineStr">
        <is>
          <t>Kwadwo Baniako Nti</t>
        </is>
      </c>
      <c r="B664" s="4" t="n">
        <v>46154</v>
      </c>
      <c r="C664" t="inlineStr">
        <is>
          <t>/</t>
        </is>
      </c>
      <c r="D664" t="inlineStr">
        <is>
          <t>Kwadwo Baniako Nti</t>
        </is>
      </c>
      <c r="E664" t="inlineStr">
        <is>
          <t>Kwadwo Baniako Nti</t>
        </is>
      </c>
      <c r="F664" s="5" t="n">
        <v>46161.758125</v>
      </c>
      <c r="G664" t="inlineStr">
        <is>
          <t>PCGH786 - Site Assessment (3)</t>
        </is>
      </c>
      <c r="H664" t="inlineStr">
        <is>
          <t>PCGH786 - Impact Level Baseline assessment for FGMC</t>
        </is>
      </c>
      <c r="I664" t="n">
        <v>3</v>
      </c>
      <c r="J664" t="inlineStr">
        <is>
          <t>PCGH786 - Site Assessment (3) (NIRAS Group (UK) Ltd)</t>
        </is>
      </c>
      <c r="K664" t="inlineStr">
        <is>
          <t>Site Assessment</t>
        </is>
      </c>
      <c r="L664" t="b">
        <v>1</v>
      </c>
      <c r="M664" t="inlineStr">
        <is>
          <t>Billed at a Fixed price</t>
        </is>
      </c>
      <c r="N664" s="6">
        <f>IF(B664="","",IF(ISNUMBER(B664),TEXT(B664,"YYYY-MM"),LEFT(B664,7)))</f>
        <v/>
      </c>
    </row>
    <row r="665">
      <c r="A665" t="inlineStr">
        <is>
          <t>Louis Defo</t>
        </is>
      </c>
      <c r="B665" s="4" t="n">
        <v>46154</v>
      </c>
      <c r="C665" t="inlineStr">
        <is>
          <t>/</t>
        </is>
      </c>
      <c r="D665" t="inlineStr">
        <is>
          <t>Louis Defo</t>
        </is>
      </c>
      <c r="E665" t="inlineStr">
        <is>
          <t>Louis Defo</t>
        </is>
      </c>
      <c r="F665" s="5" t="n">
        <v>46161.33636574074</v>
      </c>
      <c r="H665" t="inlineStr">
        <is>
          <t>PCGH787</t>
        </is>
      </c>
      <c r="I665" t="n">
        <v>8</v>
      </c>
      <c r="J665" t="inlineStr">
        <is>
          <t>PCGH787 - Desk Study (3) (Proforest Limited(PCUK GBP))</t>
        </is>
      </c>
      <c r="L665" t="b">
        <v>1</v>
      </c>
      <c r="M665" t="inlineStr">
        <is>
          <t>Billed at a Fixed price</t>
        </is>
      </c>
      <c r="N665" s="6">
        <f>IF(B665="","",IF(ISNUMBER(B665),TEXT(B665,"YYYY-MM"),LEFT(B665,7)))</f>
        <v/>
      </c>
    </row>
    <row r="666">
      <c r="A666" t="inlineStr">
        <is>
          <t>Stephen Doso</t>
        </is>
      </c>
      <c r="B666" s="4" t="n">
        <v>46154</v>
      </c>
      <c r="C666" t="inlineStr">
        <is>
          <t>/</t>
        </is>
      </c>
      <c r="D666" t="inlineStr">
        <is>
          <t>Stephen Doso</t>
        </is>
      </c>
      <c r="E666" t="inlineStr">
        <is>
          <t>Stephen Doso</t>
        </is>
      </c>
      <c r="F666" s="5" t="n">
        <v>46160.77184027778</v>
      </c>
      <c r="H666" t="inlineStr">
        <is>
          <t>Non-Billable Tasks</t>
        </is>
      </c>
      <c r="I666" t="n">
        <v>8</v>
      </c>
      <c r="K666" t="inlineStr">
        <is>
          <t>Professional development and Knowledge sharing(training,global knowledge calls,exchange weeks)</t>
        </is>
      </c>
      <c r="L666" t="b">
        <v>0</v>
      </c>
      <c r="M666" t="inlineStr">
        <is>
          <t>Non-Billable</t>
        </is>
      </c>
      <c r="N666" s="6">
        <f>IF(B666="","",IF(ISNUMBER(B666),TEXT(B666,"YYYY-MM"),LEFT(B666,7)))</f>
        <v/>
      </c>
    </row>
    <row r="667">
      <c r="A667" t="inlineStr">
        <is>
          <t>Frederick Antwi</t>
        </is>
      </c>
      <c r="B667" s="4" t="n">
        <v>46154</v>
      </c>
      <c r="C667" t="inlineStr">
        <is>
          <t>/</t>
        </is>
      </c>
      <c r="D667" t="inlineStr">
        <is>
          <t>Frederick Antwi</t>
        </is>
      </c>
      <c r="E667" t="inlineStr">
        <is>
          <t>Frederick Antwi</t>
        </is>
      </c>
      <c r="F667" s="5" t="n">
        <v>46160.64383101852</v>
      </c>
      <c r="H667" t="inlineStr">
        <is>
          <t>P13PC00A00 - Private Sector Companies</t>
        </is>
      </c>
      <c r="I667" t="n">
        <v>8</v>
      </c>
      <c r="L667" t="b">
        <v>0</v>
      </c>
      <c r="M667" t="inlineStr">
        <is>
          <t>Non-Billable</t>
        </is>
      </c>
      <c r="N667" s="6">
        <f>IF(B667="","",IF(ISNUMBER(B667),TEXT(B667,"YYYY-MM"),LEFT(B667,7)))</f>
        <v/>
      </c>
    </row>
    <row r="668">
      <c r="A668" t="inlineStr">
        <is>
          <t>Abel Ansu</t>
        </is>
      </c>
      <c r="B668" s="4" t="n">
        <v>46154</v>
      </c>
      <c r="C668" t="inlineStr">
        <is>
          <t>Joined the lining and pegging team in compartment 24 of the Bia shelter (Gambia No 1&amp;2)</t>
        </is>
      </c>
      <c r="D668" t="inlineStr">
        <is>
          <t>Abel Ansu</t>
        </is>
      </c>
      <c r="E668" t="inlineStr">
        <is>
          <t>Abel Ansu</t>
        </is>
      </c>
      <c r="F668" s="5" t="n">
        <v>46158.21863425926</v>
      </c>
      <c r="H668" t="inlineStr">
        <is>
          <t>Internal</t>
        </is>
      </c>
      <c r="I668" t="n">
        <v>8</v>
      </c>
      <c r="K668" t="inlineStr">
        <is>
          <t>Monitored ongoing lining and pegging for MTS</t>
        </is>
      </c>
      <c r="L668" t="b">
        <v>0</v>
      </c>
      <c r="M668" t="inlineStr">
        <is>
          <t>Non-Billable</t>
        </is>
      </c>
      <c r="N668" s="6">
        <f>IF(B668="","",IF(ISNUMBER(B668),TEXT(B668,"YYYY-MM"),LEFT(B668,7)))</f>
        <v/>
      </c>
    </row>
    <row r="669">
      <c r="A669" t="inlineStr">
        <is>
          <t>Augustus Asamoah</t>
        </is>
      </c>
      <c r="B669" s="4" t="n">
        <v>46154</v>
      </c>
      <c r="C669" t="inlineStr">
        <is>
          <t>/</t>
        </is>
      </c>
      <c r="D669" t="inlineStr">
        <is>
          <t>Augustus Asamoah</t>
        </is>
      </c>
      <c r="E669" t="inlineStr">
        <is>
          <t>Augustus Asamoah</t>
        </is>
      </c>
      <c r="F669" s="5" t="n">
        <v>46156.70523148148</v>
      </c>
      <c r="H669" t="inlineStr">
        <is>
          <t>P13NC00A00 - WALMART II</t>
        </is>
      </c>
      <c r="I669" t="n">
        <v>2</v>
      </c>
      <c r="L669" t="b">
        <v>0</v>
      </c>
      <c r="M669" t="inlineStr">
        <is>
          <t>Non-Billable</t>
        </is>
      </c>
      <c r="N669" s="6">
        <f>IF(B669="","",IF(ISNUMBER(B669),TEXT(B669,"YYYY-MM"),LEFT(B669,7)))</f>
        <v/>
      </c>
    </row>
    <row r="670">
      <c r="A670" t="inlineStr">
        <is>
          <t>Augustus Asamoah</t>
        </is>
      </c>
      <c r="B670" s="4" t="n">
        <v>46154</v>
      </c>
      <c r="C670" t="inlineStr">
        <is>
          <t>/</t>
        </is>
      </c>
      <c r="D670" t="inlineStr">
        <is>
          <t>Augustus Asamoah</t>
        </is>
      </c>
      <c r="E670" t="inlineStr">
        <is>
          <t>Augustus Asamoah</t>
        </is>
      </c>
      <c r="F670" s="5" t="n">
        <v>46156.70520833333</v>
      </c>
      <c r="H670" t="inlineStr">
        <is>
          <t>P13PC00A00 - Private Sector Companies</t>
        </is>
      </c>
      <c r="I670" t="n">
        <v>2</v>
      </c>
      <c r="L670" t="b">
        <v>0</v>
      </c>
      <c r="M670" t="inlineStr">
        <is>
          <t>Non-Billable</t>
        </is>
      </c>
      <c r="N670" s="6">
        <f>IF(B670="","",IF(ISNUMBER(B670),TEXT(B670,"YYYY-MM"),LEFT(B670,7)))</f>
        <v/>
      </c>
    </row>
    <row r="671">
      <c r="A671" t="inlineStr">
        <is>
          <t>Augustus Asamoah</t>
        </is>
      </c>
      <c r="B671" s="4" t="n">
        <v>46154</v>
      </c>
      <c r="C671" t="inlineStr">
        <is>
          <t>/</t>
        </is>
      </c>
      <c r="D671" t="inlineStr">
        <is>
          <t>Augustus Asamoah</t>
        </is>
      </c>
      <c r="E671" t="inlineStr">
        <is>
          <t>Augustus Asamoah</t>
        </is>
      </c>
      <c r="F671" s="5" t="n">
        <v>46156.70505787037</v>
      </c>
      <c r="H671" t="inlineStr">
        <is>
          <t>PCGH784</t>
        </is>
      </c>
      <c r="I671" t="n">
        <v>4</v>
      </c>
      <c r="J671" t="inlineStr">
        <is>
          <t>PCGH784 - Desk Study (3) (Okeosisi Jonathan)</t>
        </is>
      </c>
      <c r="L671" t="b">
        <v>1</v>
      </c>
      <c r="M671" t="inlineStr">
        <is>
          <t>Billed at a Fixed price</t>
        </is>
      </c>
      <c r="N671" s="6">
        <f>IF(B671="","",IF(ISNUMBER(B671),TEXT(B671,"YYYY-MM"),LEFT(B671,7)))</f>
        <v/>
      </c>
    </row>
    <row r="672">
      <c r="A672" t="inlineStr">
        <is>
          <t>Soro TCHEREGNIMIN</t>
        </is>
      </c>
      <c r="B672" s="4" t="n">
        <v>46154</v>
      </c>
      <c r="C672" t="inlineStr">
        <is>
          <t>/</t>
        </is>
      </c>
      <c r="D672" t="inlineStr">
        <is>
          <t>Soro TCHEREGNIMIN</t>
        </is>
      </c>
      <c r="E672" t="inlineStr">
        <is>
          <t>Soro TCHEREGNIMIN</t>
        </is>
      </c>
      <c r="F672" s="5" t="n">
        <v>46154.94956018519</v>
      </c>
      <c r="H672" t="inlineStr">
        <is>
          <t>PCGH774 -Evaluation Deep-Dive Action Plans by Socfin Group</t>
        </is>
      </c>
      <c r="I672" t="n">
        <v>8</v>
      </c>
      <c r="J672" t="inlineStr">
        <is>
          <t>PCGH774 - Tier 3 (Socfinco FR SA)</t>
        </is>
      </c>
      <c r="K672" t="inlineStr">
        <is>
          <t xml:space="preserve">SOGB - Analysis and reporting </t>
        </is>
      </c>
      <c r="L672" t="b">
        <v>1</v>
      </c>
      <c r="M672" t="inlineStr">
        <is>
          <t>Billed at a Fixed price</t>
        </is>
      </c>
      <c r="N672" s="6">
        <f>IF(B672="","",IF(ISNUMBER(B672),TEXT(B672,"YYYY-MM"),LEFT(B672,7)))</f>
        <v/>
      </c>
    </row>
    <row r="673">
      <c r="A673" t="inlineStr">
        <is>
          <t>Daleba Bernard Kpenahi Raymond</t>
        </is>
      </c>
      <c r="B673" s="4" t="n">
        <v>46154</v>
      </c>
      <c r="C673" t="inlineStr">
        <is>
          <t>/</t>
        </is>
      </c>
      <c r="D673" t="inlineStr">
        <is>
          <t>Daleba Bernard Kpenahi Raymond</t>
        </is>
      </c>
      <c r="E673" t="inlineStr">
        <is>
          <t>Michael Anim</t>
        </is>
      </c>
      <c r="F673" s="5" t="n">
        <v>46163.53002314815</v>
      </c>
      <c r="H673" t="inlineStr">
        <is>
          <t>PCGH779 - Cote d'Ivoire）</t>
        </is>
      </c>
      <c r="I673" t="n">
        <v>8</v>
      </c>
      <c r="J673" t="inlineStr">
        <is>
          <t>PCGH779 - Tree Planting Project (3) (Proforest Limited(PCUK GBP))</t>
        </is>
      </c>
      <c r="L673" t="b">
        <v>1</v>
      </c>
      <c r="M673" t="inlineStr">
        <is>
          <t>Billed at a Fixed price</t>
        </is>
      </c>
      <c r="N673" s="6">
        <f>IF(B673="","",IF(ISNUMBER(B673),TEXT(B673,"YYYY-MM"),LEFT(B673,7)))</f>
        <v/>
      </c>
    </row>
    <row r="674">
      <c r="A674" t="inlineStr">
        <is>
          <t>Afua Serwah Akoto Prempeh</t>
        </is>
      </c>
      <c r="B674" s="4" t="n">
        <v>46153</v>
      </c>
      <c r="C674" t="inlineStr">
        <is>
          <t>/</t>
        </is>
      </c>
      <c r="D674" t="inlineStr">
        <is>
          <t>Afua Serwah Akoto Prempeh</t>
        </is>
      </c>
      <c r="E674" t="inlineStr">
        <is>
          <t>Afua Serwah Akoto Prempeh</t>
        </is>
      </c>
      <c r="F674" s="5" t="n">
        <v>46188.50268518519</v>
      </c>
      <c r="H674" t="inlineStr">
        <is>
          <t>Non-Billable Tasks</t>
        </is>
      </c>
      <c r="I674" t="n">
        <v>5</v>
      </c>
      <c r="L674" t="b">
        <v>0</v>
      </c>
      <c r="M674" t="inlineStr">
        <is>
          <t>Non-Billable</t>
        </is>
      </c>
      <c r="N674" s="6">
        <f>IF(B674="","",IF(ISNUMBER(B674),TEXT(B674,"YYYY-MM"),LEFT(B674,7)))</f>
        <v/>
      </c>
    </row>
    <row r="675">
      <c r="A675" t="inlineStr">
        <is>
          <t>Afua Serwah Akoto Prempeh</t>
        </is>
      </c>
      <c r="B675" s="4" t="n">
        <v>46153</v>
      </c>
      <c r="C675" t="inlineStr">
        <is>
          <t>/</t>
        </is>
      </c>
      <c r="D675" t="inlineStr">
        <is>
          <t>Afua Serwah Akoto Prempeh</t>
        </is>
      </c>
      <c r="E675" t="inlineStr">
        <is>
          <t>Afua Serwah Akoto Prempeh</t>
        </is>
      </c>
      <c r="F675" s="5" t="n">
        <v>46188.50277777778</v>
      </c>
      <c r="H675" t="inlineStr">
        <is>
          <t>Business and Project Management Training</t>
        </is>
      </c>
      <c r="I675" t="n">
        <v>3</v>
      </c>
      <c r="L675" t="b">
        <v>1</v>
      </c>
      <c r="M675" t="inlineStr">
        <is>
          <t>Non-Billable</t>
        </is>
      </c>
      <c r="N675" s="6">
        <f>IF(B675="","",IF(ISNUMBER(B675),TEXT(B675,"YYYY-MM"),LEFT(B675,7)))</f>
        <v/>
      </c>
    </row>
    <row r="676">
      <c r="A676" t="inlineStr">
        <is>
          <t>Clement Obeng-Manu</t>
        </is>
      </c>
      <c r="B676" s="4" t="n">
        <v>46153</v>
      </c>
      <c r="C676" t="inlineStr">
        <is>
          <t>Fieldwork</t>
        </is>
      </c>
      <c r="D676" t="inlineStr">
        <is>
          <t>Clement Obeng-Manu</t>
        </is>
      </c>
      <c r="E676" t="inlineStr">
        <is>
          <t>Clement Obeng-Manu</t>
        </is>
      </c>
      <c r="F676" s="5" t="n">
        <v>46173.76138888889</v>
      </c>
      <c r="H676" t="inlineStr">
        <is>
          <t>PCGH793</t>
        </is>
      </c>
      <c r="I676" t="n">
        <v>8</v>
      </c>
      <c r="L676" t="b">
        <v>1</v>
      </c>
      <c r="M676" t="inlineStr">
        <is>
          <t>Non-Billable</t>
        </is>
      </c>
      <c r="N676" s="6">
        <f>IF(B676="","",IF(ISNUMBER(B676),TEXT(B676,"YYYY-MM"),LEFT(B676,7)))</f>
        <v/>
      </c>
    </row>
    <row r="677">
      <c r="A677" t="inlineStr">
        <is>
          <t>Helena Tetteh</t>
        </is>
      </c>
      <c r="B677" s="4" t="n">
        <v>46153</v>
      </c>
      <c r="C677" t="inlineStr">
        <is>
          <t>RSPO harmonization session</t>
        </is>
      </c>
      <c r="D677" t="inlineStr">
        <is>
          <t xml:space="preserve">Helena Tetteh </t>
        </is>
      </c>
      <c r="E677" t="inlineStr">
        <is>
          <t>Helena Tetteh</t>
        </is>
      </c>
      <c r="F677" s="5" t="n">
        <v>46168.44521990741</v>
      </c>
      <c r="H677" t="inlineStr">
        <is>
          <t>Non-Billable Tasks</t>
        </is>
      </c>
      <c r="I677" t="n">
        <v>8</v>
      </c>
      <c r="K677" t="inlineStr">
        <is>
          <t>Professional development and Knowledge sharing(training,global knowledge calls,exchange weeks)</t>
        </is>
      </c>
      <c r="L677" t="b">
        <v>0</v>
      </c>
      <c r="M677" t="inlineStr">
        <is>
          <t>Non-Billable</t>
        </is>
      </c>
      <c r="N677" s="6">
        <f>IF(B677="","",IF(ISNUMBER(B677),TEXT(B677,"YYYY-MM"),LEFT(B677,7)))</f>
        <v/>
      </c>
    </row>
    <row r="678">
      <c r="A678" t="inlineStr">
        <is>
          <t>Helena Tetteh</t>
        </is>
      </c>
      <c r="B678" s="4" t="n">
        <v>46153</v>
      </c>
      <c r="C678" t="inlineStr">
        <is>
          <t>/</t>
        </is>
      </c>
      <c r="D678" t="inlineStr">
        <is>
          <t xml:space="preserve">Helena Tetteh </t>
        </is>
      </c>
      <c r="E678" t="inlineStr">
        <is>
          <t>Helena Tetteh</t>
        </is>
      </c>
      <c r="F678" s="5" t="n">
        <v>46168.44532407408</v>
      </c>
      <c r="G678" t="inlineStr">
        <is>
          <t>Output 2.3</t>
        </is>
      </c>
      <c r="H678" t="inlineStr">
        <is>
          <t>P23AC00C00 - FGMC</t>
        </is>
      </c>
      <c r="I678" t="n">
        <v>0</v>
      </c>
      <c r="K678" t="inlineStr">
        <is>
          <t>P23AC22A00 - Output Two (Elevating Local Solutions - West Africa)</t>
        </is>
      </c>
      <c r="L678" t="b">
        <v>0</v>
      </c>
      <c r="M678" t="inlineStr">
        <is>
          <t>Non-Billable</t>
        </is>
      </c>
      <c r="N678" s="6">
        <f>IF(B678="","",IF(ISNUMBER(B678),TEXT(B678,"YYYY-MM"),LEFT(B678,7)))</f>
        <v/>
      </c>
    </row>
    <row r="679">
      <c r="A679" t="inlineStr">
        <is>
          <t>Ekow Nyamekye Tawiah</t>
        </is>
      </c>
      <c r="B679" s="4" t="n">
        <v>46153</v>
      </c>
      <c r="C679" t="inlineStr">
        <is>
          <t>Deforestation Risk Analysis</t>
        </is>
      </c>
      <c r="D679" t="inlineStr">
        <is>
          <t>Ekow Nyamekye Tawiah</t>
        </is>
      </c>
      <c r="E679" t="inlineStr">
        <is>
          <t>Ekow Nyamekye Tawiah</t>
        </is>
      </c>
      <c r="F679" s="5" t="n">
        <v>46162.86479166667</v>
      </c>
      <c r="H679" t="inlineStr">
        <is>
          <t>PCGH778 - General Support</t>
        </is>
      </c>
      <c r="I679" t="n">
        <v>4</v>
      </c>
      <c r="J679" t="inlineStr">
        <is>
          <t>PCGH778 - Support to Other Workstreams (3) (Proforest Limited(PCUK GBP))</t>
        </is>
      </c>
      <c r="L679" t="b">
        <v>1</v>
      </c>
      <c r="M679" t="inlineStr">
        <is>
          <t>Billed at a Fixed price</t>
        </is>
      </c>
      <c r="N679" s="6">
        <f>IF(B679="","",IF(ISNUMBER(B679),TEXT(B679,"YYYY-MM"),LEFT(B679,7)))</f>
        <v/>
      </c>
    </row>
    <row r="680">
      <c r="A680" t="inlineStr">
        <is>
          <t>Ekow Nyamekye Tawiah</t>
        </is>
      </c>
      <c r="B680" s="4" t="n">
        <v>46153</v>
      </c>
      <c r="C680" t="inlineStr">
        <is>
          <t>Global landscape GIP Data collection</t>
        </is>
      </c>
      <c r="D680" t="inlineStr">
        <is>
          <t>Ekow Nyamekye Tawiah</t>
        </is>
      </c>
      <c r="E680" t="inlineStr">
        <is>
          <t>Ekow Nyamekye Tawiah</t>
        </is>
      </c>
      <c r="F680" s="5" t="n">
        <v>46162.86902777778</v>
      </c>
      <c r="H680" t="inlineStr">
        <is>
          <t>Global Internal Projects (GIPs)</t>
        </is>
      </c>
      <c r="I680" t="n">
        <v>0</v>
      </c>
      <c r="L680" t="b">
        <v>1</v>
      </c>
      <c r="M680" t="inlineStr">
        <is>
          <t>Non-Billable</t>
        </is>
      </c>
      <c r="N680" s="6">
        <f>IF(B680="","",IF(ISNUMBER(B680),TEXT(B680,"YYYY-MM"),LEFT(B680,7)))</f>
        <v/>
      </c>
    </row>
    <row r="681">
      <c r="A681" t="inlineStr">
        <is>
          <t>James Parker Mckeown</t>
        </is>
      </c>
      <c r="B681" s="4" t="n">
        <v>46153</v>
      </c>
      <c r="C681" t="inlineStr">
        <is>
          <t xml:space="preserve">second review of analysed outcomes from Taylor Crabbe </t>
        </is>
      </c>
      <c r="D681" t="inlineStr">
        <is>
          <t>James Parker Mckeown</t>
        </is>
      </c>
      <c r="E681" t="inlineStr">
        <is>
          <t>James Parker Mckeown</t>
        </is>
      </c>
      <c r="F681" s="5" t="n">
        <v>46162.82957175926</v>
      </c>
      <c r="G681" t="inlineStr">
        <is>
          <t>Output 2.3</t>
        </is>
      </c>
      <c r="H681" t="inlineStr">
        <is>
          <t>P23AC00C00 - FGMC</t>
        </is>
      </c>
      <c r="I681" t="n">
        <v>3</v>
      </c>
      <c r="K681" t="inlineStr">
        <is>
          <t>P23AC22A00 - Output Two (Elevating Local Solutions - West Africa)</t>
        </is>
      </c>
      <c r="L681" t="b">
        <v>0</v>
      </c>
      <c r="M681" t="inlineStr">
        <is>
          <t>Non-Billable</t>
        </is>
      </c>
      <c r="N681" s="6">
        <f>IF(B681="","",IF(ISNUMBER(B681),TEXT(B681,"YYYY-MM"),LEFT(B681,7)))</f>
        <v/>
      </c>
    </row>
    <row r="682">
      <c r="A682" t="inlineStr">
        <is>
          <t>James Parker Mckeown</t>
        </is>
      </c>
      <c r="B682" s="4" t="n">
        <v>46153</v>
      </c>
      <c r="C682" t="inlineStr">
        <is>
          <t xml:space="preserve">Communication material for Nitrian  </t>
        </is>
      </c>
      <c r="D682" t="inlineStr">
        <is>
          <t>James Parker Mckeown</t>
        </is>
      </c>
      <c r="E682" t="inlineStr">
        <is>
          <t>James Parker Mckeown</t>
        </is>
      </c>
      <c r="F682" s="5" t="n">
        <v>46162.82833333333</v>
      </c>
      <c r="H682" t="inlineStr">
        <is>
          <t>PCGH762 - GVL HCSA Restoration Project</t>
        </is>
      </c>
      <c r="I682" t="n">
        <v>1</v>
      </c>
      <c r="K682" t="inlineStr">
        <is>
          <t>Training and Capacity Building</t>
        </is>
      </c>
      <c r="L682" t="b">
        <v>1</v>
      </c>
      <c r="M682" t="inlineStr">
        <is>
          <t>Non-Billable</t>
        </is>
      </c>
      <c r="N682" s="6">
        <f>IF(B682="","",IF(ISNUMBER(B682),TEXT(B682,"YYYY-MM"),LEFT(B682,7)))</f>
        <v/>
      </c>
    </row>
    <row r="683">
      <c r="A683" t="inlineStr">
        <is>
          <t>James Parker Mckeown</t>
        </is>
      </c>
      <c r="B683" s="4" t="n">
        <v>46153</v>
      </c>
      <c r="C683" t="inlineStr">
        <is>
          <t>Proforest Y2 workplan review with FGMC</t>
        </is>
      </c>
      <c r="D683" t="inlineStr">
        <is>
          <t>James Parker Mckeown</t>
        </is>
      </c>
      <c r="E683" t="inlineStr">
        <is>
          <t>James Parker Mckeown</t>
        </is>
      </c>
      <c r="F683" s="5" t="n">
        <v>46162.82724537037</v>
      </c>
      <c r="G683" t="inlineStr">
        <is>
          <t>Output 4</t>
        </is>
      </c>
      <c r="H683" t="inlineStr">
        <is>
          <t>P23AC00C00 - FGMC</t>
        </is>
      </c>
      <c r="I683" t="n">
        <v>1</v>
      </c>
      <c r="K683" t="inlineStr">
        <is>
          <t>P23AC03A00 - Project Management</t>
        </is>
      </c>
      <c r="L683" t="b">
        <v>0</v>
      </c>
      <c r="M683" t="inlineStr">
        <is>
          <t>Non-Billable</t>
        </is>
      </c>
      <c r="N683" s="6">
        <f>IF(B683="","",IF(ISNUMBER(B683),TEXT(B683,"YYYY-MM"),LEFT(B683,7)))</f>
        <v/>
      </c>
    </row>
    <row r="684">
      <c r="A684" t="inlineStr">
        <is>
          <t>James Parker Mckeown</t>
        </is>
      </c>
      <c r="B684" s="4" t="n">
        <v>46153</v>
      </c>
      <c r="C684" t="inlineStr">
        <is>
          <t xml:space="preserve">Y1 Q3 reporting </t>
        </is>
      </c>
      <c r="D684" t="inlineStr">
        <is>
          <t>James Parker Mckeown</t>
        </is>
      </c>
      <c r="E684" t="inlineStr">
        <is>
          <t>James Parker Mckeown</t>
        </is>
      </c>
      <c r="F684" s="5" t="n">
        <v>46162.82609953704</v>
      </c>
      <c r="G684" t="inlineStr">
        <is>
          <t>Desk Study</t>
        </is>
      </c>
      <c r="H684" t="inlineStr">
        <is>
          <t>PCGH762 - GVL HCSA Restoration Project</t>
        </is>
      </c>
      <c r="I684" t="n">
        <v>3</v>
      </c>
      <c r="J684" t="inlineStr">
        <is>
          <t>PCGH762 - Desk Review, Stakeholder Mapping &amp; Analysis and Engagement (Golden Veroleum Liberia)</t>
        </is>
      </c>
      <c r="K684" t="inlineStr">
        <is>
          <t>Desk Review, Stakeholder Mapping &amp; Analysis and Engagement</t>
        </is>
      </c>
      <c r="L684" t="b">
        <v>1</v>
      </c>
      <c r="M684" t="inlineStr">
        <is>
          <t>Billed at a Fixed price</t>
        </is>
      </c>
      <c r="N684" s="6">
        <f>IF(B684="","",IF(ISNUMBER(B684),TEXT(B684,"YYYY-MM"),LEFT(B684,7)))</f>
        <v/>
      </c>
    </row>
    <row r="685">
      <c r="A685" t="inlineStr">
        <is>
          <t>Patricia Offei</t>
        </is>
      </c>
      <c r="B685" s="4" t="n">
        <v>46153</v>
      </c>
      <c r="C685" t="inlineStr">
        <is>
          <t>SOGB FW</t>
        </is>
      </c>
      <c r="D685" t="inlineStr">
        <is>
          <t>Patricia Offei</t>
        </is>
      </c>
      <c r="E685" t="inlineStr">
        <is>
          <t>Patricia Offei</t>
        </is>
      </c>
      <c r="F685" s="5" t="n">
        <v>46162.60456018519</v>
      </c>
      <c r="H685" t="inlineStr">
        <is>
          <t>PCGH774 -Evaluation Deep-Dive Action Plans by Socfin Group</t>
        </is>
      </c>
      <c r="I685" t="n">
        <v>8</v>
      </c>
      <c r="J685" t="inlineStr">
        <is>
          <t>PCGH774 - Field Verification (2) (Socfinco FR SA)</t>
        </is>
      </c>
      <c r="L685" t="b">
        <v>1</v>
      </c>
      <c r="M685" t="inlineStr">
        <is>
          <t>Billed at a Fixed price</t>
        </is>
      </c>
      <c r="N685" s="6">
        <f>IF(B685="","",IF(ISNUMBER(B685),TEXT(B685,"YYYY-MM"),LEFT(B685,7)))</f>
        <v/>
      </c>
    </row>
    <row r="686">
      <c r="A686" t="inlineStr">
        <is>
          <t>Kwadwo Baniako Nti</t>
        </is>
      </c>
      <c r="B686" s="4" t="n">
        <v>46153</v>
      </c>
      <c r="C686" t="inlineStr">
        <is>
          <t>/</t>
        </is>
      </c>
      <c r="D686" t="inlineStr">
        <is>
          <t>Kwadwo Baniako Nti</t>
        </is>
      </c>
      <c r="E686" t="inlineStr">
        <is>
          <t>Kwadwo Baniako Nti</t>
        </is>
      </c>
      <c r="F686" s="5" t="n">
        <v>46162.39189814815</v>
      </c>
      <c r="G686" t="inlineStr">
        <is>
          <t>Management and Maintenance of the Forest</t>
        </is>
      </c>
      <c r="H686" t="inlineStr">
        <is>
          <t>PCGH762 - GVL HCSA Restoration Project</t>
        </is>
      </c>
      <c r="I686" t="n">
        <v>0</v>
      </c>
      <c r="J686" t="inlineStr">
        <is>
          <t>PCGH762 - Management and Maintenance of the Forest (Golden Veroleum Liberia)</t>
        </is>
      </c>
      <c r="K686" t="inlineStr">
        <is>
          <t>Management and Maintenance of the Forest</t>
        </is>
      </c>
      <c r="L686" t="b">
        <v>1</v>
      </c>
      <c r="M686" t="inlineStr">
        <is>
          <t>Billed at a Fixed price</t>
        </is>
      </c>
      <c r="N686" s="6">
        <f>IF(B686="","",IF(ISNUMBER(B686),TEXT(B686,"YYYY-MM"),LEFT(B686,7)))</f>
        <v/>
      </c>
    </row>
    <row r="687">
      <c r="A687" t="inlineStr">
        <is>
          <t>Kwadwo Baniako Nti</t>
        </is>
      </c>
      <c r="B687" s="4" t="n">
        <v>46153</v>
      </c>
      <c r="C687" t="inlineStr">
        <is>
          <t>/</t>
        </is>
      </c>
      <c r="D687" t="inlineStr">
        <is>
          <t>Kwadwo Baniako Nti</t>
        </is>
      </c>
      <c r="E687" t="inlineStr">
        <is>
          <t>Kwadwo Baniako Nti</t>
        </is>
      </c>
      <c r="F687" s="5" t="n">
        <v>46162.39123842592</v>
      </c>
      <c r="G687" t="inlineStr">
        <is>
          <t>Communication and Other Materials</t>
        </is>
      </c>
      <c r="H687" t="inlineStr">
        <is>
          <t>PCGH762 - GVL HCSA Restoration Project</t>
        </is>
      </c>
      <c r="I687" t="n">
        <v>3</v>
      </c>
      <c r="J687" t="inlineStr">
        <is>
          <t>PCGH762 - Communication and Other Materials (Golden Veroleum Liberia)</t>
        </is>
      </c>
      <c r="K687" t="inlineStr">
        <is>
          <t>Communication and Other Materials</t>
        </is>
      </c>
      <c r="L687" t="b">
        <v>1</v>
      </c>
      <c r="M687" t="inlineStr">
        <is>
          <t>Billed at a Fixed price</t>
        </is>
      </c>
      <c r="N687" s="6">
        <f>IF(B687="","",IF(ISNUMBER(B687),TEXT(B687,"YYYY-MM"),LEFT(B687,7)))</f>
        <v/>
      </c>
    </row>
    <row r="688">
      <c r="A688" t="inlineStr">
        <is>
          <t>Kwadwo Baniako Nti</t>
        </is>
      </c>
      <c r="B688" s="4" t="n">
        <v>46153</v>
      </c>
      <c r="C688" t="inlineStr">
        <is>
          <t>RSP/IPI</t>
        </is>
      </c>
      <c r="D688" t="inlineStr">
        <is>
          <t>Kwadwo Baniako Nti</t>
        </is>
      </c>
      <c r="E688" t="inlineStr">
        <is>
          <t>Kwadwo Baniako Nti</t>
        </is>
      </c>
      <c r="F688" s="5" t="n">
        <v>46162.38988425926</v>
      </c>
      <c r="H688" t="inlineStr">
        <is>
          <t>Non-Billable Tasks</t>
        </is>
      </c>
      <c r="I688" t="n">
        <v>1</v>
      </c>
      <c r="K688" t="inlineStr">
        <is>
          <t>Professional development and Knowledge sharing(training,global knowledge calls,exchange weeks)</t>
        </is>
      </c>
      <c r="L688" t="b">
        <v>0</v>
      </c>
      <c r="M688" t="inlineStr">
        <is>
          <t>Non-Billable</t>
        </is>
      </c>
      <c r="N688" s="6">
        <f>IF(B688="","",IF(ISNUMBER(B688),TEXT(B688,"YYYY-MM"),LEFT(B688,7)))</f>
        <v/>
      </c>
    </row>
    <row r="689">
      <c r="A689" t="inlineStr">
        <is>
          <t>Kwadwo Baniako Nti</t>
        </is>
      </c>
      <c r="B689" s="4" t="n">
        <v>46153</v>
      </c>
      <c r="C689" t="inlineStr">
        <is>
          <t>/</t>
        </is>
      </c>
      <c r="D689" t="inlineStr">
        <is>
          <t>Kwadwo Baniako Nti</t>
        </is>
      </c>
      <c r="E689" t="inlineStr">
        <is>
          <t>Kwadwo Baniako Nti</t>
        </is>
      </c>
      <c r="F689" s="5" t="n">
        <v>46162.38884259259</v>
      </c>
      <c r="H689" t="inlineStr">
        <is>
          <t>Global Internal Projects (GIPs)</t>
        </is>
      </c>
      <c r="I689" t="n">
        <v>0</v>
      </c>
      <c r="K689" t="inlineStr">
        <is>
          <t>PFAFR002 Climate</t>
        </is>
      </c>
      <c r="L689" t="b">
        <v>1</v>
      </c>
      <c r="M689" t="inlineStr">
        <is>
          <t>Non-Billable</t>
        </is>
      </c>
      <c r="N689" s="6">
        <f>IF(B689="","",IF(ISNUMBER(B689),TEXT(B689,"YYYY-MM"),LEFT(B689,7)))</f>
        <v/>
      </c>
    </row>
    <row r="690">
      <c r="A690" t="inlineStr">
        <is>
          <t>Kwadwo Baniako Nti</t>
        </is>
      </c>
      <c r="B690" s="4" t="n">
        <v>46153</v>
      </c>
      <c r="C690" t="inlineStr">
        <is>
          <t>BIP PCGH</t>
        </is>
      </c>
      <c r="D690" t="inlineStr">
        <is>
          <t>Kwadwo Baniako Nti</t>
        </is>
      </c>
      <c r="E690" t="inlineStr">
        <is>
          <t>Kwadwo Baniako Nti</t>
        </is>
      </c>
      <c r="F690" s="5" t="n">
        <v>46162.38855324074</v>
      </c>
      <c r="H690" t="inlineStr">
        <is>
          <t>Internal</t>
        </is>
      </c>
      <c r="I690" t="n">
        <v>1</v>
      </c>
      <c r="K690" t="inlineStr">
        <is>
          <t>Meeting on workplan</t>
        </is>
      </c>
      <c r="L690" t="b">
        <v>0</v>
      </c>
      <c r="M690" t="inlineStr">
        <is>
          <t>Non-Billable</t>
        </is>
      </c>
      <c r="N690" s="6">
        <f>IF(B690="","",IF(ISNUMBER(B690),TEXT(B690,"YYYY-MM"),LEFT(B690,7)))</f>
        <v/>
      </c>
    </row>
    <row r="691">
      <c r="A691" t="inlineStr">
        <is>
          <t>Kwadwo Baniako Nti</t>
        </is>
      </c>
      <c r="B691" s="4" t="n">
        <v>46153</v>
      </c>
      <c r="C691" t="inlineStr">
        <is>
          <t>/</t>
        </is>
      </c>
      <c r="D691" t="inlineStr">
        <is>
          <t>Kwadwo Baniako Nti</t>
        </is>
      </c>
      <c r="E691" t="inlineStr">
        <is>
          <t>Kwadwo Baniako Nti</t>
        </is>
      </c>
      <c r="F691" s="5" t="n">
        <v>46161.75820601852</v>
      </c>
      <c r="G691" t="inlineStr">
        <is>
          <t>PCGH786 - Site Assessment (3)</t>
        </is>
      </c>
      <c r="H691" t="inlineStr">
        <is>
          <t>PCGH786 - Impact Level Baseline assessment for FGMC</t>
        </is>
      </c>
      <c r="I691" t="n">
        <v>3</v>
      </c>
      <c r="J691" t="inlineStr">
        <is>
          <t>PCGH786 - Site Assessment (3) (NIRAS Group (UK) Ltd)</t>
        </is>
      </c>
      <c r="K691" t="inlineStr">
        <is>
          <t>Site Assessment</t>
        </is>
      </c>
      <c r="L691" t="b">
        <v>1</v>
      </c>
      <c r="M691" t="inlineStr">
        <is>
          <t>Billed at a Fixed price</t>
        </is>
      </c>
      <c r="N691" s="6">
        <f>IF(B691="","",IF(ISNUMBER(B691),TEXT(B691,"YYYY-MM"),LEFT(B691,7)))</f>
        <v/>
      </c>
    </row>
    <row r="692">
      <c r="A692" t="inlineStr">
        <is>
          <t>Louis Defo</t>
        </is>
      </c>
      <c r="B692" s="4" t="n">
        <v>46153</v>
      </c>
      <c r="C692" t="inlineStr">
        <is>
          <t>/</t>
        </is>
      </c>
      <c r="D692" t="inlineStr">
        <is>
          <t>Louis Defo</t>
        </is>
      </c>
      <c r="E692" t="inlineStr">
        <is>
          <t>Louis Defo</t>
        </is>
      </c>
      <c r="F692" s="5" t="n">
        <v>46161.33537037037</v>
      </c>
      <c r="H692" t="inlineStr">
        <is>
          <t>PCGH787</t>
        </is>
      </c>
      <c r="I692" t="n">
        <v>8</v>
      </c>
      <c r="J692" t="inlineStr">
        <is>
          <t>PCGH787 - Desk Study (3) (Proforest Limited(PCUK GBP))</t>
        </is>
      </c>
      <c r="L692" t="b">
        <v>1</v>
      </c>
      <c r="M692" t="inlineStr">
        <is>
          <t>Billed at a Fixed price</t>
        </is>
      </c>
      <c r="N692" s="6">
        <f>IF(B692="","",IF(ISNUMBER(B692),TEXT(B692,"YYYY-MM"),LEFT(B692,7)))</f>
        <v/>
      </c>
    </row>
    <row r="693">
      <c r="A693" t="inlineStr">
        <is>
          <t>Stephen Doso</t>
        </is>
      </c>
      <c r="B693" s="4" t="n">
        <v>46153</v>
      </c>
      <c r="C693" t="inlineStr">
        <is>
          <t>/</t>
        </is>
      </c>
      <c r="D693" t="inlineStr">
        <is>
          <t>Stephen Doso</t>
        </is>
      </c>
      <c r="E693" t="inlineStr">
        <is>
          <t>Stephen Doso</t>
        </is>
      </c>
      <c r="F693" s="5" t="n">
        <v>46160.78166666667</v>
      </c>
      <c r="H693" t="inlineStr">
        <is>
          <t>PCGH769</t>
        </is>
      </c>
      <c r="I693" t="n">
        <v>2</v>
      </c>
      <c r="J693" t="inlineStr">
        <is>
          <t>PCGH769 - Desk Study (2) (Biase Plantations Ltd.)</t>
        </is>
      </c>
      <c r="K693" t="inlineStr">
        <is>
          <t>HCV/HCS - Reporting and review</t>
        </is>
      </c>
      <c r="L693" t="b">
        <v>1</v>
      </c>
      <c r="M693" t="inlineStr">
        <is>
          <t>Billed at a Fixed price</t>
        </is>
      </c>
      <c r="N693" s="6">
        <f>IF(B693="","",IF(ISNUMBER(B693),TEXT(B693,"YYYY-MM"),LEFT(B693,7)))</f>
        <v/>
      </c>
    </row>
    <row r="694">
      <c r="A694" t="inlineStr">
        <is>
          <t>Stephen Doso</t>
        </is>
      </c>
      <c r="B694" s="4" t="n">
        <v>46153</v>
      </c>
      <c r="C694" t="inlineStr">
        <is>
          <t>/</t>
        </is>
      </c>
      <c r="D694" t="inlineStr">
        <is>
          <t>Stephen Doso</t>
        </is>
      </c>
      <c r="E694" t="inlineStr">
        <is>
          <t>Stephen Doso</t>
        </is>
      </c>
      <c r="F694" s="5" t="n">
        <v>46160.78018518518</v>
      </c>
      <c r="G694" t="inlineStr">
        <is>
          <t>MONDONI: MAPPING AND REPORTING (2)</t>
        </is>
      </c>
      <c r="H694" t="inlineStr">
        <is>
          <t>PCGH788 - CDC Boa &amp; Mondoni CV-HCS Scoping</t>
        </is>
      </c>
      <c r="I694" t="n">
        <v>1</v>
      </c>
      <c r="J694" t="inlineStr">
        <is>
          <t>PCGH788 - Participatory mapping (CAMEROON DEVELOPMENT CORPORATION (CDC))</t>
        </is>
      </c>
      <c r="K694" t="inlineStr">
        <is>
          <t>Reporting</t>
        </is>
      </c>
      <c r="L694" t="b">
        <v>1</v>
      </c>
      <c r="M694" t="inlineStr">
        <is>
          <t>Billed Manually</t>
        </is>
      </c>
      <c r="N694" s="6">
        <f>IF(B694="","",IF(ISNUMBER(B694),TEXT(B694,"YYYY-MM"),LEFT(B694,7)))</f>
        <v/>
      </c>
    </row>
    <row r="695">
      <c r="A695" t="inlineStr">
        <is>
          <t>Stephen Doso</t>
        </is>
      </c>
      <c r="B695" s="4" t="n">
        <v>46153</v>
      </c>
      <c r="C695" t="inlineStr">
        <is>
          <t>/</t>
        </is>
      </c>
      <c r="D695" t="inlineStr">
        <is>
          <t>Stephen Doso</t>
        </is>
      </c>
      <c r="E695" t="inlineStr">
        <is>
          <t>Stephen Doso</t>
        </is>
      </c>
      <c r="F695" s="5" t="n">
        <v>46160.77950231481</v>
      </c>
      <c r="G695" t="inlineStr">
        <is>
          <t>Field verification and reporting in Nigeria  (2)</t>
        </is>
      </c>
      <c r="H695" t="inlineStr">
        <is>
          <t>PCGH775 - ESDD of Valency Operations for FMO</t>
        </is>
      </c>
      <c r="I695" t="n">
        <v>1</v>
      </c>
      <c r="J695" t="inlineStr">
        <is>
          <t>PCGH775 - Field Verification (2) (Valency International DMCC)</t>
        </is>
      </c>
      <c r="K695" t="inlineStr">
        <is>
          <t>Analysis and reporting in Nigeria</t>
        </is>
      </c>
      <c r="L695" t="b">
        <v>1</v>
      </c>
      <c r="M695" t="inlineStr">
        <is>
          <t>Billed at a Fixed price</t>
        </is>
      </c>
      <c r="N695" s="6">
        <f>IF(B695="","",IF(ISNUMBER(B695),TEXT(B695,"YYYY-MM"),LEFT(B695,7)))</f>
        <v/>
      </c>
    </row>
    <row r="696">
      <c r="A696" t="inlineStr">
        <is>
          <t>Stephen Doso</t>
        </is>
      </c>
      <c r="B696" s="4" t="n">
        <v>46153</v>
      </c>
      <c r="C696" t="inlineStr">
        <is>
          <t>RSP EW planning meeting</t>
        </is>
      </c>
      <c r="D696" t="inlineStr">
        <is>
          <t>Stephen Doso</t>
        </is>
      </c>
      <c r="E696" t="inlineStr">
        <is>
          <t>Stephen Doso</t>
        </is>
      </c>
      <c r="F696" s="5" t="n">
        <v>46160.77775462963</v>
      </c>
      <c r="H696" t="inlineStr">
        <is>
          <t>Non-Billable Tasks</t>
        </is>
      </c>
      <c r="I696" t="n">
        <v>0.5</v>
      </c>
      <c r="K696" t="inlineStr">
        <is>
          <t>Internal Focal points and workstreams</t>
        </is>
      </c>
      <c r="L696" t="b">
        <v>0</v>
      </c>
      <c r="M696" t="inlineStr">
        <is>
          <t>Non-Billable</t>
        </is>
      </c>
      <c r="N696" s="6">
        <f>IF(B696="","",IF(ISNUMBER(B696),TEXT(B696,"YYYY-MM"),LEFT(B696,7)))</f>
        <v/>
      </c>
    </row>
    <row r="697">
      <c r="A697" t="inlineStr">
        <is>
          <t>Stephen Doso</t>
        </is>
      </c>
      <c r="B697" s="4" t="n">
        <v>46153</v>
      </c>
      <c r="C697" t="inlineStr">
        <is>
          <t>Call with Nigeria Sugar Council</t>
        </is>
      </c>
      <c r="D697" t="inlineStr">
        <is>
          <t>Stephen Doso</t>
        </is>
      </c>
      <c r="E697" t="inlineStr">
        <is>
          <t>Stephen Doso</t>
        </is>
      </c>
      <c r="F697" s="5" t="n">
        <v>46160.7770949074</v>
      </c>
      <c r="H697" t="inlineStr">
        <is>
          <t>Non-Billable Tasks</t>
        </is>
      </c>
      <c r="I697" t="n">
        <v>1</v>
      </c>
      <c r="K697" t="inlineStr">
        <is>
          <t>Communication/Data/Training</t>
        </is>
      </c>
      <c r="L697" t="b">
        <v>0</v>
      </c>
      <c r="M697" t="inlineStr">
        <is>
          <t>Non-Billable</t>
        </is>
      </c>
      <c r="N697" s="6">
        <f>IF(B697="","",IF(ISNUMBER(B697),TEXT(B697,"YYYY-MM"),LEFT(B697,7)))</f>
        <v/>
      </c>
    </row>
    <row r="698">
      <c r="A698" t="inlineStr">
        <is>
          <t>Stephen Doso</t>
        </is>
      </c>
      <c r="B698" s="4" t="n">
        <v>46153</v>
      </c>
      <c r="C698" t="inlineStr">
        <is>
          <t>/</t>
        </is>
      </c>
      <c r="D698" t="inlineStr">
        <is>
          <t>Stephen Doso</t>
        </is>
      </c>
      <c r="E698" t="inlineStr">
        <is>
          <t>Stephen Doso</t>
        </is>
      </c>
      <c r="F698" s="5" t="n">
        <v>46160.77516203704</v>
      </c>
      <c r="H698" t="inlineStr">
        <is>
          <t>Non-Billable Tasks</t>
        </is>
      </c>
      <c r="I698" t="n">
        <v>2.5</v>
      </c>
      <c r="K698" t="inlineStr">
        <is>
          <t>Portfolio Team Management</t>
        </is>
      </c>
      <c r="L698" t="b">
        <v>0</v>
      </c>
      <c r="M698" t="inlineStr">
        <is>
          <t>Non-Billable</t>
        </is>
      </c>
      <c r="N698" s="6">
        <f>IF(B698="","",IF(ISNUMBER(B698),TEXT(B698,"YYYY-MM"),LEFT(B698,7)))</f>
        <v/>
      </c>
    </row>
    <row r="699">
      <c r="A699" t="inlineStr">
        <is>
          <t>Frederick Antwi</t>
        </is>
      </c>
      <c r="B699" s="4" t="n">
        <v>46153</v>
      </c>
      <c r="C699" t="inlineStr">
        <is>
          <t>/</t>
        </is>
      </c>
      <c r="D699" t="inlineStr">
        <is>
          <t>Frederick Antwi</t>
        </is>
      </c>
      <c r="E699" t="inlineStr">
        <is>
          <t>Frederick Antwi</t>
        </is>
      </c>
      <c r="F699" s="5" t="n">
        <v>46160.64372685185</v>
      </c>
      <c r="H699" t="inlineStr">
        <is>
          <t>P13PC00A00 - Private Sector Companies</t>
        </is>
      </c>
      <c r="I699" t="n">
        <v>7</v>
      </c>
      <c r="L699" t="b">
        <v>0</v>
      </c>
      <c r="M699" t="inlineStr">
        <is>
          <t>Non-Billable</t>
        </is>
      </c>
      <c r="N699" s="6">
        <f>IF(B699="","",IF(ISNUMBER(B699),TEXT(B699,"YYYY-MM"),LEFT(B699,7)))</f>
        <v/>
      </c>
    </row>
    <row r="700">
      <c r="A700" t="inlineStr">
        <is>
          <t>Frederick Antwi</t>
        </is>
      </c>
      <c r="B700" s="4" t="n">
        <v>46153</v>
      </c>
      <c r="C700" t="inlineStr">
        <is>
          <t>/</t>
        </is>
      </c>
      <c r="D700" t="inlineStr">
        <is>
          <t>Frederick Antwi</t>
        </is>
      </c>
      <c r="E700" t="inlineStr">
        <is>
          <t>Frederick Antwi</t>
        </is>
      </c>
      <c r="F700" s="5" t="n">
        <v>46160.64362268519</v>
      </c>
      <c r="H700" t="inlineStr">
        <is>
          <t>P13PC00A00 - Private Sector Companies</t>
        </is>
      </c>
      <c r="I700" t="n">
        <v>0</v>
      </c>
      <c r="L700" t="b">
        <v>0</v>
      </c>
      <c r="M700" t="inlineStr">
        <is>
          <t>Non-Billable</t>
        </is>
      </c>
      <c r="N700" s="6">
        <f>IF(B700="","",IF(ISNUMBER(B700),TEXT(B700,"YYYY-MM"),LEFT(B700,7)))</f>
        <v/>
      </c>
    </row>
    <row r="701">
      <c r="A701" t="inlineStr">
        <is>
          <t>Frederick Antwi</t>
        </is>
      </c>
      <c r="B701" s="4" t="n">
        <v>46153</v>
      </c>
      <c r="C701" t="inlineStr">
        <is>
          <t>/</t>
        </is>
      </c>
      <c r="D701" t="inlineStr">
        <is>
          <t>Frederick Antwi</t>
        </is>
      </c>
      <c r="E701" t="inlineStr">
        <is>
          <t>Frederick Antwi</t>
        </is>
      </c>
      <c r="F701" s="5" t="n">
        <v>46160.64329861111</v>
      </c>
      <c r="H701" t="inlineStr">
        <is>
          <t>PCGH768</t>
        </is>
      </c>
      <c r="I701" t="n">
        <v>1</v>
      </c>
      <c r="L701" t="b">
        <v>1</v>
      </c>
      <c r="M701" t="inlineStr">
        <is>
          <t>Non-Billable</t>
        </is>
      </c>
      <c r="N701" s="6">
        <f>IF(B701="","",IF(ISNUMBER(B701),TEXT(B701,"YYYY-MM"),LEFT(B701,7)))</f>
        <v/>
      </c>
    </row>
    <row r="702">
      <c r="A702" t="inlineStr">
        <is>
          <t>Frederick Antwi</t>
        </is>
      </c>
      <c r="B702" s="4" t="n">
        <v>46153</v>
      </c>
      <c r="C702" t="inlineStr">
        <is>
          <t>/</t>
        </is>
      </c>
      <c r="D702" t="inlineStr">
        <is>
          <t>Frederick Antwi</t>
        </is>
      </c>
      <c r="E702" t="inlineStr">
        <is>
          <t>Frederick Antwi</t>
        </is>
      </c>
      <c r="F702" s="5" t="n">
        <v>46160.64210648148</v>
      </c>
      <c r="H702" t="inlineStr">
        <is>
          <t>P13PC00A00 - Private Sector Companies</t>
        </is>
      </c>
      <c r="I702" t="n">
        <v>0</v>
      </c>
      <c r="L702" t="b">
        <v>0</v>
      </c>
      <c r="M702" t="inlineStr">
        <is>
          <t>Non-Billable</t>
        </is>
      </c>
      <c r="N702" s="6">
        <f>IF(B702="","",IF(ISNUMBER(B702),TEXT(B702,"YYYY-MM"),LEFT(B702,7)))</f>
        <v/>
      </c>
    </row>
    <row r="703">
      <c r="A703" t="inlineStr">
        <is>
          <t>Abel Ansu</t>
        </is>
      </c>
      <c r="B703" s="4" t="n">
        <v>46153</v>
      </c>
      <c r="C703" t="inlineStr">
        <is>
          <t>Joined the lining and pegging team at compartment 24 of the Bia shelter (Gambia No 1&amp;2)</t>
        </is>
      </c>
      <c r="D703" t="inlineStr">
        <is>
          <t>Abel Ansu</t>
        </is>
      </c>
      <c r="E703" t="inlineStr">
        <is>
          <t>Abel Ansu</t>
        </is>
      </c>
      <c r="F703" s="5" t="n">
        <v>46158.21775462963</v>
      </c>
      <c r="H703" t="inlineStr">
        <is>
          <t>Internal</t>
        </is>
      </c>
      <c r="I703" t="n">
        <v>8</v>
      </c>
      <c r="K703" t="inlineStr">
        <is>
          <t>Monitored lining and pegging team for MTS</t>
        </is>
      </c>
      <c r="L703" t="b">
        <v>0</v>
      </c>
      <c r="M703" t="inlineStr">
        <is>
          <t>Non-Billable</t>
        </is>
      </c>
      <c r="N703" s="6">
        <f>IF(B703="","",IF(ISNUMBER(B703),TEXT(B703,"YYYY-MM"),LEFT(B703,7)))</f>
        <v/>
      </c>
    </row>
    <row r="704">
      <c r="A704" t="inlineStr">
        <is>
          <t>Augustus Asamoah</t>
        </is>
      </c>
      <c r="B704" s="4" t="n">
        <v>46153</v>
      </c>
      <c r="C704" t="inlineStr">
        <is>
          <t>/</t>
        </is>
      </c>
      <c r="D704" t="inlineStr">
        <is>
          <t>Augustus Asamoah</t>
        </is>
      </c>
      <c r="E704" t="inlineStr">
        <is>
          <t>Augustus Asamoah</t>
        </is>
      </c>
      <c r="F704" s="5" t="n">
        <v>46156.70459490741</v>
      </c>
      <c r="H704" t="inlineStr">
        <is>
          <t>PCGH784</t>
        </is>
      </c>
      <c r="I704" t="n">
        <v>6</v>
      </c>
      <c r="J704" t="inlineStr">
        <is>
          <t>PCGH784 - Desk Study (3) (Okeosisi Jonathan)</t>
        </is>
      </c>
      <c r="L704" t="b">
        <v>1</v>
      </c>
      <c r="M704" t="inlineStr">
        <is>
          <t>Billed at a Fixed price</t>
        </is>
      </c>
      <c r="N704" s="6">
        <f>IF(B704="","",IF(ISNUMBER(B704),TEXT(B704,"YYYY-MM"),LEFT(B704,7)))</f>
        <v/>
      </c>
    </row>
    <row r="705">
      <c r="A705" t="inlineStr">
        <is>
          <t>Augustus Asamoah</t>
        </is>
      </c>
      <c r="B705" s="4" t="n">
        <v>46153</v>
      </c>
      <c r="C705" t="inlineStr">
        <is>
          <t>/</t>
        </is>
      </c>
      <c r="D705" t="inlineStr">
        <is>
          <t>Augustus Asamoah</t>
        </is>
      </c>
      <c r="E705" t="inlineStr">
        <is>
          <t>Augustus Asamoah</t>
        </is>
      </c>
      <c r="F705" s="5" t="n">
        <v>46156.70344907408</v>
      </c>
      <c r="H705" t="inlineStr">
        <is>
          <t>Non-Billable Tasks</t>
        </is>
      </c>
      <c r="I705" t="n">
        <v>2</v>
      </c>
      <c r="L705" t="b">
        <v>0</v>
      </c>
      <c r="M705" t="inlineStr">
        <is>
          <t>Non-Billable</t>
        </is>
      </c>
      <c r="N705" s="6">
        <f>IF(B705="","",IF(ISNUMBER(B705),TEXT(B705,"YYYY-MM"),LEFT(B705,7)))</f>
        <v/>
      </c>
    </row>
    <row r="706">
      <c r="A706" t="inlineStr">
        <is>
          <t>Soro TCHEREGNIMIN</t>
        </is>
      </c>
      <c r="B706" s="4" t="n">
        <v>46153</v>
      </c>
      <c r="C706" t="inlineStr">
        <is>
          <t>Field Audit</t>
        </is>
      </c>
      <c r="D706" t="inlineStr">
        <is>
          <t>Soro TCHEREGNIMIN</t>
        </is>
      </c>
      <c r="E706" t="inlineStr">
        <is>
          <t>Soro TCHEREGNIMIN</t>
        </is>
      </c>
      <c r="F706" s="5" t="n">
        <v>46154.9492824074</v>
      </c>
      <c r="H706" t="inlineStr">
        <is>
          <t>PCGH774 -Evaluation Deep-Dive Action Plans by Socfin Group</t>
        </is>
      </c>
      <c r="I706" t="n">
        <v>8</v>
      </c>
      <c r="J706" t="inlineStr">
        <is>
          <t>PCGH774 - Tier 3 (Socfinco FR SA)</t>
        </is>
      </c>
      <c r="K706" t="inlineStr">
        <is>
          <t xml:space="preserve">SOGB - Analysis and reporting </t>
        </is>
      </c>
      <c r="L706" t="b">
        <v>1</v>
      </c>
      <c r="M706" t="inlineStr">
        <is>
          <t>Billed at a Fixed price</t>
        </is>
      </c>
      <c r="N706" s="6">
        <f>IF(B706="","",IF(ISNUMBER(B706),TEXT(B706,"YYYY-MM"),LEFT(B706,7)))</f>
        <v/>
      </c>
    </row>
    <row r="707">
      <c r="A707" t="inlineStr">
        <is>
          <t>Daleba Bernard Kpenahi Raymond</t>
        </is>
      </c>
      <c r="B707" s="4" t="n">
        <v>46153</v>
      </c>
      <c r="C707" t="inlineStr">
        <is>
          <t>/</t>
        </is>
      </c>
      <c r="D707" t="inlineStr">
        <is>
          <t>Daleba Bernard Kpenahi Raymond</t>
        </is>
      </c>
      <c r="E707" t="inlineStr">
        <is>
          <t>Michael Anim</t>
        </is>
      </c>
      <c r="F707" s="5" t="n">
        <v>46163.5300462963</v>
      </c>
      <c r="H707" t="inlineStr">
        <is>
          <t>PCGH779 - Cote d'Ivoire）</t>
        </is>
      </c>
      <c r="I707" t="n">
        <v>8</v>
      </c>
      <c r="J707" t="inlineStr">
        <is>
          <t>PCGH779 - Tree Planting Project (3) (Proforest Limited(PCUK GBP))</t>
        </is>
      </c>
      <c r="L707" t="b">
        <v>1</v>
      </c>
      <c r="M707" t="inlineStr">
        <is>
          <t>Billed at a Fixed price</t>
        </is>
      </c>
      <c r="N707" s="6">
        <f>IF(B707="","",IF(ISNUMBER(B707),TEXT(B707,"YYYY-MM"),LEFT(B707,7)))</f>
        <v/>
      </c>
    </row>
    <row r="708">
      <c r="A708" t="inlineStr">
        <is>
          <t>Daleba Bernard Kpenahi Raymond</t>
        </is>
      </c>
      <c r="B708" s="4" t="n">
        <v>46153</v>
      </c>
      <c r="C708" t="inlineStr">
        <is>
          <t xml:space="preserve">Field verification in SOGB </t>
        </is>
      </c>
      <c r="D708" t="inlineStr">
        <is>
          <t>Daleba Bernard Kpenahi Raymond</t>
        </is>
      </c>
      <c r="E708" t="inlineStr">
        <is>
          <t>OdooBot</t>
        </is>
      </c>
      <c r="F708" s="5" t="n">
        <v>46154.70721064815</v>
      </c>
      <c r="H708" t="inlineStr">
        <is>
          <t>PCGH774 -Evaluation Deep-Dive Action Plans by Socfin Group</t>
        </is>
      </c>
      <c r="I708" t="n">
        <v>0</v>
      </c>
      <c r="J708" t="inlineStr">
        <is>
          <t>PCGH774 - T3 (Socfinco FR SA)</t>
        </is>
      </c>
      <c r="K708" t="inlineStr">
        <is>
          <t xml:space="preserve">SOGB - Field verification/observation/community and stakeholder engagement </t>
        </is>
      </c>
      <c r="L708" t="b">
        <v>1</v>
      </c>
      <c r="M708" t="inlineStr">
        <is>
          <t>Billed at a Fixed price</t>
        </is>
      </c>
      <c r="N708" s="6">
        <f>IF(B708="","",IF(ISNUMBER(B708),TEXT(B708,"YYYY-MM"),LEFT(B708,7)))</f>
        <v/>
      </c>
    </row>
    <row r="709">
      <c r="A709" t="inlineStr">
        <is>
          <t>Afua Serwah Akoto Prempeh</t>
        </is>
      </c>
      <c r="B709" s="4" t="n">
        <v>46150</v>
      </c>
      <c r="C709" t="inlineStr">
        <is>
          <t>/</t>
        </is>
      </c>
      <c r="D709" t="inlineStr">
        <is>
          <t>Afua Serwah Akoto Prempeh</t>
        </is>
      </c>
      <c r="E709" t="inlineStr">
        <is>
          <t>Afua Serwah Akoto Prempeh</t>
        </is>
      </c>
      <c r="F709" s="5" t="n">
        <v>46188.49974537037</v>
      </c>
      <c r="H709" t="inlineStr">
        <is>
          <t>Non-Billable Tasks</t>
        </is>
      </c>
      <c r="I709" t="n">
        <v>3</v>
      </c>
      <c r="L709" t="b">
        <v>0</v>
      </c>
      <c r="M709" t="inlineStr">
        <is>
          <t>Non-Billable</t>
        </is>
      </c>
      <c r="N709" s="6">
        <f>IF(B709="","",IF(ISNUMBER(B709),TEXT(B709,"YYYY-MM"),LEFT(B709,7)))</f>
        <v/>
      </c>
    </row>
    <row r="710">
      <c r="A710" t="inlineStr">
        <is>
          <t>Afua Serwah Akoto Prempeh</t>
        </is>
      </c>
      <c r="B710" s="4" t="n">
        <v>46150</v>
      </c>
      <c r="C710" t="inlineStr">
        <is>
          <t>/</t>
        </is>
      </c>
      <c r="D710" t="inlineStr">
        <is>
          <t>Afua Serwah Akoto Prempeh</t>
        </is>
      </c>
      <c r="E710" t="inlineStr">
        <is>
          <t>Afua Serwah Akoto Prempeh</t>
        </is>
      </c>
      <c r="F710" s="5" t="n">
        <v>46188.49969907408</v>
      </c>
      <c r="H710" t="inlineStr">
        <is>
          <t>Non-Billable Tasks</t>
        </is>
      </c>
      <c r="I710" t="n">
        <v>3</v>
      </c>
      <c r="K710" t="inlineStr">
        <is>
          <t>Staff Meetings (Quartely Staff Meetings, Adhoc meetings, Welfare)</t>
        </is>
      </c>
      <c r="L710" t="b">
        <v>0</v>
      </c>
      <c r="M710" t="inlineStr">
        <is>
          <t>Non-Billable</t>
        </is>
      </c>
      <c r="N710" s="6">
        <f>IF(B710="","",IF(ISNUMBER(B710),TEXT(B710,"YYYY-MM"),LEFT(B710,7)))</f>
        <v/>
      </c>
    </row>
    <row r="711">
      <c r="A711" t="inlineStr">
        <is>
          <t>Afua Serwah Akoto Prempeh</t>
        </is>
      </c>
      <c r="B711" s="4" t="n">
        <v>46150</v>
      </c>
      <c r="C711" t="inlineStr">
        <is>
          <t>/</t>
        </is>
      </c>
      <c r="D711" t="inlineStr">
        <is>
          <t>Afua Serwah Akoto Prempeh</t>
        </is>
      </c>
      <c r="E711" t="inlineStr">
        <is>
          <t>Afua Serwah Akoto Prempeh</t>
        </is>
      </c>
      <c r="F711" s="5" t="n">
        <v>46188.43601851852</v>
      </c>
      <c r="H711" t="inlineStr">
        <is>
          <t>Business and Project Management Training</t>
        </is>
      </c>
      <c r="I711" t="n">
        <v>2</v>
      </c>
      <c r="L711" t="b">
        <v>1</v>
      </c>
      <c r="M711" t="inlineStr">
        <is>
          <t>Non-Billable</t>
        </is>
      </c>
      <c r="N711" s="6">
        <f>IF(B711="","",IF(ISNUMBER(B711),TEXT(B711,"YYYY-MM"),LEFT(B711,7)))</f>
        <v/>
      </c>
    </row>
    <row r="712">
      <c r="A712" t="inlineStr">
        <is>
          <t>Clement Obeng-Manu</t>
        </is>
      </c>
      <c r="B712" s="4" t="n">
        <v>46150</v>
      </c>
      <c r="C712" t="inlineStr">
        <is>
          <t>/</t>
        </is>
      </c>
      <c r="D712" t="inlineStr">
        <is>
          <t>Clement Obeng-Manu</t>
        </is>
      </c>
      <c r="E712" t="inlineStr">
        <is>
          <t>Clement Obeng-Manu</t>
        </is>
      </c>
      <c r="F712" s="5" t="n">
        <v>46173.76109953703</v>
      </c>
      <c r="H712" t="inlineStr">
        <is>
          <t>PCGH793</t>
        </is>
      </c>
      <c r="I712" t="n">
        <v>8</v>
      </c>
      <c r="J712" t="inlineStr">
        <is>
          <t>PCGH793 - Desk Study (3) (Okeosisi Jonathan)</t>
        </is>
      </c>
      <c r="L712" t="b">
        <v>1</v>
      </c>
      <c r="M712" t="inlineStr">
        <is>
          <t>Billed at a Fixed price</t>
        </is>
      </c>
      <c r="N712" s="6">
        <f>IF(B712="","",IF(ISNUMBER(B712),TEXT(B712,"YYYY-MM"),LEFT(B712,7)))</f>
        <v/>
      </c>
    </row>
    <row r="713">
      <c r="A713" t="inlineStr">
        <is>
          <t>Helena Tetteh</t>
        </is>
      </c>
      <c r="B713" s="4" t="n">
        <v>46150</v>
      </c>
      <c r="C713" t="inlineStr">
        <is>
          <t>/</t>
        </is>
      </c>
      <c r="D713" t="inlineStr">
        <is>
          <t xml:space="preserve">Helena Tetteh </t>
        </is>
      </c>
      <c r="E713" t="inlineStr">
        <is>
          <t>Helena Tetteh</t>
        </is>
      </c>
      <c r="F713" s="5" t="n">
        <v>46168.44399305555</v>
      </c>
      <c r="H713" t="inlineStr">
        <is>
          <t>Non-Billable Tasks</t>
        </is>
      </c>
      <c r="I713" t="n">
        <v>8</v>
      </c>
      <c r="K713" t="inlineStr">
        <is>
          <t>Professional development and Knowledge sharing(training,global knowledge calls,exchange weeks)</t>
        </is>
      </c>
      <c r="L713" t="b">
        <v>0</v>
      </c>
      <c r="M713" t="inlineStr">
        <is>
          <t>Non-Billable</t>
        </is>
      </c>
      <c r="N713" s="6">
        <f>IF(B713="","",IF(ISNUMBER(B713),TEXT(B713,"YYYY-MM"),LEFT(B713,7)))</f>
        <v/>
      </c>
    </row>
    <row r="714">
      <c r="A714" t="inlineStr">
        <is>
          <t>Ekow Nyamekye Tawiah</t>
        </is>
      </c>
      <c r="B714" s="4" t="n">
        <v>46150</v>
      </c>
      <c r="C714" t="inlineStr">
        <is>
          <t>/</t>
        </is>
      </c>
      <c r="D714" t="inlineStr">
        <is>
          <t>Ekow Nyamekye Tawiah</t>
        </is>
      </c>
      <c r="E714" t="inlineStr">
        <is>
          <t>Ekow Nyamekye Tawiah</t>
        </is>
      </c>
      <c r="F714" s="5" t="n">
        <v>46162.8778125</v>
      </c>
      <c r="H714" t="inlineStr">
        <is>
          <t>Non-Billable Tasks</t>
        </is>
      </c>
      <c r="I714" t="n">
        <v>4</v>
      </c>
      <c r="K714" t="inlineStr">
        <is>
          <t>Leave</t>
        </is>
      </c>
      <c r="L714" t="b">
        <v>0</v>
      </c>
      <c r="M714" t="inlineStr">
        <is>
          <t>Non-Billable</t>
        </is>
      </c>
      <c r="N714" s="6">
        <f>IF(B714="","",IF(ISNUMBER(B714),TEXT(B714,"YYYY-MM"),LEFT(B714,7)))</f>
        <v/>
      </c>
    </row>
    <row r="715">
      <c r="A715" t="inlineStr">
        <is>
          <t>James Parker Mckeown</t>
        </is>
      </c>
      <c r="B715" s="4" t="n">
        <v>46150</v>
      </c>
      <c r="C715" t="inlineStr">
        <is>
          <t xml:space="preserve">Filipe-James: catch up on Nitrian Livelihoods </t>
        </is>
      </c>
      <c r="D715" t="inlineStr">
        <is>
          <t>James Parker Mckeown</t>
        </is>
      </c>
      <c r="E715" t="inlineStr">
        <is>
          <t>James Parker Mckeown</t>
        </is>
      </c>
      <c r="F715" s="5" t="n">
        <v>46162.83655092592</v>
      </c>
      <c r="H715" t="inlineStr">
        <is>
          <t>PCGH762 - GVL HCSA Restoration Project</t>
        </is>
      </c>
      <c r="I715" t="n">
        <v>1</v>
      </c>
      <c r="K715" t="inlineStr">
        <is>
          <t>Baseline Socio-Economic &amp; Environmental Surveys</t>
        </is>
      </c>
      <c r="L715" t="b">
        <v>1</v>
      </c>
      <c r="M715" t="inlineStr">
        <is>
          <t>Non-Billable</t>
        </is>
      </c>
      <c r="N715" s="6">
        <f>IF(B715="","",IF(ISNUMBER(B715),TEXT(B715,"YYYY-MM"),LEFT(B715,7)))</f>
        <v/>
      </c>
    </row>
    <row r="716">
      <c r="A716" t="inlineStr">
        <is>
          <t>James Parker Mckeown</t>
        </is>
      </c>
      <c r="B716" s="4" t="n">
        <v>46150</v>
      </c>
      <c r="C716" t="inlineStr">
        <is>
          <t>/</t>
        </is>
      </c>
      <c r="D716" t="inlineStr">
        <is>
          <t>James Parker Mckeown</t>
        </is>
      </c>
      <c r="E716" t="inlineStr">
        <is>
          <t>James Parker Mckeown</t>
        </is>
      </c>
      <c r="F716" s="5" t="n">
        <v>46162.8242824074</v>
      </c>
      <c r="H716" t="inlineStr">
        <is>
          <t>PCGH762 - GVL HCSA Restoration Project</t>
        </is>
      </c>
      <c r="I716" t="n">
        <v>1.5</v>
      </c>
      <c r="J716" t="inlineStr">
        <is>
          <t>PCGH762 - Desk Review, Stakeholder Mapping &amp; Analysis and Engagement (Golden Veroleum Liberia)</t>
        </is>
      </c>
      <c r="L716" t="b">
        <v>1</v>
      </c>
      <c r="M716" t="inlineStr">
        <is>
          <t>Billed at a Fixed price</t>
        </is>
      </c>
      <c r="N716" s="6">
        <f>IF(B716="","",IF(ISNUMBER(B716),TEXT(B716,"YYYY-MM"),LEFT(B716,7)))</f>
        <v/>
      </c>
    </row>
    <row r="717">
      <c r="A717" t="inlineStr">
        <is>
          <t>James Parker Mckeown</t>
        </is>
      </c>
      <c r="B717" s="4" t="n">
        <v>46150</v>
      </c>
      <c r="C717" t="inlineStr">
        <is>
          <t xml:space="preserve">Y1 Q3 Reporting </t>
        </is>
      </c>
      <c r="D717" t="inlineStr">
        <is>
          <t>James Parker Mckeown</t>
        </is>
      </c>
      <c r="E717" t="inlineStr">
        <is>
          <t>James Parker Mckeown</t>
        </is>
      </c>
      <c r="F717" s="5" t="n">
        <v>46162.82393518519</v>
      </c>
      <c r="H717" t="inlineStr">
        <is>
          <t>PCGH762 - GVL HCSA Restoration Project</t>
        </is>
      </c>
      <c r="I717" t="n">
        <v>3</v>
      </c>
      <c r="K717" t="inlineStr">
        <is>
          <t>Development and Implementation of MEL Framework</t>
        </is>
      </c>
      <c r="L717" t="b">
        <v>1</v>
      </c>
      <c r="M717" t="inlineStr">
        <is>
          <t>Non-Billable</t>
        </is>
      </c>
      <c r="N717" s="6">
        <f>IF(B717="","",IF(ISNUMBER(B717),TEXT(B717,"YYYY-MM"),LEFT(B717,7)))</f>
        <v/>
      </c>
    </row>
    <row r="718">
      <c r="A718" t="inlineStr">
        <is>
          <t>James Parker Mckeown</t>
        </is>
      </c>
      <c r="B718" s="4" t="n">
        <v>46150</v>
      </c>
      <c r="C718" t="inlineStr">
        <is>
          <t>FGMC Budget Revision</t>
        </is>
      </c>
      <c r="D718" t="inlineStr">
        <is>
          <t>James Parker Mckeown</t>
        </is>
      </c>
      <c r="E718" t="inlineStr">
        <is>
          <t>James Parker Mckeown</t>
        </is>
      </c>
      <c r="F718" s="5" t="n">
        <v>46162.82304398148</v>
      </c>
      <c r="G718" t="inlineStr">
        <is>
          <t>Output 4</t>
        </is>
      </c>
      <c r="H718" t="inlineStr">
        <is>
          <t>P23AC00C00 - FGMC</t>
        </is>
      </c>
      <c r="I718" t="n">
        <v>3</v>
      </c>
      <c r="K718" t="inlineStr">
        <is>
          <t>P23AC03A00 - Project Management</t>
        </is>
      </c>
      <c r="L718" t="b">
        <v>0</v>
      </c>
      <c r="M718" t="inlineStr">
        <is>
          <t>Non-Billable</t>
        </is>
      </c>
      <c r="N718" s="6">
        <f>IF(B718="","",IF(ISNUMBER(B718),TEXT(B718,"YYYY-MM"),LEFT(B718,7)))</f>
        <v/>
      </c>
    </row>
    <row r="719">
      <c r="A719" t="inlineStr">
        <is>
          <t>Patricia Offei</t>
        </is>
      </c>
      <c r="B719" s="4" t="n">
        <v>46150</v>
      </c>
      <c r="C719" t="inlineStr">
        <is>
          <t>/</t>
        </is>
      </c>
      <c r="D719" t="inlineStr">
        <is>
          <t>Patricia Offei</t>
        </is>
      </c>
      <c r="E719" t="inlineStr">
        <is>
          <t>Patricia Offei</t>
        </is>
      </c>
      <c r="F719" s="5" t="n">
        <v>46162.60211805555</v>
      </c>
      <c r="H719" t="inlineStr">
        <is>
          <t>PCGH779 - Cote d'Ivoire）</t>
        </is>
      </c>
      <c r="I719" t="n">
        <v>8</v>
      </c>
      <c r="J719" t="inlineStr">
        <is>
          <t>PCGH779 - Tree Planting Project (3) (Proforest Limited(PCUK GBP))</t>
        </is>
      </c>
      <c r="L719" t="b">
        <v>1</v>
      </c>
      <c r="M719" t="inlineStr">
        <is>
          <t>Billed at a Fixed price</t>
        </is>
      </c>
      <c r="N719" s="6">
        <f>IF(B719="","",IF(ISNUMBER(B719),TEXT(B719,"YYYY-MM"),LEFT(B719,7)))</f>
        <v/>
      </c>
    </row>
    <row r="720">
      <c r="A720" t="inlineStr">
        <is>
          <t>Kwadwo Baniako Nti</t>
        </is>
      </c>
      <c r="B720" s="4" t="n">
        <v>46150</v>
      </c>
      <c r="C720" t="inlineStr">
        <is>
          <t>/</t>
        </is>
      </c>
      <c r="D720" t="inlineStr">
        <is>
          <t>Kwadwo Baniako Nti</t>
        </is>
      </c>
      <c r="E720" t="inlineStr">
        <is>
          <t>Kwadwo Baniako Nti</t>
        </is>
      </c>
      <c r="F720" s="5" t="n">
        <v>46161.80167824074</v>
      </c>
      <c r="G720" t="inlineStr">
        <is>
          <t>Training and Capacity Building</t>
        </is>
      </c>
      <c r="H720" t="inlineStr">
        <is>
          <t>PCGH762 - GVL HCSA Restoration Project</t>
        </is>
      </c>
      <c r="I720" t="n">
        <v>0</v>
      </c>
      <c r="J720" t="inlineStr">
        <is>
          <t>PCGH762 - Training and Capacity Building (Golden Veroleum Liberia)</t>
        </is>
      </c>
      <c r="K720" t="inlineStr">
        <is>
          <t>Training and Capacity Building</t>
        </is>
      </c>
      <c r="L720" t="b">
        <v>1</v>
      </c>
      <c r="M720" t="inlineStr">
        <is>
          <t>Billed at a Fixed price</t>
        </is>
      </c>
      <c r="N720" s="6">
        <f>IF(B720="","",IF(ISNUMBER(B720),TEXT(B720,"YYYY-MM"),LEFT(B720,7)))</f>
        <v/>
      </c>
    </row>
    <row r="721">
      <c r="A721" t="inlineStr">
        <is>
          <t>Kwadwo Baniako Nti</t>
        </is>
      </c>
      <c r="B721" s="4" t="n">
        <v>46150</v>
      </c>
      <c r="C721" t="inlineStr">
        <is>
          <t>/</t>
        </is>
      </c>
      <c r="D721" t="inlineStr">
        <is>
          <t>Kwadwo Baniako Nti</t>
        </is>
      </c>
      <c r="E721" t="inlineStr">
        <is>
          <t>Kwadwo Baniako Nti</t>
        </is>
      </c>
      <c r="F721" s="5" t="n">
        <v>46161.80170138889</v>
      </c>
      <c r="G721" t="inlineStr">
        <is>
          <t>PCGH786 - Site Assessment (3)</t>
        </is>
      </c>
      <c r="H721" t="inlineStr">
        <is>
          <t>PCGH786 - Impact Level Baseline assessment for FGMC</t>
        </is>
      </c>
      <c r="I721" t="n">
        <v>8</v>
      </c>
      <c r="J721" t="inlineStr">
        <is>
          <t>PCGH786 - Site Assessment (3) (NIRAS Group (UK) Ltd)</t>
        </is>
      </c>
      <c r="K721" t="inlineStr">
        <is>
          <t>Site Assessment</t>
        </is>
      </c>
      <c r="L721" t="b">
        <v>1</v>
      </c>
      <c r="M721" t="inlineStr">
        <is>
          <t>Billed at a Fixed price</t>
        </is>
      </c>
      <c r="N721" s="6">
        <f>IF(B721="","",IF(ISNUMBER(B721),TEXT(B721,"YYYY-MM"),LEFT(B721,7)))</f>
        <v/>
      </c>
    </row>
    <row r="722">
      <c r="A722" t="inlineStr">
        <is>
          <t>Louis Defo</t>
        </is>
      </c>
      <c r="B722" s="4" t="n">
        <v>46150</v>
      </c>
      <c r="C722" t="inlineStr">
        <is>
          <t>/</t>
        </is>
      </c>
      <c r="D722" t="inlineStr">
        <is>
          <t>Louis Defo</t>
        </is>
      </c>
      <c r="E722" t="inlineStr">
        <is>
          <t>Louis Defo</t>
        </is>
      </c>
      <c r="F722" s="5" t="n">
        <v>46161.34814814815</v>
      </c>
      <c r="H722" t="inlineStr">
        <is>
          <t>PCGH787</t>
        </is>
      </c>
      <c r="I722" t="n">
        <v>8</v>
      </c>
      <c r="J722" t="inlineStr">
        <is>
          <t>PCGH787 - Desk Study (3) (Proforest Limited(PCUK GBP))</t>
        </is>
      </c>
      <c r="L722" t="b">
        <v>1</v>
      </c>
      <c r="M722" t="inlineStr">
        <is>
          <t>Billed at a Fixed price</t>
        </is>
      </c>
      <c r="N722" s="6">
        <f>IF(B722="","",IF(ISNUMBER(B722),TEXT(B722,"YYYY-MM"),LEFT(B722,7)))</f>
        <v/>
      </c>
    </row>
    <row r="723">
      <c r="A723" t="inlineStr">
        <is>
          <t>Frederick Antwi</t>
        </is>
      </c>
      <c r="B723" s="4" t="n">
        <v>46150</v>
      </c>
      <c r="C723" t="inlineStr">
        <is>
          <t>/</t>
        </is>
      </c>
      <c r="D723" t="inlineStr">
        <is>
          <t>Frederick Antwi</t>
        </is>
      </c>
      <c r="E723" t="inlineStr">
        <is>
          <t>Frederick Antwi</t>
        </is>
      </c>
      <c r="F723" s="5" t="n">
        <v>46160.64172453704</v>
      </c>
      <c r="H723" t="inlineStr">
        <is>
          <t>P13PC00A00 - Private Sector Companies</t>
        </is>
      </c>
      <c r="I723" t="n">
        <v>8</v>
      </c>
      <c r="L723" t="b">
        <v>0</v>
      </c>
      <c r="M723" t="inlineStr">
        <is>
          <t>Non-Billable</t>
        </is>
      </c>
      <c r="N723" s="6">
        <f>IF(B723="","",IF(ISNUMBER(B723),TEXT(B723,"YYYY-MM"),LEFT(B723,7)))</f>
        <v/>
      </c>
    </row>
    <row r="724">
      <c r="A724" t="inlineStr">
        <is>
          <t>Augustus Asamoah</t>
        </is>
      </c>
      <c r="B724" s="4" t="n">
        <v>46150</v>
      </c>
      <c r="C724" t="inlineStr">
        <is>
          <t>/</t>
        </is>
      </c>
      <c r="D724" t="inlineStr">
        <is>
          <t>Augustus Asamoah</t>
        </is>
      </c>
      <c r="E724" t="inlineStr">
        <is>
          <t>Augustus Asamoah</t>
        </is>
      </c>
      <c r="F724" s="5" t="n">
        <v>46156.70283564815</v>
      </c>
      <c r="H724" t="inlineStr">
        <is>
          <t>PCGH784</t>
        </is>
      </c>
      <c r="I724" t="n">
        <v>4</v>
      </c>
      <c r="J724" t="inlineStr">
        <is>
          <t>PCGH784 - Desk Study (3) (Okeosisi Jonathan)</t>
        </is>
      </c>
      <c r="L724" t="b">
        <v>1</v>
      </c>
      <c r="M724" t="inlineStr">
        <is>
          <t>Billed at a Fixed price</t>
        </is>
      </c>
      <c r="N724" s="6">
        <f>IF(B724="","",IF(ISNUMBER(B724),TEXT(B724,"YYYY-MM"),LEFT(B724,7)))</f>
        <v/>
      </c>
    </row>
    <row r="725">
      <c r="A725" t="inlineStr">
        <is>
          <t>Augustus Asamoah</t>
        </is>
      </c>
      <c r="B725" s="4" t="n">
        <v>46150</v>
      </c>
      <c r="C725" t="inlineStr">
        <is>
          <t>/</t>
        </is>
      </c>
      <c r="D725" t="inlineStr">
        <is>
          <t>Augustus Asamoah</t>
        </is>
      </c>
      <c r="E725" t="inlineStr">
        <is>
          <t>Augustus Asamoah</t>
        </is>
      </c>
      <c r="F725" s="5" t="n">
        <v>46156.70289351852</v>
      </c>
      <c r="H725" t="inlineStr">
        <is>
          <t>P13QC00A00 - EFI Programme</t>
        </is>
      </c>
      <c r="I725" t="n">
        <v>0</v>
      </c>
      <c r="L725" t="b">
        <v>0</v>
      </c>
      <c r="M725" t="inlineStr">
        <is>
          <t>Non-Billable</t>
        </is>
      </c>
      <c r="N725" s="6">
        <f>IF(B725="","",IF(ISNUMBER(B725),TEXT(B725,"YYYY-MM"),LEFT(B725,7)))</f>
        <v/>
      </c>
    </row>
    <row r="726">
      <c r="A726" t="inlineStr">
        <is>
          <t>Augustus Asamoah</t>
        </is>
      </c>
      <c r="B726" s="4" t="n">
        <v>46150</v>
      </c>
      <c r="C726" t="inlineStr">
        <is>
          <t>/</t>
        </is>
      </c>
      <c r="D726" t="inlineStr">
        <is>
          <t>Augustus Asamoah</t>
        </is>
      </c>
      <c r="E726" t="inlineStr">
        <is>
          <t>Augustus Asamoah</t>
        </is>
      </c>
      <c r="F726" s="5" t="n">
        <v>46156.70296296296</v>
      </c>
      <c r="H726" t="inlineStr">
        <is>
          <t>P13PC00A00 - Private Sector Companies</t>
        </is>
      </c>
      <c r="I726" t="n">
        <v>1</v>
      </c>
      <c r="L726" t="b">
        <v>0</v>
      </c>
      <c r="M726" t="inlineStr">
        <is>
          <t>Non-Billable</t>
        </is>
      </c>
      <c r="N726" s="6">
        <f>IF(B726="","",IF(ISNUMBER(B726),TEXT(B726,"YYYY-MM"),LEFT(B726,7)))</f>
        <v/>
      </c>
    </row>
    <row r="727">
      <c r="A727" t="inlineStr">
        <is>
          <t>Augustus Asamoah</t>
        </is>
      </c>
      <c r="B727" s="4" t="n">
        <v>46150</v>
      </c>
      <c r="C727" t="inlineStr">
        <is>
          <t>/</t>
        </is>
      </c>
      <c r="D727" t="inlineStr">
        <is>
          <t>Augustus Asamoah</t>
        </is>
      </c>
      <c r="E727" t="inlineStr">
        <is>
          <t>Augustus Asamoah</t>
        </is>
      </c>
      <c r="F727" s="5" t="n">
        <v>46156.70158564814</v>
      </c>
      <c r="H727" t="inlineStr">
        <is>
          <t>P13NC00A00 - WALMART II</t>
        </is>
      </c>
      <c r="I727" t="n">
        <v>3</v>
      </c>
      <c r="L727" t="b">
        <v>0</v>
      </c>
      <c r="M727" t="inlineStr">
        <is>
          <t>Non-Billable</t>
        </is>
      </c>
      <c r="N727" s="6">
        <f>IF(B727="","",IF(ISNUMBER(B727),TEXT(B727,"YYYY-MM"),LEFT(B727,7)))</f>
        <v/>
      </c>
    </row>
    <row r="728">
      <c r="A728" t="inlineStr">
        <is>
          <t>Soro TCHEREGNIMIN</t>
        </is>
      </c>
      <c r="B728" s="4" t="n">
        <v>46150</v>
      </c>
      <c r="C728" t="inlineStr">
        <is>
          <t>/</t>
        </is>
      </c>
      <c r="D728" t="inlineStr">
        <is>
          <t>Soro TCHEREGNIMIN</t>
        </is>
      </c>
      <c r="E728" t="inlineStr">
        <is>
          <t>Michael Anim</t>
        </is>
      </c>
      <c r="F728" s="5" t="n">
        <v>46163.53006944444</v>
      </c>
      <c r="H728" t="inlineStr">
        <is>
          <t>PCGH779 - Cote d'Ivoire）</t>
        </is>
      </c>
      <c r="I728" t="n">
        <v>8</v>
      </c>
      <c r="J728" t="inlineStr">
        <is>
          <t>PCGH779 - Tree Planting Project (3) (Proforest Limited(PCUK GBP))</t>
        </is>
      </c>
      <c r="L728" t="b">
        <v>1</v>
      </c>
      <c r="M728" t="inlineStr">
        <is>
          <t>Billed at a Fixed price</t>
        </is>
      </c>
      <c r="N728" s="6">
        <f>IF(B728="","",IF(ISNUMBER(B728),TEXT(B728,"YYYY-MM"),LEFT(B728,7)))</f>
        <v/>
      </c>
    </row>
    <row r="729">
      <c r="A729" t="inlineStr">
        <is>
          <t>Stephen Doso</t>
        </is>
      </c>
      <c r="B729" s="4" t="n">
        <v>46150</v>
      </c>
      <c r="C729" t="inlineStr">
        <is>
          <t>/</t>
        </is>
      </c>
      <c r="D729" t="inlineStr">
        <is>
          <t>Stephen Doso</t>
        </is>
      </c>
      <c r="E729" t="inlineStr">
        <is>
          <t>OdooBot</t>
        </is>
      </c>
      <c r="F729" s="5" t="n">
        <v>46154.70721064815</v>
      </c>
      <c r="H729" t="inlineStr">
        <is>
          <t>Non-Billable Tasks</t>
        </is>
      </c>
      <c r="I729" t="n">
        <v>8</v>
      </c>
      <c r="K729" t="inlineStr">
        <is>
          <t>Professional development and Knowledge sharing(training,global knowledge calls,exchange weeks)</t>
        </is>
      </c>
      <c r="L729" t="b">
        <v>0</v>
      </c>
      <c r="M729" t="inlineStr">
        <is>
          <t>Non-Billable</t>
        </is>
      </c>
      <c r="N729" s="6">
        <f>IF(B729="","",IF(ISNUMBER(B729),TEXT(B729,"YYYY-MM"),LEFT(B729,7)))</f>
        <v/>
      </c>
    </row>
    <row r="730">
      <c r="A730" t="inlineStr">
        <is>
          <t>Abel Ansu</t>
        </is>
      </c>
      <c r="B730" s="4" t="n">
        <v>46150</v>
      </c>
      <c r="C730" t="inlineStr">
        <is>
          <t xml:space="preserve">Monitored the lining and pegging of the Bia Shelter reserve at Biaso. Also picked coordinates of cleared area. </t>
        </is>
      </c>
      <c r="D730" t="inlineStr">
        <is>
          <t>Abel Ansu</t>
        </is>
      </c>
      <c r="E730" t="inlineStr">
        <is>
          <t>OdooBot</t>
        </is>
      </c>
      <c r="F730" s="5" t="n">
        <v>46154.70721064815</v>
      </c>
      <c r="H730" t="inlineStr">
        <is>
          <t>Internal</t>
        </is>
      </c>
      <c r="I730" t="n">
        <v>8</v>
      </c>
      <c r="K730" t="inlineStr">
        <is>
          <t>Monitored lining and pegging team for MTS</t>
        </is>
      </c>
      <c r="L730" t="b">
        <v>0</v>
      </c>
      <c r="M730" t="inlineStr">
        <is>
          <t>Non-Billable</t>
        </is>
      </c>
      <c r="N730" s="6">
        <f>IF(B730="","",IF(ISNUMBER(B730),TEXT(B730,"YYYY-MM"),LEFT(B730,7)))</f>
        <v/>
      </c>
    </row>
    <row r="731">
      <c r="A731" t="inlineStr">
        <is>
          <t>Daleba Bernard Kpenahi Raymond</t>
        </is>
      </c>
      <c r="B731" s="4" t="n">
        <v>46150</v>
      </c>
      <c r="C731" t="inlineStr">
        <is>
          <t>/</t>
        </is>
      </c>
      <c r="D731" t="inlineStr">
        <is>
          <t>Daleba Bernard Kpenahi Raymond</t>
        </is>
      </c>
      <c r="E731" t="inlineStr">
        <is>
          <t>Michael Anim</t>
        </is>
      </c>
      <c r="F731" s="5" t="n">
        <v>46163.53009259259</v>
      </c>
      <c r="H731" t="inlineStr">
        <is>
          <t>PCGH779 - Cote d'Ivoire）</t>
        </is>
      </c>
      <c r="I731" t="n">
        <v>8</v>
      </c>
      <c r="J731" t="inlineStr">
        <is>
          <t>PCGH779 - Tree Planting Project (3) (Proforest Limited(PCUK GBP))</t>
        </is>
      </c>
      <c r="L731" t="b">
        <v>1</v>
      </c>
      <c r="M731" t="inlineStr">
        <is>
          <t>Billed at a Fixed price</t>
        </is>
      </c>
      <c r="N731" s="6">
        <f>IF(B731="","",IF(ISNUMBER(B731),TEXT(B731,"YYYY-MM"),LEFT(B731,7)))</f>
        <v/>
      </c>
    </row>
    <row r="732">
      <c r="A732" t="inlineStr">
        <is>
          <t>Afua Serwah Akoto Prempeh</t>
        </is>
      </c>
      <c r="B732" s="4" t="n">
        <v>46149</v>
      </c>
      <c r="C732" t="inlineStr">
        <is>
          <t>/</t>
        </is>
      </c>
      <c r="D732" t="inlineStr">
        <is>
          <t>Afua Serwah Akoto Prempeh</t>
        </is>
      </c>
      <c r="E732" t="inlineStr">
        <is>
          <t>Afua Serwah Akoto Prempeh</t>
        </is>
      </c>
      <c r="F732" s="5" t="n">
        <v>46188.49951388889</v>
      </c>
      <c r="H732" t="inlineStr">
        <is>
          <t>Non-Billable Tasks</t>
        </is>
      </c>
      <c r="I732" t="n">
        <v>4</v>
      </c>
      <c r="L732" t="b">
        <v>0</v>
      </c>
      <c r="M732" t="inlineStr">
        <is>
          <t>Non-Billable</t>
        </is>
      </c>
      <c r="N732" s="6">
        <f>IF(B732="","",IF(ISNUMBER(B732),TEXT(B732,"YYYY-MM"),LEFT(B732,7)))</f>
        <v/>
      </c>
    </row>
    <row r="733">
      <c r="A733" t="inlineStr">
        <is>
          <t>Afua Serwah Akoto Prempeh</t>
        </is>
      </c>
      <c r="B733" s="4" t="n">
        <v>46149</v>
      </c>
      <c r="C733" t="inlineStr">
        <is>
          <t>/</t>
        </is>
      </c>
      <c r="D733" t="inlineStr">
        <is>
          <t>Afua Serwah Akoto Prempeh</t>
        </is>
      </c>
      <c r="E733" t="inlineStr">
        <is>
          <t>Afua Serwah Akoto Prempeh</t>
        </is>
      </c>
      <c r="F733" s="5" t="n">
        <v>46188.43596064814</v>
      </c>
      <c r="H733" t="inlineStr">
        <is>
          <t>Business and Project Management Training</t>
        </is>
      </c>
      <c r="I733" t="n">
        <v>4</v>
      </c>
      <c r="L733" t="b">
        <v>1</v>
      </c>
      <c r="M733" t="inlineStr">
        <is>
          <t>Non-Billable</t>
        </is>
      </c>
      <c r="N733" s="6">
        <f>IF(B733="","",IF(ISNUMBER(B733),TEXT(B733,"YYYY-MM"),LEFT(B733,7)))</f>
        <v/>
      </c>
    </row>
    <row r="734">
      <c r="A734" t="inlineStr">
        <is>
          <t>Clement Obeng-Manu</t>
        </is>
      </c>
      <c r="B734" s="4" t="n">
        <v>46149</v>
      </c>
      <c r="C734" t="inlineStr">
        <is>
          <t>/</t>
        </is>
      </c>
      <c r="D734" t="inlineStr">
        <is>
          <t>Clement Obeng-Manu</t>
        </is>
      </c>
      <c r="E734" t="inlineStr">
        <is>
          <t>Clement Obeng-Manu</t>
        </is>
      </c>
      <c r="F734" s="5" t="n">
        <v>46173.76106481482</v>
      </c>
      <c r="H734" t="inlineStr">
        <is>
          <t>PCGH793</t>
        </is>
      </c>
      <c r="I734" t="n">
        <v>8</v>
      </c>
      <c r="J734" t="inlineStr">
        <is>
          <t>PCGH793 - Desk Study (3) (Okeosisi Jonathan)</t>
        </is>
      </c>
      <c r="L734" t="b">
        <v>1</v>
      </c>
      <c r="M734" t="inlineStr">
        <is>
          <t>Billed at a Fixed price</t>
        </is>
      </c>
      <c r="N734" s="6">
        <f>IF(B734="","",IF(ISNUMBER(B734),TEXT(B734,"YYYY-MM"),LEFT(B734,7)))</f>
        <v/>
      </c>
    </row>
    <row r="735">
      <c r="A735" t="inlineStr">
        <is>
          <t>Ekow Nyamekye Tawiah</t>
        </is>
      </c>
      <c r="B735" s="4" t="n">
        <v>46149</v>
      </c>
      <c r="C735" t="inlineStr">
        <is>
          <t>/</t>
        </is>
      </c>
      <c r="D735" t="inlineStr">
        <is>
          <t>Ekow Nyamekye Tawiah</t>
        </is>
      </c>
      <c r="E735" t="inlineStr">
        <is>
          <t>Ekow Nyamekye Tawiah</t>
        </is>
      </c>
      <c r="F735" s="5" t="n">
        <v>46162.87777777778</v>
      </c>
      <c r="H735" t="inlineStr">
        <is>
          <t>Non-Billable Tasks</t>
        </is>
      </c>
      <c r="I735" t="n">
        <v>4</v>
      </c>
      <c r="K735" t="inlineStr">
        <is>
          <t>Leave</t>
        </is>
      </c>
      <c r="L735" t="b">
        <v>0</v>
      </c>
      <c r="M735" t="inlineStr">
        <is>
          <t>Non-Billable</t>
        </is>
      </c>
      <c r="N735" s="6">
        <f>IF(B735="","",IF(ISNUMBER(B735),TEXT(B735,"YYYY-MM"),LEFT(B735,7)))</f>
        <v/>
      </c>
    </row>
    <row r="736">
      <c r="A736" t="inlineStr">
        <is>
          <t>James Parker Mckeown</t>
        </is>
      </c>
      <c r="B736" s="4" t="n">
        <v>46149</v>
      </c>
      <c r="C736" t="inlineStr">
        <is>
          <t>Catch up GVL Nitrian HCSA restoration project with Alwi</t>
        </is>
      </c>
      <c r="D736" t="inlineStr">
        <is>
          <t>James Parker Mckeown</t>
        </is>
      </c>
      <c r="E736" t="inlineStr">
        <is>
          <t>James Parker Mckeown</t>
        </is>
      </c>
      <c r="F736" s="5" t="n">
        <v>46162.82226851852</v>
      </c>
      <c r="H736" t="inlineStr">
        <is>
          <t>PCGH762 - GVL HCSA Restoration Project</t>
        </is>
      </c>
      <c r="I736" t="n">
        <v>1</v>
      </c>
      <c r="K736" t="inlineStr">
        <is>
          <t>Development and Implementation of MEL Framework</t>
        </is>
      </c>
      <c r="L736" t="b">
        <v>1</v>
      </c>
      <c r="M736" t="inlineStr">
        <is>
          <t>Non-Billable</t>
        </is>
      </c>
      <c r="N736" s="6">
        <f>IF(B736="","",IF(ISNUMBER(B736),TEXT(B736,"YYYY-MM"),LEFT(B736,7)))</f>
        <v/>
      </c>
    </row>
    <row r="737">
      <c r="A737" t="inlineStr">
        <is>
          <t>James Parker Mckeown</t>
        </is>
      </c>
      <c r="B737" s="4" t="n">
        <v>46149</v>
      </c>
      <c r="C737" t="inlineStr">
        <is>
          <t>Preparing detail FGMC year 2 activities &amp; budget</t>
        </is>
      </c>
      <c r="D737" t="inlineStr">
        <is>
          <t>James Parker Mckeown</t>
        </is>
      </c>
      <c r="E737" t="inlineStr">
        <is>
          <t>James Parker Mckeown</t>
        </is>
      </c>
      <c r="F737" s="5" t="n">
        <v>46162.82133101852</v>
      </c>
      <c r="G737" t="inlineStr">
        <is>
          <t>Output 4</t>
        </is>
      </c>
      <c r="H737" t="inlineStr">
        <is>
          <t>P23AC00C00 - FGMC</t>
        </is>
      </c>
      <c r="I737" t="n">
        <v>3</v>
      </c>
      <c r="K737" t="inlineStr">
        <is>
          <t>P23AC03A00 - Project Management</t>
        </is>
      </c>
      <c r="L737" t="b">
        <v>0</v>
      </c>
      <c r="M737" t="inlineStr">
        <is>
          <t>Non-Billable</t>
        </is>
      </c>
      <c r="N737" s="6">
        <f>IF(B737="","",IF(ISNUMBER(B737),TEXT(B737,"YYYY-MM"),LEFT(B737,7)))</f>
        <v/>
      </c>
    </row>
    <row r="738">
      <c r="A738" t="inlineStr">
        <is>
          <t>James Parker Mckeown</t>
        </is>
      </c>
      <c r="B738" s="4" t="n">
        <v>46149</v>
      </c>
      <c r="C738" t="inlineStr">
        <is>
          <t>/</t>
        </is>
      </c>
      <c r="D738" t="inlineStr">
        <is>
          <t>James Parker Mckeown</t>
        </is>
      </c>
      <c r="E738" t="inlineStr">
        <is>
          <t>James Parker Mckeown</t>
        </is>
      </c>
      <c r="F738" s="5" t="n">
        <v>46162.82053240741</v>
      </c>
      <c r="H738" t="inlineStr">
        <is>
          <t>PCGH762 - GVL HCSA Restoration Project</t>
        </is>
      </c>
      <c r="I738" t="n">
        <v>4</v>
      </c>
      <c r="J738" t="inlineStr">
        <is>
          <t>PCGH762 - Desk Review, Stakeholder Mapping &amp; Analysis and Engagement (Golden Veroleum Liberia)</t>
        </is>
      </c>
      <c r="L738" t="b">
        <v>1</v>
      </c>
      <c r="M738" t="inlineStr">
        <is>
          <t>Billed at a Fixed price</t>
        </is>
      </c>
      <c r="N738" s="6">
        <f>IF(B738="","",IF(ISNUMBER(B738),TEXT(B738,"YYYY-MM"),LEFT(B738,7)))</f>
        <v/>
      </c>
    </row>
    <row r="739">
      <c r="A739" t="inlineStr">
        <is>
          <t>Patricia Offei</t>
        </is>
      </c>
      <c r="B739" s="4" t="n">
        <v>46149</v>
      </c>
      <c r="C739" t="inlineStr">
        <is>
          <t>/</t>
        </is>
      </c>
      <c r="D739" t="inlineStr">
        <is>
          <t>Patricia Offei</t>
        </is>
      </c>
      <c r="E739" t="inlineStr">
        <is>
          <t>Patricia Offei</t>
        </is>
      </c>
      <c r="F739" s="5" t="n">
        <v>46162.60210648148</v>
      </c>
      <c r="H739" t="inlineStr">
        <is>
          <t>PCGH779 - Cote d'Ivoire）</t>
        </is>
      </c>
      <c r="I739" t="n">
        <v>8</v>
      </c>
      <c r="J739" t="inlineStr">
        <is>
          <t>PCGH779 - Tree Planting Project (3) (Proforest Limited(PCUK GBP))</t>
        </is>
      </c>
      <c r="L739" t="b">
        <v>1</v>
      </c>
      <c r="M739" t="inlineStr">
        <is>
          <t>Billed at a Fixed price</t>
        </is>
      </c>
      <c r="N739" s="6">
        <f>IF(B739="","",IF(ISNUMBER(B739),TEXT(B739,"YYYY-MM"),LEFT(B739,7)))</f>
        <v/>
      </c>
    </row>
    <row r="740">
      <c r="A740" t="inlineStr">
        <is>
          <t>Kingsley Fitz-Gerald Severine</t>
        </is>
      </c>
      <c r="B740" s="4" t="n">
        <v>46149</v>
      </c>
      <c r="C740" t="inlineStr">
        <is>
          <t>/</t>
        </is>
      </c>
      <c r="D740" t="inlineStr">
        <is>
          <t>Kingsley Fitz-Gerald Severine</t>
        </is>
      </c>
      <c r="E740" t="inlineStr">
        <is>
          <t>Kingsley Fitz-Gerald Severine</t>
        </is>
      </c>
      <c r="F740" s="5" t="n">
        <v>46162.56645833333</v>
      </c>
      <c r="G740" t="inlineStr">
        <is>
          <t>Field Visit and Data Collection</t>
        </is>
      </c>
      <c r="H740" t="inlineStr">
        <is>
          <t>PCGH785</t>
        </is>
      </c>
      <c r="I740" t="n">
        <v>4</v>
      </c>
      <c r="J740" t="inlineStr">
        <is>
          <t>PCGH785 -  Field data collection  (3) (Okeosisi Jonathan)</t>
        </is>
      </c>
      <c r="K740" t="inlineStr">
        <is>
          <t>Ground-truthing and mapping</t>
        </is>
      </c>
      <c r="L740" t="b">
        <v>1</v>
      </c>
      <c r="M740" t="inlineStr">
        <is>
          <t>Billed at a Fixed price</t>
        </is>
      </c>
      <c r="N740" s="6">
        <f>IF(B740="","",IF(ISNUMBER(B740),TEXT(B740,"YYYY-MM"),LEFT(B740,7)))</f>
        <v/>
      </c>
    </row>
    <row r="741">
      <c r="A741" t="inlineStr">
        <is>
          <t>Kingsley Fitz-Gerald Severine</t>
        </is>
      </c>
      <c r="B741" s="4" t="n">
        <v>46149</v>
      </c>
      <c r="C741" t="inlineStr">
        <is>
          <t>/</t>
        </is>
      </c>
      <c r="D741" t="inlineStr">
        <is>
          <t>Kingsley Fitz-Gerald Severine</t>
        </is>
      </c>
      <c r="E741" t="inlineStr">
        <is>
          <t>Kingsley Fitz-Gerald Severine</t>
        </is>
      </c>
      <c r="F741" s="5" t="n">
        <v>46162.56574074074</v>
      </c>
      <c r="G741" t="inlineStr">
        <is>
          <t>Preliminary land cover classification</t>
        </is>
      </c>
      <c r="H741" t="inlineStr">
        <is>
          <t>PCGH785</t>
        </is>
      </c>
      <c r="I741" t="n">
        <v>4</v>
      </c>
      <c r="J741" t="inlineStr">
        <is>
          <t>PCGH785 - GIS and Mapping (3) (Okeosisi Jonathan)</t>
        </is>
      </c>
      <c r="K741" t="inlineStr">
        <is>
          <t>GIS analysis</t>
        </is>
      </c>
      <c r="L741" t="b">
        <v>1</v>
      </c>
      <c r="M741" t="inlineStr">
        <is>
          <t>Billed at a Fixed price</t>
        </is>
      </c>
      <c r="N741" s="6">
        <f>IF(B741="","",IF(ISNUMBER(B741),TEXT(B741,"YYYY-MM"),LEFT(B741,7)))</f>
        <v/>
      </c>
    </row>
    <row r="742">
      <c r="A742" t="inlineStr">
        <is>
          <t>Kwadwo Baniako Nti</t>
        </is>
      </c>
      <c r="B742" s="4" t="n">
        <v>46149</v>
      </c>
      <c r="C742" t="inlineStr">
        <is>
          <t>/</t>
        </is>
      </c>
      <c r="D742" t="inlineStr">
        <is>
          <t>Kwadwo Baniako Nti</t>
        </is>
      </c>
      <c r="E742" t="inlineStr">
        <is>
          <t>Kwadwo Baniako Nti</t>
        </is>
      </c>
      <c r="F742" s="5" t="n">
        <v>46161.80157407407</v>
      </c>
      <c r="G742" t="inlineStr">
        <is>
          <t>Training and Capacity Building</t>
        </is>
      </c>
      <c r="H742" t="inlineStr">
        <is>
          <t>PCGH762 - GVL HCSA Restoration Project</t>
        </is>
      </c>
      <c r="I742" t="n">
        <v>4</v>
      </c>
      <c r="J742" t="inlineStr">
        <is>
          <t>PCGH762 - Training and Capacity Building (Golden Veroleum Liberia)</t>
        </is>
      </c>
      <c r="K742" t="inlineStr">
        <is>
          <t>Training and Capacity Building</t>
        </is>
      </c>
      <c r="L742" t="b">
        <v>1</v>
      </c>
      <c r="M742" t="inlineStr">
        <is>
          <t>Billed at a Fixed price</t>
        </is>
      </c>
      <c r="N742" s="6">
        <f>IF(B742="","",IF(ISNUMBER(B742),TEXT(B742,"YYYY-MM"),LEFT(B742,7)))</f>
        <v/>
      </c>
    </row>
    <row r="743">
      <c r="A743" t="inlineStr">
        <is>
          <t>Kwadwo Baniako Nti</t>
        </is>
      </c>
      <c r="B743" s="4" t="n">
        <v>46149</v>
      </c>
      <c r="C743" t="inlineStr">
        <is>
          <t>/</t>
        </is>
      </c>
      <c r="D743" t="inlineStr">
        <is>
          <t>Kwadwo Baniako Nti</t>
        </is>
      </c>
      <c r="E743" t="inlineStr">
        <is>
          <t>Kwadwo Baniako Nti</t>
        </is>
      </c>
      <c r="F743" s="5" t="n">
        <v>46161.75760416667</v>
      </c>
      <c r="G743" t="inlineStr">
        <is>
          <t>PCGH786 - Site Assessment (3)</t>
        </is>
      </c>
      <c r="H743" t="inlineStr">
        <is>
          <t>PCGH786 - Impact Level Baseline assessment for FGMC</t>
        </is>
      </c>
      <c r="I743" t="n">
        <v>4</v>
      </c>
      <c r="J743" t="inlineStr">
        <is>
          <t>PCGH786 - Site Assessment (3) (NIRAS Group (UK) Ltd)</t>
        </is>
      </c>
      <c r="K743" t="inlineStr">
        <is>
          <t>Site Assessment</t>
        </is>
      </c>
      <c r="L743" t="b">
        <v>1</v>
      </c>
      <c r="M743" t="inlineStr">
        <is>
          <t>Billed at a Fixed price</t>
        </is>
      </c>
      <c r="N743" s="6">
        <f>IF(B743="","",IF(ISNUMBER(B743),TEXT(B743,"YYYY-MM"),LEFT(B743,7)))</f>
        <v/>
      </c>
    </row>
    <row r="744">
      <c r="A744" t="inlineStr">
        <is>
          <t>Louis Defo</t>
        </is>
      </c>
      <c r="B744" s="4" t="n">
        <v>46149</v>
      </c>
      <c r="C744" t="inlineStr">
        <is>
          <t>/</t>
        </is>
      </c>
      <c r="D744" t="inlineStr">
        <is>
          <t>Louis Defo</t>
        </is>
      </c>
      <c r="E744" t="inlineStr">
        <is>
          <t>Louis Defo</t>
        </is>
      </c>
      <c r="F744" s="5" t="n">
        <v>46161.34797453704</v>
      </c>
      <c r="H744" t="inlineStr">
        <is>
          <t>PCGH787</t>
        </is>
      </c>
      <c r="I744" t="n">
        <v>8</v>
      </c>
      <c r="J744" t="inlineStr">
        <is>
          <t>PCGH787 - Desk Study (3) (Proforest Limited(PCUK GBP))</t>
        </is>
      </c>
      <c r="L744" t="b">
        <v>1</v>
      </c>
      <c r="M744" t="inlineStr">
        <is>
          <t>Billed at a Fixed price</t>
        </is>
      </c>
      <c r="N744" s="6">
        <f>IF(B744="","",IF(ISNUMBER(B744),TEXT(B744,"YYYY-MM"),LEFT(B744,7)))</f>
        <v/>
      </c>
    </row>
    <row r="745">
      <c r="A745" t="inlineStr">
        <is>
          <t>Frederick Antwi</t>
        </is>
      </c>
      <c r="B745" s="4" t="n">
        <v>46149</v>
      </c>
      <c r="C745" t="inlineStr">
        <is>
          <t>/</t>
        </is>
      </c>
      <c r="D745" t="inlineStr">
        <is>
          <t>Frederick Antwi</t>
        </is>
      </c>
      <c r="E745" t="inlineStr">
        <is>
          <t>Frederick Antwi</t>
        </is>
      </c>
      <c r="F745" s="5" t="n">
        <v>46160.6415162037</v>
      </c>
      <c r="H745" t="inlineStr">
        <is>
          <t>PCGH774 -Evaluation Deep-Dive Action Plans by Socfin Group</t>
        </is>
      </c>
      <c r="I745" t="n">
        <v>4</v>
      </c>
      <c r="J745" t="inlineStr">
        <is>
          <t>PCGH774 - Project Management (2) (Socfinco FR SA)</t>
        </is>
      </c>
      <c r="L745" t="b">
        <v>1</v>
      </c>
      <c r="M745" t="inlineStr">
        <is>
          <t>Billed at a Fixed price</t>
        </is>
      </c>
      <c r="N745" s="6">
        <f>IF(B745="","",IF(ISNUMBER(B745),TEXT(B745,"YYYY-MM"),LEFT(B745,7)))</f>
        <v/>
      </c>
    </row>
    <row r="746">
      <c r="A746" t="inlineStr">
        <is>
          <t>Frederick Antwi</t>
        </is>
      </c>
      <c r="B746" s="4" t="n">
        <v>46149</v>
      </c>
      <c r="C746" t="inlineStr">
        <is>
          <t>/</t>
        </is>
      </c>
      <c r="D746" t="inlineStr">
        <is>
          <t>Frederick Antwi</t>
        </is>
      </c>
      <c r="E746" t="inlineStr">
        <is>
          <t>Frederick Antwi</t>
        </is>
      </c>
      <c r="F746" s="5" t="n">
        <v>46160.64149305555</v>
      </c>
      <c r="H746" t="inlineStr">
        <is>
          <t>P13PC00A00 - Private Sector Companies</t>
        </is>
      </c>
      <c r="I746" t="n">
        <v>4</v>
      </c>
      <c r="L746" t="b">
        <v>0</v>
      </c>
      <c r="M746" t="inlineStr">
        <is>
          <t>Non-Billable</t>
        </is>
      </c>
      <c r="N746" s="6">
        <f>IF(B746="","",IF(ISNUMBER(B746),TEXT(B746,"YYYY-MM"),LEFT(B746,7)))</f>
        <v/>
      </c>
    </row>
    <row r="747">
      <c r="A747" t="inlineStr">
        <is>
          <t>Augustus Asamoah</t>
        </is>
      </c>
      <c r="B747" s="4" t="n">
        <v>46149</v>
      </c>
      <c r="C747" t="inlineStr">
        <is>
          <t>/</t>
        </is>
      </c>
      <c r="D747" t="inlineStr">
        <is>
          <t>Augustus Asamoah</t>
        </is>
      </c>
      <c r="E747" t="inlineStr">
        <is>
          <t>Augustus Asamoah</t>
        </is>
      </c>
      <c r="F747" s="5" t="n">
        <v>46156.70136574074</v>
      </c>
      <c r="H747" t="inlineStr">
        <is>
          <t>Non-Billable Tasks</t>
        </is>
      </c>
      <c r="I747" t="n">
        <v>2</v>
      </c>
      <c r="L747" t="b">
        <v>0</v>
      </c>
      <c r="M747" t="inlineStr">
        <is>
          <t>Non-Billable</t>
        </is>
      </c>
      <c r="N747" s="6">
        <f>IF(B747="","",IF(ISNUMBER(B747),TEXT(B747,"YYYY-MM"),LEFT(B747,7)))</f>
        <v/>
      </c>
    </row>
    <row r="748">
      <c r="A748" t="inlineStr">
        <is>
          <t>Augustus Asamoah</t>
        </is>
      </c>
      <c r="B748" s="4" t="n">
        <v>46149</v>
      </c>
      <c r="C748" t="inlineStr">
        <is>
          <t>/</t>
        </is>
      </c>
      <c r="D748" t="inlineStr">
        <is>
          <t>Augustus Asamoah</t>
        </is>
      </c>
      <c r="E748" t="inlineStr">
        <is>
          <t>Augustus Asamoah</t>
        </is>
      </c>
      <c r="F748" s="5" t="n">
        <v>46156.70096064815</v>
      </c>
      <c r="H748" t="inlineStr">
        <is>
          <t>P13PC00A00 - Private Sector Companies</t>
        </is>
      </c>
      <c r="I748" t="n">
        <v>3</v>
      </c>
      <c r="L748" t="b">
        <v>0</v>
      </c>
      <c r="M748" t="inlineStr">
        <is>
          <t>Non-Billable</t>
        </is>
      </c>
      <c r="N748" s="6">
        <f>IF(B748="","",IF(ISNUMBER(B748),TEXT(B748,"YYYY-MM"),LEFT(B748,7)))</f>
        <v/>
      </c>
    </row>
    <row r="749">
      <c r="A749" t="inlineStr">
        <is>
          <t>Augustus Asamoah</t>
        </is>
      </c>
      <c r="B749" s="4" t="n">
        <v>46149</v>
      </c>
      <c r="C749" t="inlineStr">
        <is>
          <t>/</t>
        </is>
      </c>
      <c r="D749" t="inlineStr">
        <is>
          <t>Augustus Asamoah</t>
        </is>
      </c>
      <c r="E749" t="inlineStr">
        <is>
          <t>Augustus Asamoah</t>
        </is>
      </c>
      <c r="F749" s="5" t="n">
        <v>46156.70085648148</v>
      </c>
      <c r="H749" t="inlineStr">
        <is>
          <t>P13NC00A00 - WALMART II</t>
        </is>
      </c>
      <c r="I749" t="n">
        <v>3</v>
      </c>
      <c r="L749" t="b">
        <v>0</v>
      </c>
      <c r="M749" t="inlineStr">
        <is>
          <t>Non-Billable</t>
        </is>
      </c>
      <c r="N749" s="6">
        <f>IF(B749="","",IF(ISNUMBER(B749),TEXT(B749,"YYYY-MM"),LEFT(B749,7)))</f>
        <v/>
      </c>
    </row>
    <row r="750">
      <c r="A750" t="inlineStr">
        <is>
          <t>Soro TCHEREGNIMIN</t>
        </is>
      </c>
      <c r="B750" s="4" t="n">
        <v>46149</v>
      </c>
      <c r="C750" t="inlineStr">
        <is>
          <t>/</t>
        </is>
      </c>
      <c r="D750" t="inlineStr">
        <is>
          <t>Soro TCHEREGNIMIN</t>
        </is>
      </c>
      <c r="E750" t="inlineStr">
        <is>
          <t>Michael Anim</t>
        </is>
      </c>
      <c r="F750" s="5" t="n">
        <v>46163.53013888889</v>
      </c>
      <c r="H750" t="inlineStr">
        <is>
          <t>PCGH779 - Cote d'Ivoire）</t>
        </is>
      </c>
      <c r="I750" t="n">
        <v>8</v>
      </c>
      <c r="J750" t="inlineStr">
        <is>
          <t>PCGH779 - Tree Planting Project (3) (Proforest Limited(PCUK GBP))</t>
        </is>
      </c>
      <c r="L750" t="b">
        <v>1</v>
      </c>
      <c r="M750" t="inlineStr">
        <is>
          <t>Billed at a Fixed price</t>
        </is>
      </c>
      <c r="N750" s="6">
        <f>IF(B750="","",IF(ISNUMBER(B750),TEXT(B750,"YYYY-MM"),LEFT(B750,7)))</f>
        <v/>
      </c>
    </row>
    <row r="751">
      <c r="A751" t="inlineStr">
        <is>
          <t>Helena Tetteh</t>
        </is>
      </c>
      <c r="B751" s="4" t="n">
        <v>46149</v>
      </c>
      <c r="C751" t="inlineStr">
        <is>
          <t>Mentoring/meeting with helena), In person SL checkin, meeting with helena</t>
        </is>
      </c>
      <c r="D751" t="inlineStr">
        <is>
          <t xml:space="preserve">Helena Tetteh </t>
        </is>
      </c>
      <c r="E751" t="inlineStr">
        <is>
          <t>OdooBot</t>
        </is>
      </c>
      <c r="F751" s="5" t="n">
        <v>46154.70721064815</v>
      </c>
      <c r="H751" t="inlineStr">
        <is>
          <t>Non-Billable Tasks</t>
        </is>
      </c>
      <c r="I751" t="n">
        <v>8</v>
      </c>
      <c r="K751" t="inlineStr">
        <is>
          <t>Professional development and Knowledge sharing(training,global knowledge calls,exchange weeks)</t>
        </is>
      </c>
      <c r="L751" t="b">
        <v>0</v>
      </c>
      <c r="M751" t="inlineStr">
        <is>
          <t>Non-Billable</t>
        </is>
      </c>
      <c r="N751" s="6">
        <f>IF(B751="","",IF(ISNUMBER(B751),TEXT(B751,"YYYY-MM"),LEFT(B751,7)))</f>
        <v/>
      </c>
    </row>
    <row r="752">
      <c r="A752" t="inlineStr">
        <is>
          <t>Stephen Doso</t>
        </is>
      </c>
      <c r="B752" s="4" t="n">
        <v>46149</v>
      </c>
      <c r="C752" t="inlineStr">
        <is>
          <t>/</t>
        </is>
      </c>
      <c r="D752" t="inlineStr">
        <is>
          <t>Stephen Doso</t>
        </is>
      </c>
      <c r="E752" t="inlineStr">
        <is>
          <t>OdooBot</t>
        </is>
      </c>
      <c r="F752" s="5" t="n">
        <v>46154.70721064815</v>
      </c>
      <c r="H752" t="inlineStr">
        <is>
          <t>Non-Billable Tasks</t>
        </is>
      </c>
      <c r="I752" t="n">
        <v>8</v>
      </c>
      <c r="K752" t="inlineStr">
        <is>
          <t>Professional development and Knowledge sharing(training,global knowledge calls,exchange weeks)</t>
        </is>
      </c>
      <c r="L752" t="b">
        <v>0</v>
      </c>
      <c r="M752" t="inlineStr">
        <is>
          <t>Non-Billable</t>
        </is>
      </c>
      <c r="N752" s="6">
        <f>IF(B752="","",IF(ISNUMBER(B752),TEXT(B752,"YYYY-MM"),LEFT(B752,7)))</f>
        <v/>
      </c>
    </row>
    <row r="753">
      <c r="A753" t="inlineStr">
        <is>
          <t>Abel Ansu</t>
        </is>
      </c>
      <c r="B753" s="4" t="n">
        <v>46149</v>
      </c>
      <c r="C753" t="inlineStr">
        <is>
          <t>Went to inspect and confirm goods supplied to the ongoing Asumura Rural Service Center construction. Also picked coordinates of cleared land for MTS at the Bia Tano reserve</t>
        </is>
      </c>
      <c r="D753" t="inlineStr">
        <is>
          <t>Abel Ansu</t>
        </is>
      </c>
      <c r="E753" t="inlineStr">
        <is>
          <t>OdooBot</t>
        </is>
      </c>
      <c r="F753" s="5" t="n">
        <v>46154.70721064815</v>
      </c>
      <c r="H753" t="inlineStr">
        <is>
          <t>Internal</t>
        </is>
      </c>
      <c r="I753" t="n">
        <v>8</v>
      </c>
      <c r="K753" t="inlineStr">
        <is>
          <t>Inspection of goods supplied for RSC</t>
        </is>
      </c>
      <c r="L753" t="b">
        <v>0</v>
      </c>
      <c r="M753" t="inlineStr">
        <is>
          <t>Non-Billable</t>
        </is>
      </c>
      <c r="N753" s="6">
        <f>IF(B753="","",IF(ISNUMBER(B753),TEXT(B753,"YYYY-MM"),LEFT(B753,7)))</f>
        <v/>
      </c>
    </row>
    <row r="754">
      <c r="A754" t="inlineStr">
        <is>
          <t>Daleba Bernard Kpenahi Raymond</t>
        </is>
      </c>
      <c r="B754" s="4" t="n">
        <v>46149</v>
      </c>
      <c r="C754" t="inlineStr">
        <is>
          <t>/</t>
        </is>
      </c>
      <c r="D754" t="inlineStr">
        <is>
          <t>Daleba Bernard Kpenahi Raymond</t>
        </is>
      </c>
      <c r="E754" t="inlineStr">
        <is>
          <t>Michael Anim</t>
        </is>
      </c>
      <c r="F754" s="5" t="n">
        <v>46163.53016203704</v>
      </c>
      <c r="H754" t="inlineStr">
        <is>
          <t>PCGH779 - Cote d'Ivoire）</t>
        </is>
      </c>
      <c r="I754" t="n">
        <v>8</v>
      </c>
      <c r="J754" t="inlineStr">
        <is>
          <t>PCGH779 - Tree Planting Project (3) (Proforest Limited(PCUK GBP))</t>
        </is>
      </c>
      <c r="L754" t="b">
        <v>1</v>
      </c>
      <c r="M754" t="inlineStr">
        <is>
          <t>Billed at a Fixed price</t>
        </is>
      </c>
      <c r="N754" s="6">
        <f>IF(B754="","",IF(ISNUMBER(B754),TEXT(B754,"YYYY-MM"),LEFT(B754,7)))</f>
        <v/>
      </c>
    </row>
    <row r="755">
      <c r="A755" t="inlineStr">
        <is>
          <t>Mawuse Agblobi</t>
        </is>
      </c>
      <c r="B755" s="4" t="n">
        <v>46148</v>
      </c>
      <c r="C755" t="inlineStr">
        <is>
          <t>Time Off (8/8)</t>
        </is>
      </c>
      <c r="D755" t="inlineStr">
        <is>
          <t>Augustus Asamoah</t>
        </is>
      </c>
      <c r="E755" t="inlineStr">
        <is>
          <t>Mawuse Agblobi</t>
        </is>
      </c>
      <c r="F755" s="5" t="n">
        <v>46174.89994212963</v>
      </c>
      <c r="H755" t="inlineStr">
        <is>
          <t>Internal</t>
        </is>
      </c>
      <c r="I755" t="n">
        <v>8</v>
      </c>
      <c r="K755" t="inlineStr">
        <is>
          <t>Time Off</t>
        </is>
      </c>
      <c r="L755" t="b">
        <v>0</v>
      </c>
      <c r="M755" t="inlineStr">
        <is>
          <t>Non-Billable</t>
        </is>
      </c>
      <c r="N755" s="6">
        <f>IF(B755="","",IF(ISNUMBER(B755),TEXT(B755,"YYYY-MM"),LEFT(B755,7)))</f>
        <v/>
      </c>
    </row>
    <row r="756">
      <c r="A756" t="inlineStr">
        <is>
          <t>Mawuse Agblobi</t>
        </is>
      </c>
      <c r="B756" s="4" t="n">
        <v>46148</v>
      </c>
      <c r="C756" t="inlineStr">
        <is>
          <t>Time Off (1/1)</t>
        </is>
      </c>
      <c r="D756" t="inlineStr">
        <is>
          <t>Afua Serwah Akoto Prempeh</t>
        </is>
      </c>
      <c r="E756" t="inlineStr">
        <is>
          <t>Mawuse Agblobi</t>
        </is>
      </c>
      <c r="F756" s="5" t="n">
        <v>46174.89994212963</v>
      </c>
      <c r="H756" t="inlineStr">
        <is>
          <t>Internal</t>
        </is>
      </c>
      <c r="I756" t="n">
        <v>8</v>
      </c>
      <c r="K756" t="inlineStr">
        <is>
          <t>Time Off</t>
        </is>
      </c>
      <c r="L756" t="b">
        <v>0</v>
      </c>
      <c r="M756" t="inlineStr">
        <is>
          <t>Non-Billable</t>
        </is>
      </c>
      <c r="N756" s="6">
        <f>IF(B756="","",IF(ISNUMBER(B756),TEXT(B756,"YYYY-MM"),LEFT(B756,7)))</f>
        <v/>
      </c>
    </row>
    <row r="757">
      <c r="A757" t="inlineStr">
        <is>
          <t>Clement Obeng-Manu</t>
        </is>
      </c>
      <c r="B757" s="4" t="n">
        <v>46148</v>
      </c>
      <c r="C757" t="inlineStr">
        <is>
          <t>/</t>
        </is>
      </c>
      <c r="D757" t="inlineStr">
        <is>
          <t>Clement Obeng-Manu</t>
        </is>
      </c>
      <c r="E757" t="inlineStr">
        <is>
          <t>Clement Obeng-Manu</t>
        </is>
      </c>
      <c r="F757" s="5" t="n">
        <v>46173.76629629629</v>
      </c>
      <c r="G757" t="inlineStr">
        <is>
          <t>Reporting</t>
        </is>
      </c>
      <c r="H757" t="inlineStr">
        <is>
          <t>PCGH777</t>
        </is>
      </c>
      <c r="I757" t="n">
        <v>8</v>
      </c>
      <c r="J757" t="inlineStr">
        <is>
          <t>PCGH777 - Reporting (3) (Proforest Limited(PCUK GBP))</t>
        </is>
      </c>
      <c r="K757" t="inlineStr">
        <is>
          <t>Reporting</t>
        </is>
      </c>
      <c r="L757" t="b">
        <v>1</v>
      </c>
      <c r="M757" t="inlineStr">
        <is>
          <t>Billed at a Fixed price</t>
        </is>
      </c>
      <c r="N757" s="6">
        <f>IF(B757="","",IF(ISNUMBER(B757),TEXT(B757,"YYYY-MM"),LEFT(B757,7)))</f>
        <v/>
      </c>
    </row>
    <row r="758">
      <c r="A758" t="inlineStr">
        <is>
          <t>Ekow Nyamekye Tawiah</t>
        </is>
      </c>
      <c r="B758" s="4" t="n">
        <v>46148</v>
      </c>
      <c r="C758" t="inlineStr">
        <is>
          <t>/</t>
        </is>
      </c>
      <c r="D758" t="inlineStr">
        <is>
          <t>Ekow Nyamekye Tawiah</t>
        </is>
      </c>
      <c r="E758" t="inlineStr">
        <is>
          <t>Ekow Nyamekye Tawiah</t>
        </is>
      </c>
      <c r="F758" s="5" t="n">
        <v>46162.87774305556</v>
      </c>
      <c r="H758" t="inlineStr">
        <is>
          <t>Non-Billable Tasks</t>
        </is>
      </c>
      <c r="I758" t="n">
        <v>4</v>
      </c>
      <c r="K758" t="inlineStr">
        <is>
          <t>Leave</t>
        </is>
      </c>
      <c r="L758" t="b">
        <v>0</v>
      </c>
      <c r="M758" t="inlineStr">
        <is>
          <t>Non-Billable</t>
        </is>
      </c>
      <c r="N758" s="6">
        <f>IF(B758="","",IF(ISNUMBER(B758),TEXT(B758,"YYYY-MM"),LEFT(B758,7)))</f>
        <v/>
      </c>
    </row>
    <row r="759">
      <c r="A759" t="inlineStr">
        <is>
          <t>James Parker Mckeown</t>
        </is>
      </c>
      <c r="B759" s="4" t="n">
        <v>46148</v>
      </c>
      <c r="C759" t="inlineStr">
        <is>
          <t>GVL: Meeting with Denis, Yuda, Koffi on SDI issues</t>
        </is>
      </c>
      <c r="D759" t="inlineStr">
        <is>
          <t>James Parker Mckeown</t>
        </is>
      </c>
      <c r="E759" t="inlineStr">
        <is>
          <t>James Parker Mckeown</t>
        </is>
      </c>
      <c r="F759" s="5" t="n">
        <v>46162.81987268518</v>
      </c>
      <c r="H759" t="inlineStr">
        <is>
          <t>PCGH762 - GVL HCSA Restoration Project</t>
        </is>
      </c>
      <c r="I759" t="n">
        <v>2</v>
      </c>
      <c r="J759" t="inlineStr">
        <is>
          <t>PCGH762 - Development and Implementation of MEL Framework (Golden Veroleum Liberia)</t>
        </is>
      </c>
      <c r="K759" t="inlineStr">
        <is>
          <t>Development and Implementation of MEL Framework</t>
        </is>
      </c>
      <c r="L759" t="b">
        <v>1</v>
      </c>
      <c r="M759" t="inlineStr">
        <is>
          <t>Billed at a Fixed price</t>
        </is>
      </c>
      <c r="N759" s="6">
        <f>IF(B759="","",IF(ISNUMBER(B759),TEXT(B759,"YYYY-MM"),LEFT(B759,7)))</f>
        <v/>
      </c>
    </row>
    <row r="760">
      <c r="A760" t="inlineStr">
        <is>
          <t>James Parker Mckeown</t>
        </is>
      </c>
      <c r="B760" s="4" t="n">
        <v>46148</v>
      </c>
      <c r="C760" t="inlineStr">
        <is>
          <t>LEW: Brainstorming on Institutionalization session</t>
        </is>
      </c>
      <c r="D760" t="inlineStr">
        <is>
          <t>James Parker Mckeown</t>
        </is>
      </c>
      <c r="E760" t="inlineStr">
        <is>
          <t>James Parker Mckeown</t>
        </is>
      </c>
      <c r="F760" s="5" t="n">
        <v>46162.81927083333</v>
      </c>
      <c r="H760" t="inlineStr">
        <is>
          <t>Non-Billable Tasks</t>
        </is>
      </c>
      <c r="I760" t="n">
        <v>2</v>
      </c>
      <c r="K760" t="inlineStr">
        <is>
          <t>Internal Focal points and workstreams</t>
        </is>
      </c>
      <c r="L760" t="b">
        <v>0</v>
      </c>
      <c r="M760" t="inlineStr">
        <is>
          <t>Non-Billable</t>
        </is>
      </c>
      <c r="N760" s="6">
        <f>IF(B760="","",IF(ISNUMBER(B760),TEXT(B760,"YYYY-MM"),LEFT(B760,7)))</f>
        <v/>
      </c>
    </row>
    <row r="761">
      <c r="A761" t="inlineStr">
        <is>
          <t>James Parker Mckeown</t>
        </is>
      </c>
      <c r="B761" s="4" t="n">
        <v>46148</v>
      </c>
      <c r="C761" t="inlineStr">
        <is>
          <t>Landscapes Focal Points - Monthly Connect</t>
        </is>
      </c>
      <c r="D761" t="inlineStr">
        <is>
          <t>James Parker Mckeown</t>
        </is>
      </c>
      <c r="E761" t="inlineStr">
        <is>
          <t>James Parker Mckeown</t>
        </is>
      </c>
      <c r="F761" s="5" t="n">
        <v>46162.81825231481</v>
      </c>
      <c r="H761" t="inlineStr">
        <is>
          <t>Non-Billable Tasks</t>
        </is>
      </c>
      <c r="I761" t="n">
        <v>1.5</v>
      </c>
      <c r="K761" t="inlineStr">
        <is>
          <t>Internal Focal points and workstreams</t>
        </is>
      </c>
      <c r="L761" t="b">
        <v>0</v>
      </c>
      <c r="M761" t="inlineStr">
        <is>
          <t>Non-Billable</t>
        </is>
      </c>
      <c r="N761" s="6">
        <f>IF(B761="","",IF(ISNUMBER(B761),TEXT(B761,"YYYY-MM"),LEFT(B761,7)))</f>
        <v/>
      </c>
    </row>
    <row r="762">
      <c r="A762" t="inlineStr">
        <is>
          <t>James Parker Mckeown</t>
        </is>
      </c>
      <c r="B762" s="4" t="n">
        <v>46148</v>
      </c>
      <c r="C762" t="inlineStr">
        <is>
          <t xml:space="preserve">Preparing LEW Institutionalization &amp; Exist Strategy session plan </t>
        </is>
      </c>
      <c r="D762" t="inlineStr">
        <is>
          <t>James Parker Mckeown</t>
        </is>
      </c>
      <c r="E762" t="inlineStr">
        <is>
          <t>James Parker Mckeown</t>
        </is>
      </c>
      <c r="F762" s="5" t="n">
        <v>46162.81722222222</v>
      </c>
      <c r="H762" t="inlineStr">
        <is>
          <t>Non-Billable Tasks</t>
        </is>
      </c>
      <c r="I762" t="n">
        <v>3</v>
      </c>
      <c r="K762" t="inlineStr">
        <is>
          <t>Internal Focal points and workstreams</t>
        </is>
      </c>
      <c r="L762" t="b">
        <v>0</v>
      </c>
      <c r="M762" t="inlineStr">
        <is>
          <t>Non-Billable</t>
        </is>
      </c>
      <c r="N762" s="6">
        <f>IF(B762="","",IF(ISNUMBER(B762),TEXT(B762,"YYYY-MM"),LEFT(B762,7)))</f>
        <v/>
      </c>
    </row>
    <row r="763">
      <c r="A763" t="inlineStr">
        <is>
          <t>Patricia Offei</t>
        </is>
      </c>
      <c r="B763" s="4" t="n">
        <v>46148</v>
      </c>
      <c r="C763" t="inlineStr">
        <is>
          <t>/</t>
        </is>
      </c>
      <c r="D763" t="inlineStr">
        <is>
          <t>Patricia Offei</t>
        </is>
      </c>
      <c r="E763" t="inlineStr">
        <is>
          <t>Patricia Offei</t>
        </is>
      </c>
      <c r="F763" s="5" t="n">
        <v>46162.60210648148</v>
      </c>
      <c r="H763" t="inlineStr">
        <is>
          <t>PCGH779 - Cote d'Ivoire）</t>
        </is>
      </c>
      <c r="I763" t="n">
        <v>8</v>
      </c>
      <c r="J763" t="inlineStr">
        <is>
          <t>PCGH779 - Tree Planting Project (3) (Proforest Limited(PCUK GBP))</t>
        </is>
      </c>
      <c r="L763" t="b">
        <v>1</v>
      </c>
      <c r="M763" t="inlineStr">
        <is>
          <t>Billed at a Fixed price</t>
        </is>
      </c>
      <c r="N763" s="6">
        <f>IF(B763="","",IF(ISNUMBER(B763),TEXT(B763,"YYYY-MM"),LEFT(B763,7)))</f>
        <v/>
      </c>
    </row>
    <row r="764">
      <c r="A764" t="inlineStr">
        <is>
          <t>Kingsley Fitz-Gerald Severine</t>
        </is>
      </c>
      <c r="B764" s="4" t="n">
        <v>46148</v>
      </c>
      <c r="C764" t="inlineStr">
        <is>
          <t>/</t>
        </is>
      </c>
      <c r="D764" t="inlineStr">
        <is>
          <t>Kingsley Fitz-Gerald Severine</t>
        </is>
      </c>
      <c r="E764" t="inlineStr">
        <is>
          <t>Kingsley Fitz-Gerald Severine</t>
        </is>
      </c>
      <c r="F764" s="5" t="n">
        <v>46162.5655787037</v>
      </c>
      <c r="G764" t="inlineStr">
        <is>
          <t>Preliminary land cover classification</t>
        </is>
      </c>
      <c r="H764" t="inlineStr">
        <is>
          <t>PCGH785</t>
        </is>
      </c>
      <c r="I764" t="n">
        <v>2</v>
      </c>
      <c r="J764" t="inlineStr">
        <is>
          <t>PCGH785 - GIS and Mapping (3) (Okeosisi Jonathan)</t>
        </is>
      </c>
      <c r="K764" t="inlineStr">
        <is>
          <t>GIS analysis</t>
        </is>
      </c>
      <c r="L764" t="b">
        <v>1</v>
      </c>
      <c r="M764" t="inlineStr">
        <is>
          <t>Billed at a Fixed price</t>
        </is>
      </c>
      <c r="N764" s="6">
        <f>IF(B764="","",IF(ISNUMBER(B764),TEXT(B764,"YYYY-MM"),LEFT(B764,7)))</f>
        <v/>
      </c>
    </row>
    <row r="765">
      <c r="A765" t="inlineStr">
        <is>
          <t>Kingsley Fitz-Gerald Severine</t>
        </is>
      </c>
      <c r="B765" s="4" t="n">
        <v>46148</v>
      </c>
      <c r="C765" t="inlineStr">
        <is>
          <t>/</t>
        </is>
      </c>
      <c r="D765" t="inlineStr">
        <is>
          <t>Kingsley Fitz-Gerald Severine</t>
        </is>
      </c>
      <c r="E765" t="inlineStr">
        <is>
          <t>Kingsley Fitz-Gerald Severine</t>
        </is>
      </c>
      <c r="F765" s="5" t="n">
        <v>46162.56510416666</v>
      </c>
      <c r="G765" t="inlineStr">
        <is>
          <t>Pre-assessment and desk-based review of documents</t>
        </is>
      </c>
      <c r="H765" t="inlineStr">
        <is>
          <t>PCGH785</t>
        </is>
      </c>
      <c r="I765" t="n">
        <v>2</v>
      </c>
      <c r="J765" t="inlineStr">
        <is>
          <t>PCGH785 - Desk Study (3) (Okeosisi Jonathan)</t>
        </is>
      </c>
      <c r="K765" t="inlineStr">
        <is>
          <t>Data collection tools and guides</t>
        </is>
      </c>
      <c r="L765" t="b">
        <v>1</v>
      </c>
      <c r="M765" t="inlineStr">
        <is>
          <t>Billed at a Fixed price</t>
        </is>
      </c>
      <c r="N765" s="6">
        <f>IF(B765="","",IF(ISNUMBER(B765),TEXT(B765,"YYYY-MM"),LEFT(B765,7)))</f>
        <v/>
      </c>
    </row>
    <row r="766">
      <c r="A766" t="inlineStr">
        <is>
          <t>Kingsley Fitz-Gerald Severine</t>
        </is>
      </c>
      <c r="B766" s="4" t="n">
        <v>46148</v>
      </c>
      <c r="C766" t="inlineStr">
        <is>
          <t>/</t>
        </is>
      </c>
      <c r="D766" t="inlineStr">
        <is>
          <t>Kingsley Fitz-Gerald Severine</t>
        </is>
      </c>
      <c r="E766" t="inlineStr">
        <is>
          <t>Kingsley Fitz-Gerald Severine</t>
        </is>
      </c>
      <c r="F766" s="5" t="n">
        <v>46162.56465277778</v>
      </c>
      <c r="G766" t="inlineStr">
        <is>
          <t>Field Visit and Data Collection</t>
        </is>
      </c>
      <c r="H766" t="inlineStr">
        <is>
          <t>PCGH785</t>
        </is>
      </c>
      <c r="I766" t="n">
        <v>4</v>
      </c>
      <c r="J766" t="inlineStr">
        <is>
          <t>PCGH785 -  Field data collection  (3) (Okeosisi Jonathan)</t>
        </is>
      </c>
      <c r="K766" t="inlineStr">
        <is>
          <t>Community engagements</t>
        </is>
      </c>
      <c r="L766" t="b">
        <v>1</v>
      </c>
      <c r="M766" t="inlineStr">
        <is>
          <t>Billed at a Fixed price</t>
        </is>
      </c>
      <c r="N766" s="6">
        <f>IF(B766="","",IF(ISNUMBER(B766),TEXT(B766,"YYYY-MM"),LEFT(B766,7)))</f>
        <v/>
      </c>
    </row>
    <row r="767">
      <c r="A767" t="inlineStr">
        <is>
          <t>Kwadwo Baniako Nti</t>
        </is>
      </c>
      <c r="B767" s="4" t="n">
        <v>46148</v>
      </c>
      <c r="C767" t="inlineStr">
        <is>
          <t>/</t>
        </is>
      </c>
      <c r="D767" t="inlineStr">
        <is>
          <t>Kwadwo Baniako Nti</t>
        </is>
      </c>
      <c r="E767" t="inlineStr">
        <is>
          <t>Kwadwo Baniako Nti</t>
        </is>
      </c>
      <c r="F767" s="5" t="n">
        <v>46161.79724537037</v>
      </c>
      <c r="G767" t="inlineStr">
        <is>
          <t>Training and Capacity Building</t>
        </is>
      </c>
      <c r="H767" t="inlineStr">
        <is>
          <t>PCGH762 - GVL HCSA Restoration Project</t>
        </is>
      </c>
      <c r="I767" t="n">
        <v>2</v>
      </c>
      <c r="J767" t="inlineStr">
        <is>
          <t>PCGH762 - Training and Capacity Building (Golden Veroleum Liberia)</t>
        </is>
      </c>
      <c r="K767" t="inlineStr">
        <is>
          <t>Training and Capacity Building</t>
        </is>
      </c>
      <c r="L767" t="b">
        <v>1</v>
      </c>
      <c r="M767" t="inlineStr">
        <is>
          <t>Billed at a Fixed price</t>
        </is>
      </c>
      <c r="N767" s="6">
        <f>IF(B767="","",IF(ISNUMBER(B767),TEXT(B767,"YYYY-MM"),LEFT(B767,7)))</f>
        <v/>
      </c>
    </row>
    <row r="768">
      <c r="A768" t="inlineStr">
        <is>
          <t>Kwadwo Baniako Nti</t>
        </is>
      </c>
      <c r="B768" s="4" t="n">
        <v>46148</v>
      </c>
      <c r="C768" t="inlineStr">
        <is>
          <t>/</t>
        </is>
      </c>
      <c r="D768" t="inlineStr">
        <is>
          <t>Kwadwo Baniako Nti</t>
        </is>
      </c>
      <c r="E768" t="inlineStr">
        <is>
          <t>Kwadwo Baniako Nti</t>
        </is>
      </c>
      <c r="F768" s="5" t="n">
        <v>46161.7966087963</v>
      </c>
      <c r="G768" t="inlineStr">
        <is>
          <t>Communication and Other Materials</t>
        </is>
      </c>
      <c r="H768" t="inlineStr">
        <is>
          <t>PCGH762 - GVL HCSA Restoration Project</t>
        </is>
      </c>
      <c r="I768" t="n">
        <v>2</v>
      </c>
      <c r="J768" t="inlineStr">
        <is>
          <t>PCGH762 - Communication and Other Materials (Golden Veroleum Liberia)</t>
        </is>
      </c>
      <c r="K768" t="inlineStr">
        <is>
          <t>Communication and Other Materials</t>
        </is>
      </c>
      <c r="L768" t="b">
        <v>1</v>
      </c>
      <c r="M768" t="inlineStr">
        <is>
          <t>Billed at a Fixed price</t>
        </is>
      </c>
      <c r="N768" s="6">
        <f>IF(B768="","",IF(ISNUMBER(B768),TEXT(B768,"YYYY-MM"),LEFT(B768,7)))</f>
        <v/>
      </c>
    </row>
    <row r="769">
      <c r="A769" t="inlineStr">
        <is>
          <t>Kwadwo Baniako Nti</t>
        </is>
      </c>
      <c r="B769" s="4" t="n">
        <v>46148</v>
      </c>
      <c r="C769" t="inlineStr">
        <is>
          <t>/</t>
        </is>
      </c>
      <c r="D769" t="inlineStr">
        <is>
          <t>Kwadwo Baniako Nti</t>
        </is>
      </c>
      <c r="E769" t="inlineStr">
        <is>
          <t>Kwadwo Baniako Nti</t>
        </is>
      </c>
      <c r="F769" s="5" t="n">
        <v>46161.75761574074</v>
      </c>
      <c r="G769" t="inlineStr">
        <is>
          <t>PCGH786 - Site Assessment (3)</t>
        </is>
      </c>
      <c r="H769" t="inlineStr">
        <is>
          <t>PCGH786 - Impact Level Baseline assessment for FGMC</t>
        </is>
      </c>
      <c r="I769" t="n">
        <v>4</v>
      </c>
      <c r="J769" t="inlineStr">
        <is>
          <t>PCGH786 - Site Assessment (3) (NIRAS Group (UK) Ltd)</t>
        </is>
      </c>
      <c r="K769" t="inlineStr">
        <is>
          <t>Site Assessment</t>
        </is>
      </c>
      <c r="L769" t="b">
        <v>1</v>
      </c>
      <c r="M769" t="inlineStr">
        <is>
          <t>Billed at a Fixed price</t>
        </is>
      </c>
      <c r="N769" s="6">
        <f>IF(B769="","",IF(ISNUMBER(B769),TEXT(B769,"YYYY-MM"),LEFT(B769,7)))</f>
        <v/>
      </c>
    </row>
    <row r="770">
      <c r="A770" t="inlineStr">
        <is>
          <t>Louis Defo</t>
        </is>
      </c>
      <c r="B770" s="4" t="n">
        <v>46148</v>
      </c>
      <c r="C770" t="inlineStr">
        <is>
          <t>/</t>
        </is>
      </c>
      <c r="D770" t="inlineStr">
        <is>
          <t>Louis Defo</t>
        </is>
      </c>
      <c r="E770" t="inlineStr">
        <is>
          <t>Louis Defo</t>
        </is>
      </c>
      <c r="F770" s="5" t="n">
        <v>46161.34782407407</v>
      </c>
      <c r="H770" t="inlineStr">
        <is>
          <t>PCGH787</t>
        </is>
      </c>
      <c r="I770" t="n">
        <v>8</v>
      </c>
      <c r="J770" t="inlineStr">
        <is>
          <t>PCGH787 - Desk Study (3) (Proforest Limited(PCUK GBP))</t>
        </is>
      </c>
      <c r="L770" t="b">
        <v>1</v>
      </c>
      <c r="M770" t="inlineStr">
        <is>
          <t>Billed at a Fixed price</t>
        </is>
      </c>
      <c r="N770" s="6">
        <f>IF(B770="","",IF(ISNUMBER(B770),TEXT(B770,"YYYY-MM"),LEFT(B770,7)))</f>
        <v/>
      </c>
    </row>
    <row r="771">
      <c r="A771" t="inlineStr">
        <is>
          <t>Frederick Antwi</t>
        </is>
      </c>
      <c r="B771" s="4" t="n">
        <v>46148</v>
      </c>
      <c r="C771" t="inlineStr">
        <is>
          <t>/</t>
        </is>
      </c>
      <c r="D771" t="inlineStr">
        <is>
          <t>Frederick Antwi</t>
        </is>
      </c>
      <c r="E771" t="inlineStr">
        <is>
          <t>Frederick Antwi</t>
        </is>
      </c>
      <c r="F771" s="5" t="n">
        <v>46160.64129629629</v>
      </c>
      <c r="H771" t="inlineStr">
        <is>
          <t>PCGH774 -Evaluation Deep-Dive Action Plans by Socfin Group</t>
        </is>
      </c>
      <c r="I771" t="n">
        <v>8</v>
      </c>
      <c r="J771" t="inlineStr">
        <is>
          <t>PCGH774 - Project Management (2) (Socfinco FR SA)</t>
        </is>
      </c>
      <c r="L771" t="b">
        <v>1</v>
      </c>
      <c r="M771" t="inlineStr">
        <is>
          <t>Billed at a Fixed price</t>
        </is>
      </c>
      <c r="N771" s="6">
        <f>IF(B771="","",IF(ISNUMBER(B771),TEXT(B771,"YYYY-MM"),LEFT(B771,7)))</f>
        <v/>
      </c>
    </row>
    <row r="772">
      <c r="A772" t="inlineStr">
        <is>
          <t>Augustus Asamoah</t>
        </is>
      </c>
      <c r="B772" s="4" t="n">
        <v>46148</v>
      </c>
      <c r="C772" t="inlineStr">
        <is>
          <t>/</t>
        </is>
      </c>
      <c r="D772" t="inlineStr">
        <is>
          <t>Augustus Asamoah</t>
        </is>
      </c>
      <c r="E772" t="inlineStr">
        <is>
          <t>Augustus Asamoah</t>
        </is>
      </c>
      <c r="F772" s="5" t="n">
        <v>46156.69756944444</v>
      </c>
      <c r="H772" t="inlineStr">
        <is>
          <t>Non-Billable Tasks</t>
        </is>
      </c>
      <c r="I772" t="n">
        <v>8</v>
      </c>
      <c r="L772" t="b">
        <v>0</v>
      </c>
      <c r="M772" t="inlineStr">
        <is>
          <t>Non-Billable</t>
        </is>
      </c>
      <c r="N772" s="6">
        <f>IF(B772="","",IF(ISNUMBER(B772),TEXT(B772,"YYYY-MM"),LEFT(B772,7)))</f>
        <v/>
      </c>
    </row>
    <row r="773">
      <c r="A773" t="inlineStr">
        <is>
          <t>Soro TCHEREGNIMIN</t>
        </is>
      </c>
      <c r="B773" s="4" t="n">
        <v>46148</v>
      </c>
      <c r="C773" t="inlineStr">
        <is>
          <t>/</t>
        </is>
      </c>
      <c r="D773" t="inlineStr">
        <is>
          <t>Soro TCHEREGNIMIN</t>
        </is>
      </c>
      <c r="E773" t="inlineStr">
        <is>
          <t>Michael Anim</t>
        </is>
      </c>
      <c r="F773" s="5" t="n">
        <v>46163.53021990741</v>
      </c>
      <c r="H773" t="inlineStr">
        <is>
          <t>PCGH779 - Cote d'Ivoire）</t>
        </is>
      </c>
      <c r="I773" t="n">
        <v>8</v>
      </c>
      <c r="J773" t="inlineStr">
        <is>
          <t>PCGH779 - Tree Planting Project (3) (Proforest Limited(PCUK GBP))</t>
        </is>
      </c>
      <c r="L773" t="b">
        <v>1</v>
      </c>
      <c r="M773" t="inlineStr">
        <is>
          <t>Billed at a Fixed price</t>
        </is>
      </c>
      <c r="N773" s="6">
        <f>IF(B773="","",IF(ISNUMBER(B773),TEXT(B773,"YYYY-MM"),LEFT(B773,7)))</f>
        <v/>
      </c>
    </row>
    <row r="774">
      <c r="A774" t="inlineStr">
        <is>
          <t>Helena Tetteh</t>
        </is>
      </c>
      <c r="B774" s="4" t="n">
        <v>46148</v>
      </c>
      <c r="C774" t="inlineStr">
        <is>
          <t>/</t>
        </is>
      </c>
      <c r="D774" t="inlineStr">
        <is>
          <t xml:space="preserve">Helena Tetteh </t>
        </is>
      </c>
      <c r="E774" t="inlineStr">
        <is>
          <t>OdooBot</t>
        </is>
      </c>
      <c r="F774" s="5" t="n">
        <v>46154.70721064815</v>
      </c>
      <c r="H774" t="inlineStr">
        <is>
          <t>Non-Billable Tasks</t>
        </is>
      </c>
      <c r="I774" t="n">
        <v>8</v>
      </c>
      <c r="K774" t="inlineStr">
        <is>
          <t>Professional development and Knowledge sharing(training,global knowledge calls,exchange weeks)</t>
        </is>
      </c>
      <c r="L774" t="b">
        <v>0</v>
      </c>
      <c r="M774" t="inlineStr">
        <is>
          <t>Non-Billable</t>
        </is>
      </c>
      <c r="N774" s="6">
        <f>IF(B774="","",IF(ISNUMBER(B774),TEXT(B774,"YYYY-MM"),LEFT(B774,7)))</f>
        <v/>
      </c>
    </row>
    <row r="775">
      <c r="A775" t="inlineStr">
        <is>
          <t>Stephen Doso</t>
        </is>
      </c>
      <c r="B775" s="4" t="n">
        <v>46148</v>
      </c>
      <c r="C775" t="inlineStr">
        <is>
          <t>/</t>
        </is>
      </c>
      <c r="D775" t="inlineStr">
        <is>
          <t>Stephen Doso</t>
        </is>
      </c>
      <c r="E775" t="inlineStr">
        <is>
          <t>OdooBot</t>
        </is>
      </c>
      <c r="F775" s="5" t="n">
        <v>46154.70721064815</v>
      </c>
      <c r="H775" t="inlineStr">
        <is>
          <t>Non-Billable Tasks</t>
        </is>
      </c>
      <c r="I775" t="n">
        <v>8</v>
      </c>
      <c r="K775" t="inlineStr">
        <is>
          <t>Professional development and Knowledge sharing(training,global knowledge calls,exchange weeks)</t>
        </is>
      </c>
      <c r="L775" t="b">
        <v>0</v>
      </c>
      <c r="M775" t="inlineStr">
        <is>
          <t>Non-Billable</t>
        </is>
      </c>
      <c r="N775" s="6">
        <f>IF(B775="","",IF(ISNUMBER(B775),TEXT(B775,"YYYY-MM"),LEFT(B775,7)))</f>
        <v/>
      </c>
    </row>
    <row r="776">
      <c r="A776" t="inlineStr">
        <is>
          <t>Abel Ansu</t>
        </is>
      </c>
      <c r="B776" s="4" t="n">
        <v>46148</v>
      </c>
      <c r="C776" t="inlineStr">
        <is>
          <t>Joined the ling and pegging team to peg cleared lands for MTS at Bia Tano reserve. Also had a meeting on Proforest welfare scheme</t>
        </is>
      </c>
      <c r="D776" t="inlineStr">
        <is>
          <t>Abel Ansu</t>
        </is>
      </c>
      <c r="E776" t="inlineStr">
        <is>
          <t>OdooBot</t>
        </is>
      </c>
      <c r="F776" s="5" t="n">
        <v>46154.70721064815</v>
      </c>
      <c r="H776" t="inlineStr">
        <is>
          <t>Internal</t>
        </is>
      </c>
      <c r="I776" t="n">
        <v>8</v>
      </c>
      <c r="K776" t="inlineStr">
        <is>
          <t>Monitored lining and pegging team for MTS</t>
        </is>
      </c>
      <c r="L776" t="b">
        <v>0</v>
      </c>
      <c r="M776" t="inlineStr">
        <is>
          <t>Non-Billable</t>
        </is>
      </c>
      <c r="N776" s="6">
        <f>IF(B776="","",IF(ISNUMBER(B776),TEXT(B776,"YYYY-MM"),LEFT(B776,7)))</f>
        <v/>
      </c>
    </row>
    <row r="777">
      <c r="A777" t="inlineStr">
        <is>
          <t>Daleba Bernard Kpenahi Raymond</t>
        </is>
      </c>
      <c r="B777" s="4" t="n">
        <v>46148</v>
      </c>
      <c r="C777" t="inlineStr">
        <is>
          <t>/</t>
        </is>
      </c>
      <c r="D777" t="inlineStr">
        <is>
          <t>Daleba Bernard Kpenahi Raymond</t>
        </is>
      </c>
      <c r="E777" t="inlineStr">
        <is>
          <t>Michael Anim</t>
        </is>
      </c>
      <c r="F777" s="5" t="n">
        <v>46163.53026620371</v>
      </c>
      <c r="H777" t="inlineStr">
        <is>
          <t>PCGH779 - Cote d'Ivoire）</t>
        </is>
      </c>
      <c r="I777" t="n">
        <v>8</v>
      </c>
      <c r="J777" t="inlineStr">
        <is>
          <t>PCGH779 - Tree Planting Project (3) (Proforest Limited(PCUK GBP))</t>
        </is>
      </c>
      <c r="L777" t="b">
        <v>1</v>
      </c>
      <c r="M777" t="inlineStr">
        <is>
          <t>Billed at a Fixed price</t>
        </is>
      </c>
      <c r="N777" s="6">
        <f>IF(B777="","",IF(ISNUMBER(B777),TEXT(B777,"YYYY-MM"),LEFT(B777,7)))</f>
        <v/>
      </c>
    </row>
    <row r="778">
      <c r="A778" t="inlineStr">
        <is>
          <t>Afua Serwah Akoto Prempeh</t>
        </is>
      </c>
      <c r="B778" s="4" t="n">
        <v>46147</v>
      </c>
      <c r="C778" t="inlineStr">
        <is>
          <t>/</t>
        </is>
      </c>
      <c r="D778" t="inlineStr">
        <is>
          <t>Afua Serwah Akoto Prempeh</t>
        </is>
      </c>
      <c r="E778" t="inlineStr">
        <is>
          <t>Afua Serwah Akoto Prempeh</t>
        </is>
      </c>
      <c r="F778" s="5" t="n">
        <v>46188.49944444445</v>
      </c>
      <c r="H778" t="inlineStr">
        <is>
          <t>Non-Billable Tasks</t>
        </is>
      </c>
      <c r="I778" t="n">
        <v>4</v>
      </c>
      <c r="L778" t="b">
        <v>0</v>
      </c>
      <c r="M778" t="inlineStr">
        <is>
          <t>Non-Billable</t>
        </is>
      </c>
      <c r="N778" s="6">
        <f>IF(B778="","",IF(ISNUMBER(B778),TEXT(B778,"YYYY-MM"),LEFT(B778,7)))</f>
        <v/>
      </c>
    </row>
    <row r="779">
      <c r="A779" t="inlineStr">
        <is>
          <t>Afua Serwah Akoto Prempeh</t>
        </is>
      </c>
      <c r="B779" s="4" t="n">
        <v>46147</v>
      </c>
      <c r="C779" t="inlineStr">
        <is>
          <t>/</t>
        </is>
      </c>
      <c r="D779" t="inlineStr">
        <is>
          <t>Afua Serwah Akoto Prempeh</t>
        </is>
      </c>
      <c r="E779" t="inlineStr">
        <is>
          <t>Afua Serwah Akoto Prempeh</t>
        </is>
      </c>
      <c r="F779" s="5" t="n">
        <v>46188.43591435185</v>
      </c>
      <c r="H779" t="inlineStr">
        <is>
          <t>Business and Project Management Training</t>
        </is>
      </c>
      <c r="I779" t="n">
        <v>4</v>
      </c>
      <c r="L779" t="b">
        <v>1</v>
      </c>
      <c r="M779" t="inlineStr">
        <is>
          <t>Non-Billable</t>
        </is>
      </c>
      <c r="N779" s="6">
        <f>IF(B779="","",IF(ISNUMBER(B779),TEXT(B779,"YYYY-MM"),LEFT(B779,7)))</f>
        <v/>
      </c>
    </row>
    <row r="780">
      <c r="A780" t="inlineStr">
        <is>
          <t>Mawuse Agblobi</t>
        </is>
      </c>
      <c r="B780" s="4" t="n">
        <v>46147</v>
      </c>
      <c r="C780" t="inlineStr">
        <is>
          <t>Time Off (7/8)</t>
        </is>
      </c>
      <c r="D780" t="inlineStr">
        <is>
          <t>Augustus Asamoah</t>
        </is>
      </c>
      <c r="E780" t="inlineStr">
        <is>
          <t>Mawuse Agblobi</t>
        </is>
      </c>
      <c r="F780" s="5" t="n">
        <v>46174.89994212963</v>
      </c>
      <c r="H780" t="inlineStr">
        <is>
          <t>Internal</t>
        </is>
      </c>
      <c r="I780" t="n">
        <v>8</v>
      </c>
      <c r="K780" t="inlineStr">
        <is>
          <t>Time Off</t>
        </is>
      </c>
      <c r="L780" t="b">
        <v>0</v>
      </c>
      <c r="M780" t="inlineStr">
        <is>
          <t>Non-Billable</t>
        </is>
      </c>
      <c r="N780" s="6">
        <f>IF(B780="","",IF(ISNUMBER(B780),TEXT(B780,"YYYY-MM"),LEFT(B780,7)))</f>
        <v/>
      </c>
    </row>
    <row r="781">
      <c r="A781" t="inlineStr">
        <is>
          <t>Clement Obeng-Manu</t>
        </is>
      </c>
      <c r="B781" s="4" t="n">
        <v>46147</v>
      </c>
      <c r="C781" t="inlineStr">
        <is>
          <t>/</t>
        </is>
      </c>
      <c r="D781" t="inlineStr">
        <is>
          <t>Clement Obeng-Manu</t>
        </is>
      </c>
      <c r="E781" t="inlineStr">
        <is>
          <t>Clement Obeng-Manu</t>
        </is>
      </c>
      <c r="F781" s="5" t="n">
        <v>46173.76625</v>
      </c>
      <c r="G781" t="inlineStr">
        <is>
          <t>Reporting</t>
        </is>
      </c>
      <c r="H781" t="inlineStr">
        <is>
          <t>PCGH777</t>
        </is>
      </c>
      <c r="I781" t="n">
        <v>8</v>
      </c>
      <c r="J781" t="inlineStr">
        <is>
          <t>PCGH777 - Reporting (3) (Proforest Limited(PCUK GBP))</t>
        </is>
      </c>
      <c r="K781" t="inlineStr">
        <is>
          <t>Reporting</t>
        </is>
      </c>
      <c r="L781" t="b">
        <v>1</v>
      </c>
      <c r="M781" t="inlineStr">
        <is>
          <t>Billed at a Fixed price</t>
        </is>
      </c>
      <c r="N781" s="6">
        <f>IF(B781="","",IF(ISNUMBER(B781),TEXT(B781,"YYYY-MM"),LEFT(B781,7)))</f>
        <v/>
      </c>
    </row>
    <row r="782">
      <c r="A782" t="inlineStr">
        <is>
          <t>Ekow Nyamekye Tawiah</t>
        </is>
      </c>
      <c r="B782" s="4" t="n">
        <v>46147</v>
      </c>
      <c r="C782" t="inlineStr">
        <is>
          <t>/</t>
        </is>
      </c>
      <c r="D782" t="inlineStr">
        <is>
          <t>Ekow Nyamekye Tawiah</t>
        </is>
      </c>
      <c r="E782" t="inlineStr">
        <is>
          <t>Ekow Nyamekye Tawiah</t>
        </is>
      </c>
      <c r="F782" s="5" t="n">
        <v>46162.87765046296</v>
      </c>
      <c r="H782" t="inlineStr">
        <is>
          <t>Non-Billable Tasks</t>
        </is>
      </c>
      <c r="I782" t="n">
        <v>4</v>
      </c>
      <c r="K782" t="inlineStr">
        <is>
          <t>Leave</t>
        </is>
      </c>
      <c r="L782" t="b">
        <v>0</v>
      </c>
      <c r="M782" t="inlineStr">
        <is>
          <t>Non-Billable</t>
        </is>
      </c>
      <c r="N782" s="6">
        <f>IF(B782="","",IF(ISNUMBER(B782),TEXT(B782,"YYYY-MM"),LEFT(B782,7)))</f>
        <v/>
      </c>
    </row>
    <row r="783">
      <c r="A783" t="inlineStr">
        <is>
          <t>James Parker Mckeown</t>
        </is>
      </c>
      <c r="B783" s="4" t="n">
        <v>46147</v>
      </c>
      <c r="C783" t="inlineStr">
        <is>
          <t>/</t>
        </is>
      </c>
      <c r="D783" t="inlineStr">
        <is>
          <t>James Parker Mckeown</t>
        </is>
      </c>
      <c r="E783" t="inlineStr">
        <is>
          <t>James Parker Mckeown</t>
        </is>
      </c>
      <c r="F783" s="5" t="n">
        <v>46162.8163425926</v>
      </c>
      <c r="H783" t="inlineStr">
        <is>
          <t>Non-Billable Tasks</t>
        </is>
      </c>
      <c r="I783" t="n">
        <v>8</v>
      </c>
      <c r="K783" t="inlineStr">
        <is>
          <t>Leave</t>
        </is>
      </c>
      <c r="L783" t="b">
        <v>0</v>
      </c>
      <c r="M783" t="inlineStr">
        <is>
          <t>Non-Billable</t>
        </is>
      </c>
      <c r="N783" s="6">
        <f>IF(B783="","",IF(ISNUMBER(B783),TEXT(B783,"YYYY-MM"),LEFT(B783,7)))</f>
        <v/>
      </c>
    </row>
    <row r="784">
      <c r="A784" t="inlineStr">
        <is>
          <t>Patricia Offei</t>
        </is>
      </c>
      <c r="B784" s="4" t="n">
        <v>46147</v>
      </c>
      <c r="C784" t="inlineStr">
        <is>
          <t>/</t>
        </is>
      </c>
      <c r="D784" t="inlineStr">
        <is>
          <t>Patricia Offei</t>
        </is>
      </c>
      <c r="E784" t="inlineStr">
        <is>
          <t>Patricia Offei</t>
        </is>
      </c>
      <c r="F784" s="5" t="n">
        <v>46162.60195601852</v>
      </c>
      <c r="H784" t="inlineStr">
        <is>
          <t>PCGH779 - Cote d'Ivoire）</t>
        </is>
      </c>
      <c r="I784" t="n">
        <v>8</v>
      </c>
      <c r="J784" t="inlineStr">
        <is>
          <t>PCGH779 - Tree Planting Project (3) (Proforest Limited(PCUK GBP))</t>
        </is>
      </c>
      <c r="L784" t="b">
        <v>1</v>
      </c>
      <c r="M784" t="inlineStr">
        <is>
          <t>Billed at a Fixed price</t>
        </is>
      </c>
      <c r="N784" s="6">
        <f>IF(B784="","",IF(ISNUMBER(B784),TEXT(B784,"YYYY-MM"),LEFT(B784,7)))</f>
        <v/>
      </c>
    </row>
    <row r="785">
      <c r="A785" t="inlineStr">
        <is>
          <t>Kingsley Fitz-Gerald Severine</t>
        </is>
      </c>
      <c r="B785" s="4" t="n">
        <v>46147</v>
      </c>
      <c r="C785" t="inlineStr">
        <is>
          <t>/</t>
        </is>
      </c>
      <c r="D785" t="inlineStr">
        <is>
          <t>Kingsley Fitz-Gerald Severine</t>
        </is>
      </c>
      <c r="E785" t="inlineStr">
        <is>
          <t>Kingsley Fitz-Gerald Severine</t>
        </is>
      </c>
      <c r="F785" s="5" t="n">
        <v>46162.56460648148</v>
      </c>
      <c r="G785" t="inlineStr">
        <is>
          <t>Field Visit and Data Collection</t>
        </is>
      </c>
      <c r="H785" t="inlineStr">
        <is>
          <t>PCGH785</t>
        </is>
      </c>
      <c r="I785" t="n">
        <v>8</v>
      </c>
      <c r="J785" t="inlineStr">
        <is>
          <t>PCGH785 -  Field data collection  (3) (Okeosisi Jonathan)</t>
        </is>
      </c>
      <c r="K785" t="inlineStr">
        <is>
          <t>Community engagements</t>
        </is>
      </c>
      <c r="L785" t="b">
        <v>1</v>
      </c>
      <c r="M785" t="inlineStr">
        <is>
          <t>Billed at a Fixed price</t>
        </is>
      </c>
      <c r="N785" s="6">
        <f>IF(B785="","",IF(ISNUMBER(B785),TEXT(B785,"YYYY-MM"),LEFT(B785,7)))</f>
        <v/>
      </c>
    </row>
    <row r="786">
      <c r="A786" t="inlineStr">
        <is>
          <t>Kwadwo Baniako Nti</t>
        </is>
      </c>
      <c r="B786" s="4" t="n">
        <v>46147</v>
      </c>
      <c r="C786" t="inlineStr">
        <is>
          <t>/</t>
        </is>
      </c>
      <c r="D786" t="inlineStr">
        <is>
          <t>Kwadwo Baniako Nti</t>
        </is>
      </c>
      <c r="E786" t="inlineStr">
        <is>
          <t>Kwadwo Baniako Nti</t>
        </is>
      </c>
      <c r="F786" s="5" t="n">
        <v>46161.79726851852</v>
      </c>
      <c r="G786" t="inlineStr">
        <is>
          <t>Training and Capacity Building</t>
        </is>
      </c>
      <c r="H786" t="inlineStr">
        <is>
          <t>PCGH762 - GVL HCSA Restoration Project</t>
        </is>
      </c>
      <c r="I786" t="n">
        <v>2</v>
      </c>
      <c r="J786" t="inlineStr">
        <is>
          <t>PCGH762 - Training and Capacity Building (Golden Veroleum Liberia)</t>
        </is>
      </c>
      <c r="K786" t="inlineStr">
        <is>
          <t>Training and Capacity Building</t>
        </is>
      </c>
      <c r="L786" t="b">
        <v>1</v>
      </c>
      <c r="M786" t="inlineStr">
        <is>
          <t>Billed at a Fixed price</t>
        </is>
      </c>
      <c r="N786" s="6">
        <f>IF(B786="","",IF(ISNUMBER(B786),TEXT(B786,"YYYY-MM"),LEFT(B786,7)))</f>
        <v/>
      </c>
    </row>
    <row r="787">
      <c r="A787" t="inlineStr">
        <is>
          <t>Kwadwo Baniako Nti</t>
        </is>
      </c>
      <c r="B787" s="4" t="n">
        <v>46147</v>
      </c>
      <c r="C787" t="inlineStr">
        <is>
          <t>/</t>
        </is>
      </c>
      <c r="D787" t="inlineStr">
        <is>
          <t>Kwadwo Baniako Nti</t>
        </is>
      </c>
      <c r="E787" t="inlineStr">
        <is>
          <t>Kwadwo Baniako Nti</t>
        </is>
      </c>
      <c r="F787" s="5" t="n">
        <v>46161.79659722222</v>
      </c>
      <c r="G787" t="inlineStr">
        <is>
          <t>Communication and Other Materials</t>
        </is>
      </c>
      <c r="H787" t="inlineStr">
        <is>
          <t>PCGH762 - GVL HCSA Restoration Project</t>
        </is>
      </c>
      <c r="I787" t="n">
        <v>2</v>
      </c>
      <c r="J787" t="inlineStr">
        <is>
          <t>PCGH762 - Communication and Other Materials (Golden Veroleum Liberia)</t>
        </is>
      </c>
      <c r="K787" t="inlineStr">
        <is>
          <t>Communication and Other Materials</t>
        </is>
      </c>
      <c r="L787" t="b">
        <v>1</v>
      </c>
      <c r="M787" t="inlineStr">
        <is>
          <t>Billed at a Fixed price</t>
        </is>
      </c>
      <c r="N787" s="6">
        <f>IF(B787="","",IF(ISNUMBER(B787),TEXT(B787,"YYYY-MM"),LEFT(B787,7)))</f>
        <v/>
      </c>
    </row>
    <row r="788">
      <c r="A788" t="inlineStr">
        <is>
          <t>Kwadwo Baniako Nti</t>
        </is>
      </c>
      <c r="B788" s="4" t="n">
        <v>46147</v>
      </c>
      <c r="C788" t="inlineStr">
        <is>
          <t>/</t>
        </is>
      </c>
      <c r="D788" t="inlineStr">
        <is>
          <t>Kwadwo Baniako Nti</t>
        </is>
      </c>
      <c r="E788" t="inlineStr">
        <is>
          <t>Kwadwo Baniako Nti</t>
        </is>
      </c>
      <c r="F788" s="5" t="n">
        <v>46161.76392361111</v>
      </c>
      <c r="G788" t="inlineStr">
        <is>
          <t>Desk Study (3)</t>
        </is>
      </c>
      <c r="H788" t="inlineStr">
        <is>
          <t>PCGH786 - Impact Level Baseline assessment for FGMC</t>
        </is>
      </c>
      <c r="I788" t="n">
        <v>4</v>
      </c>
      <c r="J788" t="inlineStr">
        <is>
          <t>PCGH786 - Desk Study (3) (NIRAS Group (UK) Ltd)</t>
        </is>
      </c>
      <c r="K788" t="inlineStr">
        <is>
          <t>Desk Study</t>
        </is>
      </c>
      <c r="L788" t="b">
        <v>1</v>
      </c>
      <c r="M788" t="inlineStr">
        <is>
          <t>Billed at a Fixed price</t>
        </is>
      </c>
      <c r="N788" s="6">
        <f>IF(B788="","",IF(ISNUMBER(B788),TEXT(B788,"YYYY-MM"),LEFT(B788,7)))</f>
        <v/>
      </c>
    </row>
    <row r="789">
      <c r="A789" t="inlineStr">
        <is>
          <t>Louis Defo</t>
        </is>
      </c>
      <c r="B789" s="4" t="n">
        <v>46147</v>
      </c>
      <c r="C789" t="inlineStr">
        <is>
          <t>/</t>
        </is>
      </c>
      <c r="D789" t="inlineStr">
        <is>
          <t>Louis Defo</t>
        </is>
      </c>
      <c r="E789" t="inlineStr">
        <is>
          <t>Louis Defo</t>
        </is>
      </c>
      <c r="F789" s="5" t="n">
        <v>46161.34765046297</v>
      </c>
      <c r="H789" t="inlineStr">
        <is>
          <t>PCGH787</t>
        </is>
      </c>
      <c r="I789" t="n">
        <v>8</v>
      </c>
      <c r="J789" t="inlineStr">
        <is>
          <t>PCGH787 - Desk Study (3) (Proforest Limited(PCUK GBP))</t>
        </is>
      </c>
      <c r="L789" t="b">
        <v>1</v>
      </c>
      <c r="M789" t="inlineStr">
        <is>
          <t>Billed at a Fixed price</t>
        </is>
      </c>
      <c r="N789" s="6">
        <f>IF(B789="","",IF(ISNUMBER(B789),TEXT(B789,"YYYY-MM"),LEFT(B789,7)))</f>
        <v/>
      </c>
    </row>
    <row r="790">
      <c r="A790" t="inlineStr">
        <is>
          <t>Frederick Antwi</t>
        </is>
      </c>
      <c r="B790" s="4" t="n">
        <v>46147</v>
      </c>
      <c r="C790" t="inlineStr">
        <is>
          <t>/</t>
        </is>
      </c>
      <c r="D790" t="inlineStr">
        <is>
          <t>Frederick Antwi</t>
        </is>
      </c>
      <c r="E790" t="inlineStr">
        <is>
          <t>Frederick Antwi</t>
        </is>
      </c>
      <c r="F790" s="5" t="n">
        <v>46160.6406712963</v>
      </c>
      <c r="H790" t="inlineStr">
        <is>
          <t>P13PC00A00 - Private Sector Companies</t>
        </is>
      </c>
      <c r="I790" t="n">
        <v>6</v>
      </c>
      <c r="L790" t="b">
        <v>0</v>
      </c>
      <c r="M790" t="inlineStr">
        <is>
          <t>Non-Billable</t>
        </is>
      </c>
      <c r="N790" s="6">
        <f>IF(B790="","",IF(ISNUMBER(B790),TEXT(B790,"YYYY-MM"),LEFT(B790,7)))</f>
        <v/>
      </c>
    </row>
    <row r="791">
      <c r="A791" t="inlineStr">
        <is>
          <t>Frederick Antwi</t>
        </is>
      </c>
      <c r="B791" s="4" t="n">
        <v>46147</v>
      </c>
      <c r="C791" t="inlineStr">
        <is>
          <t>/</t>
        </is>
      </c>
      <c r="D791" t="inlineStr">
        <is>
          <t>Frederick Antwi</t>
        </is>
      </c>
      <c r="E791" t="inlineStr">
        <is>
          <t>Frederick Antwi</t>
        </is>
      </c>
      <c r="F791" s="5" t="n">
        <v>46160.64060185185</v>
      </c>
      <c r="H791" t="inlineStr">
        <is>
          <t>PCGH768</t>
        </is>
      </c>
      <c r="I791" t="n">
        <v>2</v>
      </c>
      <c r="L791" t="b">
        <v>1</v>
      </c>
      <c r="M791" t="inlineStr">
        <is>
          <t>Non-Billable</t>
        </is>
      </c>
      <c r="N791" s="6">
        <f>IF(B791="","",IF(ISNUMBER(B791),TEXT(B791,"YYYY-MM"),LEFT(B791,7)))</f>
        <v/>
      </c>
    </row>
    <row r="792">
      <c r="A792" t="inlineStr">
        <is>
          <t>Augustus Asamoah</t>
        </is>
      </c>
      <c r="B792" s="4" t="n">
        <v>46147</v>
      </c>
      <c r="C792" t="inlineStr">
        <is>
          <t>/</t>
        </is>
      </c>
      <c r="D792" t="inlineStr">
        <is>
          <t>Augustus Asamoah</t>
        </is>
      </c>
      <c r="E792" t="inlineStr">
        <is>
          <t>Augustus Asamoah</t>
        </is>
      </c>
      <c r="F792" s="5" t="n">
        <v>46156.69754629629</v>
      </c>
      <c r="H792" t="inlineStr">
        <is>
          <t>Non-Billable Tasks</t>
        </is>
      </c>
      <c r="I792" t="n">
        <v>8</v>
      </c>
      <c r="L792" t="b">
        <v>0</v>
      </c>
      <c r="M792" t="inlineStr">
        <is>
          <t>Non-Billable</t>
        </is>
      </c>
      <c r="N792" s="6">
        <f>IF(B792="","",IF(ISNUMBER(B792),TEXT(B792,"YYYY-MM"),LEFT(B792,7)))</f>
        <v/>
      </c>
    </row>
    <row r="793">
      <c r="A793" t="inlineStr">
        <is>
          <t>Soro TCHEREGNIMIN</t>
        </is>
      </c>
      <c r="B793" s="4" t="n">
        <v>46147</v>
      </c>
      <c r="C793" t="inlineStr">
        <is>
          <t>/</t>
        </is>
      </c>
      <c r="D793" t="inlineStr">
        <is>
          <t>Soro TCHEREGNIMIN</t>
        </is>
      </c>
      <c r="E793" t="inlineStr">
        <is>
          <t>Michael Anim</t>
        </is>
      </c>
      <c r="F793" s="5" t="n">
        <v>46163.53028935185</v>
      </c>
      <c r="H793" t="inlineStr">
        <is>
          <t>PCGH779 - Cote d'Ivoire）</t>
        </is>
      </c>
      <c r="I793" t="n">
        <v>8</v>
      </c>
      <c r="J793" t="inlineStr">
        <is>
          <t>PCGH779 - Tree Planting Project (3) (Proforest Limited(PCUK GBP))</t>
        </is>
      </c>
      <c r="L793" t="b">
        <v>1</v>
      </c>
      <c r="M793" t="inlineStr">
        <is>
          <t>Billed at a Fixed price</t>
        </is>
      </c>
      <c r="N793" s="6">
        <f>IF(B793="","",IF(ISNUMBER(B793),TEXT(B793,"YYYY-MM"),LEFT(B793,7)))</f>
        <v/>
      </c>
    </row>
    <row r="794">
      <c r="A794" t="inlineStr">
        <is>
          <t>Helena Tetteh</t>
        </is>
      </c>
      <c r="B794" s="4" t="n">
        <v>46147</v>
      </c>
      <c r="C794" t="inlineStr">
        <is>
          <t>/</t>
        </is>
      </c>
      <c r="D794" t="inlineStr">
        <is>
          <t xml:space="preserve">Helena Tetteh </t>
        </is>
      </c>
      <c r="E794" t="inlineStr">
        <is>
          <t>OdooBot</t>
        </is>
      </c>
      <c r="F794" s="5" t="n">
        <v>46154.70721064815</v>
      </c>
      <c r="H794" t="inlineStr">
        <is>
          <t>Non-Billable Tasks</t>
        </is>
      </c>
      <c r="I794" t="n">
        <v>8</v>
      </c>
      <c r="K794" t="inlineStr">
        <is>
          <t>Professional development and Knowledge sharing(training,global knowledge calls,exchange weeks)</t>
        </is>
      </c>
      <c r="L794" t="b">
        <v>0</v>
      </c>
      <c r="M794" t="inlineStr">
        <is>
          <t>Non-Billable</t>
        </is>
      </c>
      <c r="N794" s="6">
        <f>IF(B794="","",IF(ISNUMBER(B794),TEXT(B794,"YYYY-MM"),LEFT(B794,7)))</f>
        <v/>
      </c>
    </row>
    <row r="795">
      <c r="A795" t="inlineStr">
        <is>
          <t>Stephen Doso</t>
        </is>
      </c>
      <c r="B795" s="4" t="n">
        <v>46147</v>
      </c>
      <c r="C795" t="inlineStr">
        <is>
          <t>/</t>
        </is>
      </c>
      <c r="D795" t="inlineStr">
        <is>
          <t>Stephen Doso</t>
        </is>
      </c>
      <c r="E795" t="inlineStr">
        <is>
          <t>OdooBot</t>
        </is>
      </c>
      <c r="F795" s="5" t="n">
        <v>46154.70721064815</v>
      </c>
      <c r="H795" t="inlineStr">
        <is>
          <t>Non-Billable Tasks</t>
        </is>
      </c>
      <c r="I795" t="n">
        <v>8</v>
      </c>
      <c r="K795" t="inlineStr">
        <is>
          <t>Professional development and Knowledge sharing(training,global knowledge calls,exchange weeks)</t>
        </is>
      </c>
      <c r="L795" t="b">
        <v>0</v>
      </c>
      <c r="M795" t="inlineStr">
        <is>
          <t>Non-Billable</t>
        </is>
      </c>
      <c r="N795" s="6">
        <f>IF(B795="","",IF(ISNUMBER(B795),TEXT(B795,"YYYY-MM"),LEFT(B795,7)))</f>
        <v/>
      </c>
    </row>
    <row r="796">
      <c r="A796" t="inlineStr">
        <is>
          <t>Abel Ansu</t>
        </is>
      </c>
      <c r="B796" s="4" t="n">
        <v>46147</v>
      </c>
      <c r="C796" t="inlineStr">
        <is>
          <t>Joined the lining and pegging team of Bia Tano forest reserve to monitor ongoing activities</t>
        </is>
      </c>
      <c r="D796" t="inlineStr">
        <is>
          <t>Abel Ansu</t>
        </is>
      </c>
      <c r="E796" t="inlineStr">
        <is>
          <t>OdooBot</t>
        </is>
      </c>
      <c r="F796" s="5" t="n">
        <v>46154.70721064815</v>
      </c>
      <c r="H796" t="inlineStr">
        <is>
          <t>Internal</t>
        </is>
      </c>
      <c r="I796" t="n">
        <v>8</v>
      </c>
      <c r="K796" t="inlineStr">
        <is>
          <t>Monitored lining and pegging team for MTS</t>
        </is>
      </c>
      <c r="L796" t="b">
        <v>0</v>
      </c>
      <c r="M796" t="inlineStr">
        <is>
          <t>Non-Billable</t>
        </is>
      </c>
      <c r="N796" s="6">
        <f>IF(B796="","",IF(ISNUMBER(B796),TEXT(B796,"YYYY-MM"),LEFT(B796,7)))</f>
        <v/>
      </c>
    </row>
    <row r="797">
      <c r="A797" t="inlineStr">
        <is>
          <t>Daleba Bernard Kpenahi Raymond</t>
        </is>
      </c>
      <c r="B797" s="4" t="n">
        <v>46147</v>
      </c>
      <c r="C797" t="inlineStr">
        <is>
          <t>/</t>
        </is>
      </c>
      <c r="D797" t="inlineStr">
        <is>
          <t>Daleba Bernard Kpenahi Raymond</t>
        </is>
      </c>
      <c r="E797" t="inlineStr">
        <is>
          <t>Michael Anim</t>
        </is>
      </c>
      <c r="F797" s="5" t="n">
        <v>46163.5303125</v>
      </c>
      <c r="H797" t="inlineStr">
        <is>
          <t>PCGH779 - Cote d'Ivoire）</t>
        </is>
      </c>
      <c r="I797" t="n">
        <v>8</v>
      </c>
      <c r="J797" t="inlineStr">
        <is>
          <t>PCGH779 - Tree Planting Project (3) (Proforest Limited(PCUK GBP))</t>
        </is>
      </c>
      <c r="L797" t="b">
        <v>1</v>
      </c>
      <c r="M797" t="inlineStr">
        <is>
          <t>Billed at a Fixed price</t>
        </is>
      </c>
      <c r="N797" s="6">
        <f>IF(B797="","",IF(ISNUMBER(B797),TEXT(B797,"YYYY-MM"),LEFT(B797,7)))</f>
        <v/>
      </c>
    </row>
    <row r="798">
      <c r="A798" t="inlineStr">
        <is>
          <t>Afua Serwah Akoto Prempeh</t>
        </is>
      </c>
      <c r="B798" s="4" t="n">
        <v>46146</v>
      </c>
      <c r="C798" t="inlineStr">
        <is>
          <t>/</t>
        </is>
      </c>
      <c r="D798" t="inlineStr">
        <is>
          <t>Afua Serwah Akoto Prempeh</t>
        </is>
      </c>
      <c r="E798" t="inlineStr">
        <is>
          <t>Afua Serwah Akoto Prempeh</t>
        </is>
      </c>
      <c r="F798" s="5" t="n">
        <v>46188.49982638889</v>
      </c>
      <c r="H798" t="inlineStr">
        <is>
          <t>Non-Billable Tasks</t>
        </is>
      </c>
      <c r="I798" t="n">
        <v>4</v>
      </c>
      <c r="L798" t="b">
        <v>0</v>
      </c>
      <c r="M798" t="inlineStr">
        <is>
          <t>Non-Billable</t>
        </is>
      </c>
      <c r="N798" s="6">
        <f>IF(B798="","",IF(ISNUMBER(B798),TEXT(B798,"YYYY-MM"),LEFT(B798,7)))</f>
        <v/>
      </c>
    </row>
    <row r="799">
      <c r="A799" t="inlineStr">
        <is>
          <t>Afua Serwah Akoto Prempeh</t>
        </is>
      </c>
      <c r="B799" s="4" t="n">
        <v>46146</v>
      </c>
      <c r="C799" t="inlineStr">
        <is>
          <t>/</t>
        </is>
      </c>
      <c r="D799" t="inlineStr">
        <is>
          <t>Afua Serwah Akoto Prempeh</t>
        </is>
      </c>
      <c r="E799" t="inlineStr">
        <is>
          <t>Afua Serwah Akoto Prempeh</t>
        </is>
      </c>
      <c r="F799" s="5" t="n">
        <v>46188.43582175926</v>
      </c>
      <c r="H799" t="inlineStr">
        <is>
          <t>Business and Project Management Training</t>
        </is>
      </c>
      <c r="I799" t="n">
        <v>4</v>
      </c>
      <c r="L799" t="b">
        <v>1</v>
      </c>
      <c r="M799" t="inlineStr">
        <is>
          <t>Non-Billable</t>
        </is>
      </c>
      <c r="N799" s="6">
        <f>IF(B799="","",IF(ISNUMBER(B799),TEXT(B799,"YYYY-MM"),LEFT(B799,7)))</f>
        <v/>
      </c>
    </row>
    <row r="800">
      <c r="A800" t="inlineStr">
        <is>
          <t>Mawuse Agblobi</t>
        </is>
      </c>
      <c r="B800" s="4" t="n">
        <v>46146</v>
      </c>
      <c r="C800" t="inlineStr">
        <is>
          <t>Time Off (6/8)</t>
        </is>
      </c>
      <c r="D800" t="inlineStr">
        <is>
          <t>Augustus Asamoah</t>
        </is>
      </c>
      <c r="E800" t="inlineStr">
        <is>
          <t>Mawuse Agblobi</t>
        </is>
      </c>
      <c r="F800" s="5" t="n">
        <v>46174.89994212963</v>
      </c>
      <c r="H800" t="inlineStr">
        <is>
          <t>Internal</t>
        </is>
      </c>
      <c r="I800" t="n">
        <v>8</v>
      </c>
      <c r="K800" t="inlineStr">
        <is>
          <t>Time Off</t>
        </is>
      </c>
      <c r="L800" t="b">
        <v>0</v>
      </c>
      <c r="M800" t="inlineStr">
        <is>
          <t>Non-Billable</t>
        </is>
      </c>
      <c r="N800" s="6">
        <f>IF(B800="","",IF(ISNUMBER(B800),TEXT(B800,"YYYY-MM"),LEFT(B800,7)))</f>
        <v/>
      </c>
    </row>
    <row r="801">
      <c r="A801" t="inlineStr">
        <is>
          <t>Clement Obeng-Manu</t>
        </is>
      </c>
      <c r="B801" s="4" t="n">
        <v>46146</v>
      </c>
      <c r="C801" t="inlineStr">
        <is>
          <t>/</t>
        </is>
      </c>
      <c r="D801" t="inlineStr">
        <is>
          <t>Clement Obeng-Manu</t>
        </is>
      </c>
      <c r="E801" t="inlineStr">
        <is>
          <t>Clement Obeng-Manu</t>
        </is>
      </c>
      <c r="F801" s="5" t="n">
        <v>46173.76615740741</v>
      </c>
      <c r="G801" t="inlineStr">
        <is>
          <t>Reporting</t>
        </is>
      </c>
      <c r="H801" t="inlineStr">
        <is>
          <t>PCGH777</t>
        </is>
      </c>
      <c r="I801" t="n">
        <v>8</v>
      </c>
      <c r="J801" t="inlineStr">
        <is>
          <t>PCGH777 - Reporting (3) (Proforest Limited(PCUK GBP))</t>
        </is>
      </c>
      <c r="K801" t="inlineStr">
        <is>
          <t>Reporting</t>
        </is>
      </c>
      <c r="L801" t="b">
        <v>1</v>
      </c>
      <c r="M801" t="inlineStr">
        <is>
          <t>Billed at a Fixed price</t>
        </is>
      </c>
      <c r="N801" s="6">
        <f>IF(B801="","",IF(ISNUMBER(B801),TEXT(B801,"YYYY-MM"),LEFT(B801,7)))</f>
        <v/>
      </c>
    </row>
    <row r="802">
      <c r="A802" t="inlineStr">
        <is>
          <t>Clement Obeng-Manu</t>
        </is>
      </c>
      <c r="B802" s="4" t="n">
        <v>46146</v>
      </c>
      <c r="C802" t="inlineStr">
        <is>
          <t>Field work</t>
        </is>
      </c>
      <c r="D802" t="inlineStr">
        <is>
          <t>Clement Obeng-Manu</t>
        </is>
      </c>
      <c r="E802" t="inlineStr">
        <is>
          <t>Clement Obeng-Manu</t>
        </is>
      </c>
      <c r="F802" s="5" t="n">
        <v>46173.7610300926</v>
      </c>
      <c r="H802" t="inlineStr">
        <is>
          <t>PCGH793</t>
        </is>
      </c>
      <c r="I802" t="n">
        <v>0</v>
      </c>
      <c r="L802" t="b">
        <v>1</v>
      </c>
      <c r="M802" t="inlineStr">
        <is>
          <t>Non-Billable</t>
        </is>
      </c>
      <c r="N802" s="6">
        <f>IF(B802="","",IF(ISNUMBER(B802),TEXT(B802,"YYYY-MM"),LEFT(B802,7)))</f>
        <v/>
      </c>
    </row>
    <row r="803">
      <c r="A803" t="inlineStr">
        <is>
          <t>Ekow Nyamekye Tawiah</t>
        </is>
      </c>
      <c r="B803" s="4" t="n">
        <v>46146</v>
      </c>
      <c r="C803" t="inlineStr">
        <is>
          <t>Sick leave</t>
        </is>
      </c>
      <c r="D803" t="inlineStr">
        <is>
          <t>Ekow Nyamekye Tawiah</t>
        </is>
      </c>
      <c r="E803" t="inlineStr">
        <is>
          <t>Ekow Nyamekye Tawiah</t>
        </is>
      </c>
      <c r="F803" s="5" t="n">
        <v>46162.87755787037</v>
      </c>
      <c r="H803" t="inlineStr">
        <is>
          <t>Non-Billable Tasks</t>
        </is>
      </c>
      <c r="I803" t="n">
        <v>4</v>
      </c>
      <c r="K803" t="inlineStr">
        <is>
          <t>Leave</t>
        </is>
      </c>
      <c r="L803" t="b">
        <v>0</v>
      </c>
      <c r="M803" t="inlineStr">
        <is>
          <t>Non-Billable</t>
        </is>
      </c>
      <c r="N803" s="6">
        <f>IF(B803="","",IF(ISNUMBER(B803),TEXT(B803,"YYYY-MM"),LEFT(B803,7)))</f>
        <v/>
      </c>
    </row>
    <row r="804">
      <c r="A804" t="inlineStr">
        <is>
          <t>James Parker Mckeown</t>
        </is>
      </c>
      <c r="B804" s="4" t="n">
        <v>46146</v>
      </c>
      <c r="C804" t="inlineStr">
        <is>
          <t xml:space="preserve">Sick </t>
        </is>
      </c>
      <c r="D804" t="inlineStr">
        <is>
          <t>James Parker Mckeown</t>
        </is>
      </c>
      <c r="E804" t="inlineStr">
        <is>
          <t>James Parker Mckeown</t>
        </is>
      </c>
      <c r="F804" s="5" t="n">
        <v>46162.81625</v>
      </c>
      <c r="H804" t="inlineStr">
        <is>
          <t>Non-Billable Tasks</t>
        </is>
      </c>
      <c r="I804" t="n">
        <v>2</v>
      </c>
      <c r="K804" t="inlineStr">
        <is>
          <t>Leave</t>
        </is>
      </c>
      <c r="L804" t="b">
        <v>0</v>
      </c>
      <c r="M804" t="inlineStr">
        <is>
          <t>Non-Billable</t>
        </is>
      </c>
      <c r="N804" s="6">
        <f>IF(B804="","",IF(ISNUMBER(B804),TEXT(B804,"YYYY-MM"),LEFT(B804,7)))</f>
        <v/>
      </c>
    </row>
    <row r="805">
      <c r="A805" t="inlineStr">
        <is>
          <t>James Parker Mckeown</t>
        </is>
      </c>
      <c r="B805" s="4" t="n">
        <v>46146</v>
      </c>
      <c r="C805" t="inlineStr">
        <is>
          <t xml:space="preserve">PFAFR BRIDGE: Weekly Catch-up
</t>
        </is>
      </c>
      <c r="D805" t="inlineStr">
        <is>
          <t>James Parker Mckeown</t>
        </is>
      </c>
      <c r="E805" t="inlineStr">
        <is>
          <t>James Parker Mckeown</t>
        </is>
      </c>
      <c r="F805" s="5" t="n">
        <v>46162.81528935185</v>
      </c>
      <c r="G805" t="inlineStr">
        <is>
          <t>Output 4</t>
        </is>
      </c>
      <c r="H805" t="inlineStr">
        <is>
          <t>P23AC00C00 - FGMC</t>
        </is>
      </c>
      <c r="I805" t="n">
        <v>2</v>
      </c>
      <c r="K805" t="inlineStr">
        <is>
          <t>P23AC03A00 - Project Management</t>
        </is>
      </c>
      <c r="L805" t="b">
        <v>0</v>
      </c>
      <c r="M805" t="inlineStr">
        <is>
          <t>Non-Billable</t>
        </is>
      </c>
      <c r="N805" s="6">
        <f>IF(B805="","",IF(ISNUMBER(B805),TEXT(B805,"YYYY-MM"),LEFT(B805,7)))</f>
        <v/>
      </c>
    </row>
    <row r="806">
      <c r="A806" t="inlineStr">
        <is>
          <t>James Parker Mckeown</t>
        </is>
      </c>
      <c r="B806" s="4" t="n">
        <v>46146</v>
      </c>
      <c r="C806" t="inlineStr">
        <is>
          <t xml:space="preserve">Y1Q3 reporting </t>
        </is>
      </c>
      <c r="D806" t="inlineStr">
        <is>
          <t>James Parker Mckeown</t>
        </is>
      </c>
      <c r="E806" t="inlineStr">
        <is>
          <t>James Parker Mckeown</t>
        </is>
      </c>
      <c r="F806" s="5" t="n">
        <v>46162.81475694444</v>
      </c>
      <c r="H806" t="inlineStr">
        <is>
          <t>PCGH762 - GVL HCSA Restoration Project</t>
        </is>
      </c>
      <c r="I806" t="n">
        <v>4</v>
      </c>
      <c r="J806" t="inlineStr">
        <is>
          <t>PCGH762 - Desk Review, Stakeholder Mapping &amp; Analysis and Engagement (Golden Veroleum Liberia)</t>
        </is>
      </c>
      <c r="L806" t="b">
        <v>1</v>
      </c>
      <c r="M806" t="inlineStr">
        <is>
          <t>Billed at a Fixed price</t>
        </is>
      </c>
      <c r="N806" s="6">
        <f>IF(B806="","",IF(ISNUMBER(B806),TEXT(B806,"YYYY-MM"),LEFT(B806,7)))</f>
        <v/>
      </c>
    </row>
    <row r="807">
      <c r="A807" t="inlineStr">
        <is>
          <t>Patricia Offei</t>
        </is>
      </c>
      <c r="B807" s="4" t="n">
        <v>46146</v>
      </c>
      <c r="C807" t="inlineStr">
        <is>
          <t>Borotou Site Visit</t>
        </is>
      </c>
      <c r="D807" t="inlineStr">
        <is>
          <t>Patricia Offei</t>
        </is>
      </c>
      <c r="E807" t="inlineStr">
        <is>
          <t>Patricia Offei</t>
        </is>
      </c>
      <c r="F807" s="5" t="n">
        <v>46162.60188657408</v>
      </c>
      <c r="H807" t="inlineStr">
        <is>
          <t>PCGH779 - Cote d'Ivoire）</t>
        </is>
      </c>
      <c r="I807" t="n">
        <v>8</v>
      </c>
      <c r="J807" t="inlineStr">
        <is>
          <t>PCGH779 - Tree Planting Project (3) (Proforest Limited(PCUK GBP))</t>
        </is>
      </c>
      <c r="L807" t="b">
        <v>1</v>
      </c>
      <c r="M807" t="inlineStr">
        <is>
          <t>Billed at a Fixed price</t>
        </is>
      </c>
      <c r="N807" s="6">
        <f>IF(B807="","",IF(ISNUMBER(B807),TEXT(B807,"YYYY-MM"),LEFT(B807,7)))</f>
        <v/>
      </c>
    </row>
    <row r="808">
      <c r="A808" t="inlineStr">
        <is>
          <t>Kingsley Fitz-Gerald Severine</t>
        </is>
      </c>
      <c r="B808" s="4" t="n">
        <v>46146</v>
      </c>
      <c r="C808" t="inlineStr">
        <is>
          <t>/</t>
        </is>
      </c>
      <c r="D808" t="inlineStr">
        <is>
          <t>Kingsley Fitz-Gerald Severine</t>
        </is>
      </c>
      <c r="E808" t="inlineStr">
        <is>
          <t>Kingsley Fitz-Gerald Severine</t>
        </is>
      </c>
      <c r="F808" s="5" t="n">
        <v>46162.56424768519</v>
      </c>
      <c r="G808" t="inlineStr">
        <is>
          <t>Pre-assessment and desk-based review of documents</t>
        </is>
      </c>
      <c r="H808" t="inlineStr">
        <is>
          <t>PCGH785</t>
        </is>
      </c>
      <c r="I808" t="n">
        <v>8</v>
      </c>
      <c r="J808" t="inlineStr">
        <is>
          <t>PCGH785 - Desk Study (3) (Okeosisi Jonathan)</t>
        </is>
      </c>
      <c r="K808" t="inlineStr">
        <is>
          <t>Rapid due diligence</t>
        </is>
      </c>
      <c r="L808" t="b">
        <v>1</v>
      </c>
      <c r="M808" t="inlineStr">
        <is>
          <t>Billed at a Fixed price</t>
        </is>
      </c>
      <c r="N808" s="6">
        <f>IF(B808="","",IF(ISNUMBER(B808),TEXT(B808,"YYYY-MM"),LEFT(B808,7)))</f>
        <v/>
      </c>
    </row>
    <row r="809">
      <c r="A809" t="inlineStr">
        <is>
          <t>Kwadwo Baniako Nti</t>
        </is>
      </c>
      <c r="B809" s="4" t="n">
        <v>46146</v>
      </c>
      <c r="C809" t="inlineStr">
        <is>
          <t>/</t>
        </is>
      </c>
      <c r="D809" t="inlineStr">
        <is>
          <t>Kwadwo Baniako Nti</t>
        </is>
      </c>
      <c r="E809" t="inlineStr">
        <is>
          <t>Kwadwo Baniako Nti</t>
        </is>
      </c>
      <c r="F809" s="5" t="n">
        <v>46161.79732638889</v>
      </c>
      <c r="G809" t="inlineStr">
        <is>
          <t>Training and Capacity Building</t>
        </is>
      </c>
      <c r="H809" t="inlineStr">
        <is>
          <t>PCGH762 - GVL HCSA Restoration Project</t>
        </is>
      </c>
      <c r="I809" t="n">
        <v>2</v>
      </c>
      <c r="J809" t="inlineStr">
        <is>
          <t>PCGH762 - Training and Capacity Building (Golden Veroleum Liberia)</t>
        </is>
      </c>
      <c r="K809" t="inlineStr">
        <is>
          <t>Training and Capacity Building</t>
        </is>
      </c>
      <c r="L809" t="b">
        <v>1</v>
      </c>
      <c r="M809" t="inlineStr">
        <is>
          <t>Billed at a Fixed price</t>
        </is>
      </c>
      <c r="N809" s="6">
        <f>IF(B809="","",IF(ISNUMBER(B809),TEXT(B809,"YYYY-MM"),LEFT(B809,7)))</f>
        <v/>
      </c>
    </row>
    <row r="810">
      <c r="A810" t="inlineStr">
        <is>
          <t>Kwadwo Baniako Nti</t>
        </is>
      </c>
      <c r="B810" s="4" t="n">
        <v>46146</v>
      </c>
      <c r="C810" t="inlineStr">
        <is>
          <t>/</t>
        </is>
      </c>
      <c r="D810" t="inlineStr">
        <is>
          <t>Kwadwo Baniako Nti</t>
        </is>
      </c>
      <c r="E810" t="inlineStr">
        <is>
          <t>Kwadwo Baniako Nti</t>
        </is>
      </c>
      <c r="F810" s="5" t="n">
        <v>46161.79657407408</v>
      </c>
      <c r="G810" t="inlineStr">
        <is>
          <t>Communication and Other Materials</t>
        </is>
      </c>
      <c r="H810" t="inlineStr">
        <is>
          <t>PCGH762 - GVL HCSA Restoration Project</t>
        </is>
      </c>
      <c r="I810" t="n">
        <v>2</v>
      </c>
      <c r="J810" t="inlineStr">
        <is>
          <t>PCGH762 - Communication and Other Materials (Golden Veroleum Liberia)</t>
        </is>
      </c>
      <c r="K810" t="inlineStr">
        <is>
          <t>Communication and Other Materials</t>
        </is>
      </c>
      <c r="L810" t="b">
        <v>1</v>
      </c>
      <c r="M810" t="inlineStr">
        <is>
          <t>Billed at a Fixed price</t>
        </is>
      </c>
      <c r="N810" s="6">
        <f>IF(B810="","",IF(ISNUMBER(B810),TEXT(B810,"YYYY-MM"),LEFT(B810,7)))</f>
        <v/>
      </c>
    </row>
    <row r="811">
      <c r="A811" t="inlineStr">
        <is>
          <t>Kwadwo Baniako Nti</t>
        </is>
      </c>
      <c r="B811" s="4" t="n">
        <v>46146</v>
      </c>
      <c r="C811" t="inlineStr">
        <is>
          <t>/</t>
        </is>
      </c>
      <c r="D811" t="inlineStr">
        <is>
          <t>Kwadwo Baniako Nti</t>
        </is>
      </c>
      <c r="E811" t="inlineStr">
        <is>
          <t>Kwadwo Baniako Nti</t>
        </is>
      </c>
      <c r="F811" s="5" t="n">
        <v>46161.75740740741</v>
      </c>
      <c r="G811" t="inlineStr">
        <is>
          <t>PCGH786 - Site Assessment (3)</t>
        </is>
      </c>
      <c r="H811" t="inlineStr">
        <is>
          <t>PCGH786 - Impact Level Baseline assessment for FGMC</t>
        </is>
      </c>
      <c r="I811" t="n">
        <v>0</v>
      </c>
      <c r="J811" t="inlineStr">
        <is>
          <t>PCGH786 - Site Assessment (3) (NIRAS Group (UK) Ltd)</t>
        </is>
      </c>
      <c r="K811" t="inlineStr">
        <is>
          <t>Site Assessment</t>
        </is>
      </c>
      <c r="L811" t="b">
        <v>1</v>
      </c>
      <c r="M811" t="inlineStr">
        <is>
          <t>Billed at a Fixed price</t>
        </is>
      </c>
      <c r="N811" s="6">
        <f>IF(B811="","",IF(ISNUMBER(B811),TEXT(B811,"YYYY-MM"),LEFT(B811,7)))</f>
        <v/>
      </c>
    </row>
    <row r="812">
      <c r="A812" t="inlineStr">
        <is>
          <t>Kwadwo Baniako Nti</t>
        </is>
      </c>
      <c r="B812" s="4" t="n">
        <v>46146</v>
      </c>
      <c r="C812" t="inlineStr">
        <is>
          <t>/</t>
        </is>
      </c>
      <c r="D812" t="inlineStr">
        <is>
          <t>Kwadwo Baniako Nti</t>
        </is>
      </c>
      <c r="E812" t="inlineStr">
        <is>
          <t>Kwadwo Baniako Nti</t>
        </is>
      </c>
      <c r="F812" s="5" t="n">
        <v>46161.76387731481</v>
      </c>
      <c r="G812" t="inlineStr">
        <is>
          <t>Desk Study (3)</t>
        </is>
      </c>
      <c r="H812" t="inlineStr">
        <is>
          <t>PCGH786 - Impact Level Baseline assessment for FGMC</t>
        </is>
      </c>
      <c r="I812" t="n">
        <v>4</v>
      </c>
      <c r="J812" t="inlineStr">
        <is>
          <t>PCGH786 - Desk Study (3) (NIRAS Group (UK) Ltd)</t>
        </is>
      </c>
      <c r="K812" t="inlineStr">
        <is>
          <t>Desk Study</t>
        </is>
      </c>
      <c r="L812" t="b">
        <v>1</v>
      </c>
      <c r="M812" t="inlineStr">
        <is>
          <t>Billed at a Fixed price</t>
        </is>
      </c>
      <c r="N812" s="6">
        <f>IF(B812="","",IF(ISNUMBER(B812),TEXT(B812,"YYYY-MM"),LEFT(B812,7)))</f>
        <v/>
      </c>
    </row>
    <row r="813">
      <c r="A813" t="inlineStr">
        <is>
          <t>Louis Defo</t>
        </is>
      </c>
      <c r="B813" s="4" t="n">
        <v>46146</v>
      </c>
      <c r="C813" t="inlineStr">
        <is>
          <t>/</t>
        </is>
      </c>
      <c r="D813" t="inlineStr">
        <is>
          <t>Louis Defo</t>
        </is>
      </c>
      <c r="E813" t="inlineStr">
        <is>
          <t>Louis Defo</t>
        </is>
      </c>
      <c r="F813" s="5" t="n">
        <v>46161.3475</v>
      </c>
      <c r="H813" t="inlineStr">
        <is>
          <t>PCGH787</t>
        </is>
      </c>
      <c r="I813" t="n">
        <v>8</v>
      </c>
      <c r="J813" t="inlineStr">
        <is>
          <t>PCGH787 - Desk Study (3) (Proforest Limited(PCUK GBP))</t>
        </is>
      </c>
      <c r="L813" t="b">
        <v>1</v>
      </c>
      <c r="M813" t="inlineStr">
        <is>
          <t>Billed at a Fixed price</t>
        </is>
      </c>
      <c r="N813" s="6">
        <f>IF(B813="","",IF(ISNUMBER(B813),TEXT(B813,"YYYY-MM"),LEFT(B813,7)))</f>
        <v/>
      </c>
    </row>
    <row r="814">
      <c r="A814" t="inlineStr">
        <is>
          <t>Frederick Antwi</t>
        </is>
      </c>
      <c r="B814" s="4" t="n">
        <v>46146</v>
      </c>
      <c r="C814" t="inlineStr">
        <is>
          <t>/</t>
        </is>
      </c>
      <c r="D814" t="inlineStr">
        <is>
          <t>Frederick Antwi</t>
        </is>
      </c>
      <c r="E814" t="inlineStr">
        <is>
          <t>Frederick Antwi</t>
        </is>
      </c>
      <c r="F814" s="5" t="n">
        <v>46160.64114583333</v>
      </c>
      <c r="H814" t="inlineStr">
        <is>
          <t>PCGH774 -Evaluation Deep-Dive Action Plans by Socfin Group</t>
        </is>
      </c>
      <c r="I814" t="n">
        <v>0</v>
      </c>
      <c r="J814" t="inlineStr">
        <is>
          <t>PCGH774 - Project Management (2) (Socfinco FR SA)</t>
        </is>
      </c>
      <c r="L814" t="b">
        <v>1</v>
      </c>
      <c r="M814" t="inlineStr">
        <is>
          <t>Billed at a Fixed price</t>
        </is>
      </c>
      <c r="N814" s="6">
        <f>IF(B814="","",IF(ISNUMBER(B814),TEXT(B814,"YYYY-MM"),LEFT(B814,7)))</f>
        <v/>
      </c>
    </row>
    <row r="815">
      <c r="A815" t="inlineStr">
        <is>
          <t>Frederick Antwi</t>
        </is>
      </c>
      <c r="B815" s="4" t="n">
        <v>46146</v>
      </c>
      <c r="C815" t="inlineStr">
        <is>
          <t>/</t>
        </is>
      </c>
      <c r="D815" t="inlineStr">
        <is>
          <t>Frederick Antwi</t>
        </is>
      </c>
      <c r="E815" t="inlineStr">
        <is>
          <t>Frederick Antwi</t>
        </is>
      </c>
      <c r="F815" s="5" t="n">
        <v>46160.64050925926</v>
      </c>
      <c r="H815" t="inlineStr">
        <is>
          <t>PCGH768</t>
        </is>
      </c>
      <c r="I815" t="n">
        <v>8</v>
      </c>
      <c r="L815" t="b">
        <v>1</v>
      </c>
      <c r="M815" t="inlineStr">
        <is>
          <t>Non-Billable</t>
        </is>
      </c>
      <c r="N815" s="6">
        <f>IF(B815="","",IF(ISNUMBER(B815),TEXT(B815,"YYYY-MM"),LEFT(B815,7)))</f>
        <v/>
      </c>
    </row>
    <row r="816">
      <c r="A816" t="inlineStr">
        <is>
          <t>Frederick Antwi</t>
        </is>
      </c>
      <c r="B816" s="4" t="n">
        <v>46146</v>
      </c>
      <c r="C816" t="inlineStr">
        <is>
          <t>/</t>
        </is>
      </c>
      <c r="D816" t="inlineStr">
        <is>
          <t>Frederick Antwi</t>
        </is>
      </c>
      <c r="E816" t="inlineStr">
        <is>
          <t>Frederick Antwi</t>
        </is>
      </c>
      <c r="F816" s="5" t="n">
        <v>46160.64012731481</v>
      </c>
      <c r="H816" t="inlineStr">
        <is>
          <t>P13PC00A00 - Private Sector Companies</t>
        </is>
      </c>
      <c r="I816" t="n">
        <v>0</v>
      </c>
      <c r="L816" t="b">
        <v>0</v>
      </c>
      <c r="M816" t="inlineStr">
        <is>
          <t>Non-Billable</t>
        </is>
      </c>
      <c r="N816" s="6">
        <f>IF(B816="","",IF(ISNUMBER(B816),TEXT(B816,"YYYY-MM"),LEFT(B816,7)))</f>
        <v/>
      </c>
    </row>
    <row r="817">
      <c r="A817" t="inlineStr">
        <is>
          <t>Augustus Asamoah</t>
        </is>
      </c>
      <c r="B817" s="4" t="n">
        <v>46146</v>
      </c>
      <c r="C817" t="inlineStr">
        <is>
          <t xml:space="preserve">Brazil Visa </t>
        </is>
      </c>
      <c r="D817" t="inlineStr">
        <is>
          <t>Augustus Asamoah</t>
        </is>
      </c>
      <c r="E817" t="inlineStr">
        <is>
          <t>Augustus Asamoah</t>
        </is>
      </c>
      <c r="F817" s="5" t="n">
        <v>46156.70119212963</v>
      </c>
      <c r="H817" t="inlineStr">
        <is>
          <t>Non-Billable Tasks</t>
        </is>
      </c>
      <c r="I817" t="n">
        <v>0</v>
      </c>
      <c r="L817" t="b">
        <v>0</v>
      </c>
      <c r="M817" t="inlineStr">
        <is>
          <t>Non-Billable</t>
        </is>
      </c>
      <c r="N817" s="6">
        <f>IF(B817="","",IF(ISNUMBER(B817),TEXT(B817,"YYYY-MM"),LEFT(B817,7)))</f>
        <v/>
      </c>
    </row>
    <row r="818">
      <c r="A818" t="inlineStr">
        <is>
          <t>Augustus Asamoah</t>
        </is>
      </c>
      <c r="B818" s="4" t="n">
        <v>46146</v>
      </c>
      <c r="C818" t="inlineStr">
        <is>
          <t>Reporting</t>
        </is>
      </c>
      <c r="D818" t="inlineStr">
        <is>
          <t>Augustus Asamoah</t>
        </is>
      </c>
      <c r="E818" t="inlineStr">
        <is>
          <t>Augustus Asamoah</t>
        </is>
      </c>
      <c r="F818" s="5" t="n">
        <v>46156.70048611111</v>
      </c>
      <c r="H818" t="inlineStr">
        <is>
          <t>PCGH784</t>
        </is>
      </c>
      <c r="I818" t="n">
        <v>0</v>
      </c>
      <c r="J818" t="inlineStr">
        <is>
          <t>PCGH784 - Desk Study (3) (Okeosisi Jonathan)</t>
        </is>
      </c>
      <c r="L818" t="b">
        <v>1</v>
      </c>
      <c r="M818" t="inlineStr">
        <is>
          <t>Billed at a Fixed price</t>
        </is>
      </c>
      <c r="N818" s="6">
        <f>IF(B818="","",IF(ISNUMBER(B818),TEXT(B818,"YYYY-MM"),LEFT(B818,7)))</f>
        <v/>
      </c>
    </row>
    <row r="819">
      <c r="A819" t="inlineStr">
        <is>
          <t>Augustus Asamoah</t>
        </is>
      </c>
      <c r="B819" s="4" t="n">
        <v>46146</v>
      </c>
      <c r="C819" t="inlineStr">
        <is>
          <t>/</t>
        </is>
      </c>
      <c r="D819" t="inlineStr">
        <is>
          <t>Augustus Asamoah</t>
        </is>
      </c>
      <c r="E819" t="inlineStr">
        <is>
          <t>Augustus Asamoah</t>
        </is>
      </c>
      <c r="F819" s="5" t="n">
        <v>46156.69967592593</v>
      </c>
      <c r="H819" t="inlineStr">
        <is>
          <t>P13PC00A00 - Private Sector Companies</t>
        </is>
      </c>
      <c r="I819" t="n">
        <v>0</v>
      </c>
      <c r="L819" t="b">
        <v>0</v>
      </c>
      <c r="M819" t="inlineStr">
        <is>
          <t>Non-Billable</t>
        </is>
      </c>
      <c r="N819" s="6">
        <f>IF(B819="","",IF(ISNUMBER(B819),TEXT(B819,"YYYY-MM"),LEFT(B819,7)))</f>
        <v/>
      </c>
    </row>
    <row r="820">
      <c r="A820" t="inlineStr">
        <is>
          <t>Augustus Asamoah</t>
        </is>
      </c>
      <c r="B820" s="4" t="n">
        <v>46146</v>
      </c>
      <c r="C820" t="inlineStr">
        <is>
          <t>/</t>
        </is>
      </c>
      <c r="D820" t="inlineStr">
        <is>
          <t>Augustus Asamoah</t>
        </is>
      </c>
      <c r="E820" t="inlineStr">
        <is>
          <t>Augustus Asamoah</t>
        </is>
      </c>
      <c r="F820" s="5" t="n">
        <v>46156.69956018519</v>
      </c>
      <c r="H820" t="inlineStr">
        <is>
          <t>P13NC00A00 - WALMART II</t>
        </is>
      </c>
      <c r="I820" t="n">
        <v>0</v>
      </c>
      <c r="L820" t="b">
        <v>0</v>
      </c>
      <c r="M820" t="inlineStr">
        <is>
          <t>Non-Billable</t>
        </is>
      </c>
      <c r="N820" s="6">
        <f>IF(B820="","",IF(ISNUMBER(B820),TEXT(B820,"YYYY-MM"),LEFT(B820,7)))</f>
        <v/>
      </c>
    </row>
    <row r="821">
      <c r="A821" t="inlineStr">
        <is>
          <t>Augustus Asamoah</t>
        </is>
      </c>
      <c r="B821" s="4" t="n">
        <v>46146</v>
      </c>
      <c r="C821" t="inlineStr">
        <is>
          <t>/</t>
        </is>
      </c>
      <c r="D821" t="inlineStr">
        <is>
          <t>Augustus Asamoah</t>
        </is>
      </c>
      <c r="E821" t="inlineStr">
        <is>
          <t>Augustus Asamoah</t>
        </is>
      </c>
      <c r="F821" s="5" t="n">
        <v>46156.69943287037</v>
      </c>
      <c r="H821" t="inlineStr">
        <is>
          <t>P13QC00A00 - EFI Programme</t>
        </is>
      </c>
      <c r="I821" t="n">
        <v>0</v>
      </c>
      <c r="L821" t="b">
        <v>0</v>
      </c>
      <c r="M821" t="inlineStr">
        <is>
          <t>Non-Billable</t>
        </is>
      </c>
      <c r="N821" s="6">
        <f>IF(B821="","",IF(ISNUMBER(B821),TEXT(B821,"YYYY-MM"),LEFT(B821,7)))</f>
        <v/>
      </c>
    </row>
    <row r="822">
      <c r="A822" t="inlineStr">
        <is>
          <t>Augustus Asamoah</t>
        </is>
      </c>
      <c r="B822" s="4" t="n">
        <v>46146</v>
      </c>
      <c r="C822" t="inlineStr">
        <is>
          <t>Annual leave</t>
        </is>
      </c>
      <c r="D822" t="inlineStr">
        <is>
          <t>Augustus Asamoah</t>
        </is>
      </c>
      <c r="E822" t="inlineStr">
        <is>
          <t>Augustus Asamoah</t>
        </is>
      </c>
      <c r="F822" s="5" t="n">
        <v>46156.69752314815</v>
      </c>
      <c r="H822" t="inlineStr">
        <is>
          <t>Non-Billable Tasks</t>
        </is>
      </c>
      <c r="I822" t="n">
        <v>8</v>
      </c>
      <c r="L822" t="b">
        <v>0</v>
      </c>
      <c r="M822" t="inlineStr">
        <is>
          <t>Non-Billable</t>
        </is>
      </c>
      <c r="N822" s="6">
        <f>IF(B822="","",IF(ISNUMBER(B822),TEXT(B822,"YYYY-MM"),LEFT(B822,7)))</f>
        <v/>
      </c>
    </row>
    <row r="823">
      <c r="A823" t="inlineStr">
        <is>
          <t>Soro TCHEREGNIMIN</t>
        </is>
      </c>
      <c r="B823" s="4" t="n">
        <v>46146</v>
      </c>
      <c r="C823" t="inlineStr">
        <is>
          <t>Sucrivoire Field visit (Borotou)</t>
        </is>
      </c>
      <c r="D823" t="inlineStr">
        <is>
          <t>Soro TCHEREGNIMIN</t>
        </is>
      </c>
      <c r="E823" t="inlineStr">
        <is>
          <t>Michael Anim</t>
        </is>
      </c>
      <c r="F823" s="5" t="n">
        <v>46163.53033564815</v>
      </c>
      <c r="H823" t="inlineStr">
        <is>
          <t>PCGH779 - Cote d'Ivoire）</t>
        </is>
      </c>
      <c r="I823" t="n">
        <v>8</v>
      </c>
      <c r="J823" t="inlineStr">
        <is>
          <t>PCGH779 - Tree Planting Project (3) (Proforest Limited(PCUK GBP))</t>
        </is>
      </c>
      <c r="L823" t="b">
        <v>1</v>
      </c>
      <c r="M823" t="inlineStr">
        <is>
          <t>Billed at a Fixed price</t>
        </is>
      </c>
      <c r="N823" s="6">
        <f>IF(B823="","",IF(ISNUMBER(B823),TEXT(B823,"YYYY-MM"),LEFT(B823,7)))</f>
        <v/>
      </c>
    </row>
    <row r="824">
      <c r="A824" t="inlineStr">
        <is>
          <t>Helena Tetteh</t>
        </is>
      </c>
      <c r="B824" s="4" t="n">
        <v>46146</v>
      </c>
      <c r="C824" t="inlineStr">
        <is>
          <t>RSPO PnC 2024 TTT, Cape coast</t>
        </is>
      </c>
      <c r="D824" t="inlineStr">
        <is>
          <t xml:space="preserve">Helena Tetteh </t>
        </is>
      </c>
      <c r="E824" t="inlineStr">
        <is>
          <t>OdooBot</t>
        </is>
      </c>
      <c r="F824" s="5" t="n">
        <v>46154.70721064815</v>
      </c>
      <c r="H824" t="inlineStr">
        <is>
          <t>Non-Billable Tasks</t>
        </is>
      </c>
      <c r="I824" t="n">
        <v>8</v>
      </c>
      <c r="K824" t="inlineStr">
        <is>
          <t>Professional development and Knowledge sharing(training,global knowledge calls,exchange weeks)</t>
        </is>
      </c>
      <c r="L824" t="b">
        <v>0</v>
      </c>
      <c r="M824" t="inlineStr">
        <is>
          <t>Non-Billable</t>
        </is>
      </c>
      <c r="N824" s="6">
        <f>IF(B824="","",IF(ISNUMBER(B824),TEXT(B824,"YYYY-MM"),LEFT(B824,7)))</f>
        <v/>
      </c>
    </row>
    <row r="825">
      <c r="A825" t="inlineStr">
        <is>
          <t>Stephen Doso</t>
        </is>
      </c>
      <c r="B825" s="4" t="n">
        <v>46146</v>
      </c>
      <c r="C825" t="inlineStr">
        <is>
          <t>RSPO P&amp;C 2024 TTT</t>
        </is>
      </c>
      <c r="D825" t="inlineStr">
        <is>
          <t>Stephen Doso</t>
        </is>
      </c>
      <c r="E825" t="inlineStr">
        <is>
          <t>OdooBot</t>
        </is>
      </c>
      <c r="F825" s="5" t="n">
        <v>46154.70721064815</v>
      </c>
      <c r="H825" t="inlineStr">
        <is>
          <t>Non-Billable Tasks</t>
        </is>
      </c>
      <c r="I825" t="n">
        <v>8</v>
      </c>
      <c r="K825" t="inlineStr">
        <is>
          <t>Professional development and Knowledge sharing(training,global knowledge calls,exchange weeks)</t>
        </is>
      </c>
      <c r="L825" t="b">
        <v>0</v>
      </c>
      <c r="M825" t="inlineStr">
        <is>
          <t>Non-Billable</t>
        </is>
      </c>
      <c r="N825" s="6">
        <f>IF(B825="","",IF(ISNUMBER(B825),TEXT(B825,"YYYY-MM"),LEFT(B825,7)))</f>
        <v/>
      </c>
    </row>
    <row r="826">
      <c r="A826" t="inlineStr">
        <is>
          <t>Abel Ansu</t>
        </is>
      </c>
      <c r="B826" s="4" t="n">
        <v>46146</v>
      </c>
      <c r="C826" t="inlineStr">
        <is>
          <t>Monitored on-farm trees at Owusukrom and Twabidi in the Asutifi South district. Also visited the Dadiesoaba Rural Service Center to check its state</t>
        </is>
      </c>
      <c r="D826" t="inlineStr">
        <is>
          <t>Abel Ansu</t>
        </is>
      </c>
      <c r="E826" t="inlineStr">
        <is>
          <t>OdooBot</t>
        </is>
      </c>
      <c r="F826" s="5" t="n">
        <v>46154.70721064815</v>
      </c>
      <c r="H826" t="inlineStr">
        <is>
          <t>Internal</t>
        </is>
      </c>
      <c r="I826" t="n">
        <v>8</v>
      </c>
      <c r="K826" t="inlineStr">
        <is>
          <t>Monitoring of cocoa agroforestry</t>
        </is>
      </c>
      <c r="L826" t="b">
        <v>0</v>
      </c>
      <c r="M826" t="inlineStr">
        <is>
          <t>Non-Billable</t>
        </is>
      </c>
      <c r="N826" s="6">
        <f>IF(B826="","",IF(ISNUMBER(B826),TEXT(B826,"YYYY-MM"),LEFT(B826,7)))</f>
        <v/>
      </c>
    </row>
    <row r="827">
      <c r="A827" t="inlineStr">
        <is>
          <t>Daleba Bernard Kpenahi Raymond</t>
        </is>
      </c>
      <c r="B827" s="4" t="n">
        <v>46146</v>
      </c>
      <c r="C827" t="inlineStr">
        <is>
          <t>/</t>
        </is>
      </c>
      <c r="D827" t="inlineStr">
        <is>
          <t>Daleba Bernard Kpenahi Raymond</t>
        </is>
      </c>
      <c r="E827" t="inlineStr">
        <is>
          <t>Michael Anim</t>
        </is>
      </c>
      <c r="F827" s="5" t="n">
        <v>46163.5303587963</v>
      </c>
      <c r="H827" t="inlineStr">
        <is>
          <t>PCGH779 - Cote d'Ivoire）</t>
        </is>
      </c>
      <c r="I827" t="n">
        <v>8</v>
      </c>
      <c r="J827" t="inlineStr">
        <is>
          <t>PCGH779 - Tree Planting Project (3) (Proforest Limited(PCUK GBP))</t>
        </is>
      </c>
      <c r="L827" t="b">
        <v>1</v>
      </c>
      <c r="M827" t="inlineStr">
        <is>
          <t>Billed at a Fixed price</t>
        </is>
      </c>
      <c r="N827" s="6">
        <f>IF(B827="","",IF(ISNUMBER(B827),TEXT(B827,"YYYY-MM"),LEFT(B827,7)))</f>
        <v/>
      </c>
    </row>
    <row r="828">
      <c r="A828" t="inlineStr">
        <is>
          <t>Afua Serwah Akoto Prempeh</t>
        </is>
      </c>
      <c r="B828" s="4" t="n">
        <v>46143</v>
      </c>
      <c r="C828" t="inlineStr">
        <is>
          <t xml:space="preserve">Development of Hershey's Nigeria Scope and Budget </t>
        </is>
      </c>
      <c r="D828" t="inlineStr">
        <is>
          <t>Afua Serwah Akoto Prempeh</t>
        </is>
      </c>
      <c r="E828" t="inlineStr">
        <is>
          <t>Afua Serwah Akoto Prempeh</t>
        </is>
      </c>
      <c r="F828" s="5" t="n">
        <v>46188.47438657407</v>
      </c>
      <c r="H828" t="inlineStr">
        <is>
          <t>Non-Billable Tasks</t>
        </is>
      </c>
      <c r="I828" t="n">
        <v>0</v>
      </c>
      <c r="K828" t="inlineStr">
        <is>
          <t>Business Development and Networking</t>
        </is>
      </c>
      <c r="L828" t="b">
        <v>0</v>
      </c>
      <c r="M828" t="inlineStr">
        <is>
          <t>Non-Billable</t>
        </is>
      </c>
      <c r="N828" s="6">
        <f>IF(B828="","",IF(ISNUMBER(B828),TEXT(B828,"YYYY-MM"),LEFT(B828,7)))</f>
        <v/>
      </c>
    </row>
    <row r="829">
      <c r="A829" t="inlineStr">
        <is>
          <t>Afua Serwah Akoto Prempeh</t>
        </is>
      </c>
      <c r="B829" s="4" t="n">
        <v>46143</v>
      </c>
      <c r="C829" t="inlineStr">
        <is>
          <t xml:space="preserve">Development of Harvard Debrief Material on Power and Strategic Measurement. Update on Project Management component of the BST to be held. </t>
        </is>
      </c>
      <c r="D829" t="inlineStr">
        <is>
          <t>Afua Serwah Akoto Prempeh</t>
        </is>
      </c>
      <c r="E829" t="inlineStr">
        <is>
          <t>Afua Serwah Akoto Prempeh</t>
        </is>
      </c>
      <c r="F829" s="5" t="n">
        <v>46188.44109953703</v>
      </c>
      <c r="H829" t="inlineStr">
        <is>
          <t>Non-Billable Tasks</t>
        </is>
      </c>
      <c r="I829" t="n">
        <v>0</v>
      </c>
      <c r="K829" t="inlineStr">
        <is>
          <t>Staff Meetings (Quartely Staff Meetings, Adhoc meetings, Welfare)</t>
        </is>
      </c>
      <c r="L829" t="b">
        <v>0</v>
      </c>
      <c r="M829" t="inlineStr">
        <is>
          <t>Non-Billable</t>
        </is>
      </c>
      <c r="N829" s="6">
        <f>IF(B829="","",IF(ISNUMBER(B829),TEXT(B829,"YYYY-MM"),LEFT(B829,7)))</f>
        <v/>
      </c>
    </row>
    <row r="830">
      <c r="A830" t="inlineStr">
        <is>
          <t>Afua Serwah Akoto Prempeh</t>
        </is>
      </c>
      <c r="B830" s="4" t="n">
        <v>46143</v>
      </c>
      <c r="C830" t="inlineStr">
        <is>
          <t xml:space="preserve">Here, I reviewed the PM component of the training as well as developed scenarios for the Programme Management component of the training. </t>
        </is>
      </c>
      <c r="D830" t="inlineStr">
        <is>
          <t>Afua Serwah Akoto Prempeh</t>
        </is>
      </c>
      <c r="E830" t="inlineStr">
        <is>
          <t>Afua Serwah Akoto Prempeh</t>
        </is>
      </c>
      <c r="F830" s="5" t="n">
        <v>46188.43752314815</v>
      </c>
      <c r="H830" t="inlineStr">
        <is>
          <t>Business and Project Management Training</t>
        </is>
      </c>
      <c r="I830" t="n">
        <v>0</v>
      </c>
      <c r="L830" t="b">
        <v>1</v>
      </c>
      <c r="M830" t="inlineStr">
        <is>
          <t>Non-Billable</t>
        </is>
      </c>
      <c r="N830" s="6">
        <f>IF(B830="","",IF(ISNUMBER(B830),TEXT(B830,"YYYY-MM"),LEFT(B830,7)))</f>
        <v/>
      </c>
    </row>
    <row r="831">
      <c r="A831" t="inlineStr">
        <is>
          <t>Afua Serwah Akoto Prempeh</t>
        </is>
      </c>
      <c r="B831" s="4" t="n">
        <v>46143</v>
      </c>
      <c r="C831" t="inlineStr">
        <is>
          <t xml:space="preserve">This included the review of all materials for the Compelling communications Training as well as calls with Nava and Ali to confirm training Runsheet and structure. </t>
        </is>
      </c>
      <c r="D831" t="inlineStr">
        <is>
          <t>Afua Serwah Akoto Prempeh</t>
        </is>
      </c>
      <c r="E831" t="inlineStr">
        <is>
          <t>Afua Serwah Akoto Prempeh</t>
        </is>
      </c>
      <c r="F831" s="5" t="n">
        <v>46188.4344212963</v>
      </c>
      <c r="H831" t="inlineStr">
        <is>
          <t>Business and Project Management Training</t>
        </is>
      </c>
      <c r="I831" t="n">
        <v>0</v>
      </c>
      <c r="L831" t="b">
        <v>1</v>
      </c>
      <c r="M831" t="inlineStr">
        <is>
          <t>Non-Billable</t>
        </is>
      </c>
      <c r="N831" s="6">
        <f>IF(B831="","",IF(ISNUMBER(B831),TEXT(B831,"YYYY-MM"),LEFT(B831,7)))</f>
        <v/>
      </c>
    </row>
    <row r="832">
      <c r="A832" t="inlineStr">
        <is>
          <t>Afua Serwah Akoto Prempeh</t>
        </is>
      </c>
      <c r="B832" s="4" t="n">
        <v>46143</v>
      </c>
      <c r="C832" t="inlineStr">
        <is>
          <t>/</t>
        </is>
      </c>
      <c r="D832" t="inlineStr">
        <is>
          <t>Afua Serwah Akoto Prempeh</t>
        </is>
      </c>
      <c r="E832" t="inlineStr">
        <is>
          <t>Afua Serwah Akoto Prempeh</t>
        </is>
      </c>
      <c r="F832" s="5" t="n">
        <v>46188.43260416666</v>
      </c>
      <c r="H832" t="inlineStr">
        <is>
          <t>Non-Billable Tasks</t>
        </is>
      </c>
      <c r="I832" t="n">
        <v>8</v>
      </c>
      <c r="K832" t="inlineStr">
        <is>
          <t>Public Holiday</t>
        </is>
      </c>
      <c r="L832" t="b">
        <v>0</v>
      </c>
      <c r="M832" t="inlineStr">
        <is>
          <t>Non-Billable</t>
        </is>
      </c>
      <c r="N832" s="6">
        <f>IF(B832="","",IF(ISNUMBER(B832),TEXT(B832,"YYYY-MM"),LEFT(B832,7)))</f>
        <v/>
      </c>
    </row>
    <row r="833">
      <c r="A833" t="inlineStr">
        <is>
          <t>Mawuse Agblobi</t>
        </is>
      </c>
      <c r="B833" s="4" t="n">
        <v>46143</v>
      </c>
      <c r="C833" t="inlineStr">
        <is>
          <t>Time Off (5/8)</t>
        </is>
      </c>
      <c r="D833" t="inlineStr">
        <is>
          <t>Augustus Asamoah</t>
        </is>
      </c>
      <c r="E833" t="inlineStr">
        <is>
          <t>Mawuse Agblobi</t>
        </is>
      </c>
      <c r="F833" s="5" t="n">
        <v>46174.89994212963</v>
      </c>
      <c r="H833" t="inlineStr">
        <is>
          <t>Internal</t>
        </is>
      </c>
      <c r="I833" t="n">
        <v>8</v>
      </c>
      <c r="K833" t="inlineStr">
        <is>
          <t>Time Off</t>
        </is>
      </c>
      <c r="L833" t="b">
        <v>0</v>
      </c>
      <c r="M833" t="inlineStr">
        <is>
          <t>Non-Billable</t>
        </is>
      </c>
      <c r="N833" s="6">
        <f>IF(B833="","",IF(ISNUMBER(B833),TEXT(B833,"YYYY-MM"),LEFT(B833,7)))</f>
        <v/>
      </c>
    </row>
    <row r="834">
      <c r="A834" t="inlineStr">
        <is>
          <t>Mawuse Agblobi</t>
        </is>
      </c>
      <c r="B834" s="4" t="n">
        <v>46143</v>
      </c>
      <c r="C834" t="inlineStr">
        <is>
          <t>Time Off (4/4)</t>
        </is>
      </c>
      <c r="D834" t="inlineStr">
        <is>
          <t xml:space="preserve">Helena Tetteh </t>
        </is>
      </c>
      <c r="E834" t="inlineStr">
        <is>
          <t>Mawuse Agblobi</t>
        </is>
      </c>
      <c r="F834" s="5" t="n">
        <v>46174.89994212963</v>
      </c>
      <c r="H834" t="inlineStr">
        <is>
          <t>Internal</t>
        </is>
      </c>
      <c r="I834" t="n">
        <v>8</v>
      </c>
      <c r="K834" t="inlineStr">
        <is>
          <t>Time Off</t>
        </is>
      </c>
      <c r="L834" t="b">
        <v>0</v>
      </c>
      <c r="M834" t="inlineStr">
        <is>
          <t>Non-Billable</t>
        </is>
      </c>
      <c r="N834" s="6">
        <f>IF(B834="","",IF(ISNUMBER(B834),TEXT(B834,"YYYY-MM"),LEFT(B834,7)))</f>
        <v/>
      </c>
    </row>
    <row r="835">
      <c r="A835" t="inlineStr">
        <is>
          <t>Clement Obeng-Manu</t>
        </is>
      </c>
      <c r="B835" s="4" t="n">
        <v>46143</v>
      </c>
      <c r="C835" t="inlineStr">
        <is>
          <t>/</t>
        </is>
      </c>
      <c r="D835" t="inlineStr">
        <is>
          <t>Clement Obeng-Manu</t>
        </is>
      </c>
      <c r="E835" t="inlineStr">
        <is>
          <t>Clement Obeng-Manu</t>
        </is>
      </c>
      <c r="F835" s="5" t="n">
        <v>46173.76763888889</v>
      </c>
      <c r="G835" t="inlineStr">
        <is>
          <t>Reporting</t>
        </is>
      </c>
      <c r="H835" t="inlineStr">
        <is>
          <t>PCGH777</t>
        </is>
      </c>
      <c r="I835" t="n">
        <v>8</v>
      </c>
      <c r="J835" t="inlineStr">
        <is>
          <t>PCGH777 - Reporting (3) (Proforest Limited(PCUK GBP))</t>
        </is>
      </c>
      <c r="K835" t="inlineStr">
        <is>
          <t>Reporting</t>
        </is>
      </c>
      <c r="L835" t="b">
        <v>1</v>
      </c>
      <c r="M835" t="inlineStr">
        <is>
          <t>Billed at a Fixed price</t>
        </is>
      </c>
      <c r="N835" s="6">
        <f>IF(B835="","",IF(ISNUMBER(B835),TEXT(B835,"YYYY-MM"),LEFT(B835,7)))</f>
        <v/>
      </c>
    </row>
    <row r="836">
      <c r="A836" t="inlineStr">
        <is>
          <t>Ekow Nyamekye Tawiah</t>
        </is>
      </c>
      <c r="B836" s="4" t="n">
        <v>46143</v>
      </c>
      <c r="C836" t="inlineStr">
        <is>
          <t>/</t>
        </is>
      </c>
      <c r="D836" t="inlineStr">
        <is>
          <t>Ekow Nyamekye Tawiah</t>
        </is>
      </c>
      <c r="E836" t="inlineStr">
        <is>
          <t>Ekow Nyamekye Tawiah</t>
        </is>
      </c>
      <c r="F836" s="5" t="n">
        <v>46162.82793981482</v>
      </c>
      <c r="H836" t="inlineStr">
        <is>
          <t>Non-Billable Tasks</t>
        </is>
      </c>
      <c r="I836" t="n">
        <v>4</v>
      </c>
      <c r="K836" t="inlineStr">
        <is>
          <t>Public Holiday</t>
        </is>
      </c>
      <c r="L836" t="b">
        <v>0</v>
      </c>
      <c r="M836" t="inlineStr">
        <is>
          <t>Non-Billable</t>
        </is>
      </c>
      <c r="N836" s="6">
        <f>IF(B836="","",IF(ISNUMBER(B836),TEXT(B836,"YYYY-MM"),LEFT(B836,7)))</f>
        <v/>
      </c>
    </row>
    <row r="837">
      <c r="A837" t="inlineStr">
        <is>
          <t>James Parker Mckeown</t>
        </is>
      </c>
      <c r="B837" s="4" t="n">
        <v>46143</v>
      </c>
      <c r="C837" t="inlineStr">
        <is>
          <t>May day</t>
        </is>
      </c>
      <c r="D837" t="inlineStr">
        <is>
          <t>James Parker Mckeown</t>
        </is>
      </c>
      <c r="E837" t="inlineStr">
        <is>
          <t>James Parker Mckeown</t>
        </is>
      </c>
      <c r="F837" s="5" t="n">
        <v>46162.80118055556</v>
      </c>
      <c r="H837" t="inlineStr">
        <is>
          <t>Non-Billable Tasks</t>
        </is>
      </c>
      <c r="I837" t="n">
        <v>8</v>
      </c>
      <c r="K837" t="inlineStr">
        <is>
          <t>Public Holiday</t>
        </is>
      </c>
      <c r="L837" t="b">
        <v>0</v>
      </c>
      <c r="M837" t="inlineStr">
        <is>
          <t>Non-Billable</t>
        </is>
      </c>
      <c r="N837" s="6">
        <f>IF(B837="","",IF(ISNUMBER(B837),TEXT(B837,"YYYY-MM"),LEFT(B837,7)))</f>
        <v/>
      </c>
    </row>
    <row r="838">
      <c r="A838" t="inlineStr">
        <is>
          <t>Joseph Isaiah Mensah</t>
        </is>
      </c>
      <c r="B838" s="4" t="n">
        <v>46143</v>
      </c>
      <c r="C838" t="inlineStr">
        <is>
          <t>/</t>
        </is>
      </c>
      <c r="D838" t="inlineStr">
        <is>
          <t>Joseph Isaiah Mensah</t>
        </is>
      </c>
      <c r="E838" t="inlineStr">
        <is>
          <t>Joseph Isaiah Mensah</t>
        </is>
      </c>
      <c r="F838" s="5" t="n">
        <v>46162.78787037037</v>
      </c>
      <c r="H838" t="inlineStr">
        <is>
          <t>Non-Billable Tasks</t>
        </is>
      </c>
      <c r="I838" t="n">
        <v>8</v>
      </c>
      <c r="K838" t="inlineStr">
        <is>
          <t>Public Holiday</t>
        </is>
      </c>
      <c r="L838" t="b">
        <v>0</v>
      </c>
      <c r="M838" t="inlineStr">
        <is>
          <t>Non-Billable</t>
        </is>
      </c>
      <c r="N838" s="6">
        <f>IF(B838="","",IF(ISNUMBER(B838),TEXT(B838,"YYYY-MM"),LEFT(B838,7)))</f>
        <v/>
      </c>
    </row>
    <row r="839">
      <c r="A839" t="inlineStr">
        <is>
          <t>Patricia Offei</t>
        </is>
      </c>
      <c r="B839" s="4" t="n">
        <v>46143</v>
      </c>
      <c r="C839" t="inlineStr">
        <is>
          <t>/</t>
        </is>
      </c>
      <c r="D839" t="inlineStr">
        <is>
          <t>Patricia Offei</t>
        </is>
      </c>
      <c r="E839" t="inlineStr">
        <is>
          <t>Patricia Offei</t>
        </is>
      </c>
      <c r="F839" s="5" t="n">
        <v>46162.60032407408</v>
      </c>
      <c r="H839" t="inlineStr">
        <is>
          <t>Non-Billable Tasks</t>
        </is>
      </c>
      <c r="I839" t="n">
        <v>8</v>
      </c>
      <c r="K839" t="inlineStr">
        <is>
          <t>TOIL</t>
        </is>
      </c>
      <c r="L839" t="b">
        <v>0</v>
      </c>
      <c r="M839" t="inlineStr">
        <is>
          <t>Non-Billable</t>
        </is>
      </c>
      <c r="N839" s="6">
        <f>IF(B839="","",IF(ISNUMBER(B839),TEXT(B839,"YYYY-MM"),LEFT(B839,7)))</f>
        <v/>
      </c>
    </row>
    <row r="840">
      <c r="A840" t="inlineStr">
        <is>
          <t>Kingsley Fitz-Gerald Severine</t>
        </is>
      </c>
      <c r="B840" s="4" t="n">
        <v>46143</v>
      </c>
      <c r="C840" t="inlineStr">
        <is>
          <t>/</t>
        </is>
      </c>
      <c r="D840" t="inlineStr">
        <is>
          <t>Kingsley Fitz-Gerald Severine</t>
        </is>
      </c>
      <c r="E840" t="inlineStr">
        <is>
          <t>Kingsley Fitz-Gerald Severine</t>
        </is>
      </c>
      <c r="F840" s="5" t="n">
        <v>46162.55924768518</v>
      </c>
      <c r="G840" t="inlineStr">
        <is>
          <t>Field Visit and Data Collection</t>
        </is>
      </c>
      <c r="H840" t="inlineStr">
        <is>
          <t>PCGH792</t>
        </is>
      </c>
      <c r="I840" t="n">
        <v>8</v>
      </c>
      <c r="J840" t="inlineStr">
        <is>
          <t>PCGH792 - Field work  (2) (Okeosisi Jonathan)</t>
        </is>
      </c>
      <c r="K840" t="inlineStr">
        <is>
          <t>Community engagements</t>
        </is>
      </c>
      <c r="L840" t="b">
        <v>1</v>
      </c>
      <c r="M840" t="inlineStr">
        <is>
          <t>Billed at a Fixed price</t>
        </is>
      </c>
      <c r="N840" s="6">
        <f>IF(B840="","",IF(ISNUMBER(B840),TEXT(B840,"YYYY-MM"),LEFT(B840,7)))</f>
        <v/>
      </c>
    </row>
    <row r="841">
      <c r="A841" t="inlineStr">
        <is>
          <t>Kwadwo Baniako Nti</t>
        </is>
      </c>
      <c r="B841" s="4" t="n">
        <v>46143</v>
      </c>
      <c r="C841" t="inlineStr">
        <is>
          <t>/</t>
        </is>
      </c>
      <c r="D841" t="inlineStr">
        <is>
          <t>Kwadwo Baniako Nti</t>
        </is>
      </c>
      <c r="E841" t="inlineStr">
        <is>
          <t>Kwadwo Baniako Nti</t>
        </is>
      </c>
      <c r="F841" s="5" t="n">
        <v>46161.80099537037</v>
      </c>
      <c r="H841" t="inlineStr">
        <is>
          <t>Non-Billable Tasks</t>
        </is>
      </c>
      <c r="I841" t="n">
        <v>8</v>
      </c>
      <c r="K841" t="inlineStr">
        <is>
          <t>Public Holiday</t>
        </is>
      </c>
      <c r="L841" t="b">
        <v>0</v>
      </c>
      <c r="M841" t="inlineStr">
        <is>
          <t>Non-Billable</t>
        </is>
      </c>
      <c r="N841" s="6">
        <f>IF(B841="","",IF(ISNUMBER(B841),TEXT(B841,"YYYY-MM"),LEFT(B841,7)))</f>
        <v/>
      </c>
    </row>
    <row r="842">
      <c r="A842" t="inlineStr">
        <is>
          <t>Frederick Antwi</t>
        </is>
      </c>
      <c r="B842" s="4" t="n">
        <v>46143</v>
      </c>
      <c r="C842" t="inlineStr">
        <is>
          <t>/</t>
        </is>
      </c>
      <c r="D842" t="inlineStr">
        <is>
          <t>Frederick Antwi</t>
        </is>
      </c>
      <c r="E842" t="inlineStr">
        <is>
          <t>Frederick Antwi</t>
        </is>
      </c>
      <c r="F842" s="5" t="n">
        <v>46160.63959490741</v>
      </c>
      <c r="H842" t="inlineStr">
        <is>
          <t>P13PC00A00 - Private Sector Companies</t>
        </is>
      </c>
      <c r="I842" t="n">
        <v>6</v>
      </c>
      <c r="L842" t="b">
        <v>0</v>
      </c>
      <c r="M842" t="inlineStr">
        <is>
          <t>Non-Billable</t>
        </is>
      </c>
      <c r="N842" s="6">
        <f>IF(B842="","",IF(ISNUMBER(B842),TEXT(B842,"YYYY-MM"),LEFT(B842,7)))</f>
        <v/>
      </c>
    </row>
    <row r="843">
      <c r="A843" t="inlineStr">
        <is>
          <t>Frederick Antwi</t>
        </is>
      </c>
      <c r="B843" s="4" t="n">
        <v>46143</v>
      </c>
      <c r="C843" t="inlineStr">
        <is>
          <t>/</t>
        </is>
      </c>
      <c r="D843" t="inlineStr">
        <is>
          <t>Frederick Antwi</t>
        </is>
      </c>
      <c r="E843" t="inlineStr">
        <is>
          <t>Frederick Antwi</t>
        </is>
      </c>
      <c r="F843" s="5" t="n">
        <v>46160.63950231481</v>
      </c>
      <c r="H843" t="inlineStr">
        <is>
          <t>PCGH768</t>
        </is>
      </c>
      <c r="I843" t="n">
        <v>2</v>
      </c>
      <c r="L843" t="b">
        <v>1</v>
      </c>
      <c r="M843" t="inlineStr">
        <is>
          <t>Non-Billable</t>
        </is>
      </c>
      <c r="N843" s="6">
        <f>IF(B843="","",IF(ISNUMBER(B843),TEXT(B843,"YYYY-MM"),LEFT(B843,7)))</f>
        <v/>
      </c>
    </row>
    <row r="844">
      <c r="A844" t="inlineStr">
        <is>
          <t>Augustus Asamoah</t>
        </is>
      </c>
      <c r="B844" s="4" t="n">
        <v>46143</v>
      </c>
      <c r="C844" t="inlineStr">
        <is>
          <t>/</t>
        </is>
      </c>
      <c r="D844" t="inlineStr">
        <is>
          <t>Augustus Asamoah</t>
        </is>
      </c>
      <c r="E844" t="inlineStr">
        <is>
          <t>Augustus Asamoah</t>
        </is>
      </c>
      <c r="F844" s="5" t="n">
        <v>46156.69693287037</v>
      </c>
      <c r="H844" t="inlineStr">
        <is>
          <t>Non-Billable Tasks</t>
        </is>
      </c>
      <c r="I844" t="n">
        <v>8</v>
      </c>
      <c r="L844" t="b">
        <v>0</v>
      </c>
      <c r="M844" t="inlineStr">
        <is>
          <t>Non-Billable</t>
        </is>
      </c>
      <c r="N844" s="6">
        <f>IF(B844="","",IF(ISNUMBER(B844),TEXT(B844,"YYYY-MM"),LEFT(B844,7)))</f>
        <v/>
      </c>
    </row>
    <row r="845">
      <c r="A845" t="inlineStr">
        <is>
          <t>Soro TCHEREGNIMIN</t>
        </is>
      </c>
      <c r="B845" s="4" t="n">
        <v>46143</v>
      </c>
      <c r="C845" t="inlineStr">
        <is>
          <t>Public holiday</t>
        </is>
      </c>
      <c r="D845" t="inlineStr">
        <is>
          <t>Soro TCHEREGNIMIN</t>
        </is>
      </c>
      <c r="E845" t="inlineStr">
        <is>
          <t>Soro TCHEREGNIMIN</t>
        </is>
      </c>
      <c r="F845" s="5" t="n">
        <v>46154.92594907407</v>
      </c>
      <c r="H845" t="inlineStr">
        <is>
          <t>Non-Billable Tasks</t>
        </is>
      </c>
      <c r="I845" t="n">
        <v>8</v>
      </c>
      <c r="L845" t="b">
        <v>0</v>
      </c>
      <c r="M845" t="inlineStr">
        <is>
          <t>Non-Billable</t>
        </is>
      </c>
      <c r="N845" s="6">
        <f>IF(B845="","",IF(ISNUMBER(B845),TEXT(B845,"YYYY-MM"),LEFT(B845,7)))</f>
        <v/>
      </c>
    </row>
    <row r="846">
      <c r="A846" t="inlineStr">
        <is>
          <t>Helena Tetteh</t>
        </is>
      </c>
      <c r="B846" s="4" t="n">
        <v>46143</v>
      </c>
      <c r="C846" t="inlineStr">
        <is>
          <t>/</t>
        </is>
      </c>
      <c r="D846" t="inlineStr">
        <is>
          <t xml:space="preserve">Helena Tetteh </t>
        </is>
      </c>
      <c r="E846" t="inlineStr">
        <is>
          <t>OdooBot</t>
        </is>
      </c>
      <c r="F846" s="5" t="n">
        <v>46154.70721064815</v>
      </c>
      <c r="G846" t="inlineStr">
        <is>
          <t>Output 2.3</t>
        </is>
      </c>
      <c r="H846" t="inlineStr">
        <is>
          <t>P23AC00C00 - FGMC</t>
        </is>
      </c>
      <c r="I846" t="n">
        <v>8</v>
      </c>
      <c r="K846" t="inlineStr">
        <is>
          <t>P23AC22A00 - Output Two (Elevating Local Solutions - West Africa)</t>
        </is>
      </c>
      <c r="L846" t="b">
        <v>0</v>
      </c>
      <c r="M846" t="inlineStr">
        <is>
          <t>Non-Billable</t>
        </is>
      </c>
      <c r="N846" s="6">
        <f>IF(B846="","",IF(ISNUMBER(B846),TEXT(B846,"YYYY-MM"),LEFT(B846,7)))</f>
        <v/>
      </c>
    </row>
    <row r="847">
      <c r="A847" t="inlineStr">
        <is>
          <t>Stephen Doso</t>
        </is>
      </c>
      <c r="B847" s="4" t="n">
        <v>46143</v>
      </c>
      <c r="C847" t="inlineStr">
        <is>
          <t>/</t>
        </is>
      </c>
      <c r="D847" t="inlineStr">
        <is>
          <t>Stephen Doso</t>
        </is>
      </c>
      <c r="E847" t="inlineStr">
        <is>
          <t>OdooBot</t>
        </is>
      </c>
      <c r="F847" s="5" t="n">
        <v>46154.70721064815</v>
      </c>
      <c r="G847" t="inlineStr">
        <is>
          <t>Field Visit and Data Collection</t>
        </is>
      </c>
      <c r="H847" t="inlineStr">
        <is>
          <t>PCGH785</t>
        </is>
      </c>
      <c r="I847" t="n">
        <v>8</v>
      </c>
      <c r="J847" t="inlineStr">
        <is>
          <t>PCGH785 -  Field data collection  (2) (Okeosisi Jonathan)</t>
        </is>
      </c>
      <c r="K847" t="inlineStr">
        <is>
          <t>Community engagements</t>
        </is>
      </c>
      <c r="L847" t="b">
        <v>1</v>
      </c>
      <c r="M847" t="inlineStr">
        <is>
          <t>Billed at a Fixed price</t>
        </is>
      </c>
      <c r="N847" s="6">
        <f>IF(B847="","",IF(ISNUMBER(B847),TEXT(B847,"YYYY-MM"),LEFT(B847,7)))</f>
        <v/>
      </c>
    </row>
    <row r="848">
      <c r="A848" t="inlineStr">
        <is>
          <t>Daleba Bernard Kpenahi Raymond</t>
        </is>
      </c>
      <c r="B848" s="4" t="n">
        <v>46143</v>
      </c>
      <c r="C848" t="inlineStr">
        <is>
          <t>/</t>
        </is>
      </c>
      <c r="D848" t="inlineStr">
        <is>
          <t>Daleba Bernard Kpenahi Raymond</t>
        </is>
      </c>
      <c r="E848" t="inlineStr">
        <is>
          <t>OdooBot</t>
        </is>
      </c>
      <c r="F848" s="5" t="n">
        <v>46154.70721064815</v>
      </c>
      <c r="H848" t="inlineStr">
        <is>
          <t>Non-Billable Tasks</t>
        </is>
      </c>
      <c r="I848" t="n">
        <v>8</v>
      </c>
      <c r="K848" t="inlineStr">
        <is>
          <t>Business Development and Networking</t>
        </is>
      </c>
      <c r="L848" t="b">
        <v>0</v>
      </c>
      <c r="M848" t="inlineStr">
        <is>
          <t>Non-Billable</t>
        </is>
      </c>
      <c r="N848" s="6">
        <f>IF(B848="","",IF(ISNUMBER(B848),TEXT(B848,"YYYY-MM"),LEFT(B848,7)))</f>
        <v/>
      </c>
    </row>
    <row r="849">
      <c r="A849" t="inlineStr">
        <is>
          <t>Louis Defo</t>
        </is>
      </c>
      <c r="B849" s="4" t="n">
        <v>46143</v>
      </c>
      <c r="C849" t="inlineStr">
        <is>
          <t>/</t>
        </is>
      </c>
      <c r="D849" t="inlineStr">
        <is>
          <t>Louis Defo</t>
        </is>
      </c>
      <c r="E849" t="inlineStr">
        <is>
          <t>OdooBot</t>
        </is>
      </c>
      <c r="F849" s="5" t="n">
        <v>46154.70721064815</v>
      </c>
      <c r="H849" t="inlineStr">
        <is>
          <t>P23AC00C00 - FGMC</t>
        </is>
      </c>
      <c r="I849" t="n">
        <v>8</v>
      </c>
      <c r="L849" t="b">
        <v>0</v>
      </c>
      <c r="M849" t="inlineStr">
        <is>
          <t>Non-Billable</t>
        </is>
      </c>
      <c r="N849" s="6">
        <f>IF(B849="","",IF(ISNUMBER(B849),TEXT(B849,"YYYY-MM"),LEFT(B849,7)))</f>
        <v/>
      </c>
    </row>
    <row r="850">
      <c r="A850" t="inlineStr">
        <is>
          <t>Abel Ansu</t>
        </is>
      </c>
      <c r="B850" s="4" t="n">
        <v>46143</v>
      </c>
      <c r="C850" t="inlineStr">
        <is>
          <t>Led Director, Abraham Baffoe to visit cocoa agroforestry and MTS sites at Gyesewobre</t>
        </is>
      </c>
      <c r="D850" t="inlineStr">
        <is>
          <t>Abel Ansu</t>
        </is>
      </c>
      <c r="E850" t="inlineStr">
        <is>
          <t>OdooBot</t>
        </is>
      </c>
      <c r="F850" s="5" t="n">
        <v>46154.70721064815</v>
      </c>
      <c r="H850" t="inlineStr">
        <is>
          <t>Internal</t>
        </is>
      </c>
      <c r="I850" t="n">
        <v>8</v>
      </c>
      <c r="K850" t="inlineStr">
        <is>
          <t>Field monitoring</t>
        </is>
      </c>
      <c r="L850" t="b">
        <v>0</v>
      </c>
      <c r="M850" t="inlineStr">
        <is>
          <t>Non-Billable</t>
        </is>
      </c>
      <c r="N850" s="6">
        <f>IF(B850="","",IF(ISNUMBER(B850),TEXT(B850,"YYYY-MM"),LEFT(B850,7)))</f>
        <v/>
      </c>
    </row>
    <row r="851">
      <c r="A851" t="inlineStr">
        <is>
          <t>Mawuse Agblobi</t>
        </is>
      </c>
      <c r="B851" s="4" t="n">
        <v>46142</v>
      </c>
      <c r="C851" t="inlineStr">
        <is>
          <t>Time Off (4/4)</t>
        </is>
      </c>
      <c r="D851" t="inlineStr">
        <is>
          <t>Patricia Offei</t>
        </is>
      </c>
      <c r="E851" t="inlineStr">
        <is>
          <t>Mawuse Agblobi</t>
        </is>
      </c>
      <c r="F851" s="5" t="n">
        <v>46174.89994212963</v>
      </c>
      <c r="H851" t="inlineStr">
        <is>
          <t>Internal</t>
        </is>
      </c>
      <c r="I851" t="n">
        <v>8</v>
      </c>
      <c r="K851" t="inlineStr">
        <is>
          <t>Time Off</t>
        </is>
      </c>
      <c r="L851" t="b">
        <v>0</v>
      </c>
      <c r="M851" t="inlineStr">
        <is>
          <t>Non-Billable</t>
        </is>
      </c>
      <c r="N851" s="6">
        <f>IF(B851="","",IF(ISNUMBER(B851),TEXT(B851,"YYYY-MM"),LEFT(B851,7)))</f>
        <v/>
      </c>
    </row>
    <row r="852">
      <c r="A852" t="inlineStr">
        <is>
          <t>Mawuse Agblobi</t>
        </is>
      </c>
      <c r="B852" s="4" t="n">
        <v>46142</v>
      </c>
      <c r="C852" t="inlineStr">
        <is>
          <t>Time Off (4/8)</t>
        </is>
      </c>
      <c r="D852" t="inlineStr">
        <is>
          <t>Augustus Asamoah</t>
        </is>
      </c>
      <c r="E852" t="inlineStr">
        <is>
          <t>Mawuse Agblobi</t>
        </is>
      </c>
      <c r="F852" s="5" t="n">
        <v>46174.89994212963</v>
      </c>
      <c r="H852" t="inlineStr">
        <is>
          <t>Internal</t>
        </is>
      </c>
      <c r="I852" t="n">
        <v>8</v>
      </c>
      <c r="K852" t="inlineStr">
        <is>
          <t>Time Off</t>
        </is>
      </c>
      <c r="L852" t="b">
        <v>0</v>
      </c>
      <c r="M852" t="inlineStr">
        <is>
          <t>Non-Billable</t>
        </is>
      </c>
      <c r="N852" s="6">
        <f>IF(B852="","",IF(ISNUMBER(B852),TEXT(B852,"YYYY-MM"),LEFT(B852,7)))</f>
        <v/>
      </c>
    </row>
    <row r="853">
      <c r="A853" t="inlineStr">
        <is>
          <t>Mawuse Agblobi</t>
        </is>
      </c>
      <c r="B853" s="4" t="n">
        <v>46142</v>
      </c>
      <c r="C853" t="inlineStr">
        <is>
          <t>Time Off (3/4)</t>
        </is>
      </c>
      <c r="D853" t="inlineStr">
        <is>
          <t xml:space="preserve">Helena Tetteh </t>
        </is>
      </c>
      <c r="E853" t="inlineStr">
        <is>
          <t>Mawuse Agblobi</t>
        </is>
      </c>
      <c r="F853" s="5" t="n">
        <v>46174.89994212963</v>
      </c>
      <c r="H853" t="inlineStr">
        <is>
          <t>Internal</t>
        </is>
      </c>
      <c r="I853" t="n">
        <v>8</v>
      </c>
      <c r="K853" t="inlineStr">
        <is>
          <t>Time Off</t>
        </is>
      </c>
      <c r="L853" t="b">
        <v>0</v>
      </c>
      <c r="M853" t="inlineStr">
        <is>
          <t>Non-Billable</t>
        </is>
      </c>
      <c r="N853" s="6">
        <f>IF(B853="","",IF(ISNUMBER(B853),TEXT(B853,"YYYY-MM"),LEFT(B853,7)))</f>
        <v/>
      </c>
    </row>
    <row r="854">
      <c r="A854" t="inlineStr">
        <is>
          <t>Ekow Nyamekye Tawiah</t>
        </is>
      </c>
      <c r="B854" s="4" t="n">
        <v>46142</v>
      </c>
      <c r="C854" t="inlineStr">
        <is>
          <t>Deforestation Risk Analysis</t>
        </is>
      </c>
      <c r="D854" t="inlineStr">
        <is>
          <t>Ekow Nyamekye Tawiah</t>
        </is>
      </c>
      <c r="E854" t="inlineStr">
        <is>
          <t>Ekow Nyamekye Tawiah</t>
        </is>
      </c>
      <c r="F854" s="5" t="n">
        <v>46162.87966435185</v>
      </c>
      <c r="H854" t="inlineStr">
        <is>
          <t>PCGH778 - General Support</t>
        </is>
      </c>
      <c r="I854" t="n">
        <v>4</v>
      </c>
      <c r="J854" t="inlineStr">
        <is>
          <t>PCGH778 - Support to Other Workstreams (3) (Proforest Limited(PCUK GBP))</t>
        </is>
      </c>
      <c r="L854" t="b">
        <v>1</v>
      </c>
      <c r="M854" t="inlineStr">
        <is>
          <t>Billed at a Fixed price</t>
        </is>
      </c>
      <c r="N854" s="6">
        <f>IF(B854="","",IF(ISNUMBER(B854),TEXT(B854,"YYYY-MM"),LEFT(B854,7)))</f>
        <v/>
      </c>
    </row>
    <row r="855">
      <c r="A855" t="inlineStr">
        <is>
          <t>James Parker Mckeown</t>
        </is>
      </c>
      <c r="B855" s="4" t="n">
        <v>46142</v>
      </c>
      <c r="C855" t="inlineStr">
        <is>
          <t>/</t>
        </is>
      </c>
      <c r="D855" t="inlineStr">
        <is>
          <t>James Parker Mckeown</t>
        </is>
      </c>
      <c r="E855" t="inlineStr">
        <is>
          <t>James Parker Mckeown</t>
        </is>
      </c>
      <c r="F855" s="5" t="n">
        <v>46162.8007175926</v>
      </c>
      <c r="G855" t="inlineStr">
        <is>
          <t>Desk Study</t>
        </is>
      </c>
      <c r="H855" t="inlineStr">
        <is>
          <t>PCGH762 - GVL HCSA Restoration Project</t>
        </is>
      </c>
      <c r="I855" t="n">
        <v>2.5</v>
      </c>
      <c r="J855" t="inlineStr">
        <is>
          <t>PCGH762 - Desk Review, Stakeholder Mapping &amp; Analysis and Engagement (Golden Veroleum Liberia)</t>
        </is>
      </c>
      <c r="K855" t="inlineStr">
        <is>
          <t>Desk Review, Stakeholder Mapping &amp; Analysis and Engagement</t>
        </is>
      </c>
      <c r="L855" t="b">
        <v>1</v>
      </c>
      <c r="M855" t="inlineStr">
        <is>
          <t>Billed at a Fixed price</t>
        </is>
      </c>
      <c r="N855" s="6">
        <f>IF(B855="","",IF(ISNUMBER(B855),TEXT(B855,"YYYY-MM"),LEFT(B855,7)))</f>
        <v/>
      </c>
    </row>
    <row r="856">
      <c r="A856" t="inlineStr">
        <is>
          <t>James Parker Mckeown</t>
        </is>
      </c>
      <c r="B856" s="4" t="n">
        <v>46142</v>
      </c>
      <c r="C856" t="inlineStr">
        <is>
          <t xml:space="preserve">FCDO FGMC data collection follow ups </t>
        </is>
      </c>
      <c r="D856" t="inlineStr">
        <is>
          <t>James Parker Mckeown</t>
        </is>
      </c>
      <c r="E856" t="inlineStr">
        <is>
          <t>James Parker Mckeown</t>
        </is>
      </c>
      <c r="F856" s="5" t="n">
        <v>46162.79936342593</v>
      </c>
      <c r="H856" t="inlineStr">
        <is>
          <t>PCGH786 - Impact Level Baseline assessment for FGMC</t>
        </is>
      </c>
      <c r="I856" t="n">
        <v>1.5</v>
      </c>
      <c r="J856" t="inlineStr">
        <is>
          <t>PCGH786 - Site Assessment (3) (NIRAS Group (UK) Ltd)</t>
        </is>
      </c>
      <c r="K856" t="inlineStr">
        <is>
          <t>PCGH786 - Site Assessment (3)</t>
        </is>
      </c>
      <c r="L856" t="b">
        <v>1</v>
      </c>
      <c r="M856" t="inlineStr">
        <is>
          <t>Billed at a Fixed price</t>
        </is>
      </c>
      <c r="N856" s="6">
        <f>IF(B856="","",IF(ISNUMBER(B856),TEXT(B856,"YYYY-MM"),LEFT(B856,7)))</f>
        <v/>
      </c>
    </row>
    <row r="857">
      <c r="A857" t="inlineStr">
        <is>
          <t>Joseph Isaiah Mensah</t>
        </is>
      </c>
      <c r="B857" s="4" t="n">
        <v>46142</v>
      </c>
      <c r="C857" t="inlineStr">
        <is>
          <t>TOIL</t>
        </is>
      </c>
      <c r="D857" t="inlineStr">
        <is>
          <t>Joseph Isaiah Mensah</t>
        </is>
      </c>
      <c r="E857" t="inlineStr">
        <is>
          <t>Joseph Isaiah Mensah</t>
        </is>
      </c>
      <c r="F857" s="5" t="n">
        <v>46162.78746527778</v>
      </c>
      <c r="H857" t="inlineStr">
        <is>
          <t>PCGH774 -Evaluation Deep-Dive Action Plans by Socfin Group</t>
        </is>
      </c>
      <c r="I857" t="n">
        <v>8</v>
      </c>
      <c r="J857" t="inlineStr">
        <is>
          <t>PCGH774 - Field Verification (3) (Socfinco FR SA)</t>
        </is>
      </c>
      <c r="K857" t="inlineStr">
        <is>
          <t xml:space="preserve">Cameroon (Safacam) - Field verification/observation/community and stakeholder engagement </t>
        </is>
      </c>
      <c r="L857" t="b">
        <v>1</v>
      </c>
      <c r="M857" t="inlineStr">
        <is>
          <t>Billed at a Fixed price</t>
        </is>
      </c>
      <c r="N857" s="6">
        <f>IF(B857="","",IF(ISNUMBER(B857),TEXT(B857,"YYYY-MM"),LEFT(B857,7)))</f>
        <v/>
      </c>
    </row>
    <row r="858">
      <c r="A858" t="inlineStr">
        <is>
          <t>Patricia Offei</t>
        </is>
      </c>
      <c r="B858" s="4" t="n">
        <v>46142</v>
      </c>
      <c r="C858" t="inlineStr">
        <is>
          <t>/</t>
        </is>
      </c>
      <c r="D858" t="inlineStr">
        <is>
          <t>Patricia Offei</t>
        </is>
      </c>
      <c r="E858" t="inlineStr">
        <is>
          <t>Patricia Offei</t>
        </is>
      </c>
      <c r="F858" s="5" t="n">
        <v>46162.60025462963</v>
      </c>
      <c r="H858" t="inlineStr">
        <is>
          <t>Non-Billable Tasks</t>
        </is>
      </c>
      <c r="I858" t="n">
        <v>8</v>
      </c>
      <c r="K858" t="inlineStr">
        <is>
          <t>TOIL</t>
        </is>
      </c>
      <c r="L858" t="b">
        <v>0</v>
      </c>
      <c r="M858" t="inlineStr">
        <is>
          <t>Non-Billable</t>
        </is>
      </c>
      <c r="N858" s="6">
        <f>IF(B858="","",IF(ISNUMBER(B858),TEXT(B858,"YYYY-MM"),LEFT(B858,7)))</f>
        <v/>
      </c>
    </row>
    <row r="859">
      <c r="A859" t="inlineStr">
        <is>
          <t>Kingsley Fitz-Gerald Severine</t>
        </is>
      </c>
      <c r="B859" s="4" t="n">
        <v>46142</v>
      </c>
      <c r="C859" t="inlineStr">
        <is>
          <t>/</t>
        </is>
      </c>
      <c r="D859" t="inlineStr">
        <is>
          <t>Kingsley Fitz-Gerald Severine</t>
        </is>
      </c>
      <c r="E859" t="inlineStr">
        <is>
          <t>Kingsley Fitz-Gerald Severine</t>
        </is>
      </c>
      <c r="F859" s="5" t="n">
        <v>46162.55869212963</v>
      </c>
      <c r="G859" t="inlineStr">
        <is>
          <t>Field Visit and Data Collection</t>
        </is>
      </c>
      <c r="H859" t="inlineStr">
        <is>
          <t>PCGH792</t>
        </is>
      </c>
      <c r="I859" t="n">
        <v>8</v>
      </c>
      <c r="J859" t="inlineStr">
        <is>
          <t>PCGH792 - Field work  (2) (Okeosisi Jonathan)</t>
        </is>
      </c>
      <c r="K859" t="inlineStr">
        <is>
          <t>Community engagements</t>
        </is>
      </c>
      <c r="L859" t="b">
        <v>1</v>
      </c>
      <c r="M859" t="inlineStr">
        <is>
          <t>Billed at a Fixed price</t>
        </is>
      </c>
      <c r="N859" s="6">
        <f>IF(B859="","",IF(ISNUMBER(B859),TEXT(B859,"YYYY-MM"),LEFT(B859,7)))</f>
        <v/>
      </c>
    </row>
    <row r="860">
      <c r="A860" t="inlineStr">
        <is>
          <t>Kwadwo Baniako Nti</t>
        </is>
      </c>
      <c r="B860" s="4" t="n">
        <v>46142</v>
      </c>
      <c r="C860" t="inlineStr">
        <is>
          <t>/</t>
        </is>
      </c>
      <c r="D860" t="inlineStr">
        <is>
          <t>Kwadwo Baniako Nti</t>
        </is>
      </c>
      <c r="E860" t="inlineStr">
        <is>
          <t>Kwadwo Baniako Nti</t>
        </is>
      </c>
      <c r="F860" s="5" t="n">
        <v>46162.38097222222</v>
      </c>
      <c r="G860" t="inlineStr">
        <is>
          <t>Training and Capacity Building</t>
        </is>
      </c>
      <c r="H860" t="inlineStr">
        <is>
          <t>PCGH762 - GVL HCSA Restoration Project</t>
        </is>
      </c>
      <c r="I860" t="n">
        <v>4</v>
      </c>
      <c r="J860" t="inlineStr">
        <is>
          <t>PCGH762 - Training and Capacity Building (Golden Veroleum Liberia)</t>
        </is>
      </c>
      <c r="K860" t="inlineStr">
        <is>
          <t>Training and Capacity Building</t>
        </is>
      </c>
      <c r="L860" t="b">
        <v>1</v>
      </c>
      <c r="M860" t="inlineStr">
        <is>
          <t>Billed at a Fixed price</t>
        </is>
      </c>
      <c r="N860" s="6">
        <f>IF(B860="","",IF(ISNUMBER(B860),TEXT(B860,"YYYY-MM"),LEFT(B860,7)))</f>
        <v/>
      </c>
    </row>
    <row r="861">
      <c r="A861" t="inlineStr">
        <is>
          <t>Kwadwo Baniako Nti</t>
        </is>
      </c>
      <c r="B861" s="4" t="n">
        <v>46142</v>
      </c>
      <c r="C861" t="inlineStr">
        <is>
          <t>/</t>
        </is>
      </c>
      <c r="D861" t="inlineStr">
        <is>
          <t>Kwadwo Baniako Nti</t>
        </is>
      </c>
      <c r="E861" t="inlineStr">
        <is>
          <t>Kwadwo Baniako Nti</t>
        </is>
      </c>
      <c r="F861" s="5" t="n">
        <v>46162.3786574074</v>
      </c>
      <c r="G861" t="inlineStr">
        <is>
          <t>PCGH786 - Site Assessment (3)</t>
        </is>
      </c>
      <c r="H861" t="inlineStr">
        <is>
          <t>PCGH786 - Impact Level Baseline assessment for FGMC</t>
        </is>
      </c>
      <c r="I861" t="n">
        <v>4</v>
      </c>
      <c r="J861" t="inlineStr">
        <is>
          <t>PCGH786 - Site Assessment (3) (NIRAS Group (UK) Ltd)</t>
        </is>
      </c>
      <c r="K861" t="inlineStr">
        <is>
          <t>Site Assessment</t>
        </is>
      </c>
      <c r="L861" t="b">
        <v>1</v>
      </c>
      <c r="M861" t="inlineStr">
        <is>
          <t>Billed at a Fixed price</t>
        </is>
      </c>
      <c r="N861" s="6">
        <f>IF(B861="","",IF(ISNUMBER(B861),TEXT(B861,"YYYY-MM"),LEFT(B861,7)))</f>
        <v/>
      </c>
    </row>
    <row r="862">
      <c r="A862" t="inlineStr">
        <is>
          <t>Frederick Antwi</t>
        </is>
      </c>
      <c r="B862" s="4" t="n">
        <v>46142</v>
      </c>
      <c r="C862" t="inlineStr">
        <is>
          <t>/</t>
        </is>
      </c>
      <c r="D862" t="inlineStr">
        <is>
          <t>Frederick Antwi</t>
        </is>
      </c>
      <c r="E862" t="inlineStr">
        <is>
          <t>Frederick Antwi</t>
        </is>
      </c>
      <c r="F862" s="5" t="n">
        <v>46160.63958333333</v>
      </c>
      <c r="H862" t="inlineStr">
        <is>
          <t>P13PC00A00 - Private Sector Companies</t>
        </is>
      </c>
      <c r="I862" t="n">
        <v>6</v>
      </c>
      <c r="L862" t="b">
        <v>0</v>
      </c>
      <c r="M862" t="inlineStr">
        <is>
          <t>Non-Billable</t>
        </is>
      </c>
      <c r="N862" s="6">
        <f>IF(B862="","",IF(ISNUMBER(B862),TEXT(B862,"YYYY-MM"),LEFT(B862,7)))</f>
        <v/>
      </c>
    </row>
    <row r="863">
      <c r="A863" t="inlineStr">
        <is>
          <t>Frederick Antwi</t>
        </is>
      </c>
      <c r="B863" s="4" t="n">
        <v>46142</v>
      </c>
      <c r="C863" t="inlineStr">
        <is>
          <t>/</t>
        </is>
      </c>
      <c r="D863" t="inlineStr">
        <is>
          <t>Frederick Antwi</t>
        </is>
      </c>
      <c r="E863" t="inlineStr">
        <is>
          <t>Frederick Antwi</t>
        </is>
      </c>
      <c r="F863" s="5" t="n">
        <v>46160.63947916667</v>
      </c>
      <c r="H863" t="inlineStr">
        <is>
          <t>PCGH768</t>
        </is>
      </c>
      <c r="I863" t="n">
        <v>2</v>
      </c>
      <c r="L863" t="b">
        <v>1</v>
      </c>
      <c r="M863" t="inlineStr">
        <is>
          <t>Non-Billable</t>
        </is>
      </c>
      <c r="N863" s="6">
        <f>IF(B863="","",IF(ISNUMBER(B863),TEXT(B863,"YYYY-MM"),LEFT(B863,7)))</f>
        <v/>
      </c>
    </row>
    <row r="864">
      <c r="A864" t="inlineStr">
        <is>
          <t>Augustus Asamoah</t>
        </is>
      </c>
      <c r="B864" s="4" t="n">
        <v>46142</v>
      </c>
      <c r="C864" t="inlineStr">
        <is>
          <t>/</t>
        </is>
      </c>
      <c r="D864" t="inlineStr">
        <is>
          <t>Augustus Asamoah</t>
        </is>
      </c>
      <c r="E864" t="inlineStr">
        <is>
          <t>Augustus Asamoah</t>
        </is>
      </c>
      <c r="F864" s="5" t="n">
        <v>46156.69690972222</v>
      </c>
      <c r="H864" t="inlineStr">
        <is>
          <t>Non-Billable Tasks</t>
        </is>
      </c>
      <c r="I864" t="n">
        <v>8</v>
      </c>
      <c r="L864" t="b">
        <v>0</v>
      </c>
      <c r="M864" t="inlineStr">
        <is>
          <t>Non-Billable</t>
        </is>
      </c>
      <c r="N864" s="6">
        <f>IF(B864="","",IF(ISNUMBER(B864),TEXT(B864,"YYYY-MM"),LEFT(B864,7)))</f>
        <v/>
      </c>
    </row>
    <row r="865">
      <c r="A865" t="inlineStr">
        <is>
          <t>Soro TCHEREGNIMIN</t>
        </is>
      </c>
      <c r="B865" s="4" t="n">
        <v>46142</v>
      </c>
      <c r="C865" t="inlineStr">
        <is>
          <t>/</t>
        </is>
      </c>
      <c r="D865" t="inlineStr">
        <is>
          <t>Soro TCHEREGNIMIN</t>
        </is>
      </c>
      <c r="E865" t="inlineStr">
        <is>
          <t>Soro TCHEREGNIMIN</t>
        </is>
      </c>
      <c r="F865" s="5" t="n">
        <v>46154.92803240741</v>
      </c>
      <c r="H865" t="inlineStr">
        <is>
          <t>Non-Billable Tasks</t>
        </is>
      </c>
      <c r="I865" t="n">
        <v>8</v>
      </c>
      <c r="L865" t="b">
        <v>0</v>
      </c>
      <c r="M865" t="inlineStr">
        <is>
          <t>Non-Billable</t>
        </is>
      </c>
      <c r="N865" s="6">
        <f>IF(B865="","",IF(ISNUMBER(B865),TEXT(B865,"YYYY-MM"),LEFT(B865,7)))</f>
        <v/>
      </c>
    </row>
    <row r="866">
      <c r="A866" t="inlineStr">
        <is>
          <t>Helena Tetteh</t>
        </is>
      </c>
      <c r="B866" s="4" t="n">
        <v>46142</v>
      </c>
      <c r="C866" t="inlineStr">
        <is>
          <t>/</t>
        </is>
      </c>
      <c r="D866" t="inlineStr">
        <is>
          <t xml:space="preserve">Helena Tetteh </t>
        </is>
      </c>
      <c r="E866" t="inlineStr">
        <is>
          <t>OdooBot</t>
        </is>
      </c>
      <c r="F866" s="5" t="n">
        <v>46154.70721064815</v>
      </c>
      <c r="G866" t="inlineStr">
        <is>
          <t>Output 2.3</t>
        </is>
      </c>
      <c r="H866" t="inlineStr">
        <is>
          <t>P23AC00C00 - FGMC</t>
        </is>
      </c>
      <c r="I866" t="n">
        <v>8</v>
      </c>
      <c r="K866" t="inlineStr">
        <is>
          <t>P23AC22A00 - Output Two (Elevating Local Solutions - West Africa)</t>
        </is>
      </c>
      <c r="L866" t="b">
        <v>0</v>
      </c>
      <c r="M866" t="inlineStr">
        <is>
          <t>Non-Billable</t>
        </is>
      </c>
      <c r="N866" s="6">
        <f>IF(B866="","",IF(ISNUMBER(B866),TEXT(B866,"YYYY-MM"),LEFT(B866,7)))</f>
        <v/>
      </c>
    </row>
    <row r="867">
      <c r="A867" t="inlineStr">
        <is>
          <t>Afua Serwah Akoto Prempeh</t>
        </is>
      </c>
      <c r="B867" s="4" t="n">
        <v>46142</v>
      </c>
      <c r="C867" t="inlineStr">
        <is>
          <t>/</t>
        </is>
      </c>
      <c r="D867" t="inlineStr">
        <is>
          <t>Afua Serwah Akoto Prempeh</t>
        </is>
      </c>
      <c r="E867" t="inlineStr">
        <is>
          <t>OdooBot</t>
        </is>
      </c>
      <c r="F867" s="5" t="n">
        <v>46154.70721064815</v>
      </c>
      <c r="H867" t="inlineStr">
        <is>
          <t>Non-Billable Tasks</t>
        </is>
      </c>
      <c r="I867" t="n">
        <v>6</v>
      </c>
      <c r="L867" t="b">
        <v>0</v>
      </c>
      <c r="M867" t="inlineStr">
        <is>
          <t>Non-Billable</t>
        </is>
      </c>
      <c r="N867" s="6">
        <f>IF(B867="","",IF(ISNUMBER(B867),TEXT(B867,"YYYY-MM"),LEFT(B867,7)))</f>
        <v/>
      </c>
    </row>
    <row r="868">
      <c r="A868" t="inlineStr">
        <is>
          <t>Afua Serwah Akoto Prempeh</t>
        </is>
      </c>
      <c r="B868" s="4" t="n">
        <v>46142</v>
      </c>
      <c r="C868" t="inlineStr">
        <is>
          <t>/</t>
        </is>
      </c>
      <c r="D868" t="inlineStr">
        <is>
          <t>Afua Serwah Akoto Prempeh</t>
        </is>
      </c>
      <c r="E868" t="inlineStr">
        <is>
          <t>OdooBot</t>
        </is>
      </c>
      <c r="F868" s="5" t="n">
        <v>46154.70721064815</v>
      </c>
      <c r="H868" t="inlineStr">
        <is>
          <t>Non-Billable Tasks</t>
        </is>
      </c>
      <c r="I868" t="n">
        <v>2</v>
      </c>
      <c r="K868" t="inlineStr">
        <is>
          <t>Professional development and Knowledge sharing(training,global knowledge calls,exchange weeks)</t>
        </is>
      </c>
      <c r="L868" t="b">
        <v>0</v>
      </c>
      <c r="M868" t="inlineStr">
        <is>
          <t>Non-Billable</t>
        </is>
      </c>
      <c r="N868" s="6">
        <f>IF(B868="","",IF(ISNUMBER(B868),TEXT(B868,"YYYY-MM"),LEFT(B868,7)))</f>
        <v/>
      </c>
    </row>
    <row r="869">
      <c r="A869" t="inlineStr">
        <is>
          <t>Louis Defo</t>
        </is>
      </c>
      <c r="B869" s="4" t="n">
        <v>46142</v>
      </c>
      <c r="C869" t="inlineStr">
        <is>
          <t>/</t>
        </is>
      </c>
      <c r="D869" t="inlineStr">
        <is>
          <t>Louis Defo</t>
        </is>
      </c>
      <c r="E869" t="inlineStr">
        <is>
          <t>OdooBot</t>
        </is>
      </c>
      <c r="F869" s="5" t="n">
        <v>46154.70721064815</v>
      </c>
      <c r="H869" t="inlineStr">
        <is>
          <t>P23AC00C00 - FGMC</t>
        </is>
      </c>
      <c r="I869" t="n">
        <v>8</v>
      </c>
      <c r="L869" t="b">
        <v>0</v>
      </c>
      <c r="M869" t="inlineStr">
        <is>
          <t>Non-Billable</t>
        </is>
      </c>
      <c r="N869" s="6">
        <f>IF(B869="","",IF(ISNUMBER(B869),TEXT(B869,"YYYY-MM"),LEFT(B869,7)))</f>
        <v/>
      </c>
    </row>
    <row r="870">
      <c r="A870" t="inlineStr">
        <is>
          <t>Abel Ansu</t>
        </is>
      </c>
      <c r="B870" s="4" t="n">
        <v>46142</v>
      </c>
      <c r="C870" t="inlineStr">
        <is>
          <t>Visited the Bia-Tano forest reserve to monitor cleared MTS sites</t>
        </is>
      </c>
      <c r="D870" t="inlineStr">
        <is>
          <t>Abel Ansu</t>
        </is>
      </c>
      <c r="E870" t="inlineStr">
        <is>
          <t>OdooBot</t>
        </is>
      </c>
      <c r="F870" s="5" t="n">
        <v>46154.70721064815</v>
      </c>
      <c r="H870" t="inlineStr">
        <is>
          <t>Internal</t>
        </is>
      </c>
      <c r="I870" t="n">
        <v>8</v>
      </c>
      <c r="K870" t="inlineStr">
        <is>
          <t>Monitoring of cleared MTS sites</t>
        </is>
      </c>
      <c r="L870" t="b">
        <v>0</v>
      </c>
      <c r="M870" t="inlineStr">
        <is>
          <t>Non-Billable</t>
        </is>
      </c>
      <c r="N870" s="6">
        <f>IF(B870="","",IF(ISNUMBER(B870),TEXT(B870,"YYYY-MM"),LEFT(B870,7)))</f>
        <v/>
      </c>
    </row>
    <row r="871">
      <c r="A871" t="inlineStr">
        <is>
          <t>Clement Obeng-Manu</t>
        </is>
      </c>
      <c r="B871" s="4" t="n">
        <v>46142</v>
      </c>
      <c r="C871" t="inlineStr">
        <is>
          <t xml:space="preserve">Land cover groundtruthing </t>
        </is>
      </c>
      <c r="D871" t="inlineStr">
        <is>
          <t>Clement Obeng-Manu</t>
        </is>
      </c>
      <c r="E871" t="inlineStr">
        <is>
          <t>OdooBot</t>
        </is>
      </c>
      <c r="F871" s="5" t="n">
        <v>46154.70721064815</v>
      </c>
      <c r="G871" t="inlineStr">
        <is>
          <t>Field Visit and Data Collection</t>
        </is>
      </c>
      <c r="H871" t="inlineStr">
        <is>
          <t>PCGH785</t>
        </is>
      </c>
      <c r="I871" t="n">
        <v>8</v>
      </c>
      <c r="J871" t="inlineStr">
        <is>
          <t>PCGH785 -  Field data collection  (3) (Okeosisi Jonathan)</t>
        </is>
      </c>
      <c r="K871" t="inlineStr">
        <is>
          <t>Ground-truthing and mapping</t>
        </is>
      </c>
      <c r="L871" t="b">
        <v>1</v>
      </c>
      <c r="M871" t="inlineStr">
        <is>
          <t>Billed at a Fixed price</t>
        </is>
      </c>
      <c r="N871" s="6">
        <f>IF(B871="","",IF(ISNUMBER(B871),TEXT(B871,"YYYY-MM"),LEFT(B871,7)))</f>
        <v/>
      </c>
    </row>
    <row r="872">
      <c r="A872" t="inlineStr">
        <is>
          <t>Stephen Doso</t>
        </is>
      </c>
      <c r="B872" s="4" t="n">
        <v>46142</v>
      </c>
      <c r="C872" t="inlineStr">
        <is>
          <t>/</t>
        </is>
      </c>
      <c r="D872" t="inlineStr">
        <is>
          <t>Stephen Doso</t>
        </is>
      </c>
      <c r="E872" t="inlineStr">
        <is>
          <t>OdooBot</t>
        </is>
      </c>
      <c r="F872" s="5" t="n">
        <v>46154.70721064815</v>
      </c>
      <c r="H872" t="inlineStr">
        <is>
          <t>PCGH762 - GVL HCSA Restoration Project</t>
        </is>
      </c>
      <c r="I872" t="n">
        <v>0</v>
      </c>
      <c r="J872" t="inlineStr">
        <is>
          <t>PCGH763 - Desk study (Due diligence) (Jopafram Nigeria Limited)</t>
        </is>
      </c>
      <c r="K872" t="inlineStr">
        <is>
          <t>Fundraising and proposal development</t>
        </is>
      </c>
      <c r="L872" t="b">
        <v>1</v>
      </c>
      <c r="M872" t="inlineStr">
        <is>
          <t>Billed at a Fixed price</t>
        </is>
      </c>
      <c r="N872" s="6">
        <f>IF(B872="","",IF(ISNUMBER(B872),TEXT(B872,"YYYY-MM"),LEFT(B872,7)))</f>
        <v/>
      </c>
    </row>
    <row r="873">
      <c r="A873" t="inlineStr">
        <is>
          <t>Stephen Doso</t>
        </is>
      </c>
      <c r="B873" s="4" t="n">
        <v>46142</v>
      </c>
      <c r="C873" t="inlineStr">
        <is>
          <t>/</t>
        </is>
      </c>
      <c r="D873" t="inlineStr">
        <is>
          <t>Stephen Doso</t>
        </is>
      </c>
      <c r="E873" t="inlineStr">
        <is>
          <t>OdooBot</t>
        </is>
      </c>
      <c r="F873" s="5" t="n">
        <v>46154.70721064815</v>
      </c>
      <c r="G873" t="inlineStr">
        <is>
          <t>Field Visit and Data Collection</t>
        </is>
      </c>
      <c r="H873" t="inlineStr">
        <is>
          <t>PCGH785</t>
        </is>
      </c>
      <c r="I873" t="n">
        <v>8</v>
      </c>
      <c r="J873" t="inlineStr">
        <is>
          <t>PCGH785 -  Field data collection  (2) (Okeosisi Jonathan)</t>
        </is>
      </c>
      <c r="K873" t="inlineStr">
        <is>
          <t>Ground-truthing and mapping</t>
        </is>
      </c>
      <c r="L873" t="b">
        <v>1</v>
      </c>
      <c r="M873" t="inlineStr">
        <is>
          <t>Billed at a Fixed price</t>
        </is>
      </c>
      <c r="N873" s="6">
        <f>IF(B873="","",IF(ISNUMBER(B873),TEXT(B873,"YYYY-MM"),LEFT(B873,7)))</f>
        <v/>
      </c>
    </row>
    <row r="874">
      <c r="A874" t="inlineStr">
        <is>
          <t>Mawuse Agblobi</t>
        </is>
      </c>
      <c r="B874" s="4" t="n">
        <v>46141</v>
      </c>
      <c r="C874" t="inlineStr">
        <is>
          <t>Time Off (3/4)</t>
        </is>
      </c>
      <c r="D874" t="inlineStr">
        <is>
          <t>Patricia Offei</t>
        </is>
      </c>
      <c r="E874" t="inlineStr">
        <is>
          <t>Mawuse Agblobi</t>
        </is>
      </c>
      <c r="F874" s="5" t="n">
        <v>46174.89994212963</v>
      </c>
      <c r="H874" t="inlineStr">
        <is>
          <t>Internal</t>
        </is>
      </c>
      <c r="I874" t="n">
        <v>8</v>
      </c>
      <c r="K874" t="inlineStr">
        <is>
          <t>Time Off</t>
        </is>
      </c>
      <c r="L874" t="b">
        <v>0</v>
      </c>
      <c r="M874" t="inlineStr">
        <is>
          <t>Non-Billable</t>
        </is>
      </c>
      <c r="N874" s="6">
        <f>IF(B874="","",IF(ISNUMBER(B874),TEXT(B874,"YYYY-MM"),LEFT(B874,7)))</f>
        <v/>
      </c>
    </row>
    <row r="875">
      <c r="A875" t="inlineStr">
        <is>
          <t>Mawuse Agblobi</t>
        </is>
      </c>
      <c r="B875" s="4" t="n">
        <v>46141</v>
      </c>
      <c r="C875" t="inlineStr">
        <is>
          <t>Time Off (3/8)</t>
        </is>
      </c>
      <c r="D875" t="inlineStr">
        <is>
          <t>Augustus Asamoah</t>
        </is>
      </c>
      <c r="E875" t="inlineStr">
        <is>
          <t>Mawuse Agblobi</t>
        </is>
      </c>
      <c r="F875" s="5" t="n">
        <v>46174.89994212963</v>
      </c>
      <c r="H875" t="inlineStr">
        <is>
          <t>Internal</t>
        </is>
      </c>
      <c r="I875" t="n">
        <v>8</v>
      </c>
      <c r="K875" t="inlineStr">
        <is>
          <t>Time Off</t>
        </is>
      </c>
      <c r="L875" t="b">
        <v>0</v>
      </c>
      <c r="M875" t="inlineStr">
        <is>
          <t>Non-Billable</t>
        </is>
      </c>
      <c r="N875" s="6">
        <f>IF(B875="","",IF(ISNUMBER(B875),TEXT(B875,"YYYY-MM"),LEFT(B875,7)))</f>
        <v/>
      </c>
    </row>
    <row r="876">
      <c r="A876" t="inlineStr">
        <is>
          <t>Mawuse Agblobi</t>
        </is>
      </c>
      <c r="B876" s="4" t="n">
        <v>46141</v>
      </c>
      <c r="C876" t="inlineStr">
        <is>
          <t>Time Off (2/4)</t>
        </is>
      </c>
      <c r="D876" t="inlineStr">
        <is>
          <t xml:space="preserve">Helena Tetteh </t>
        </is>
      </c>
      <c r="E876" t="inlineStr">
        <is>
          <t>Mawuse Agblobi</t>
        </is>
      </c>
      <c r="F876" s="5" t="n">
        <v>46174.89994212963</v>
      </c>
      <c r="H876" t="inlineStr">
        <is>
          <t>Internal</t>
        </is>
      </c>
      <c r="I876" t="n">
        <v>8</v>
      </c>
      <c r="K876" t="inlineStr">
        <is>
          <t>Time Off</t>
        </is>
      </c>
      <c r="L876" t="b">
        <v>0</v>
      </c>
      <c r="M876" t="inlineStr">
        <is>
          <t>Non-Billable</t>
        </is>
      </c>
      <c r="N876" s="6">
        <f>IF(B876="","",IF(ISNUMBER(B876),TEXT(B876,"YYYY-MM"),LEFT(B876,7)))</f>
        <v/>
      </c>
    </row>
    <row r="877">
      <c r="A877" t="inlineStr">
        <is>
          <t>Ekow Nyamekye Tawiah</t>
        </is>
      </c>
      <c r="B877" s="4" t="n">
        <v>46141</v>
      </c>
      <c r="C877" t="inlineStr">
        <is>
          <t>Deforestation Risk Analysis</t>
        </is>
      </c>
      <c r="D877" t="inlineStr">
        <is>
          <t>Ekow Nyamekye Tawiah</t>
        </is>
      </c>
      <c r="E877" t="inlineStr">
        <is>
          <t>Ekow Nyamekye Tawiah</t>
        </is>
      </c>
      <c r="F877" s="5" t="n">
        <v>46162.87969907407</v>
      </c>
      <c r="H877" t="inlineStr">
        <is>
          <t>PCGH778 - General Support</t>
        </is>
      </c>
      <c r="I877" t="n">
        <v>4</v>
      </c>
      <c r="J877" t="inlineStr">
        <is>
          <t>PCGH778 - Support to Other Workstreams (3) (Proforest Limited(PCUK GBP))</t>
        </is>
      </c>
      <c r="L877" t="b">
        <v>1</v>
      </c>
      <c r="M877" t="inlineStr">
        <is>
          <t>Billed at a Fixed price</t>
        </is>
      </c>
      <c r="N877" s="6">
        <f>IF(B877="","",IF(ISNUMBER(B877),TEXT(B877,"YYYY-MM"),LEFT(B877,7)))</f>
        <v/>
      </c>
    </row>
    <row r="878">
      <c r="A878" t="inlineStr">
        <is>
          <t>James Parker Mckeown</t>
        </is>
      </c>
      <c r="B878" s="4" t="n">
        <v>46141</v>
      </c>
      <c r="C878" t="inlineStr">
        <is>
          <t>/</t>
        </is>
      </c>
      <c r="D878" t="inlineStr">
        <is>
          <t>James Parker Mckeown</t>
        </is>
      </c>
      <c r="E878" t="inlineStr">
        <is>
          <t>James Parker Mckeown</t>
        </is>
      </c>
      <c r="F878" s="5" t="n">
        <v>46162.79850694445</v>
      </c>
      <c r="G878" t="inlineStr">
        <is>
          <t>Desk Study</t>
        </is>
      </c>
      <c r="H878" t="inlineStr">
        <is>
          <t>PCGH762 - GVL HCSA Restoration Project</t>
        </is>
      </c>
      <c r="I878" t="n">
        <v>8</v>
      </c>
      <c r="J878" t="inlineStr">
        <is>
          <t>PCGH762 - Desk Review, Stakeholder Mapping &amp; Analysis and Engagement (Golden Veroleum Liberia)</t>
        </is>
      </c>
      <c r="K878" t="inlineStr">
        <is>
          <t>Desk Review, Stakeholder Mapping &amp; Analysis and Engagement</t>
        </is>
      </c>
      <c r="L878" t="b">
        <v>1</v>
      </c>
      <c r="M878" t="inlineStr">
        <is>
          <t>Billed at a Fixed price</t>
        </is>
      </c>
      <c r="N878" s="6">
        <f>IF(B878="","",IF(ISNUMBER(B878),TEXT(B878,"YYYY-MM"),LEFT(B878,7)))</f>
        <v/>
      </c>
    </row>
    <row r="879">
      <c r="A879" t="inlineStr">
        <is>
          <t>Joseph Isaiah Mensah</t>
        </is>
      </c>
      <c r="B879" s="4" t="n">
        <v>46141</v>
      </c>
      <c r="C879" t="inlineStr">
        <is>
          <t>TOIL</t>
        </is>
      </c>
      <c r="D879" t="inlineStr">
        <is>
          <t>Joseph Isaiah Mensah</t>
        </is>
      </c>
      <c r="E879" t="inlineStr">
        <is>
          <t>Joseph Isaiah Mensah</t>
        </is>
      </c>
      <c r="F879" s="5" t="n">
        <v>46162.78644675926</v>
      </c>
      <c r="H879" t="inlineStr">
        <is>
          <t>PCGH774 -Evaluation Deep-Dive Action Plans by Socfin Group</t>
        </is>
      </c>
      <c r="I879" t="n">
        <v>8</v>
      </c>
      <c r="J879" t="inlineStr">
        <is>
          <t>PCGH774 - Field Verification (3) (Socfinco FR SA)</t>
        </is>
      </c>
      <c r="K879" t="inlineStr">
        <is>
          <t xml:space="preserve">Cameroon (Safacam) - Field verification/observation/community and stakeholder engagement </t>
        </is>
      </c>
      <c r="L879" t="b">
        <v>1</v>
      </c>
      <c r="M879" t="inlineStr">
        <is>
          <t>Billed at a Fixed price</t>
        </is>
      </c>
      <c r="N879" s="6">
        <f>IF(B879="","",IF(ISNUMBER(B879),TEXT(B879,"YYYY-MM"),LEFT(B879,7)))</f>
        <v/>
      </c>
    </row>
    <row r="880">
      <c r="A880" t="inlineStr">
        <is>
          <t>Patricia Offei</t>
        </is>
      </c>
      <c r="B880" s="4" t="n">
        <v>46141</v>
      </c>
      <c r="C880" t="inlineStr">
        <is>
          <t>/</t>
        </is>
      </c>
      <c r="D880" t="inlineStr">
        <is>
          <t>Patricia Offei</t>
        </is>
      </c>
      <c r="E880" t="inlineStr">
        <is>
          <t>Patricia Offei</t>
        </is>
      </c>
      <c r="F880" s="5" t="n">
        <v>46162.60010416667</v>
      </c>
      <c r="H880" t="inlineStr">
        <is>
          <t>Non-Billable Tasks</t>
        </is>
      </c>
      <c r="I880" t="n">
        <v>8</v>
      </c>
      <c r="K880" t="inlineStr">
        <is>
          <t>TOIL</t>
        </is>
      </c>
      <c r="L880" t="b">
        <v>0</v>
      </c>
      <c r="M880" t="inlineStr">
        <is>
          <t>Non-Billable</t>
        </is>
      </c>
      <c r="N880" s="6">
        <f>IF(B880="","",IF(ISNUMBER(B880),TEXT(B880,"YYYY-MM"),LEFT(B880,7)))</f>
        <v/>
      </c>
    </row>
    <row r="881">
      <c r="A881" t="inlineStr">
        <is>
          <t>Kingsley Fitz-Gerald Severine</t>
        </is>
      </c>
      <c r="B881" s="4" t="n">
        <v>46141</v>
      </c>
      <c r="C881" t="inlineStr">
        <is>
          <t>/</t>
        </is>
      </c>
      <c r="D881" t="inlineStr">
        <is>
          <t>Kingsley Fitz-Gerald Severine</t>
        </is>
      </c>
      <c r="E881" t="inlineStr">
        <is>
          <t>Kingsley Fitz-Gerald Severine</t>
        </is>
      </c>
      <c r="F881" s="5" t="n">
        <v>46162.55836805556</v>
      </c>
      <c r="G881" t="inlineStr">
        <is>
          <t>Field Visit and Data Collection</t>
        </is>
      </c>
      <c r="H881" t="inlineStr">
        <is>
          <t>PCGH792</t>
        </is>
      </c>
      <c r="I881" t="n">
        <v>8</v>
      </c>
      <c r="J881" t="inlineStr">
        <is>
          <t>PCGH792 - Field work  (2) (Okeosisi Jonathan)</t>
        </is>
      </c>
      <c r="K881" t="inlineStr">
        <is>
          <t>Ground-truthing and mapping</t>
        </is>
      </c>
      <c r="L881" t="b">
        <v>1</v>
      </c>
      <c r="M881" t="inlineStr">
        <is>
          <t>Billed at a Fixed price</t>
        </is>
      </c>
      <c r="N881" s="6">
        <f>IF(B881="","",IF(ISNUMBER(B881),TEXT(B881,"YYYY-MM"),LEFT(B881,7)))</f>
        <v/>
      </c>
    </row>
    <row r="882">
      <c r="A882" t="inlineStr">
        <is>
          <t>Kwadwo Baniako Nti</t>
        </is>
      </c>
      <c r="B882" s="4" t="n">
        <v>46141</v>
      </c>
      <c r="C882" t="inlineStr">
        <is>
          <t>/</t>
        </is>
      </c>
      <c r="D882" t="inlineStr">
        <is>
          <t>Kwadwo Baniako Nti</t>
        </is>
      </c>
      <c r="E882" t="inlineStr">
        <is>
          <t>Kwadwo Baniako Nti</t>
        </is>
      </c>
      <c r="F882" s="5" t="n">
        <v>46162.38096064814</v>
      </c>
      <c r="G882" t="inlineStr">
        <is>
          <t>Training and Capacity Building</t>
        </is>
      </c>
      <c r="H882" t="inlineStr">
        <is>
          <t>PCGH762 - GVL HCSA Restoration Project</t>
        </is>
      </c>
      <c r="I882" t="n">
        <v>4</v>
      </c>
      <c r="J882" t="inlineStr">
        <is>
          <t>PCGH762 - Training and Capacity Building (Golden Veroleum Liberia)</t>
        </is>
      </c>
      <c r="K882" t="inlineStr">
        <is>
          <t>Training and Capacity Building</t>
        </is>
      </c>
      <c r="L882" t="b">
        <v>1</v>
      </c>
      <c r="M882" t="inlineStr">
        <is>
          <t>Billed at a Fixed price</t>
        </is>
      </c>
      <c r="N882" s="6">
        <f>IF(B882="","",IF(ISNUMBER(B882),TEXT(B882,"YYYY-MM"),LEFT(B882,7)))</f>
        <v/>
      </c>
    </row>
    <row r="883">
      <c r="A883" t="inlineStr">
        <is>
          <t>Kwadwo Baniako Nti</t>
        </is>
      </c>
      <c r="B883" s="4" t="n">
        <v>46141</v>
      </c>
      <c r="C883" t="inlineStr">
        <is>
          <t>/</t>
        </is>
      </c>
      <c r="D883" t="inlineStr">
        <is>
          <t>Kwadwo Baniako Nti</t>
        </is>
      </c>
      <c r="E883" t="inlineStr">
        <is>
          <t>Kwadwo Baniako Nti</t>
        </is>
      </c>
      <c r="F883" s="5" t="n">
        <v>46162.37861111111</v>
      </c>
      <c r="G883" t="inlineStr">
        <is>
          <t>PCGH786 - Site Assessment (3)</t>
        </is>
      </c>
      <c r="H883" t="inlineStr">
        <is>
          <t>PCGH786 - Impact Level Baseline assessment for FGMC</t>
        </is>
      </c>
      <c r="I883" t="n">
        <v>4</v>
      </c>
      <c r="J883" t="inlineStr">
        <is>
          <t>PCGH786 - Site Assessment (3) (NIRAS Group (UK) Ltd)</t>
        </is>
      </c>
      <c r="K883" t="inlineStr">
        <is>
          <t>Site Assessment</t>
        </is>
      </c>
      <c r="L883" t="b">
        <v>1</v>
      </c>
      <c r="M883" t="inlineStr">
        <is>
          <t>Billed at a Fixed price</t>
        </is>
      </c>
      <c r="N883" s="6">
        <f>IF(B883="","",IF(ISNUMBER(B883),TEXT(B883,"YYYY-MM"),LEFT(B883,7)))</f>
        <v/>
      </c>
    </row>
    <row r="884">
      <c r="A884" t="inlineStr">
        <is>
          <t>Frederick Antwi</t>
        </is>
      </c>
      <c r="B884" s="4" t="n">
        <v>46141</v>
      </c>
      <c r="C884" t="inlineStr">
        <is>
          <t>/</t>
        </is>
      </c>
      <c r="D884" t="inlineStr">
        <is>
          <t>Frederick Antwi</t>
        </is>
      </c>
      <c r="E884" t="inlineStr">
        <is>
          <t>Frederick Antwi</t>
        </is>
      </c>
      <c r="F884" s="5" t="n">
        <v>46160.63896990741</v>
      </c>
      <c r="H884" t="inlineStr">
        <is>
          <t>P13PC00A00 - Private Sector Companies</t>
        </is>
      </c>
      <c r="I884" t="n">
        <v>8</v>
      </c>
      <c r="L884" t="b">
        <v>0</v>
      </c>
      <c r="M884" t="inlineStr">
        <is>
          <t>Non-Billable</t>
        </is>
      </c>
      <c r="N884" s="6">
        <f>IF(B884="","",IF(ISNUMBER(B884),TEXT(B884,"YYYY-MM"),LEFT(B884,7)))</f>
        <v/>
      </c>
    </row>
    <row r="885">
      <c r="A885" t="inlineStr">
        <is>
          <t>Augustus Asamoah</t>
        </is>
      </c>
      <c r="B885" s="4" t="n">
        <v>46141</v>
      </c>
      <c r="C885" t="inlineStr">
        <is>
          <t>/</t>
        </is>
      </c>
      <c r="D885" t="inlineStr">
        <is>
          <t>Augustus Asamoah</t>
        </is>
      </c>
      <c r="E885" t="inlineStr">
        <is>
          <t>Augustus Asamoah</t>
        </is>
      </c>
      <c r="F885" s="5" t="n">
        <v>46156.69689814815</v>
      </c>
      <c r="H885" t="inlineStr">
        <is>
          <t>Non-Billable Tasks</t>
        </is>
      </c>
      <c r="I885" t="n">
        <v>8</v>
      </c>
      <c r="L885" t="b">
        <v>0</v>
      </c>
      <c r="M885" t="inlineStr">
        <is>
          <t>Non-Billable</t>
        </is>
      </c>
      <c r="N885" s="6">
        <f>IF(B885="","",IF(ISNUMBER(B885),TEXT(B885,"YYYY-MM"),LEFT(B885,7)))</f>
        <v/>
      </c>
    </row>
    <row r="886">
      <c r="A886" t="inlineStr">
        <is>
          <t>Soro TCHEREGNIMIN</t>
        </is>
      </c>
      <c r="B886" s="4" t="n">
        <v>46141</v>
      </c>
      <c r="C886" t="inlineStr">
        <is>
          <t>Review of literature (Hershey project)</t>
        </is>
      </c>
      <c r="D886" t="inlineStr">
        <is>
          <t>Soro TCHEREGNIMIN</t>
        </is>
      </c>
      <c r="E886" t="inlineStr">
        <is>
          <t>Soro TCHEREGNIMIN</t>
        </is>
      </c>
      <c r="F886" s="5" t="n">
        <v>46154.92787037037</v>
      </c>
      <c r="H886" t="inlineStr">
        <is>
          <t>Non-Billable Tasks</t>
        </is>
      </c>
      <c r="I886" t="n">
        <v>8</v>
      </c>
      <c r="L886" t="b">
        <v>0</v>
      </c>
      <c r="M886" t="inlineStr">
        <is>
          <t>Non-Billable</t>
        </is>
      </c>
      <c r="N886" s="6">
        <f>IF(B886="","",IF(ISNUMBER(B886),TEXT(B886,"YYYY-MM"),LEFT(B886,7)))</f>
        <v/>
      </c>
    </row>
    <row r="887">
      <c r="A887" t="inlineStr">
        <is>
          <t>Helena Tetteh</t>
        </is>
      </c>
      <c r="B887" s="4" t="n">
        <v>46141</v>
      </c>
      <c r="C887" t="inlineStr">
        <is>
          <t>/</t>
        </is>
      </c>
      <c r="D887" t="inlineStr">
        <is>
          <t xml:space="preserve">Helena Tetteh </t>
        </is>
      </c>
      <c r="E887" t="inlineStr">
        <is>
          <t>OdooBot</t>
        </is>
      </c>
      <c r="F887" s="5" t="n">
        <v>46154.70721064815</v>
      </c>
      <c r="G887" t="inlineStr">
        <is>
          <t>Output 2.3</t>
        </is>
      </c>
      <c r="H887" t="inlineStr">
        <is>
          <t>P23AC00C00 - FGMC</t>
        </is>
      </c>
      <c r="I887" t="n">
        <v>8</v>
      </c>
      <c r="K887" t="inlineStr">
        <is>
          <t>P23AC22A00 - Output Two (Elevating Local Solutions - West Africa)</t>
        </is>
      </c>
      <c r="L887" t="b">
        <v>0</v>
      </c>
      <c r="M887" t="inlineStr">
        <is>
          <t>Non-Billable</t>
        </is>
      </c>
      <c r="N887" s="6">
        <f>IF(B887="","",IF(ISNUMBER(B887),TEXT(B887,"YYYY-MM"),LEFT(B887,7)))</f>
        <v/>
      </c>
    </row>
    <row r="888">
      <c r="A888" t="inlineStr">
        <is>
          <t>Afua Serwah Akoto Prempeh</t>
        </is>
      </c>
      <c r="B888" s="4" t="n">
        <v>46141</v>
      </c>
      <c r="C888" t="inlineStr">
        <is>
          <t>/</t>
        </is>
      </c>
      <c r="D888" t="inlineStr">
        <is>
          <t>Afua Serwah Akoto Prempeh</t>
        </is>
      </c>
      <c r="E888" t="inlineStr">
        <is>
          <t>OdooBot</t>
        </is>
      </c>
      <c r="F888" s="5" t="n">
        <v>46154.70721064815</v>
      </c>
      <c r="H888" t="inlineStr">
        <is>
          <t>Non-Billable Tasks</t>
        </is>
      </c>
      <c r="I888" t="n">
        <v>2</v>
      </c>
      <c r="L888" t="b">
        <v>0</v>
      </c>
      <c r="M888" t="inlineStr">
        <is>
          <t>Non-Billable</t>
        </is>
      </c>
      <c r="N888" s="6">
        <f>IF(B888="","",IF(ISNUMBER(B888),TEXT(B888,"YYYY-MM"),LEFT(B888,7)))</f>
        <v/>
      </c>
    </row>
    <row r="889">
      <c r="A889" t="inlineStr">
        <is>
          <t>Afua Serwah Akoto Prempeh</t>
        </is>
      </c>
      <c r="B889" s="4" t="n">
        <v>46141</v>
      </c>
      <c r="C889" t="inlineStr">
        <is>
          <t>/</t>
        </is>
      </c>
      <c r="D889" t="inlineStr">
        <is>
          <t>Afua Serwah Akoto Prempeh</t>
        </is>
      </c>
      <c r="E889" t="inlineStr">
        <is>
          <t>OdooBot</t>
        </is>
      </c>
      <c r="F889" s="5" t="n">
        <v>46154.70721064815</v>
      </c>
      <c r="H889" t="inlineStr">
        <is>
          <t>Non-Billable Tasks</t>
        </is>
      </c>
      <c r="I889" t="n">
        <v>6</v>
      </c>
      <c r="K889" t="inlineStr">
        <is>
          <t>Professional development and Knowledge sharing(training,global knowledge calls,exchange weeks)</t>
        </is>
      </c>
      <c r="L889" t="b">
        <v>0</v>
      </c>
      <c r="M889" t="inlineStr">
        <is>
          <t>Non-Billable</t>
        </is>
      </c>
      <c r="N889" s="6">
        <f>IF(B889="","",IF(ISNUMBER(B889),TEXT(B889,"YYYY-MM"),LEFT(B889,7)))</f>
        <v/>
      </c>
    </row>
    <row r="890">
      <c r="A890" t="inlineStr">
        <is>
          <t>Louis Defo</t>
        </is>
      </c>
      <c r="B890" s="4" t="n">
        <v>46141</v>
      </c>
      <c r="C890" t="inlineStr">
        <is>
          <t>/</t>
        </is>
      </c>
      <c r="D890" t="inlineStr">
        <is>
          <t>Louis Defo</t>
        </is>
      </c>
      <c r="E890" t="inlineStr">
        <is>
          <t>OdooBot</t>
        </is>
      </c>
      <c r="F890" s="5" t="n">
        <v>46154.70721064815</v>
      </c>
      <c r="H890" t="inlineStr">
        <is>
          <t>P23AC00C00 - FGMC</t>
        </is>
      </c>
      <c r="I890" t="n">
        <v>8</v>
      </c>
      <c r="L890" t="b">
        <v>0</v>
      </c>
      <c r="M890" t="inlineStr">
        <is>
          <t>Non-Billable</t>
        </is>
      </c>
      <c r="N890" s="6">
        <f>IF(B890="","",IF(ISNUMBER(B890),TEXT(B890,"YYYY-MM"),LEFT(B890,7)))</f>
        <v/>
      </c>
    </row>
    <row r="891">
      <c r="A891" t="inlineStr">
        <is>
          <t>Abel Ansu</t>
        </is>
      </c>
      <c r="B891" s="4" t="n">
        <v>46141</v>
      </c>
      <c r="C891" t="inlineStr">
        <is>
          <t>Visited the Bia shelter belt for Gambia No 1 &amp; 2 to monitor MTS sites</t>
        </is>
      </c>
      <c r="D891" t="inlineStr">
        <is>
          <t>Abel Ansu</t>
        </is>
      </c>
      <c r="E891" t="inlineStr">
        <is>
          <t>OdooBot</t>
        </is>
      </c>
      <c r="F891" s="5" t="n">
        <v>46154.70721064815</v>
      </c>
      <c r="H891" t="inlineStr">
        <is>
          <t>Internal</t>
        </is>
      </c>
      <c r="I891" t="n">
        <v>8</v>
      </c>
      <c r="K891" t="inlineStr">
        <is>
          <t>Monitoring of cleared MTS sites</t>
        </is>
      </c>
      <c r="L891" t="b">
        <v>0</v>
      </c>
      <c r="M891" t="inlineStr">
        <is>
          <t>Non-Billable</t>
        </is>
      </c>
      <c r="N891" s="6">
        <f>IF(B891="","",IF(ISNUMBER(B891),TEXT(B891,"YYYY-MM"),LEFT(B891,7)))</f>
        <v/>
      </c>
    </row>
    <row r="892">
      <c r="A892" t="inlineStr">
        <is>
          <t>Clement Obeng-Manu</t>
        </is>
      </c>
      <c r="B892" s="4" t="n">
        <v>46141</v>
      </c>
      <c r="C892" t="inlineStr">
        <is>
          <t>/</t>
        </is>
      </c>
      <c r="D892" t="inlineStr">
        <is>
          <t>Clement Obeng-Manu</t>
        </is>
      </c>
      <c r="E892" t="inlineStr">
        <is>
          <t>OdooBot</t>
        </is>
      </c>
      <c r="F892" s="5" t="n">
        <v>46154.70721064815</v>
      </c>
      <c r="G892" t="inlineStr">
        <is>
          <t>Field Visit and Data Collection</t>
        </is>
      </c>
      <c r="H892" t="inlineStr">
        <is>
          <t>PCGH785</t>
        </is>
      </c>
      <c r="I892" t="n">
        <v>8</v>
      </c>
      <c r="J892" t="inlineStr">
        <is>
          <t>PCGH785 -  Field data collection  (3) (Okeosisi Jonathan)</t>
        </is>
      </c>
      <c r="K892" t="inlineStr">
        <is>
          <t>Ground-truthing and mapping</t>
        </is>
      </c>
      <c r="L892" t="b">
        <v>1</v>
      </c>
      <c r="M892" t="inlineStr">
        <is>
          <t>Billed at a Fixed price</t>
        </is>
      </c>
      <c r="N892" s="6">
        <f>IF(B892="","",IF(ISNUMBER(B892),TEXT(B892,"YYYY-MM"),LEFT(B892,7)))</f>
        <v/>
      </c>
    </row>
    <row r="893">
      <c r="A893" t="inlineStr">
        <is>
          <t>Stephen Doso</t>
        </is>
      </c>
      <c r="B893" s="4" t="n">
        <v>46141</v>
      </c>
      <c r="C893" t="inlineStr">
        <is>
          <t>/</t>
        </is>
      </c>
      <c r="D893" t="inlineStr">
        <is>
          <t>Stephen Doso</t>
        </is>
      </c>
      <c r="E893" t="inlineStr">
        <is>
          <t>OdooBot</t>
        </is>
      </c>
      <c r="F893" s="5" t="n">
        <v>46154.70721064815</v>
      </c>
      <c r="G893" t="inlineStr">
        <is>
          <t>Field Visit and Data Collection</t>
        </is>
      </c>
      <c r="H893" t="inlineStr">
        <is>
          <t>PCGH785</t>
        </is>
      </c>
      <c r="I893" t="n">
        <v>8</v>
      </c>
      <c r="J893" t="inlineStr">
        <is>
          <t>PCGH785 -  Field data collection  (2) (Okeosisi Jonathan)</t>
        </is>
      </c>
      <c r="K893" t="inlineStr">
        <is>
          <t>Ground-truthing and mapping</t>
        </is>
      </c>
      <c r="L893" t="b">
        <v>1</v>
      </c>
      <c r="M893" t="inlineStr">
        <is>
          <t>Billed at a Fixed price</t>
        </is>
      </c>
      <c r="N893" s="6">
        <f>IF(B893="","",IF(ISNUMBER(B893),TEXT(B893,"YYYY-MM"),LEFT(B893,7)))</f>
        <v/>
      </c>
    </row>
    <row r="894">
      <c r="A894" t="inlineStr">
        <is>
          <t>Mawuse Agblobi</t>
        </is>
      </c>
      <c r="B894" s="4" t="n">
        <v>46140</v>
      </c>
      <c r="C894" t="inlineStr">
        <is>
          <t>Time Off (2/4)</t>
        </is>
      </c>
      <c r="D894" t="inlineStr">
        <is>
          <t>Patricia Offei</t>
        </is>
      </c>
      <c r="E894" t="inlineStr">
        <is>
          <t>Mawuse Agblobi</t>
        </is>
      </c>
      <c r="F894" s="5" t="n">
        <v>46174.89994212963</v>
      </c>
      <c r="H894" t="inlineStr">
        <is>
          <t>Internal</t>
        </is>
      </c>
      <c r="I894" t="n">
        <v>8</v>
      </c>
      <c r="K894" t="inlineStr">
        <is>
          <t>Time Off</t>
        </is>
      </c>
      <c r="L894" t="b">
        <v>0</v>
      </c>
      <c r="M894" t="inlineStr">
        <is>
          <t>Non-Billable</t>
        </is>
      </c>
      <c r="N894" s="6">
        <f>IF(B894="","",IF(ISNUMBER(B894),TEXT(B894,"YYYY-MM"),LEFT(B894,7)))</f>
        <v/>
      </c>
    </row>
    <row r="895">
      <c r="A895" t="inlineStr">
        <is>
          <t>Mawuse Agblobi</t>
        </is>
      </c>
      <c r="B895" s="4" t="n">
        <v>46140</v>
      </c>
      <c r="C895" t="inlineStr">
        <is>
          <t>Time Off (2/8)</t>
        </is>
      </c>
      <c r="D895" t="inlineStr">
        <is>
          <t>Augustus Asamoah</t>
        </is>
      </c>
      <c r="E895" t="inlineStr">
        <is>
          <t>Mawuse Agblobi</t>
        </is>
      </c>
      <c r="F895" s="5" t="n">
        <v>46174.89994212963</v>
      </c>
      <c r="H895" t="inlineStr">
        <is>
          <t>Internal</t>
        </is>
      </c>
      <c r="I895" t="n">
        <v>8</v>
      </c>
      <c r="K895" t="inlineStr">
        <is>
          <t>Time Off</t>
        </is>
      </c>
      <c r="L895" t="b">
        <v>0</v>
      </c>
      <c r="M895" t="inlineStr">
        <is>
          <t>Non-Billable</t>
        </is>
      </c>
      <c r="N895" s="6">
        <f>IF(B895="","",IF(ISNUMBER(B895),TEXT(B895,"YYYY-MM"),LEFT(B895,7)))</f>
        <v/>
      </c>
    </row>
    <row r="896">
      <c r="A896" t="inlineStr">
        <is>
          <t>Mawuse Agblobi</t>
        </is>
      </c>
      <c r="B896" s="4" t="n">
        <v>46140</v>
      </c>
      <c r="C896" t="inlineStr">
        <is>
          <t>Time Off (1/4)</t>
        </is>
      </c>
      <c r="D896" t="inlineStr">
        <is>
          <t xml:space="preserve">Helena Tetteh </t>
        </is>
      </c>
      <c r="E896" t="inlineStr">
        <is>
          <t>Mawuse Agblobi</t>
        </is>
      </c>
      <c r="F896" s="5" t="n">
        <v>46174.89994212963</v>
      </c>
      <c r="H896" t="inlineStr">
        <is>
          <t>Internal</t>
        </is>
      </c>
      <c r="I896" t="n">
        <v>8</v>
      </c>
      <c r="K896" t="inlineStr">
        <is>
          <t>Time Off</t>
        </is>
      </c>
      <c r="L896" t="b">
        <v>0</v>
      </c>
      <c r="M896" t="inlineStr">
        <is>
          <t>Non-Billable</t>
        </is>
      </c>
      <c r="N896" s="6">
        <f>IF(B896="","",IF(ISNUMBER(B896),TEXT(B896,"YYYY-MM"),LEFT(B896,7)))</f>
        <v/>
      </c>
    </row>
    <row r="897">
      <c r="A897" t="inlineStr">
        <is>
          <t>Ekow Nyamekye Tawiah</t>
        </is>
      </c>
      <c r="B897" s="4" t="n">
        <v>46140</v>
      </c>
      <c r="C897" t="inlineStr">
        <is>
          <t>Deforestation Risk Analysis</t>
        </is>
      </c>
      <c r="D897" t="inlineStr">
        <is>
          <t>Ekow Nyamekye Tawiah</t>
        </is>
      </c>
      <c r="E897" t="inlineStr">
        <is>
          <t>Ekow Nyamekye Tawiah</t>
        </is>
      </c>
      <c r="F897" s="5" t="n">
        <v>46162.8797337963</v>
      </c>
      <c r="H897" t="inlineStr">
        <is>
          <t>PCGH778 - General Support</t>
        </is>
      </c>
      <c r="I897" t="n">
        <v>4</v>
      </c>
      <c r="J897" t="inlineStr">
        <is>
          <t>PCGH778 - Support to Other Workstreams (3) (Proforest Limited(PCUK GBP))</t>
        </is>
      </c>
      <c r="L897" t="b">
        <v>1</v>
      </c>
      <c r="M897" t="inlineStr">
        <is>
          <t>Billed at a Fixed price</t>
        </is>
      </c>
      <c r="N897" s="6">
        <f>IF(B897="","",IF(ISNUMBER(B897),TEXT(B897,"YYYY-MM"),LEFT(B897,7)))</f>
        <v/>
      </c>
    </row>
    <row r="898">
      <c r="A898" t="inlineStr">
        <is>
          <t>James Parker Mckeown</t>
        </is>
      </c>
      <c r="B898" s="4" t="n">
        <v>46140</v>
      </c>
      <c r="C898" t="inlineStr">
        <is>
          <t>Y1 Q3 Quarterly report</t>
        </is>
      </c>
      <c r="D898" t="inlineStr">
        <is>
          <t>James Parker Mckeown</t>
        </is>
      </c>
      <c r="E898" t="inlineStr">
        <is>
          <t>James Parker Mckeown</t>
        </is>
      </c>
      <c r="F898" s="5" t="n">
        <v>46162.79796296296</v>
      </c>
      <c r="G898" t="inlineStr">
        <is>
          <t>Desk Study</t>
        </is>
      </c>
      <c r="H898" t="inlineStr">
        <is>
          <t>PCGH762 - GVL HCSA Restoration Project</t>
        </is>
      </c>
      <c r="I898" t="n">
        <v>4</v>
      </c>
      <c r="J898" t="inlineStr">
        <is>
          <t>PCGH762 - Desk Review, Stakeholder Mapping &amp; Analysis and Engagement (Golden Veroleum Liberia)</t>
        </is>
      </c>
      <c r="K898" t="inlineStr">
        <is>
          <t>Desk Review, Stakeholder Mapping &amp; Analysis and Engagement</t>
        </is>
      </c>
      <c r="L898" t="b">
        <v>1</v>
      </c>
      <c r="M898" t="inlineStr">
        <is>
          <t>Billed at a Fixed price</t>
        </is>
      </c>
      <c r="N898" s="6">
        <f>IF(B898="","",IF(ISNUMBER(B898),TEXT(B898,"YYYY-MM"),LEFT(B898,7)))</f>
        <v/>
      </c>
    </row>
    <row r="899">
      <c r="A899" t="inlineStr">
        <is>
          <t>James Parker Mckeown</t>
        </is>
      </c>
      <c r="B899" s="4" t="n">
        <v>46140</v>
      </c>
      <c r="C899" t="inlineStr">
        <is>
          <t>FLEGT VPA Stakeholder workshop</t>
        </is>
      </c>
      <c r="D899" t="inlineStr">
        <is>
          <t>James Parker Mckeown</t>
        </is>
      </c>
      <c r="E899" t="inlineStr">
        <is>
          <t>James Parker Mckeown</t>
        </is>
      </c>
      <c r="F899" s="5" t="n">
        <v>46162.79511574074</v>
      </c>
      <c r="G899" t="inlineStr">
        <is>
          <t>Output 2.3</t>
        </is>
      </c>
      <c r="H899" t="inlineStr">
        <is>
          <t>P23AC00C00 - FGMC</t>
        </is>
      </c>
      <c r="I899" t="n">
        <v>5</v>
      </c>
      <c r="K899" t="inlineStr">
        <is>
          <t>P23AC22A00 - Output Two (Elevating Local Solutions - West Africa)</t>
        </is>
      </c>
      <c r="L899" t="b">
        <v>0</v>
      </c>
      <c r="M899" t="inlineStr">
        <is>
          <t>Non-Billable</t>
        </is>
      </c>
      <c r="N899" s="6">
        <f>IF(B899="","",IF(ISNUMBER(B899),TEXT(B899,"YYYY-MM"),LEFT(B899,7)))</f>
        <v/>
      </c>
    </row>
    <row r="900">
      <c r="A900" t="inlineStr">
        <is>
          <t>James Parker Mckeown</t>
        </is>
      </c>
      <c r="B900" s="4" t="n">
        <v>46140</v>
      </c>
      <c r="C900" t="inlineStr">
        <is>
          <t>Continue review of zero draft report from Taylor Crabbe</t>
        </is>
      </c>
      <c r="D900" t="inlineStr">
        <is>
          <t>James Parker Mckeown</t>
        </is>
      </c>
      <c r="E900" t="inlineStr">
        <is>
          <t>James Parker Mckeown</t>
        </is>
      </c>
      <c r="F900" s="5" t="n">
        <v>46162.79774305555</v>
      </c>
      <c r="G900" t="inlineStr">
        <is>
          <t>Output 2.3</t>
        </is>
      </c>
      <c r="H900" t="inlineStr">
        <is>
          <t>P23AC00C00 - FGMC</t>
        </is>
      </c>
      <c r="I900" t="n">
        <v>2</v>
      </c>
      <c r="K900" t="inlineStr">
        <is>
          <t>P23AC22A00 - Output Two (Elevating Local Solutions - West Africa)</t>
        </is>
      </c>
      <c r="L900" t="b">
        <v>0</v>
      </c>
      <c r="M900" t="inlineStr">
        <is>
          <t>Non-Billable</t>
        </is>
      </c>
      <c r="N900" s="6">
        <f>IF(B900="","",IF(ISNUMBER(B900),TEXT(B900,"YYYY-MM"),LEFT(B900,7)))</f>
        <v/>
      </c>
    </row>
    <row r="901">
      <c r="A901" t="inlineStr">
        <is>
          <t>Joseph Isaiah Mensah</t>
        </is>
      </c>
      <c r="B901" s="4" t="n">
        <v>46140</v>
      </c>
      <c r="C901" t="inlineStr">
        <is>
          <t>TOIL</t>
        </is>
      </c>
      <c r="D901" t="inlineStr">
        <is>
          <t>Joseph Isaiah Mensah</t>
        </is>
      </c>
      <c r="E901" t="inlineStr">
        <is>
          <t>Joseph Isaiah Mensah</t>
        </is>
      </c>
      <c r="F901" s="5" t="n">
        <v>46162.78594907407</v>
      </c>
      <c r="H901" t="inlineStr">
        <is>
          <t>PCGH774 -Evaluation Deep-Dive Action Plans by Socfin Group</t>
        </is>
      </c>
      <c r="I901" t="n">
        <v>8</v>
      </c>
      <c r="J901" t="inlineStr">
        <is>
          <t>PCGH774 - Field Verification (2) (Socfinco FR SA)</t>
        </is>
      </c>
      <c r="K901" t="inlineStr">
        <is>
          <t>[Cameroon, Socapalm （Dibombari + Edéa + Mbongo + Mbambou） Report review] - Field verification/observation/community and stakeholder engagement</t>
        </is>
      </c>
      <c r="L901" t="b">
        <v>1</v>
      </c>
      <c r="M901" t="inlineStr">
        <is>
          <t>Billed at a Fixed price</t>
        </is>
      </c>
      <c r="N901" s="6">
        <f>IF(B901="","",IF(ISNUMBER(B901),TEXT(B901,"YYYY-MM"),LEFT(B901,7)))</f>
        <v/>
      </c>
    </row>
    <row r="902">
      <c r="A902" t="inlineStr">
        <is>
          <t>Patricia Offei</t>
        </is>
      </c>
      <c r="B902" s="4" t="n">
        <v>46140</v>
      </c>
      <c r="C902" t="inlineStr">
        <is>
          <t>/</t>
        </is>
      </c>
      <c r="D902" t="inlineStr">
        <is>
          <t>Patricia Offei</t>
        </is>
      </c>
      <c r="E902" t="inlineStr">
        <is>
          <t>Patricia Offei</t>
        </is>
      </c>
      <c r="F902" s="5" t="n">
        <v>46162.60008101852</v>
      </c>
      <c r="H902" t="inlineStr">
        <is>
          <t>Non-Billable Tasks</t>
        </is>
      </c>
      <c r="I902" t="n">
        <v>8</v>
      </c>
      <c r="K902" t="inlineStr">
        <is>
          <t>TOIL</t>
        </is>
      </c>
      <c r="L902" t="b">
        <v>0</v>
      </c>
      <c r="M902" t="inlineStr">
        <is>
          <t>Non-Billable</t>
        </is>
      </c>
      <c r="N902" s="6">
        <f>IF(B902="","",IF(ISNUMBER(B902),TEXT(B902,"YYYY-MM"),LEFT(B902,7)))</f>
        <v/>
      </c>
    </row>
    <row r="903">
      <c r="A903" t="inlineStr">
        <is>
          <t>Kingsley Fitz-Gerald Severine</t>
        </is>
      </c>
      <c r="B903" s="4" t="n">
        <v>46140</v>
      </c>
      <c r="C903" t="inlineStr">
        <is>
          <t>/</t>
        </is>
      </c>
      <c r="D903" t="inlineStr">
        <is>
          <t>Kingsley Fitz-Gerald Severine</t>
        </is>
      </c>
      <c r="E903" t="inlineStr">
        <is>
          <t>Kingsley Fitz-Gerald Severine</t>
        </is>
      </c>
      <c r="F903" s="5" t="n">
        <v>46162.55826388889</v>
      </c>
      <c r="G903" t="inlineStr">
        <is>
          <t>Field Visit and Data Collection</t>
        </is>
      </c>
      <c r="H903" t="inlineStr">
        <is>
          <t>PCGH792</t>
        </is>
      </c>
      <c r="I903" t="n">
        <v>8</v>
      </c>
      <c r="J903" t="inlineStr">
        <is>
          <t>PCGH792 - Field work  (2) (Okeosisi Jonathan)</t>
        </is>
      </c>
      <c r="K903" t="inlineStr">
        <is>
          <t>Ground-truthing and mapping</t>
        </is>
      </c>
      <c r="L903" t="b">
        <v>1</v>
      </c>
      <c r="M903" t="inlineStr">
        <is>
          <t>Billed at a Fixed price</t>
        </is>
      </c>
      <c r="N903" s="6">
        <f>IF(B903="","",IF(ISNUMBER(B903),TEXT(B903,"YYYY-MM"),LEFT(B903,7)))</f>
        <v/>
      </c>
    </row>
    <row r="904">
      <c r="A904" t="inlineStr">
        <is>
          <t>Kwadwo Baniako Nti</t>
        </is>
      </c>
      <c r="B904" s="4" t="n">
        <v>46140</v>
      </c>
      <c r="C904" t="inlineStr">
        <is>
          <t>/</t>
        </is>
      </c>
      <c r="D904" t="inlineStr">
        <is>
          <t>Kwadwo Baniako Nti</t>
        </is>
      </c>
      <c r="E904" t="inlineStr">
        <is>
          <t>Kwadwo Baniako Nti</t>
        </is>
      </c>
      <c r="F904" s="5" t="n">
        <v>46162.38105324074</v>
      </c>
      <c r="G904" t="inlineStr">
        <is>
          <t>Training and Capacity Building</t>
        </is>
      </c>
      <c r="H904" t="inlineStr">
        <is>
          <t>PCGH762 - GVL HCSA Restoration Project</t>
        </is>
      </c>
      <c r="I904" t="n">
        <v>2</v>
      </c>
      <c r="J904" t="inlineStr">
        <is>
          <t>PCGH762 - Training and Capacity Building (Golden Veroleum Liberia)</t>
        </is>
      </c>
      <c r="K904" t="inlineStr">
        <is>
          <t>Training and Capacity Building</t>
        </is>
      </c>
      <c r="L904" t="b">
        <v>1</v>
      </c>
      <c r="M904" t="inlineStr">
        <is>
          <t>Billed at a Fixed price</t>
        </is>
      </c>
      <c r="N904" s="6">
        <f>IF(B904="","",IF(ISNUMBER(B904),TEXT(B904,"YYYY-MM"),LEFT(B904,7)))</f>
        <v/>
      </c>
    </row>
    <row r="905">
      <c r="A905" t="inlineStr">
        <is>
          <t>Kwadwo Baniako Nti</t>
        </is>
      </c>
      <c r="B905" s="4" t="n">
        <v>46140</v>
      </c>
      <c r="C905" t="inlineStr">
        <is>
          <t>/</t>
        </is>
      </c>
      <c r="D905" t="inlineStr">
        <is>
          <t>Kwadwo Baniako Nti</t>
        </is>
      </c>
      <c r="E905" t="inlineStr">
        <is>
          <t>Kwadwo Baniako Nti</t>
        </is>
      </c>
      <c r="F905" s="5" t="n">
        <v>46162.38015046297</v>
      </c>
      <c r="G905" t="inlineStr">
        <is>
          <t>Baseline Socio-Economic &amp; Environmental Surveys</t>
        </is>
      </c>
      <c r="H905" t="inlineStr">
        <is>
          <t>PCGH762 - GVL HCSA Restoration Project</t>
        </is>
      </c>
      <c r="I905" t="n">
        <v>2</v>
      </c>
      <c r="J905" t="inlineStr">
        <is>
          <t>PCGH762 - Baseline Socio-Economic &amp; Environmental Surveys (Golden Veroleum Liberia)</t>
        </is>
      </c>
      <c r="K905" t="inlineStr">
        <is>
          <t>Baseline Socio-Economic &amp; Environmental Surveys</t>
        </is>
      </c>
      <c r="L905" t="b">
        <v>1</v>
      </c>
      <c r="M905" t="inlineStr">
        <is>
          <t>Billed at a Fixed price</t>
        </is>
      </c>
      <c r="N905" s="6">
        <f>IF(B905="","",IF(ISNUMBER(B905),TEXT(B905,"YYYY-MM"),LEFT(B905,7)))</f>
        <v/>
      </c>
    </row>
    <row r="906">
      <c r="A906" t="inlineStr">
        <is>
          <t>Kwadwo Baniako Nti</t>
        </is>
      </c>
      <c r="B906" s="4" t="n">
        <v>46140</v>
      </c>
      <c r="C906" t="inlineStr">
        <is>
          <t>/</t>
        </is>
      </c>
      <c r="D906" t="inlineStr">
        <is>
          <t>Kwadwo Baniako Nti</t>
        </is>
      </c>
      <c r="E906" t="inlineStr">
        <is>
          <t>Kwadwo Baniako Nti</t>
        </is>
      </c>
      <c r="F906" s="5" t="n">
        <v>46162.37857638889</v>
      </c>
      <c r="G906" t="inlineStr">
        <is>
          <t>PCGH786 - Site Assessment (3)</t>
        </is>
      </c>
      <c r="H906" t="inlineStr">
        <is>
          <t>PCGH786 - Impact Level Baseline assessment for FGMC</t>
        </is>
      </c>
      <c r="I906" t="n">
        <v>4</v>
      </c>
      <c r="J906" t="inlineStr">
        <is>
          <t>PCGH786 - Site Assessment (3) (NIRAS Group (UK) Ltd)</t>
        </is>
      </c>
      <c r="K906" t="inlineStr">
        <is>
          <t>Site Assessment</t>
        </is>
      </c>
      <c r="L906" t="b">
        <v>1</v>
      </c>
      <c r="M906" t="inlineStr">
        <is>
          <t>Billed at a Fixed price</t>
        </is>
      </c>
      <c r="N906" s="6">
        <f>IF(B906="","",IF(ISNUMBER(B906),TEXT(B906,"YYYY-MM"),LEFT(B906,7)))</f>
        <v/>
      </c>
    </row>
    <row r="907">
      <c r="A907" t="inlineStr">
        <is>
          <t>Frederick Antwi</t>
        </is>
      </c>
      <c r="B907" s="4" t="n">
        <v>46140</v>
      </c>
      <c r="C907" t="inlineStr">
        <is>
          <t>/</t>
        </is>
      </c>
      <c r="D907" t="inlineStr">
        <is>
          <t>Frederick Antwi</t>
        </is>
      </c>
      <c r="E907" t="inlineStr">
        <is>
          <t>Frederick Antwi</t>
        </is>
      </c>
      <c r="F907" s="5" t="n">
        <v>46160.63881944444</v>
      </c>
      <c r="H907" t="inlineStr">
        <is>
          <t>P13PC00A00 - Private Sector Companies</t>
        </is>
      </c>
      <c r="I907" t="n">
        <v>8</v>
      </c>
      <c r="L907" t="b">
        <v>0</v>
      </c>
      <c r="M907" t="inlineStr">
        <is>
          <t>Non-Billable</t>
        </is>
      </c>
      <c r="N907" s="6">
        <f>IF(B907="","",IF(ISNUMBER(B907),TEXT(B907,"YYYY-MM"),LEFT(B907,7)))</f>
        <v/>
      </c>
    </row>
    <row r="908">
      <c r="A908" t="inlineStr">
        <is>
          <t>Augustus Asamoah</t>
        </is>
      </c>
      <c r="B908" s="4" t="n">
        <v>46140</v>
      </c>
      <c r="C908" t="inlineStr">
        <is>
          <t>/</t>
        </is>
      </c>
      <c r="D908" t="inlineStr">
        <is>
          <t>Augustus Asamoah</t>
        </is>
      </c>
      <c r="E908" t="inlineStr">
        <is>
          <t>Augustus Asamoah</t>
        </is>
      </c>
      <c r="F908" s="5" t="n">
        <v>46156.696875</v>
      </c>
      <c r="H908" t="inlineStr">
        <is>
          <t>Non-Billable Tasks</t>
        </is>
      </c>
      <c r="I908" t="n">
        <v>8</v>
      </c>
      <c r="L908" t="b">
        <v>0</v>
      </c>
      <c r="M908" t="inlineStr">
        <is>
          <t>Non-Billable</t>
        </is>
      </c>
      <c r="N908" s="6">
        <f>IF(B908="","",IF(ISNUMBER(B908),TEXT(B908,"YYYY-MM"),LEFT(B908,7)))</f>
        <v/>
      </c>
    </row>
    <row r="909">
      <c r="A909" t="inlineStr">
        <is>
          <t>Soro TCHEREGNIMIN</t>
        </is>
      </c>
      <c r="B909" s="4" t="n">
        <v>46140</v>
      </c>
      <c r="C909" t="inlineStr">
        <is>
          <t>/</t>
        </is>
      </c>
      <c r="D909" t="inlineStr">
        <is>
          <t>Soro TCHEREGNIMIN</t>
        </is>
      </c>
      <c r="E909" t="inlineStr">
        <is>
          <t>Soro TCHEREGNIMIN</t>
        </is>
      </c>
      <c r="F909" s="5" t="n">
        <v>46154.88179398148</v>
      </c>
      <c r="H909" t="inlineStr">
        <is>
          <t>PCGH787</t>
        </is>
      </c>
      <c r="I909" t="n">
        <v>8</v>
      </c>
      <c r="J909" t="inlineStr">
        <is>
          <t>PCGH787 - Desk Study (3) (Proforest Limited(PCUK GBP))</t>
        </is>
      </c>
      <c r="L909" t="b">
        <v>1</v>
      </c>
      <c r="M909" t="inlineStr">
        <is>
          <t>Billed at a Fixed price</t>
        </is>
      </c>
      <c r="N909" s="6">
        <f>IF(B909="","",IF(ISNUMBER(B909),TEXT(B909,"YYYY-MM"),LEFT(B909,7)))</f>
        <v/>
      </c>
    </row>
    <row r="910">
      <c r="A910" t="inlineStr">
        <is>
          <t>Helena Tetteh</t>
        </is>
      </c>
      <c r="B910" s="4" t="n">
        <v>46140</v>
      </c>
      <c r="C910" t="inlineStr">
        <is>
          <t>/</t>
        </is>
      </c>
      <c r="D910" t="inlineStr">
        <is>
          <t xml:space="preserve">Helena Tetteh </t>
        </is>
      </c>
      <c r="E910" t="inlineStr">
        <is>
          <t>OdooBot</t>
        </is>
      </c>
      <c r="F910" s="5" t="n">
        <v>46154.70721064815</v>
      </c>
      <c r="G910" t="inlineStr">
        <is>
          <t>Output 2.3</t>
        </is>
      </c>
      <c r="H910" t="inlineStr">
        <is>
          <t>P23AC00C00 - FGMC</t>
        </is>
      </c>
      <c r="I910" t="n">
        <v>8</v>
      </c>
      <c r="K910" t="inlineStr">
        <is>
          <t>P23AC22A00 - Output Two (Elevating Local Solutions - West Africa)</t>
        </is>
      </c>
      <c r="L910" t="b">
        <v>0</v>
      </c>
      <c r="M910" t="inlineStr">
        <is>
          <t>Non-Billable</t>
        </is>
      </c>
      <c r="N910" s="6">
        <f>IF(B910="","",IF(ISNUMBER(B910),TEXT(B910,"YYYY-MM"),LEFT(B910,7)))</f>
        <v/>
      </c>
    </row>
    <row r="911">
      <c r="A911" t="inlineStr">
        <is>
          <t>Helena Tetteh</t>
        </is>
      </c>
      <c r="B911" s="4" t="n">
        <v>46140</v>
      </c>
      <c r="C911" t="inlineStr">
        <is>
          <t>/</t>
        </is>
      </c>
      <c r="D911" t="inlineStr">
        <is>
          <t xml:space="preserve">Helena Tetteh </t>
        </is>
      </c>
      <c r="E911" t="inlineStr">
        <is>
          <t>OdooBot</t>
        </is>
      </c>
      <c r="F911" s="5" t="n">
        <v>46154.70721064815</v>
      </c>
      <c r="H911" t="inlineStr">
        <is>
          <t>Non-Billable Tasks</t>
        </is>
      </c>
      <c r="I911" t="n">
        <v>0</v>
      </c>
      <c r="K911" t="inlineStr">
        <is>
          <t>Portfolio Team Management</t>
        </is>
      </c>
      <c r="L911" t="b">
        <v>0</v>
      </c>
      <c r="M911" t="inlineStr">
        <is>
          <t>Non-Billable</t>
        </is>
      </c>
      <c r="N911" s="6">
        <f>IF(B911="","",IF(ISNUMBER(B911),TEXT(B911,"YYYY-MM"),LEFT(B911,7)))</f>
        <v/>
      </c>
    </row>
    <row r="912">
      <c r="A912" t="inlineStr">
        <is>
          <t>Afua Serwah Akoto Prempeh</t>
        </is>
      </c>
      <c r="B912" s="4" t="n">
        <v>46140</v>
      </c>
      <c r="C912" t="inlineStr">
        <is>
          <t>/</t>
        </is>
      </c>
      <c r="D912" t="inlineStr">
        <is>
          <t>Afua Serwah Akoto Prempeh</t>
        </is>
      </c>
      <c r="E912" t="inlineStr">
        <is>
          <t>OdooBot</t>
        </is>
      </c>
      <c r="F912" s="5" t="n">
        <v>46154.70721064815</v>
      </c>
      <c r="H912" t="inlineStr">
        <is>
          <t>Non-Billable Tasks</t>
        </is>
      </c>
      <c r="I912" t="n">
        <v>5</v>
      </c>
      <c r="L912" t="b">
        <v>0</v>
      </c>
      <c r="M912" t="inlineStr">
        <is>
          <t>Non-Billable</t>
        </is>
      </c>
      <c r="N912" s="6">
        <f>IF(B912="","",IF(ISNUMBER(B912),TEXT(B912,"YYYY-MM"),LEFT(B912,7)))</f>
        <v/>
      </c>
    </row>
    <row r="913">
      <c r="A913" t="inlineStr">
        <is>
          <t>Afua Serwah Akoto Prempeh</t>
        </is>
      </c>
      <c r="B913" s="4" t="n">
        <v>46140</v>
      </c>
      <c r="C913" t="inlineStr">
        <is>
          <t>/</t>
        </is>
      </c>
      <c r="D913" t="inlineStr">
        <is>
          <t>Afua Serwah Akoto Prempeh</t>
        </is>
      </c>
      <c r="E913" t="inlineStr">
        <is>
          <t>OdooBot</t>
        </is>
      </c>
      <c r="F913" s="5" t="n">
        <v>46154.70721064815</v>
      </c>
      <c r="H913" t="inlineStr">
        <is>
          <t>Non-Billable Tasks</t>
        </is>
      </c>
      <c r="I913" t="n">
        <v>3</v>
      </c>
      <c r="K913" t="inlineStr">
        <is>
          <t>Professional development and Knowledge sharing(training,global knowledge calls,exchange weeks)</t>
        </is>
      </c>
      <c r="L913" t="b">
        <v>0</v>
      </c>
      <c r="M913" t="inlineStr">
        <is>
          <t>Non-Billable</t>
        </is>
      </c>
      <c r="N913" s="6">
        <f>IF(B913="","",IF(ISNUMBER(B913),TEXT(B913,"YYYY-MM"),LEFT(B913,7)))</f>
        <v/>
      </c>
    </row>
    <row r="914">
      <c r="A914" t="inlineStr">
        <is>
          <t>Louis Defo</t>
        </is>
      </c>
      <c r="B914" s="4" t="n">
        <v>46140</v>
      </c>
      <c r="C914" t="inlineStr">
        <is>
          <t>/</t>
        </is>
      </c>
      <c r="D914" t="inlineStr">
        <is>
          <t>Louis Defo</t>
        </is>
      </c>
      <c r="E914" t="inlineStr">
        <is>
          <t>OdooBot</t>
        </is>
      </c>
      <c r="F914" s="5" t="n">
        <v>46154.70721064815</v>
      </c>
      <c r="G914" t="inlineStr">
        <is>
          <t>Output 2.3</t>
        </is>
      </c>
      <c r="H914" t="inlineStr">
        <is>
          <t>P23AC00C00 - FGMC</t>
        </is>
      </c>
      <c r="I914" t="n">
        <v>8</v>
      </c>
      <c r="K914" t="inlineStr">
        <is>
          <t>P23AC22A00 - Output Two (Elevating Local Solutions - West Africa)</t>
        </is>
      </c>
      <c r="L914" t="b">
        <v>0</v>
      </c>
      <c r="M914" t="inlineStr">
        <is>
          <t>Non-Billable</t>
        </is>
      </c>
      <c r="N914" s="6">
        <f>IF(B914="","",IF(ISNUMBER(B914),TEXT(B914,"YYYY-MM"),LEFT(B914,7)))</f>
        <v/>
      </c>
    </row>
    <row r="915">
      <c r="A915" t="inlineStr">
        <is>
          <t>Abel Ansu</t>
        </is>
      </c>
      <c r="B915" s="4" t="n">
        <v>46140</v>
      </c>
      <c r="C915" t="inlineStr">
        <is>
          <t>Visited the Bia shelter forest reserve for Agravi area to monitor cleared sites for MTS</t>
        </is>
      </c>
      <c r="D915" t="inlineStr">
        <is>
          <t>Abel Ansu</t>
        </is>
      </c>
      <c r="E915" t="inlineStr">
        <is>
          <t>OdooBot</t>
        </is>
      </c>
      <c r="F915" s="5" t="n">
        <v>46154.70721064815</v>
      </c>
      <c r="H915" t="inlineStr">
        <is>
          <t>Internal</t>
        </is>
      </c>
      <c r="I915" t="n">
        <v>8</v>
      </c>
      <c r="K915" t="inlineStr">
        <is>
          <t>Monitoring of cleared MTS sites</t>
        </is>
      </c>
      <c r="L915" t="b">
        <v>0</v>
      </c>
      <c r="M915" t="inlineStr">
        <is>
          <t>Non-Billable</t>
        </is>
      </c>
      <c r="N915" s="6">
        <f>IF(B915="","",IF(ISNUMBER(B915),TEXT(B915,"YYYY-MM"),LEFT(B915,7)))</f>
        <v/>
      </c>
    </row>
    <row r="916">
      <c r="A916" t="inlineStr">
        <is>
          <t>Clement Obeng-Manu</t>
        </is>
      </c>
      <c r="B916" s="4" t="n">
        <v>46140</v>
      </c>
      <c r="C916" t="inlineStr">
        <is>
          <t>/</t>
        </is>
      </c>
      <c r="D916" t="inlineStr">
        <is>
          <t>Clement Obeng-Manu</t>
        </is>
      </c>
      <c r="E916" t="inlineStr">
        <is>
          <t>OdooBot</t>
        </is>
      </c>
      <c r="F916" s="5" t="n">
        <v>46154.70721064815</v>
      </c>
      <c r="G916" t="inlineStr">
        <is>
          <t>Field Visit and Data Collection</t>
        </is>
      </c>
      <c r="H916" t="inlineStr">
        <is>
          <t>PCGH785</t>
        </is>
      </c>
      <c r="I916" t="n">
        <v>8</v>
      </c>
      <c r="J916" t="inlineStr">
        <is>
          <t>PCGH785 -  Field data collection  (3) (Okeosisi Jonathan)</t>
        </is>
      </c>
      <c r="K916" t="inlineStr">
        <is>
          <t>Ground-truthing and mapping</t>
        </is>
      </c>
      <c r="L916" t="b">
        <v>1</v>
      </c>
      <c r="M916" t="inlineStr">
        <is>
          <t>Billed at a Fixed price</t>
        </is>
      </c>
      <c r="N916" s="6">
        <f>IF(B916="","",IF(ISNUMBER(B916),TEXT(B916,"YYYY-MM"),LEFT(B916,7)))</f>
        <v/>
      </c>
    </row>
    <row r="917">
      <c r="A917" t="inlineStr">
        <is>
          <t>Stephen Doso</t>
        </is>
      </c>
      <c r="B917" s="4" t="n">
        <v>46140</v>
      </c>
      <c r="C917" t="inlineStr">
        <is>
          <t>/</t>
        </is>
      </c>
      <c r="D917" t="inlineStr">
        <is>
          <t>Stephen Doso</t>
        </is>
      </c>
      <c r="E917" t="inlineStr">
        <is>
          <t>OdooBot</t>
        </is>
      </c>
      <c r="F917" s="5" t="n">
        <v>46154.70721064815</v>
      </c>
      <c r="G917" t="inlineStr">
        <is>
          <t>Field Visit and Data Collection</t>
        </is>
      </c>
      <c r="H917" t="inlineStr">
        <is>
          <t>PCGH785</t>
        </is>
      </c>
      <c r="I917" t="n">
        <v>8</v>
      </c>
      <c r="J917" t="inlineStr">
        <is>
          <t>PCGH785 -  Field data collection  (2) (Okeosisi Jonathan)</t>
        </is>
      </c>
      <c r="K917" t="inlineStr">
        <is>
          <t>Ground-truthing and mapping</t>
        </is>
      </c>
      <c r="L917" t="b">
        <v>1</v>
      </c>
      <c r="M917" t="inlineStr">
        <is>
          <t>Billed at a Fixed price</t>
        </is>
      </c>
      <c r="N917" s="6">
        <f>IF(B917="","",IF(ISNUMBER(B917),TEXT(B917,"YYYY-MM"),LEFT(B917,7)))</f>
        <v/>
      </c>
    </row>
    <row r="918">
      <c r="A918" t="inlineStr">
        <is>
          <t>Mawuse Agblobi</t>
        </is>
      </c>
      <c r="B918" s="4" t="n">
        <v>46139</v>
      </c>
      <c r="C918" t="inlineStr">
        <is>
          <t>Time Off (1/4)</t>
        </is>
      </c>
      <c r="D918" t="inlineStr">
        <is>
          <t>Patricia Offei</t>
        </is>
      </c>
      <c r="E918" t="inlineStr">
        <is>
          <t>Mawuse Agblobi</t>
        </is>
      </c>
      <c r="F918" s="5" t="n">
        <v>46174.89994212963</v>
      </c>
      <c r="H918" t="inlineStr">
        <is>
          <t>Internal</t>
        </is>
      </c>
      <c r="I918" t="n">
        <v>8</v>
      </c>
      <c r="K918" t="inlineStr">
        <is>
          <t>Time Off</t>
        </is>
      </c>
      <c r="L918" t="b">
        <v>0</v>
      </c>
      <c r="M918" t="inlineStr">
        <is>
          <t>Non-Billable</t>
        </is>
      </c>
      <c r="N918" s="6">
        <f>IF(B918="","",IF(ISNUMBER(B918),TEXT(B918,"YYYY-MM"),LEFT(B918,7)))</f>
        <v/>
      </c>
    </row>
    <row r="919">
      <c r="A919" t="inlineStr">
        <is>
          <t>Mawuse Agblobi</t>
        </is>
      </c>
      <c r="B919" s="4" t="n">
        <v>46139</v>
      </c>
      <c r="C919" t="inlineStr">
        <is>
          <t>Time Off (1/8)</t>
        </is>
      </c>
      <c r="D919" t="inlineStr">
        <is>
          <t>Augustus Asamoah</t>
        </is>
      </c>
      <c r="E919" t="inlineStr">
        <is>
          <t>Mawuse Agblobi</t>
        </is>
      </c>
      <c r="F919" s="5" t="n">
        <v>46174.89994212963</v>
      </c>
      <c r="H919" t="inlineStr">
        <is>
          <t>Internal</t>
        </is>
      </c>
      <c r="I919" t="n">
        <v>8</v>
      </c>
      <c r="K919" t="inlineStr">
        <is>
          <t>Time Off</t>
        </is>
      </c>
      <c r="L919" t="b">
        <v>0</v>
      </c>
      <c r="M919" t="inlineStr">
        <is>
          <t>Non-Billable</t>
        </is>
      </c>
      <c r="N919" s="6">
        <f>IF(B919="","",IF(ISNUMBER(B919),TEXT(B919,"YYYY-MM"),LEFT(B919,7)))</f>
        <v/>
      </c>
    </row>
    <row r="920">
      <c r="A920" t="inlineStr">
        <is>
          <t>Ekow Nyamekye Tawiah</t>
        </is>
      </c>
      <c r="B920" s="4" t="n">
        <v>46139</v>
      </c>
      <c r="C920" t="inlineStr">
        <is>
          <t>Deforestation Risk Analysis</t>
        </is>
      </c>
      <c r="D920" t="inlineStr">
        <is>
          <t>Ekow Nyamekye Tawiah</t>
        </is>
      </c>
      <c r="E920" t="inlineStr">
        <is>
          <t>Ekow Nyamekye Tawiah</t>
        </is>
      </c>
      <c r="F920" s="5" t="n">
        <v>46162.86644675926</v>
      </c>
      <c r="H920" t="inlineStr">
        <is>
          <t>PCGH778 - General Support</t>
        </is>
      </c>
      <c r="I920" t="n">
        <v>4</v>
      </c>
      <c r="J920" t="inlineStr">
        <is>
          <t>PCGH778 - Support to Other Workstreams (3) (Proforest Limited(PCUK GBP))</t>
        </is>
      </c>
      <c r="L920" t="b">
        <v>1</v>
      </c>
      <c r="M920" t="inlineStr">
        <is>
          <t>Billed at a Fixed price</t>
        </is>
      </c>
      <c r="N920" s="6">
        <f>IF(B920="","",IF(ISNUMBER(B920),TEXT(B920,"YYYY-MM"),LEFT(B920,7)))</f>
        <v/>
      </c>
    </row>
    <row r="921">
      <c r="A921" t="inlineStr">
        <is>
          <t>Ekow Nyamekye Tawiah</t>
        </is>
      </c>
      <c r="B921" s="4" t="n">
        <v>46139</v>
      </c>
      <c r="C921" t="inlineStr">
        <is>
          <t>May Day - Workers' Day</t>
        </is>
      </c>
      <c r="D921" t="inlineStr">
        <is>
          <t>Ekow Nyamekye Tawiah</t>
        </is>
      </c>
      <c r="E921" t="inlineStr">
        <is>
          <t>Ekow Nyamekye Tawiah</t>
        </is>
      </c>
      <c r="F921" s="5" t="n">
        <v>46162.82789351852</v>
      </c>
      <c r="H921" t="inlineStr">
        <is>
          <t>Non-Billable Tasks</t>
        </is>
      </c>
      <c r="I921" t="n">
        <v>0</v>
      </c>
      <c r="K921" t="inlineStr">
        <is>
          <t>Public Holiday</t>
        </is>
      </c>
      <c r="L921" t="b">
        <v>0</v>
      </c>
      <c r="M921" t="inlineStr">
        <is>
          <t>Non-Billable</t>
        </is>
      </c>
      <c r="N921" s="6">
        <f>IF(B921="","",IF(ISNUMBER(B921),TEXT(B921,"YYYY-MM"),LEFT(B921,7)))</f>
        <v/>
      </c>
    </row>
    <row r="922">
      <c r="A922" t="inlineStr">
        <is>
          <t>James Parker Mckeown</t>
        </is>
      </c>
      <c r="B922" s="4" t="n">
        <v>46139</v>
      </c>
      <c r="C922" t="inlineStr">
        <is>
          <t>FGMC: Review of zero draft report sent by Taylor Crabbe</t>
        </is>
      </c>
      <c r="D922" t="inlineStr">
        <is>
          <t>James Parker Mckeown</t>
        </is>
      </c>
      <c r="E922" t="inlineStr">
        <is>
          <t>James Parker Mckeown</t>
        </is>
      </c>
      <c r="F922" s="5" t="n">
        <v>46162.79355324074</v>
      </c>
      <c r="G922" t="inlineStr">
        <is>
          <t>Output 2.3</t>
        </is>
      </c>
      <c r="H922" t="inlineStr">
        <is>
          <t>P23AC00C00 - FGMC</t>
        </is>
      </c>
      <c r="I922" t="n">
        <v>3</v>
      </c>
      <c r="K922" t="inlineStr">
        <is>
          <t>P23AC22A00 - Output Two (Elevating Local Solutions - West Africa)</t>
        </is>
      </c>
      <c r="L922" t="b">
        <v>0</v>
      </c>
      <c r="M922" t="inlineStr">
        <is>
          <t>Non-Billable</t>
        </is>
      </c>
      <c r="N922" s="6">
        <f>IF(B922="","",IF(ISNUMBER(B922),TEXT(B922,"YYYY-MM"),LEFT(B922,7)))</f>
        <v/>
      </c>
    </row>
    <row r="923">
      <c r="A923" t="inlineStr">
        <is>
          <t>James Parker Mckeown</t>
        </is>
      </c>
      <c r="B923" s="4" t="n">
        <v>46139</v>
      </c>
      <c r="C923" t="inlineStr">
        <is>
          <t>PIA bi-weekly check-in/Quarterly programme updates</t>
        </is>
      </c>
      <c r="D923" t="inlineStr">
        <is>
          <t>James Parker Mckeown</t>
        </is>
      </c>
      <c r="E923" t="inlineStr">
        <is>
          <t>James Parker Mckeown</t>
        </is>
      </c>
      <c r="F923" s="5" t="n">
        <v>46162.79266203703</v>
      </c>
      <c r="H923" t="inlineStr">
        <is>
          <t>Non-Billable Tasks</t>
        </is>
      </c>
      <c r="I923" t="n">
        <v>1</v>
      </c>
      <c r="K923" t="inlineStr">
        <is>
          <t>BIP MSI Mapping Exercise</t>
        </is>
      </c>
      <c r="L923" t="b">
        <v>0</v>
      </c>
      <c r="M923" t="inlineStr">
        <is>
          <t>Non-Billable</t>
        </is>
      </c>
      <c r="N923" s="6">
        <f>IF(B923="","",IF(ISNUMBER(B923),TEXT(B923,"YYYY-MM"),LEFT(B923,7)))</f>
        <v/>
      </c>
    </row>
    <row r="924">
      <c r="A924" t="inlineStr">
        <is>
          <t>James Parker Mckeown</t>
        </is>
      </c>
      <c r="B924" s="4" t="n">
        <v>46139</v>
      </c>
      <c r="C924" t="inlineStr">
        <is>
          <t>SOS Foret-Proforest CI Proposals preparation and Review</t>
        </is>
      </c>
      <c r="D924" t="inlineStr">
        <is>
          <t>James Parker Mckeown</t>
        </is>
      </c>
      <c r="E924" t="inlineStr">
        <is>
          <t>James Parker Mckeown</t>
        </is>
      </c>
      <c r="F924" s="5" t="n">
        <v>46162.79403935185</v>
      </c>
      <c r="H924" t="inlineStr">
        <is>
          <t>Non-Billable Tasks</t>
        </is>
      </c>
      <c r="I924" t="n">
        <v>5</v>
      </c>
      <c r="K924" t="inlineStr">
        <is>
          <t>Business Development and Networking</t>
        </is>
      </c>
      <c r="L924" t="b">
        <v>0</v>
      </c>
      <c r="M924" t="inlineStr">
        <is>
          <t>Non-Billable</t>
        </is>
      </c>
      <c r="N924" s="6">
        <f>IF(B924="","",IF(ISNUMBER(B924),TEXT(B924,"YYYY-MM"),LEFT(B924,7)))</f>
        <v/>
      </c>
    </row>
    <row r="925">
      <c r="A925" t="inlineStr">
        <is>
          <t>Joseph Isaiah Mensah</t>
        </is>
      </c>
      <c r="B925" s="4" t="n">
        <v>46139</v>
      </c>
      <c r="C925" t="inlineStr">
        <is>
          <t>/TOIL</t>
        </is>
      </c>
      <c r="D925" t="inlineStr">
        <is>
          <t>Joseph Isaiah Mensah</t>
        </is>
      </c>
      <c r="E925" t="inlineStr">
        <is>
          <t>Joseph Isaiah Mensah</t>
        </is>
      </c>
      <c r="F925" s="5" t="n">
        <v>46162.7850462963</v>
      </c>
      <c r="H925" t="inlineStr">
        <is>
          <t>PCGH774 -Evaluation Deep-Dive Action Plans by Socfin Group</t>
        </is>
      </c>
      <c r="I925" t="n">
        <v>8</v>
      </c>
      <c r="J925" t="inlineStr">
        <is>
          <t>PCGH774 - Field Verification (2) (Socfinco FR SA)</t>
        </is>
      </c>
      <c r="K925" t="inlineStr">
        <is>
          <t>[Cameroon, Socapalm （Dibombari + Edéa + Mbongo + Mbambou） Report review] - Field verification/observation/community and stakeholder engagement</t>
        </is>
      </c>
      <c r="L925" t="b">
        <v>1</v>
      </c>
      <c r="M925" t="inlineStr">
        <is>
          <t>Billed at a Fixed price</t>
        </is>
      </c>
      <c r="N925" s="6">
        <f>IF(B925="","",IF(ISNUMBER(B925),TEXT(B925,"YYYY-MM"),LEFT(B925,7)))</f>
        <v/>
      </c>
    </row>
    <row r="926">
      <c r="A926" t="inlineStr">
        <is>
          <t>Patricia Offei</t>
        </is>
      </c>
      <c r="B926" s="4" t="n">
        <v>46139</v>
      </c>
      <c r="C926" t="inlineStr">
        <is>
          <t>/</t>
        </is>
      </c>
      <c r="D926" t="inlineStr">
        <is>
          <t>Patricia Offei</t>
        </is>
      </c>
      <c r="E926" t="inlineStr">
        <is>
          <t>Patricia Offei</t>
        </is>
      </c>
      <c r="F926" s="5" t="n">
        <v>46162.60001157408</v>
      </c>
      <c r="H926" t="inlineStr">
        <is>
          <t>Non-Billable Tasks</t>
        </is>
      </c>
      <c r="I926" t="n">
        <v>8</v>
      </c>
      <c r="K926" t="inlineStr">
        <is>
          <t>TOIL</t>
        </is>
      </c>
      <c r="L926" t="b">
        <v>0</v>
      </c>
      <c r="M926" t="inlineStr">
        <is>
          <t>Non-Billable</t>
        </is>
      </c>
      <c r="N926" s="6">
        <f>IF(B926="","",IF(ISNUMBER(B926),TEXT(B926,"YYYY-MM"),LEFT(B926,7)))</f>
        <v/>
      </c>
    </row>
    <row r="927">
      <c r="A927" t="inlineStr">
        <is>
          <t>Kingsley Fitz-Gerald Severine</t>
        </is>
      </c>
      <c r="B927" s="4" t="n">
        <v>46139</v>
      </c>
      <c r="C927" t="inlineStr">
        <is>
          <t>/</t>
        </is>
      </c>
      <c r="D927" t="inlineStr">
        <is>
          <t>Kingsley Fitz-Gerald Severine</t>
        </is>
      </c>
      <c r="E927" t="inlineStr">
        <is>
          <t>Kingsley Fitz-Gerald Severine</t>
        </is>
      </c>
      <c r="F927" s="5" t="n">
        <v>46162.55778935185</v>
      </c>
      <c r="G927" t="inlineStr">
        <is>
          <t>Preliminary findings and final consultation</t>
        </is>
      </c>
      <c r="H927" t="inlineStr">
        <is>
          <t>PCGH784</t>
        </is>
      </c>
      <c r="I927" t="n">
        <v>8</v>
      </c>
      <c r="J927" t="inlineStr">
        <is>
          <t>PCGH784 - Stakeholder Consultations (2) (Okeosisi Jonathan)</t>
        </is>
      </c>
      <c r="K927" t="inlineStr">
        <is>
          <t>Final consultation</t>
        </is>
      </c>
      <c r="L927" t="b">
        <v>1</v>
      </c>
      <c r="M927" t="inlineStr">
        <is>
          <t>Billed at a Fixed price</t>
        </is>
      </c>
      <c r="N927" s="6">
        <f>IF(B927="","",IF(ISNUMBER(B927),TEXT(B927,"YYYY-MM"),LEFT(B927,7)))</f>
        <v/>
      </c>
    </row>
    <row r="928">
      <c r="A928" t="inlineStr">
        <is>
          <t>Kwadwo Baniako Nti</t>
        </is>
      </c>
      <c r="B928" s="4" t="n">
        <v>46139</v>
      </c>
      <c r="C928" t="inlineStr">
        <is>
          <t>/</t>
        </is>
      </c>
      <c r="D928" t="inlineStr">
        <is>
          <t>Kwadwo Baniako Nti</t>
        </is>
      </c>
      <c r="E928" t="inlineStr">
        <is>
          <t>Kwadwo Baniako Nti</t>
        </is>
      </c>
      <c r="F928" s="5" t="n">
        <v>46162.38083333334</v>
      </c>
      <c r="G928" t="inlineStr">
        <is>
          <t>Training and Capacity Building</t>
        </is>
      </c>
      <c r="H928" t="inlineStr">
        <is>
          <t>PCGH762 - GVL HCSA Restoration Project</t>
        </is>
      </c>
      <c r="I928" t="n">
        <v>0</v>
      </c>
      <c r="J928" t="inlineStr">
        <is>
          <t>PCGH762 - Training and Capacity Building (Golden Veroleum Liberia)</t>
        </is>
      </c>
      <c r="K928" t="inlineStr">
        <is>
          <t>Training and Capacity Building</t>
        </is>
      </c>
      <c r="L928" t="b">
        <v>1</v>
      </c>
      <c r="M928" t="inlineStr">
        <is>
          <t>Billed at a Fixed price</t>
        </is>
      </c>
      <c r="N928" s="6">
        <f>IF(B928="","",IF(ISNUMBER(B928),TEXT(B928,"YYYY-MM"),LEFT(B928,7)))</f>
        <v/>
      </c>
    </row>
    <row r="929">
      <c r="A929" t="inlineStr">
        <is>
          <t>Kwadwo Baniako Nti</t>
        </is>
      </c>
      <c r="B929" s="4" t="n">
        <v>46139</v>
      </c>
      <c r="C929" t="inlineStr">
        <is>
          <t>/</t>
        </is>
      </c>
      <c r="D929" t="inlineStr">
        <is>
          <t>Kwadwo Baniako Nti</t>
        </is>
      </c>
      <c r="E929" t="inlineStr">
        <is>
          <t>Kwadwo Baniako Nti</t>
        </is>
      </c>
      <c r="F929" s="5" t="n">
        <v>46162.38012731481</v>
      </c>
      <c r="G929" t="inlineStr">
        <is>
          <t>Baseline Socio-Economic &amp; Environmental Surveys</t>
        </is>
      </c>
      <c r="H929" t="inlineStr">
        <is>
          <t>PCGH762 - GVL HCSA Restoration Project</t>
        </is>
      </c>
      <c r="I929" t="n">
        <v>4</v>
      </c>
      <c r="J929" t="inlineStr">
        <is>
          <t>PCGH762 - Baseline Socio-Economic &amp; Environmental Surveys (Golden Veroleum Liberia)</t>
        </is>
      </c>
      <c r="K929" t="inlineStr">
        <is>
          <t>Baseline Socio-Economic &amp; Environmental Surveys</t>
        </is>
      </c>
      <c r="L929" t="b">
        <v>1</v>
      </c>
      <c r="M929" t="inlineStr">
        <is>
          <t>Billed at a Fixed price</t>
        </is>
      </c>
      <c r="N929" s="6">
        <f>IF(B929="","",IF(ISNUMBER(B929),TEXT(B929,"YYYY-MM"),LEFT(B929,7)))</f>
        <v/>
      </c>
    </row>
    <row r="930">
      <c r="A930" t="inlineStr">
        <is>
          <t>Kwadwo Baniako Nti</t>
        </is>
      </c>
      <c r="B930" s="4" t="n">
        <v>46139</v>
      </c>
      <c r="C930" t="inlineStr">
        <is>
          <t>/</t>
        </is>
      </c>
      <c r="D930" t="inlineStr">
        <is>
          <t>Kwadwo Baniako Nti</t>
        </is>
      </c>
      <c r="E930" t="inlineStr">
        <is>
          <t>Kwadwo Baniako Nti</t>
        </is>
      </c>
      <c r="F930" s="5" t="n">
        <v>46162.37855324074</v>
      </c>
      <c r="G930" t="inlineStr">
        <is>
          <t>PCGH786 - Site Assessment (3)</t>
        </is>
      </c>
      <c r="H930" t="inlineStr">
        <is>
          <t>PCGH786 - Impact Level Baseline assessment for FGMC</t>
        </is>
      </c>
      <c r="I930" t="n">
        <v>4</v>
      </c>
      <c r="J930" t="inlineStr">
        <is>
          <t>PCGH786 - Site Assessment (3) (NIRAS Group (UK) Ltd)</t>
        </is>
      </c>
      <c r="K930" t="inlineStr">
        <is>
          <t>Site Assessment</t>
        </is>
      </c>
      <c r="L930" t="b">
        <v>1</v>
      </c>
      <c r="M930" t="inlineStr">
        <is>
          <t>Billed at a Fixed price</t>
        </is>
      </c>
      <c r="N930" s="6">
        <f>IF(B930="","",IF(ISNUMBER(B930),TEXT(B930,"YYYY-MM"),LEFT(B930,7)))</f>
        <v/>
      </c>
    </row>
    <row r="931">
      <c r="A931" t="inlineStr">
        <is>
          <t>Kwadwo Baniako Nti</t>
        </is>
      </c>
      <c r="B931" s="4" t="n">
        <v>46139</v>
      </c>
      <c r="C931" t="inlineStr">
        <is>
          <t>/</t>
        </is>
      </c>
      <c r="D931" t="inlineStr">
        <is>
          <t>Kwadwo Baniako Nti</t>
        </is>
      </c>
      <c r="E931" t="inlineStr">
        <is>
          <t>Kwadwo Baniako Nti</t>
        </is>
      </c>
      <c r="F931" s="5" t="n">
        <v>46161.80092592593</v>
      </c>
      <c r="H931" t="inlineStr">
        <is>
          <t>Non-Billable Tasks</t>
        </is>
      </c>
      <c r="I931" t="n">
        <v>0</v>
      </c>
      <c r="K931" t="inlineStr">
        <is>
          <t>Public Holiday</t>
        </is>
      </c>
      <c r="L931" t="b">
        <v>0</v>
      </c>
      <c r="M931" t="inlineStr">
        <is>
          <t>Non-Billable</t>
        </is>
      </c>
      <c r="N931" s="6">
        <f>IF(B931="","",IF(ISNUMBER(B931),TEXT(B931,"YYYY-MM"),LEFT(B931,7)))</f>
        <v/>
      </c>
    </row>
    <row r="932">
      <c r="A932" t="inlineStr">
        <is>
          <t>Frederick Antwi</t>
        </is>
      </c>
      <c r="B932" s="4" t="n">
        <v>46139</v>
      </c>
      <c r="C932" t="inlineStr">
        <is>
          <t>/</t>
        </is>
      </c>
      <c r="D932" t="inlineStr">
        <is>
          <t>Frederick Antwi</t>
        </is>
      </c>
      <c r="E932" t="inlineStr">
        <is>
          <t>Frederick Antwi</t>
        </is>
      </c>
      <c r="F932" s="5" t="n">
        <v>46160.63928240741</v>
      </c>
      <c r="H932" t="inlineStr">
        <is>
          <t>P13NC00A00 - WALMART II</t>
        </is>
      </c>
      <c r="I932" t="n">
        <v>0</v>
      </c>
      <c r="L932" t="b">
        <v>0</v>
      </c>
      <c r="M932" t="inlineStr">
        <is>
          <t>Non-Billable</t>
        </is>
      </c>
      <c r="N932" s="6">
        <f>IF(B932="","",IF(ISNUMBER(B932),TEXT(B932,"YYYY-MM"),LEFT(B932,7)))</f>
        <v/>
      </c>
    </row>
    <row r="933">
      <c r="A933" t="inlineStr">
        <is>
          <t>Frederick Antwi</t>
        </is>
      </c>
      <c r="B933" s="4" t="n">
        <v>46139</v>
      </c>
      <c r="C933" t="inlineStr">
        <is>
          <t>/</t>
        </is>
      </c>
      <c r="D933" t="inlineStr">
        <is>
          <t>Frederick Antwi</t>
        </is>
      </c>
      <c r="E933" t="inlineStr">
        <is>
          <t>Frederick Antwi</t>
        </is>
      </c>
      <c r="F933" s="5" t="n">
        <v>46160.63868055555</v>
      </c>
      <c r="H933" t="inlineStr">
        <is>
          <t>PCGH768</t>
        </is>
      </c>
      <c r="I933" t="n">
        <v>2</v>
      </c>
      <c r="L933" t="b">
        <v>1</v>
      </c>
      <c r="M933" t="inlineStr">
        <is>
          <t>Non-Billable</t>
        </is>
      </c>
      <c r="N933" s="6">
        <f>IF(B933="","",IF(ISNUMBER(B933),TEXT(B933,"YYYY-MM"),LEFT(B933,7)))</f>
        <v/>
      </c>
    </row>
    <row r="934">
      <c r="A934" t="inlineStr">
        <is>
          <t>Frederick Antwi</t>
        </is>
      </c>
      <c r="B934" s="4" t="n">
        <v>46139</v>
      </c>
      <c r="C934" t="inlineStr">
        <is>
          <t>/</t>
        </is>
      </c>
      <c r="D934" t="inlineStr">
        <is>
          <t>Frederick Antwi</t>
        </is>
      </c>
      <c r="E934" t="inlineStr">
        <is>
          <t>Frederick Antwi</t>
        </is>
      </c>
      <c r="F934" s="5" t="n">
        <v>46160.63865740741</v>
      </c>
      <c r="H934" t="inlineStr">
        <is>
          <t>P13PC00A00 - Private Sector Companies</t>
        </is>
      </c>
      <c r="I934" t="n">
        <v>6</v>
      </c>
      <c r="L934" t="b">
        <v>0</v>
      </c>
      <c r="M934" t="inlineStr">
        <is>
          <t>Non-Billable</t>
        </is>
      </c>
      <c r="N934" s="6">
        <f>IF(B934="","",IF(ISNUMBER(B934),TEXT(B934,"YYYY-MM"),LEFT(B934,7)))</f>
        <v/>
      </c>
    </row>
    <row r="935">
      <c r="A935" t="inlineStr">
        <is>
          <t>Augustus Asamoah</t>
        </is>
      </c>
      <c r="B935" s="4" t="n">
        <v>46139</v>
      </c>
      <c r="C935" t="inlineStr">
        <is>
          <t>Annual</t>
        </is>
      </c>
      <c r="D935" t="inlineStr">
        <is>
          <t>Augustus Asamoah</t>
        </is>
      </c>
      <c r="E935" t="inlineStr">
        <is>
          <t>Augustus Asamoah</t>
        </is>
      </c>
      <c r="F935" s="5" t="n">
        <v>46156.69680555556</v>
      </c>
      <c r="H935" t="inlineStr">
        <is>
          <t>Non-Billable Tasks</t>
        </is>
      </c>
      <c r="I935" t="n">
        <v>8</v>
      </c>
      <c r="L935" t="b">
        <v>0</v>
      </c>
      <c r="M935" t="inlineStr">
        <is>
          <t>Non-Billable</t>
        </is>
      </c>
      <c r="N935" s="6">
        <f>IF(B935="","",IF(ISNUMBER(B935),TEXT(B935,"YYYY-MM"),LEFT(B935,7)))</f>
        <v/>
      </c>
    </row>
    <row r="936">
      <c r="A936" t="inlineStr">
        <is>
          <t>Soro TCHEREGNIMIN</t>
        </is>
      </c>
      <c r="B936" s="4" t="n">
        <v>46139</v>
      </c>
      <c r="C936" t="inlineStr">
        <is>
          <t>Drafting of interview guides</t>
        </is>
      </c>
      <c r="D936" t="inlineStr">
        <is>
          <t>Soro TCHEREGNIMIN</t>
        </is>
      </c>
      <c r="E936" t="inlineStr">
        <is>
          <t>Soro TCHEREGNIMIN</t>
        </is>
      </c>
      <c r="F936" s="5" t="n">
        <v>46154.88145833334</v>
      </c>
      <c r="H936" t="inlineStr">
        <is>
          <t>PCGH787</t>
        </is>
      </c>
      <c r="I936" t="n">
        <v>8</v>
      </c>
      <c r="J936" t="inlineStr">
        <is>
          <t>PCGH787 - Desk Study (3) (Proforest Limited(PCUK GBP))</t>
        </is>
      </c>
      <c r="L936" t="b">
        <v>1</v>
      </c>
      <c r="M936" t="inlineStr">
        <is>
          <t>Billed at a Fixed price</t>
        </is>
      </c>
      <c r="N936" s="6">
        <f>IF(B936="","",IF(ISNUMBER(B936),TEXT(B936,"YYYY-MM"),LEFT(B936,7)))</f>
        <v/>
      </c>
    </row>
    <row r="937">
      <c r="A937" t="inlineStr">
        <is>
          <t>Helena Tetteh</t>
        </is>
      </c>
      <c r="B937" s="4" t="n">
        <v>46139</v>
      </c>
      <c r="C937" t="inlineStr">
        <is>
          <t>/</t>
        </is>
      </c>
      <c r="D937" t="inlineStr">
        <is>
          <t xml:space="preserve">Helena Tetteh </t>
        </is>
      </c>
      <c r="E937" t="inlineStr">
        <is>
          <t>OdooBot</t>
        </is>
      </c>
      <c r="F937" s="5" t="n">
        <v>46154.70721064815</v>
      </c>
      <c r="G937" t="inlineStr">
        <is>
          <t>Output 2.3</t>
        </is>
      </c>
      <c r="H937" t="inlineStr">
        <is>
          <t>P23AC00C00 - FGMC</t>
        </is>
      </c>
      <c r="I937" t="n">
        <v>6.5</v>
      </c>
      <c r="K937" t="inlineStr">
        <is>
          <t>P23AC22A00 - Output Two (Elevating Local Solutions - West Africa)</t>
        </is>
      </c>
      <c r="L937" t="b">
        <v>0</v>
      </c>
      <c r="M937" t="inlineStr">
        <is>
          <t>Non-Billable</t>
        </is>
      </c>
      <c r="N937" s="6">
        <f>IF(B937="","",IF(ISNUMBER(B937),TEXT(B937,"YYYY-MM"),LEFT(B937,7)))</f>
        <v/>
      </c>
    </row>
    <row r="938">
      <c r="A938" t="inlineStr">
        <is>
          <t>Helena Tetteh</t>
        </is>
      </c>
      <c r="B938" s="4" t="n">
        <v>46139</v>
      </c>
      <c r="C938" t="inlineStr">
        <is>
          <t>PIA bi-weekly check-in/Quarterly programme updates</t>
        </is>
      </c>
      <c r="D938" t="inlineStr">
        <is>
          <t xml:space="preserve">Helena Tetteh </t>
        </is>
      </c>
      <c r="E938" t="inlineStr">
        <is>
          <t>OdooBot</t>
        </is>
      </c>
      <c r="F938" s="5" t="n">
        <v>46154.70721064815</v>
      </c>
      <c r="H938" t="inlineStr">
        <is>
          <t>Non-Billable Tasks</t>
        </is>
      </c>
      <c r="I938" t="n">
        <v>1.5</v>
      </c>
      <c r="K938" t="inlineStr">
        <is>
          <t>Portfolio Team Management</t>
        </is>
      </c>
      <c r="L938" t="b">
        <v>0</v>
      </c>
      <c r="M938" t="inlineStr">
        <is>
          <t>Non-Billable</t>
        </is>
      </c>
      <c r="N938" s="6">
        <f>IF(B938="","",IF(ISNUMBER(B938),TEXT(B938,"YYYY-MM"),LEFT(B938,7)))</f>
        <v/>
      </c>
    </row>
    <row r="939">
      <c r="A939" t="inlineStr">
        <is>
          <t>Daleba Bernard Kpenahi Raymond</t>
        </is>
      </c>
      <c r="B939" s="4" t="n">
        <v>46139</v>
      </c>
      <c r="C939" t="inlineStr">
        <is>
          <t xml:space="preserve">Developing concept note for CEPF in collaboration with SOS-Foret
</t>
        </is>
      </c>
      <c r="D939" t="inlineStr">
        <is>
          <t>Daleba Bernard Kpenahi Raymond</t>
        </is>
      </c>
      <c r="E939" t="inlineStr">
        <is>
          <t>OdooBot</t>
        </is>
      </c>
      <c r="F939" s="5" t="n">
        <v>46154.70721064815</v>
      </c>
      <c r="H939" t="inlineStr">
        <is>
          <t>Non-Billable Tasks</t>
        </is>
      </c>
      <c r="I939" t="n">
        <v>0</v>
      </c>
      <c r="K939" t="inlineStr">
        <is>
          <t>Business Development and Networking</t>
        </is>
      </c>
      <c r="L939" t="b">
        <v>0</v>
      </c>
      <c r="M939" t="inlineStr">
        <is>
          <t>Non-Billable</t>
        </is>
      </c>
      <c r="N939" s="6">
        <f>IF(B939="","",IF(ISNUMBER(B939),TEXT(B939,"YYYY-MM"),LEFT(B939,7)))</f>
        <v/>
      </c>
    </row>
    <row r="940">
      <c r="A940" t="inlineStr">
        <is>
          <t>Daleba Bernard Kpenahi Raymond</t>
        </is>
      </c>
      <c r="B940" s="4" t="n">
        <v>46139</v>
      </c>
      <c r="C940" t="inlineStr">
        <is>
          <t xml:space="preserve">
Training of planting team  
Nursery care 
How to replant seedlings  
Georeferencing of seedlings 
Field Practice on transplanting and georeferencing 
Mapping of planted area 
Georeferencing of 2024 and 2025 planted trees </t>
        </is>
      </c>
      <c r="D940" t="inlineStr">
        <is>
          <t>Daleba Bernard Kpenahi Raymond</t>
        </is>
      </c>
      <c r="E940" t="inlineStr">
        <is>
          <t>Michael Anim</t>
        </is>
      </c>
      <c r="F940" s="5" t="n">
        <v>46163.53038194445</v>
      </c>
      <c r="H940" t="inlineStr">
        <is>
          <t>PCGH779 - Cote d'Ivoire）</t>
        </is>
      </c>
      <c r="I940" t="n">
        <v>0</v>
      </c>
      <c r="J940" t="inlineStr">
        <is>
          <t>PCGH779 - Tree Planting Project (3) (Proforest Limited(PCUK GBP))</t>
        </is>
      </c>
      <c r="L940" t="b">
        <v>1</v>
      </c>
      <c r="M940" t="inlineStr">
        <is>
          <t>Billed at a Fixed price</t>
        </is>
      </c>
      <c r="N940" s="6">
        <f>IF(B940="","",IF(ISNUMBER(B940),TEXT(B940,"YYYY-MM"),LEFT(B940,7)))</f>
        <v/>
      </c>
    </row>
    <row r="941">
      <c r="A941" t="inlineStr">
        <is>
          <t>Afua Serwah Akoto Prempeh</t>
        </is>
      </c>
      <c r="B941" s="4" t="n">
        <v>46139</v>
      </c>
      <c r="C941" t="inlineStr">
        <is>
          <t>/</t>
        </is>
      </c>
      <c r="D941" t="inlineStr">
        <is>
          <t>Afua Serwah Akoto Prempeh</t>
        </is>
      </c>
      <c r="E941" t="inlineStr">
        <is>
          <t>OdooBot</t>
        </is>
      </c>
      <c r="F941" s="5" t="n">
        <v>46154.70721064815</v>
      </c>
      <c r="H941" t="inlineStr">
        <is>
          <t>Non-Billable Tasks</t>
        </is>
      </c>
      <c r="I941" t="n">
        <v>4</v>
      </c>
      <c r="L941" t="b">
        <v>0</v>
      </c>
      <c r="M941" t="inlineStr">
        <is>
          <t>Non-Billable</t>
        </is>
      </c>
      <c r="N941" s="6">
        <f>IF(B941="","",IF(ISNUMBER(B941),TEXT(B941,"YYYY-MM"),LEFT(B941,7)))</f>
        <v/>
      </c>
    </row>
    <row r="942">
      <c r="A942" t="inlineStr">
        <is>
          <t>Afua Serwah Akoto Prempeh</t>
        </is>
      </c>
      <c r="B942" s="4" t="n">
        <v>46139</v>
      </c>
      <c r="C942" t="inlineStr">
        <is>
          <t>/</t>
        </is>
      </c>
      <c r="D942" t="inlineStr">
        <is>
          <t>Afua Serwah Akoto Prempeh</t>
        </is>
      </c>
      <c r="E942" t="inlineStr">
        <is>
          <t>OdooBot</t>
        </is>
      </c>
      <c r="F942" s="5" t="n">
        <v>46154.70721064815</v>
      </c>
      <c r="H942" t="inlineStr">
        <is>
          <t>Non-Billable Tasks</t>
        </is>
      </c>
      <c r="I942" t="n">
        <v>4</v>
      </c>
      <c r="K942" t="inlineStr">
        <is>
          <t>Professional development and Knowledge sharing(training,global knowledge calls,exchange weeks)</t>
        </is>
      </c>
      <c r="L942" t="b">
        <v>0</v>
      </c>
      <c r="M942" t="inlineStr">
        <is>
          <t>Non-Billable</t>
        </is>
      </c>
      <c r="N942" s="6">
        <f>IF(B942="","",IF(ISNUMBER(B942),TEXT(B942,"YYYY-MM"),LEFT(B942,7)))</f>
        <v/>
      </c>
    </row>
    <row r="943">
      <c r="A943" t="inlineStr">
        <is>
          <t>Louis Defo</t>
        </is>
      </c>
      <c r="B943" s="4" t="n">
        <v>46139</v>
      </c>
      <c r="C943" t="inlineStr">
        <is>
          <t>/</t>
        </is>
      </c>
      <c r="D943" t="inlineStr">
        <is>
          <t>Louis Defo</t>
        </is>
      </c>
      <c r="E943" t="inlineStr">
        <is>
          <t>OdooBot</t>
        </is>
      </c>
      <c r="F943" s="5" t="n">
        <v>46154.70721064815</v>
      </c>
      <c r="H943" t="inlineStr">
        <is>
          <t>P23AC00C00 - FGMC</t>
        </is>
      </c>
      <c r="I943" t="n">
        <v>8</v>
      </c>
      <c r="L943" t="b">
        <v>0</v>
      </c>
      <c r="M943" t="inlineStr">
        <is>
          <t>Non-Billable</t>
        </is>
      </c>
      <c r="N943" s="6">
        <f>IF(B943="","",IF(ISNUMBER(B943),TEXT(B943,"YYYY-MM"),LEFT(B943,7)))</f>
        <v/>
      </c>
    </row>
    <row r="944">
      <c r="A944" t="inlineStr">
        <is>
          <t>Abel Ansu</t>
        </is>
      </c>
      <c r="B944" s="4" t="n">
        <v>46139</v>
      </c>
      <c r="C944" t="inlineStr">
        <is>
          <t>Visited the Bia shelter forest reserve to monitor cleared sites for MTS</t>
        </is>
      </c>
      <c r="D944" t="inlineStr">
        <is>
          <t>Abel Ansu</t>
        </is>
      </c>
      <c r="E944" t="inlineStr">
        <is>
          <t>OdooBot</t>
        </is>
      </c>
      <c r="F944" s="5" t="n">
        <v>46154.70721064815</v>
      </c>
      <c r="H944" t="inlineStr">
        <is>
          <t>Internal</t>
        </is>
      </c>
      <c r="I944" t="n">
        <v>8</v>
      </c>
      <c r="K944" t="inlineStr">
        <is>
          <t>Monitoring of cleared MTS sites</t>
        </is>
      </c>
      <c r="L944" t="b">
        <v>0</v>
      </c>
      <c r="M944" t="inlineStr">
        <is>
          <t>Non-Billable</t>
        </is>
      </c>
      <c r="N944" s="6">
        <f>IF(B944="","",IF(ISNUMBER(B944),TEXT(B944,"YYYY-MM"),LEFT(B944,7)))</f>
        <v/>
      </c>
    </row>
    <row r="945">
      <c r="A945" t="inlineStr">
        <is>
          <t>Clement Obeng-Manu</t>
        </is>
      </c>
      <c r="B945" s="4" t="n">
        <v>46139</v>
      </c>
      <c r="C945" t="inlineStr">
        <is>
          <t>/</t>
        </is>
      </c>
      <c r="D945" t="inlineStr">
        <is>
          <t>Clement Obeng-Manu</t>
        </is>
      </c>
      <c r="E945" t="inlineStr">
        <is>
          <t>OdooBot</t>
        </is>
      </c>
      <c r="F945" s="5" t="n">
        <v>46154.70721064815</v>
      </c>
      <c r="G945" t="inlineStr">
        <is>
          <t>Field Visit and Data Collection</t>
        </is>
      </c>
      <c r="H945" t="inlineStr">
        <is>
          <t>PCGH785</t>
        </is>
      </c>
      <c r="I945" t="n">
        <v>8</v>
      </c>
      <c r="J945" t="inlineStr">
        <is>
          <t>PCGH785 -  Field data collection  (3) (Okeosisi Jonathan)</t>
        </is>
      </c>
      <c r="K945" t="inlineStr">
        <is>
          <t>Ground-truthing and mapping</t>
        </is>
      </c>
      <c r="L945" t="b">
        <v>1</v>
      </c>
      <c r="M945" t="inlineStr">
        <is>
          <t>Billed at a Fixed price</t>
        </is>
      </c>
      <c r="N945" s="6">
        <f>IF(B945="","",IF(ISNUMBER(B945),TEXT(B945,"YYYY-MM"),LEFT(B945,7)))</f>
        <v/>
      </c>
    </row>
    <row r="946">
      <c r="A946" t="inlineStr">
        <is>
          <t>Stephen Doso</t>
        </is>
      </c>
      <c r="B946" s="4" t="n">
        <v>46139</v>
      </c>
      <c r="C946" t="inlineStr">
        <is>
          <t>/</t>
        </is>
      </c>
      <c r="D946" t="inlineStr">
        <is>
          <t>Stephen Doso</t>
        </is>
      </c>
      <c r="E946" t="inlineStr">
        <is>
          <t>OdooBot</t>
        </is>
      </c>
      <c r="F946" s="5" t="n">
        <v>46154.70721064815</v>
      </c>
      <c r="G946" t="inlineStr">
        <is>
          <t>Field Visit and Data Collection</t>
        </is>
      </c>
      <c r="H946" t="inlineStr">
        <is>
          <t>PCGH785</t>
        </is>
      </c>
      <c r="I946" t="n">
        <v>8</v>
      </c>
      <c r="J946" t="inlineStr">
        <is>
          <t>PCGH785 -  Field data collection  (2) (Okeosisi Jonathan)</t>
        </is>
      </c>
      <c r="K946" t="inlineStr">
        <is>
          <t>Community engagements</t>
        </is>
      </c>
      <c r="L946" t="b">
        <v>1</v>
      </c>
      <c r="M946" t="inlineStr">
        <is>
          <t>Billed at a Fixed price</t>
        </is>
      </c>
      <c r="N946" s="6">
        <f>IF(B946="","",IF(ISNUMBER(B946),TEXT(B946,"YYYY-MM"),LEFT(B946,7)))</f>
        <v/>
      </c>
    </row>
    <row r="947">
      <c r="A947" t="inlineStr">
        <is>
          <t>Mawuse Agblobi</t>
        </is>
      </c>
      <c r="B947" s="4" t="n">
        <v>46136</v>
      </c>
      <c r="C947" t="inlineStr">
        <is>
          <t>Time Off (5/5)</t>
        </is>
      </c>
      <c r="D947" t="inlineStr">
        <is>
          <t>Daleba Bernard Kpenahi Raymond</t>
        </is>
      </c>
      <c r="E947" t="inlineStr">
        <is>
          <t>Mawuse Agblobi</t>
        </is>
      </c>
      <c r="F947" s="5" t="n">
        <v>46174.89994212963</v>
      </c>
      <c r="H947" t="inlineStr">
        <is>
          <t>Internal</t>
        </is>
      </c>
      <c r="I947" t="n">
        <v>8</v>
      </c>
      <c r="K947" t="inlineStr">
        <is>
          <t>Time Off</t>
        </is>
      </c>
      <c r="L947" t="b">
        <v>0</v>
      </c>
      <c r="M947" t="inlineStr">
        <is>
          <t>Non-Billable</t>
        </is>
      </c>
      <c r="N947" s="6">
        <f>IF(B947="","",IF(ISNUMBER(B947),TEXT(B947,"YYYY-MM"),LEFT(B947,7)))</f>
        <v/>
      </c>
    </row>
    <row r="948">
      <c r="A948" t="inlineStr">
        <is>
          <t>Clement Obeng-Manu</t>
        </is>
      </c>
      <c r="B948" s="4" t="n">
        <v>46136</v>
      </c>
      <c r="C948" t="inlineStr">
        <is>
          <t>/</t>
        </is>
      </c>
      <c r="D948" t="inlineStr">
        <is>
          <t>Clement Obeng-Manu</t>
        </is>
      </c>
      <c r="E948" t="inlineStr">
        <is>
          <t>Clement Obeng-Manu</t>
        </is>
      </c>
      <c r="F948" s="5" t="n">
        <v>46173.76553240741</v>
      </c>
      <c r="H948" t="inlineStr">
        <is>
          <t>PCGH777</t>
        </is>
      </c>
      <c r="I948" t="n">
        <v>8</v>
      </c>
      <c r="J948" t="inlineStr">
        <is>
          <t>PCGH777 - Land Use Change Analysis (Proforest Limited(PCUK GBP))</t>
        </is>
      </c>
      <c r="K948" t="inlineStr">
        <is>
          <t xml:space="preserve">Post fieldwork analysis </t>
        </is>
      </c>
      <c r="L948" t="b">
        <v>1</v>
      </c>
      <c r="M948" t="inlineStr">
        <is>
          <t>Billed at a Fixed price</t>
        </is>
      </c>
      <c r="N948" s="6">
        <f>IF(B948="","",IF(ISNUMBER(B948),TEXT(B948,"YYYY-MM"),LEFT(B948,7)))</f>
        <v/>
      </c>
    </row>
    <row r="949">
      <c r="A949" t="inlineStr">
        <is>
          <t>Ekow Nyamekye Tawiah</t>
        </is>
      </c>
      <c r="B949" s="4" t="n">
        <v>46136</v>
      </c>
      <c r="C949" t="inlineStr">
        <is>
          <t>Deforestation Risk Analysis</t>
        </is>
      </c>
      <c r="D949" t="inlineStr">
        <is>
          <t>Ekow Nyamekye Tawiah</t>
        </is>
      </c>
      <c r="E949" t="inlineStr">
        <is>
          <t>Ekow Nyamekye Tawiah</t>
        </is>
      </c>
      <c r="F949" s="5" t="n">
        <v>46162.87978009259</v>
      </c>
      <c r="H949" t="inlineStr">
        <is>
          <t>PCGH778 - General Support</t>
        </is>
      </c>
      <c r="I949" t="n">
        <v>4</v>
      </c>
      <c r="J949" t="inlineStr">
        <is>
          <t>PCGH778 - Support to Other Workstreams (3) (Proforest Limited(PCUK GBP))</t>
        </is>
      </c>
      <c r="L949" t="b">
        <v>1</v>
      </c>
      <c r="M949" t="inlineStr">
        <is>
          <t>Billed at a Fixed price</t>
        </is>
      </c>
      <c r="N949" s="6">
        <f>IF(B949="","",IF(ISNUMBER(B949),TEXT(B949,"YYYY-MM"),LEFT(B949,7)))</f>
        <v/>
      </c>
    </row>
    <row r="950">
      <c r="A950" t="inlineStr">
        <is>
          <t>James Parker Mckeown</t>
        </is>
      </c>
      <c r="B950" s="4" t="n">
        <v>46136</v>
      </c>
      <c r="C950" t="inlineStr">
        <is>
          <t>TaylorCrabbe x ISEAL x Proforest</t>
        </is>
      </c>
      <c r="D950" t="inlineStr">
        <is>
          <t>James Parker Mckeown</t>
        </is>
      </c>
      <c r="E950" t="inlineStr">
        <is>
          <t>James Parker Mckeown</t>
        </is>
      </c>
      <c r="F950" s="5" t="n">
        <v>46162.78515046297</v>
      </c>
      <c r="G950" t="inlineStr">
        <is>
          <t>Output 2.3</t>
        </is>
      </c>
      <c r="H950" t="inlineStr">
        <is>
          <t>P23AC00C00 - FGMC</t>
        </is>
      </c>
      <c r="I950" t="n">
        <v>3</v>
      </c>
      <c r="K950" t="inlineStr">
        <is>
          <t>P23AC22A00 - Output Two (Elevating Local Solutions - West Africa)</t>
        </is>
      </c>
      <c r="L950" t="b">
        <v>0</v>
      </c>
      <c r="M950" t="inlineStr">
        <is>
          <t>Non-Billable</t>
        </is>
      </c>
      <c r="N950" s="6">
        <f>IF(B950="","",IF(ISNUMBER(B950),TEXT(B950,"YYYY-MM"),LEFT(B950,7)))</f>
        <v/>
      </c>
    </row>
    <row r="951">
      <c r="A951" t="inlineStr">
        <is>
          <t>James Parker Mckeown</t>
        </is>
      </c>
      <c r="B951" s="4" t="n">
        <v>46136</v>
      </c>
      <c r="C951" t="inlineStr">
        <is>
          <t>/</t>
        </is>
      </c>
      <c r="D951" t="inlineStr">
        <is>
          <t>James Parker Mckeown</t>
        </is>
      </c>
      <c r="E951" t="inlineStr">
        <is>
          <t>James Parker Mckeown</t>
        </is>
      </c>
      <c r="F951" s="5" t="n">
        <v>46162.78435185185</v>
      </c>
      <c r="G951" t="inlineStr">
        <is>
          <t>Output 4</t>
        </is>
      </c>
      <c r="H951" t="inlineStr">
        <is>
          <t>P23AC00C00 - FGMC</t>
        </is>
      </c>
      <c r="I951" t="n">
        <v>3</v>
      </c>
      <c r="K951" t="inlineStr">
        <is>
          <t>P23AC03A00 - Project Management</t>
        </is>
      </c>
      <c r="L951" t="b">
        <v>0</v>
      </c>
      <c r="M951" t="inlineStr">
        <is>
          <t>Non-Billable</t>
        </is>
      </c>
      <c r="N951" s="6">
        <f>IF(B951="","",IF(ISNUMBER(B951),TEXT(B951,"YYYY-MM"),LEFT(B951,7)))</f>
        <v/>
      </c>
    </row>
    <row r="952">
      <c r="A952" t="inlineStr">
        <is>
          <t>Joseph Isaiah Mensah</t>
        </is>
      </c>
      <c r="B952" s="4" t="n">
        <v>46136</v>
      </c>
      <c r="C952" t="inlineStr">
        <is>
          <t>/</t>
        </is>
      </c>
      <c r="D952" t="inlineStr">
        <is>
          <t>Joseph Isaiah Mensah</t>
        </is>
      </c>
      <c r="E952" t="inlineStr">
        <is>
          <t>Joseph Isaiah Mensah</t>
        </is>
      </c>
      <c r="F952" s="5" t="n">
        <v>46162.78225694445</v>
      </c>
      <c r="H952" t="inlineStr">
        <is>
          <t>PCGH774 -Evaluation Deep-Dive Action Plans by Socfin Group</t>
        </is>
      </c>
      <c r="I952" t="n">
        <v>8</v>
      </c>
      <c r="J952" t="inlineStr">
        <is>
          <t>PCGH774 - Field Verification (3) (Socfinco FR SA)</t>
        </is>
      </c>
      <c r="K952" t="inlineStr">
        <is>
          <t xml:space="preserve">Cameroon (Safacam) - Field verification/observation/community and stakeholder engagement </t>
        </is>
      </c>
      <c r="L952" t="b">
        <v>1</v>
      </c>
      <c r="M952" t="inlineStr">
        <is>
          <t>Billed at a Fixed price</t>
        </is>
      </c>
      <c r="N952" s="6">
        <f>IF(B952="","",IF(ISNUMBER(B952),TEXT(B952,"YYYY-MM"),LEFT(B952,7)))</f>
        <v/>
      </c>
    </row>
    <row r="953">
      <c r="A953" t="inlineStr">
        <is>
          <t>Patricia Offei</t>
        </is>
      </c>
      <c r="B953" s="4" t="n">
        <v>46136</v>
      </c>
      <c r="C953" t="inlineStr">
        <is>
          <t>/</t>
        </is>
      </c>
      <c r="D953" t="inlineStr">
        <is>
          <t>Patricia Offei</t>
        </is>
      </c>
      <c r="E953" t="inlineStr">
        <is>
          <t>Patricia Offei</t>
        </is>
      </c>
      <c r="F953" s="5" t="n">
        <v>46162.59964120371</v>
      </c>
      <c r="H953" t="inlineStr">
        <is>
          <t>PCGH774 -Evaluation Deep-Dive Action Plans by Socfin Group</t>
        </is>
      </c>
      <c r="I953" t="n">
        <v>8</v>
      </c>
      <c r="J953" t="inlineStr">
        <is>
          <t>PCGH774 - Project Management (2) (Socfinco FR SA)</t>
        </is>
      </c>
      <c r="L953" t="b">
        <v>1</v>
      </c>
      <c r="M953" t="inlineStr">
        <is>
          <t>Billed at a Fixed price</t>
        </is>
      </c>
      <c r="N953" s="6">
        <f>IF(B953="","",IF(ISNUMBER(B953),TEXT(B953,"YYYY-MM"),LEFT(B953,7)))</f>
        <v/>
      </c>
    </row>
    <row r="954">
      <c r="A954" t="inlineStr">
        <is>
          <t>Kingsley Fitz-Gerald Severine</t>
        </is>
      </c>
      <c r="B954" s="4" t="n">
        <v>46136</v>
      </c>
      <c r="C954" t="inlineStr">
        <is>
          <t>/</t>
        </is>
      </c>
      <c r="D954" t="inlineStr">
        <is>
          <t>Kingsley Fitz-Gerald Severine</t>
        </is>
      </c>
      <c r="E954" t="inlineStr">
        <is>
          <t>Kingsley Fitz-Gerald Severine</t>
        </is>
      </c>
      <c r="F954" s="5" t="n">
        <v>46162.55771990741</v>
      </c>
      <c r="G954" t="inlineStr">
        <is>
          <t>Preliminary findings and final consultation</t>
        </is>
      </c>
      <c r="H954" t="inlineStr">
        <is>
          <t>PCGH784</t>
        </is>
      </c>
      <c r="I954" t="n">
        <v>8</v>
      </c>
      <c r="J954" t="inlineStr">
        <is>
          <t>PCGH784 - Stakeholder Consultations (2) (Okeosisi Jonathan)</t>
        </is>
      </c>
      <c r="K954" t="inlineStr">
        <is>
          <t>Final consultation</t>
        </is>
      </c>
      <c r="L954" t="b">
        <v>1</v>
      </c>
      <c r="M954" t="inlineStr">
        <is>
          <t>Billed at a Fixed price</t>
        </is>
      </c>
      <c r="N954" s="6">
        <f>IF(B954="","",IF(ISNUMBER(B954),TEXT(B954,"YYYY-MM"),LEFT(B954,7)))</f>
        <v/>
      </c>
    </row>
    <row r="955">
      <c r="A955" t="inlineStr">
        <is>
          <t>Kwadwo Baniako Nti</t>
        </is>
      </c>
      <c r="B955" s="4" t="n">
        <v>46136</v>
      </c>
      <c r="C955" t="inlineStr">
        <is>
          <t>/</t>
        </is>
      </c>
      <c r="D955" t="inlineStr">
        <is>
          <t>Kwadwo Baniako Nti</t>
        </is>
      </c>
      <c r="E955" t="inlineStr">
        <is>
          <t>Kwadwo Baniako Nti</t>
        </is>
      </c>
      <c r="F955" s="5" t="n">
        <v>46161.79023148148</v>
      </c>
      <c r="G955" t="inlineStr">
        <is>
          <t>Field verification and reporting in Nigeria (3)</t>
        </is>
      </c>
      <c r="H955" t="inlineStr">
        <is>
          <t>PCGH775 - ESDD of Valency Operations for FMO</t>
        </is>
      </c>
      <c r="I955" t="n">
        <v>1</v>
      </c>
      <c r="J955" t="inlineStr">
        <is>
          <t>PCGH775 - Field Verification (3) (Valency International DMCC)</t>
        </is>
      </c>
      <c r="K955" t="inlineStr">
        <is>
          <t>Analysis and reporting in Nigeria</t>
        </is>
      </c>
      <c r="L955" t="b">
        <v>1</v>
      </c>
      <c r="M955" t="inlineStr">
        <is>
          <t>Billed at a Fixed price</t>
        </is>
      </c>
      <c r="N955" s="6">
        <f>IF(B955="","",IF(ISNUMBER(B955),TEXT(B955,"YYYY-MM"),LEFT(B955,7)))</f>
        <v/>
      </c>
    </row>
    <row r="956">
      <c r="A956" t="inlineStr">
        <is>
          <t>Kwadwo Baniako Nti</t>
        </is>
      </c>
      <c r="B956" s="4" t="n">
        <v>46136</v>
      </c>
      <c r="C956" t="inlineStr">
        <is>
          <t>/</t>
        </is>
      </c>
      <c r="D956" t="inlineStr">
        <is>
          <t>Kwadwo Baniako Nti</t>
        </is>
      </c>
      <c r="E956" t="inlineStr">
        <is>
          <t>Kwadwo Baniako Nti</t>
        </is>
      </c>
      <c r="F956" s="5" t="n">
        <v>46161.77846064815</v>
      </c>
      <c r="G956" t="inlineStr">
        <is>
          <t>Baseline Socio-Economic &amp; Environmental Surveys</t>
        </is>
      </c>
      <c r="H956" t="inlineStr">
        <is>
          <t>PCGH762 - GVL HCSA Restoration Project</t>
        </is>
      </c>
      <c r="I956" t="n">
        <v>3</v>
      </c>
      <c r="J956" t="inlineStr">
        <is>
          <t>PCGH762 - Baseline Socio-Economic &amp; Environmental Surveys (Golden Veroleum Liberia)</t>
        </is>
      </c>
      <c r="K956" t="inlineStr">
        <is>
          <t>Baseline Socio-Economic &amp; Environmental Surveys</t>
        </is>
      </c>
      <c r="L956" t="b">
        <v>1</v>
      </c>
      <c r="M956" t="inlineStr">
        <is>
          <t>Billed at a Fixed price</t>
        </is>
      </c>
      <c r="N956" s="6">
        <f>IF(B956="","",IF(ISNUMBER(B956),TEXT(B956,"YYYY-MM"),LEFT(B956,7)))</f>
        <v/>
      </c>
    </row>
    <row r="957">
      <c r="A957" t="inlineStr">
        <is>
          <t>Kwadwo Baniako Nti</t>
        </is>
      </c>
      <c r="B957" s="4" t="n">
        <v>46136</v>
      </c>
      <c r="C957" t="inlineStr">
        <is>
          <t>/</t>
        </is>
      </c>
      <c r="D957" t="inlineStr">
        <is>
          <t>Kwadwo Baniako Nti</t>
        </is>
      </c>
      <c r="E957" t="inlineStr">
        <is>
          <t>Kwadwo Baniako Nti</t>
        </is>
      </c>
      <c r="F957" s="5" t="n">
        <v>46161.77457175926</v>
      </c>
      <c r="H957" t="inlineStr">
        <is>
          <t>Non-Billable Tasks</t>
        </is>
      </c>
      <c r="I957" t="n">
        <v>2</v>
      </c>
      <c r="K957" t="inlineStr">
        <is>
          <t>Professional development and Knowledge sharing(training,global knowledge calls,exchange weeks)</t>
        </is>
      </c>
      <c r="L957" t="b">
        <v>0</v>
      </c>
      <c r="M957" t="inlineStr">
        <is>
          <t>Non-Billable</t>
        </is>
      </c>
      <c r="N957" s="6">
        <f>IF(B957="","",IF(ISNUMBER(B957),TEXT(B957,"YYYY-MM"),LEFT(B957,7)))</f>
        <v/>
      </c>
    </row>
    <row r="958">
      <c r="A958" t="inlineStr">
        <is>
          <t>Kwadwo Baniako Nti</t>
        </is>
      </c>
      <c r="B958" s="4" t="n">
        <v>46136</v>
      </c>
      <c r="C958" t="inlineStr">
        <is>
          <t>/</t>
        </is>
      </c>
      <c r="D958" t="inlineStr">
        <is>
          <t>Kwadwo Baniako Nti</t>
        </is>
      </c>
      <c r="E958" t="inlineStr">
        <is>
          <t>Kwadwo Baniako Nti</t>
        </is>
      </c>
      <c r="F958" s="5" t="n">
        <v>46161.75923611111</v>
      </c>
      <c r="G958" t="inlineStr">
        <is>
          <t>Desk Study (3)</t>
        </is>
      </c>
      <c r="H958" t="inlineStr">
        <is>
          <t>PCGH786 - Impact Level Baseline assessment for FGMC</t>
        </is>
      </c>
      <c r="I958" t="n">
        <v>2</v>
      </c>
      <c r="J958" t="inlineStr">
        <is>
          <t>PCGH786 - Desk Study (3) (NIRAS Group (UK) Ltd)</t>
        </is>
      </c>
      <c r="K958" t="inlineStr">
        <is>
          <t>Desk Study</t>
        </is>
      </c>
      <c r="L958" t="b">
        <v>1</v>
      </c>
      <c r="M958" t="inlineStr">
        <is>
          <t>Billed at a Fixed price</t>
        </is>
      </c>
      <c r="N958" s="6">
        <f>IF(B958="","",IF(ISNUMBER(B958),TEXT(B958,"YYYY-MM"),LEFT(B958,7)))</f>
        <v/>
      </c>
    </row>
    <row r="959">
      <c r="A959" t="inlineStr">
        <is>
          <t>Frederick Antwi</t>
        </is>
      </c>
      <c r="B959" s="4" t="n">
        <v>46136</v>
      </c>
      <c r="C959" t="inlineStr">
        <is>
          <t>/</t>
        </is>
      </c>
      <c r="D959" t="inlineStr">
        <is>
          <t>Frederick Antwi</t>
        </is>
      </c>
      <c r="E959" t="inlineStr">
        <is>
          <t>Frederick Antwi</t>
        </is>
      </c>
      <c r="F959" s="5" t="n">
        <v>46160.63690972222</v>
      </c>
      <c r="H959" t="inlineStr">
        <is>
          <t>P13PC00A00 - Private Sector Companies</t>
        </is>
      </c>
      <c r="I959" t="n">
        <v>8</v>
      </c>
      <c r="L959" t="b">
        <v>0</v>
      </c>
      <c r="M959" t="inlineStr">
        <is>
          <t>Non-Billable</t>
        </is>
      </c>
      <c r="N959" s="6">
        <f>IF(B959="","",IF(ISNUMBER(B959),TEXT(B959,"YYYY-MM"),LEFT(B959,7)))</f>
        <v/>
      </c>
    </row>
    <row r="960">
      <c r="A960" t="inlineStr">
        <is>
          <t>Augustus Asamoah</t>
        </is>
      </c>
      <c r="B960" s="4" t="n">
        <v>46136</v>
      </c>
      <c r="C960" t="inlineStr">
        <is>
          <t>/</t>
        </is>
      </c>
      <c r="D960" t="inlineStr">
        <is>
          <t>Augustus Asamoah</t>
        </is>
      </c>
      <c r="E960" t="inlineStr">
        <is>
          <t>Augustus Asamoah</t>
        </is>
      </c>
      <c r="F960" s="5" t="n">
        <v>46156.69606481482</v>
      </c>
      <c r="H960" t="inlineStr">
        <is>
          <t>P13QC00A00 - EFI Programme</t>
        </is>
      </c>
      <c r="I960" t="n">
        <v>3</v>
      </c>
      <c r="L960" t="b">
        <v>0</v>
      </c>
      <c r="M960" t="inlineStr">
        <is>
          <t>Non-Billable</t>
        </is>
      </c>
      <c r="N960" s="6">
        <f>IF(B960="","",IF(ISNUMBER(B960),TEXT(B960,"YYYY-MM"),LEFT(B960,7)))</f>
        <v/>
      </c>
    </row>
    <row r="961">
      <c r="A961" t="inlineStr">
        <is>
          <t>Augustus Asamoah</t>
        </is>
      </c>
      <c r="B961" s="4" t="n">
        <v>46136</v>
      </c>
      <c r="C961" t="inlineStr">
        <is>
          <t>/</t>
        </is>
      </c>
      <c r="D961" t="inlineStr">
        <is>
          <t>Augustus Asamoah</t>
        </is>
      </c>
      <c r="E961" t="inlineStr">
        <is>
          <t>Augustus Asamoah</t>
        </is>
      </c>
      <c r="F961" s="5" t="n">
        <v>46156.69603009259</v>
      </c>
      <c r="H961" t="inlineStr">
        <is>
          <t>P13NC00A00 - WALMART II</t>
        </is>
      </c>
      <c r="I961" t="n">
        <v>2</v>
      </c>
      <c r="L961" t="b">
        <v>0</v>
      </c>
      <c r="M961" t="inlineStr">
        <is>
          <t>Non-Billable</t>
        </is>
      </c>
      <c r="N961" s="6">
        <f>IF(B961="","",IF(ISNUMBER(B961),TEXT(B961,"YYYY-MM"),LEFT(B961,7)))</f>
        <v/>
      </c>
    </row>
    <row r="962">
      <c r="A962" t="inlineStr">
        <is>
          <t>Augustus Asamoah</t>
        </is>
      </c>
      <c r="B962" s="4" t="n">
        <v>46136</v>
      </c>
      <c r="C962" t="inlineStr">
        <is>
          <t>/</t>
        </is>
      </c>
      <c r="D962" t="inlineStr">
        <is>
          <t>Augustus Asamoah</t>
        </is>
      </c>
      <c r="E962" t="inlineStr">
        <is>
          <t>Augustus Asamoah</t>
        </is>
      </c>
      <c r="F962" s="5" t="n">
        <v>46156.69594907408</v>
      </c>
      <c r="H962" t="inlineStr">
        <is>
          <t>P13PC00A00 - Private Sector Companies</t>
        </is>
      </c>
      <c r="I962" t="n">
        <v>3</v>
      </c>
      <c r="L962" t="b">
        <v>0</v>
      </c>
      <c r="M962" t="inlineStr">
        <is>
          <t>Non-Billable</t>
        </is>
      </c>
      <c r="N962" s="6">
        <f>IF(B962="","",IF(ISNUMBER(B962),TEXT(B962,"YYYY-MM"),LEFT(B962,7)))</f>
        <v/>
      </c>
    </row>
    <row r="963">
      <c r="A963" t="inlineStr">
        <is>
          <t>Soro TCHEREGNIMIN</t>
        </is>
      </c>
      <c r="B963" s="4" t="n">
        <v>46136</v>
      </c>
      <c r="C963" t="inlineStr">
        <is>
          <t>CEPF Proposal</t>
        </is>
      </c>
      <c r="D963" t="inlineStr">
        <is>
          <t>Soro TCHEREGNIMIN</t>
        </is>
      </c>
      <c r="E963" t="inlineStr">
        <is>
          <t>Soro TCHEREGNIMIN</t>
        </is>
      </c>
      <c r="F963" s="5" t="n">
        <v>46154.94435185185</v>
      </c>
      <c r="H963" t="inlineStr">
        <is>
          <t>Non-Billable Tasks</t>
        </is>
      </c>
      <c r="I963" t="n">
        <v>8</v>
      </c>
      <c r="L963" t="b">
        <v>0</v>
      </c>
      <c r="M963" t="inlineStr">
        <is>
          <t>Non-Billable</t>
        </is>
      </c>
      <c r="N963" s="6">
        <f>IF(B963="","",IF(ISNUMBER(B963),TEXT(B963,"YYYY-MM"),LEFT(B963,7)))</f>
        <v/>
      </c>
    </row>
    <row r="964">
      <c r="A964" t="inlineStr">
        <is>
          <t>Helena Tetteh</t>
        </is>
      </c>
      <c r="B964" s="4" t="n">
        <v>46136</v>
      </c>
      <c r="C964" t="inlineStr">
        <is>
          <t>/</t>
        </is>
      </c>
      <c r="D964" t="inlineStr">
        <is>
          <t xml:space="preserve">Helena Tetteh </t>
        </is>
      </c>
      <c r="E964" t="inlineStr">
        <is>
          <t>OdooBot</t>
        </is>
      </c>
      <c r="F964" s="5" t="n">
        <v>46154.70721064815</v>
      </c>
      <c r="G964" t="inlineStr">
        <is>
          <t>Output 2.3</t>
        </is>
      </c>
      <c r="H964" t="inlineStr">
        <is>
          <t>P23AC00C00 - FGMC</t>
        </is>
      </c>
      <c r="I964" t="n">
        <v>8</v>
      </c>
      <c r="K964" t="inlineStr">
        <is>
          <t>P23AC22A00 - Output Two (Elevating Local Solutions - West Africa)</t>
        </is>
      </c>
      <c r="L964" t="b">
        <v>0</v>
      </c>
      <c r="M964" t="inlineStr">
        <is>
          <t>Non-Billable</t>
        </is>
      </c>
      <c r="N964" s="6">
        <f>IF(B964="","",IF(ISNUMBER(B964),TEXT(B964,"YYYY-MM"),LEFT(B964,7)))</f>
        <v/>
      </c>
    </row>
    <row r="965">
      <c r="A965" t="inlineStr">
        <is>
          <t>Afua Serwah Akoto Prempeh</t>
        </is>
      </c>
      <c r="B965" s="4" t="n">
        <v>46136</v>
      </c>
      <c r="C965" t="inlineStr">
        <is>
          <t>/</t>
        </is>
      </c>
      <c r="D965" t="inlineStr">
        <is>
          <t>Afua Serwah Akoto Prempeh</t>
        </is>
      </c>
      <c r="E965" t="inlineStr">
        <is>
          <t>OdooBot</t>
        </is>
      </c>
      <c r="F965" s="5" t="n">
        <v>46154.70721064815</v>
      </c>
      <c r="H965" t="inlineStr">
        <is>
          <t>Non-Billable Tasks</t>
        </is>
      </c>
      <c r="I965" t="n">
        <v>4</v>
      </c>
      <c r="K965" t="inlineStr">
        <is>
          <t>Professional development and Knowledge sharing(training,global knowledge calls,exchange weeks)</t>
        </is>
      </c>
      <c r="L965" t="b">
        <v>0</v>
      </c>
      <c r="M965" t="inlineStr">
        <is>
          <t>Non-Billable</t>
        </is>
      </c>
      <c r="N965" s="6">
        <f>IF(B965="","",IF(ISNUMBER(B965),TEXT(B965,"YYYY-MM"),LEFT(B965,7)))</f>
        <v/>
      </c>
    </row>
    <row r="966">
      <c r="A966" t="inlineStr">
        <is>
          <t>Afua Serwah Akoto Prempeh</t>
        </is>
      </c>
      <c r="B966" s="4" t="n">
        <v>46136</v>
      </c>
      <c r="C966" t="inlineStr">
        <is>
          <t>/</t>
        </is>
      </c>
      <c r="D966" t="inlineStr">
        <is>
          <t>Afua Serwah Akoto Prempeh</t>
        </is>
      </c>
      <c r="E966" t="inlineStr">
        <is>
          <t>OdooBot</t>
        </is>
      </c>
      <c r="F966" s="5" t="n">
        <v>46154.70721064815</v>
      </c>
      <c r="H966" t="inlineStr">
        <is>
          <t>Non-Billable Tasks</t>
        </is>
      </c>
      <c r="I966" t="n">
        <v>4</v>
      </c>
      <c r="L966" t="b">
        <v>0</v>
      </c>
      <c r="M966" t="inlineStr">
        <is>
          <t>Non-Billable</t>
        </is>
      </c>
      <c r="N966" s="6">
        <f>IF(B966="","",IF(ISNUMBER(B966),TEXT(B966,"YYYY-MM"),LEFT(B966,7)))</f>
        <v/>
      </c>
    </row>
    <row r="967">
      <c r="A967" t="inlineStr">
        <is>
          <t>Stephen Doso</t>
        </is>
      </c>
      <c r="B967" s="4" t="n">
        <v>46136</v>
      </c>
      <c r="C967" t="inlineStr">
        <is>
          <t>/</t>
        </is>
      </c>
      <c r="D967" t="inlineStr">
        <is>
          <t>Stephen Doso</t>
        </is>
      </c>
      <c r="E967" t="inlineStr">
        <is>
          <t>OdooBot</t>
        </is>
      </c>
      <c r="F967" s="5" t="n">
        <v>46154.70721064815</v>
      </c>
      <c r="G967" t="inlineStr">
        <is>
          <t>Preliminary findings and final consultation</t>
        </is>
      </c>
      <c r="H967" t="inlineStr">
        <is>
          <t>PCGH784</t>
        </is>
      </c>
      <c r="I967" t="n">
        <v>8</v>
      </c>
      <c r="J967" t="inlineStr">
        <is>
          <t>PCGH784 - Stakeholder Consultations (3) (Okeosisi Jonathan)</t>
        </is>
      </c>
      <c r="K967" t="inlineStr">
        <is>
          <t>Final consultation</t>
        </is>
      </c>
      <c r="L967" t="b">
        <v>1</v>
      </c>
      <c r="M967" t="inlineStr">
        <is>
          <t>Billed at a Fixed price</t>
        </is>
      </c>
      <c r="N967" s="6">
        <f>IF(B967="","",IF(ISNUMBER(B967),TEXT(B967,"YYYY-MM"),LEFT(B967,7)))</f>
        <v/>
      </c>
    </row>
    <row r="968">
      <c r="A968" t="inlineStr">
        <is>
          <t>Louis Defo</t>
        </is>
      </c>
      <c r="B968" s="4" t="n">
        <v>46136</v>
      </c>
      <c r="C968" t="inlineStr">
        <is>
          <t>/</t>
        </is>
      </c>
      <c r="D968" t="inlineStr">
        <is>
          <t>Louis Defo</t>
        </is>
      </c>
      <c r="E968" t="inlineStr">
        <is>
          <t>OdooBot</t>
        </is>
      </c>
      <c r="F968" s="5" t="n">
        <v>46154.70721064815</v>
      </c>
      <c r="H968" t="inlineStr">
        <is>
          <t>PCGH774 -Evaluation Deep-Dive Action Plans by Socfin Group</t>
        </is>
      </c>
      <c r="I968" t="n">
        <v>8</v>
      </c>
      <c r="J968" t="inlineStr">
        <is>
          <t>PCGH774 - Project Management (2) (Socfinco FR SA)</t>
        </is>
      </c>
      <c r="L968" t="b">
        <v>1</v>
      </c>
      <c r="M968" t="inlineStr">
        <is>
          <t>Billed at a Fixed price</t>
        </is>
      </c>
      <c r="N968" s="6">
        <f>IF(B968="","",IF(ISNUMBER(B968),TEXT(B968,"YYYY-MM"),LEFT(B968,7)))</f>
        <v/>
      </c>
    </row>
    <row r="969">
      <c r="A969" t="inlineStr">
        <is>
          <t>Daleba Bernard Kpenahi Raymond</t>
        </is>
      </c>
      <c r="B969" s="4" t="n">
        <v>46136</v>
      </c>
      <c r="C969" t="inlineStr">
        <is>
          <t>/</t>
        </is>
      </c>
      <c r="D969" t="inlineStr">
        <is>
          <t>Daleba Bernard Kpenahi Raymond</t>
        </is>
      </c>
      <c r="E969" t="inlineStr">
        <is>
          <t>OdooBot</t>
        </is>
      </c>
      <c r="F969" s="5" t="n">
        <v>46154.70721064815</v>
      </c>
      <c r="H969" t="inlineStr">
        <is>
          <t>Non-Billable Tasks</t>
        </is>
      </c>
      <c r="I969" t="n">
        <v>8</v>
      </c>
      <c r="K969" t="inlineStr">
        <is>
          <t>Business Development and Networking</t>
        </is>
      </c>
      <c r="L969" t="b">
        <v>0</v>
      </c>
      <c r="M969" t="inlineStr">
        <is>
          <t>Non-Billable</t>
        </is>
      </c>
      <c r="N969" s="6">
        <f>IF(B969="","",IF(ISNUMBER(B969),TEXT(B969,"YYYY-MM"),LEFT(B969,7)))</f>
        <v/>
      </c>
    </row>
    <row r="970">
      <c r="A970" t="inlineStr">
        <is>
          <t>Abel Ansu</t>
        </is>
      </c>
      <c r="B970" s="4" t="n">
        <v>46136</v>
      </c>
      <c r="C970" t="inlineStr">
        <is>
          <t>Together with Forestry Commission, sensitized farmers in Kwabenafor, Krakyekrom, Onyinase and Biaso on MTS and the Support for Forest Protection and Rehabilitation project</t>
        </is>
      </c>
      <c r="D970" t="inlineStr">
        <is>
          <t>Abel Ansu</t>
        </is>
      </c>
      <c r="E970" t="inlineStr">
        <is>
          <t>OdooBot</t>
        </is>
      </c>
      <c r="F970" s="5" t="n">
        <v>46154.70721064815</v>
      </c>
      <c r="H970" t="inlineStr">
        <is>
          <t>Internal</t>
        </is>
      </c>
      <c r="I970" t="n">
        <v>8</v>
      </c>
      <c r="K970" t="inlineStr">
        <is>
          <t>MTS Sensitization with farmers</t>
        </is>
      </c>
      <c r="L970" t="b">
        <v>0</v>
      </c>
      <c r="M970" t="inlineStr">
        <is>
          <t>Non-Billable</t>
        </is>
      </c>
      <c r="N970" s="6">
        <f>IF(B970="","",IF(ISNUMBER(B970),TEXT(B970,"YYYY-MM"),LEFT(B970,7)))</f>
        <v/>
      </c>
    </row>
    <row r="971">
      <c r="A971" t="inlineStr">
        <is>
          <t>Soro TCHEREGNIMIN</t>
        </is>
      </c>
      <c r="B971" s="4" t="n">
        <v>46136</v>
      </c>
      <c r="C971" t="inlineStr">
        <is>
          <t>/</t>
        </is>
      </c>
      <c r="D971" t="inlineStr">
        <is>
          <t>Soro TCHEREGNIMIN</t>
        </is>
      </c>
      <c r="E971" t="inlineStr">
        <is>
          <t>Soro TCHEREGNIMIN</t>
        </is>
      </c>
      <c r="F971" s="5" t="n">
        <v>46154.94469907408</v>
      </c>
      <c r="H971" t="inlineStr">
        <is>
          <t>Internal</t>
        </is>
      </c>
      <c r="I971" t="n">
        <v>0</v>
      </c>
      <c r="L971" t="b">
        <v>0</v>
      </c>
      <c r="M971" t="inlineStr">
        <is>
          <t>Non-Billable</t>
        </is>
      </c>
      <c r="N971" s="6">
        <f>IF(B971="","",IF(ISNUMBER(B971),TEXT(B971,"YYYY-MM"),LEFT(B971,7)))</f>
        <v/>
      </c>
    </row>
    <row r="972">
      <c r="A972" t="inlineStr">
        <is>
          <t>Mawuse Agblobi</t>
        </is>
      </c>
      <c r="B972" s="4" t="n">
        <v>46135</v>
      </c>
      <c r="C972" t="inlineStr">
        <is>
          <t>Time Off (4/5)</t>
        </is>
      </c>
      <c r="D972" t="inlineStr">
        <is>
          <t>Daleba Bernard Kpenahi Raymond</t>
        </is>
      </c>
      <c r="E972" t="inlineStr">
        <is>
          <t>Mawuse Agblobi</t>
        </is>
      </c>
      <c r="F972" s="5" t="n">
        <v>46174.89994212963</v>
      </c>
      <c r="H972" t="inlineStr">
        <is>
          <t>Internal</t>
        </is>
      </c>
      <c r="I972" t="n">
        <v>8</v>
      </c>
      <c r="K972" t="inlineStr">
        <is>
          <t>Time Off</t>
        </is>
      </c>
      <c r="L972" t="b">
        <v>0</v>
      </c>
      <c r="M972" t="inlineStr">
        <is>
          <t>Non-Billable</t>
        </is>
      </c>
      <c r="N972" s="6">
        <f>IF(B972="","",IF(ISNUMBER(B972),TEXT(B972,"YYYY-MM"),LEFT(B972,7)))</f>
        <v/>
      </c>
    </row>
    <row r="973">
      <c r="A973" t="inlineStr">
        <is>
          <t>Clement Obeng-Manu</t>
        </is>
      </c>
      <c r="B973" s="4" t="n">
        <v>46135</v>
      </c>
      <c r="C973" t="inlineStr">
        <is>
          <t>/</t>
        </is>
      </c>
      <c r="D973" t="inlineStr">
        <is>
          <t>Clement Obeng-Manu</t>
        </is>
      </c>
      <c r="E973" t="inlineStr">
        <is>
          <t>Clement Obeng-Manu</t>
        </is>
      </c>
      <c r="F973" s="5" t="n">
        <v>46173.76541666667</v>
      </c>
      <c r="H973" t="inlineStr">
        <is>
          <t>PCGH777</t>
        </is>
      </c>
      <c r="I973" t="n">
        <v>8</v>
      </c>
      <c r="J973" t="inlineStr">
        <is>
          <t>PCGH777 - Land Use Change Analysis (Proforest Limited(PCUK GBP))</t>
        </is>
      </c>
      <c r="K973" t="inlineStr">
        <is>
          <t xml:space="preserve">Post fieldwork analysis </t>
        </is>
      </c>
      <c r="L973" t="b">
        <v>1</v>
      </c>
      <c r="M973" t="inlineStr">
        <is>
          <t>Billed at a Fixed price</t>
        </is>
      </c>
      <c r="N973" s="6">
        <f>IF(B973="","",IF(ISNUMBER(B973),TEXT(B973,"YYYY-MM"),LEFT(B973,7)))</f>
        <v/>
      </c>
    </row>
    <row r="974">
      <c r="A974" t="inlineStr">
        <is>
          <t>Ekow Nyamekye Tawiah</t>
        </is>
      </c>
      <c r="B974" s="4" t="n">
        <v>46135</v>
      </c>
      <c r="C974" t="inlineStr">
        <is>
          <t>Deforestation Risk Analysis</t>
        </is>
      </c>
      <c r="D974" t="inlineStr">
        <is>
          <t>Ekow Nyamekye Tawiah</t>
        </is>
      </c>
      <c r="E974" t="inlineStr">
        <is>
          <t>Ekow Nyamekye Tawiah</t>
        </is>
      </c>
      <c r="F974" s="5" t="n">
        <v>46162.87981481481</v>
      </c>
      <c r="H974" t="inlineStr">
        <is>
          <t>PCGH778 - General Support</t>
        </is>
      </c>
      <c r="I974" t="n">
        <v>4</v>
      </c>
      <c r="J974" t="inlineStr">
        <is>
          <t>PCGH778 - Support to Other Workstreams (3) (Proforest Limited(PCUK GBP))</t>
        </is>
      </c>
      <c r="L974" t="b">
        <v>1</v>
      </c>
      <c r="M974" t="inlineStr">
        <is>
          <t>Billed at a Fixed price</t>
        </is>
      </c>
      <c r="N974" s="6">
        <f>IF(B974="","",IF(ISNUMBER(B974),TEXT(B974,"YYYY-MM"),LEFT(B974,7)))</f>
        <v/>
      </c>
    </row>
    <row r="975">
      <c r="A975" t="inlineStr">
        <is>
          <t>James Parker Mckeown</t>
        </is>
      </c>
      <c r="B975" s="4" t="n">
        <v>46135</v>
      </c>
      <c r="C975" t="inlineStr">
        <is>
          <t>FGMC BRIDGE Programe updates for Liberia</t>
        </is>
      </c>
      <c r="D975" t="inlineStr">
        <is>
          <t>James Parker Mckeown</t>
        </is>
      </c>
      <c r="E975" t="inlineStr">
        <is>
          <t>James Parker Mckeown</t>
        </is>
      </c>
      <c r="F975" s="5" t="n">
        <v>46162.78753472222</v>
      </c>
      <c r="G975" t="inlineStr">
        <is>
          <t>Output 4</t>
        </is>
      </c>
      <c r="H975" t="inlineStr">
        <is>
          <t>P23AC00C00 - FGMC</t>
        </is>
      </c>
      <c r="I975" t="n">
        <v>2.5</v>
      </c>
      <c r="K975" t="inlineStr">
        <is>
          <t>P23AC03A00 - Project Management</t>
        </is>
      </c>
      <c r="L975" t="b">
        <v>0</v>
      </c>
      <c r="M975" t="inlineStr">
        <is>
          <t>Non-Billable</t>
        </is>
      </c>
      <c r="N975" s="6">
        <f>IF(B975="","",IF(ISNUMBER(B975),TEXT(B975,"YYYY-MM"),LEFT(B975,7)))</f>
        <v/>
      </c>
    </row>
    <row r="976">
      <c r="A976" t="inlineStr">
        <is>
          <t>James Parker Mckeown</t>
        </is>
      </c>
      <c r="B976" s="4" t="n">
        <v>46135</v>
      </c>
      <c r="C976" t="inlineStr">
        <is>
          <t xml:space="preserve">Follow-up with consultants </t>
        </is>
      </c>
      <c r="D976" t="inlineStr">
        <is>
          <t>James Parker Mckeown</t>
        </is>
      </c>
      <c r="E976" t="inlineStr">
        <is>
          <t>James Parker Mckeown</t>
        </is>
      </c>
      <c r="F976" s="5" t="n">
        <v>46162.7859837963</v>
      </c>
      <c r="H976" t="inlineStr">
        <is>
          <t>PCGH762 - GVL HCSA Restoration Project</t>
        </is>
      </c>
      <c r="I976" t="n">
        <v>2.5</v>
      </c>
      <c r="K976" t="inlineStr">
        <is>
          <t>Baseline Socio-Economic &amp; Environmental Surveys</t>
        </is>
      </c>
      <c r="L976" t="b">
        <v>1</v>
      </c>
      <c r="M976" t="inlineStr">
        <is>
          <t>Non-Billable</t>
        </is>
      </c>
      <c r="N976" s="6">
        <f>IF(B976="","",IF(ISNUMBER(B976),TEXT(B976,"YYYY-MM"),LEFT(B976,7)))</f>
        <v/>
      </c>
    </row>
    <row r="977">
      <c r="A977" t="inlineStr">
        <is>
          <t>James Parker Mckeown</t>
        </is>
      </c>
      <c r="B977" s="4" t="n">
        <v>46135</v>
      </c>
      <c r="C977" t="inlineStr">
        <is>
          <t>BRIDGE: SL &amp; PDLs Monthly meeting</t>
        </is>
      </c>
      <c r="D977" t="inlineStr">
        <is>
          <t>James Parker Mckeown</t>
        </is>
      </c>
      <c r="E977" t="inlineStr">
        <is>
          <t>James Parker Mckeown</t>
        </is>
      </c>
      <c r="F977" s="5" t="n">
        <v>46162.78378472223</v>
      </c>
      <c r="G977" t="inlineStr">
        <is>
          <t>Output 4</t>
        </is>
      </c>
      <c r="H977" t="inlineStr">
        <is>
          <t>P23AC00C00 - FGMC</t>
        </is>
      </c>
      <c r="I977" t="n">
        <v>1.5</v>
      </c>
      <c r="K977" t="inlineStr">
        <is>
          <t>P23AC03A00 - Project Management</t>
        </is>
      </c>
      <c r="L977" t="b">
        <v>0</v>
      </c>
      <c r="M977" t="inlineStr">
        <is>
          <t>Non-Billable</t>
        </is>
      </c>
      <c r="N977" s="6">
        <f>IF(B977="","",IF(ISNUMBER(B977),TEXT(B977,"YYYY-MM"),LEFT(B977,7)))</f>
        <v/>
      </c>
    </row>
    <row r="978">
      <c r="A978" t="inlineStr">
        <is>
          <t>Joseph Isaiah Mensah</t>
        </is>
      </c>
      <c r="B978" s="4" t="n">
        <v>46135</v>
      </c>
      <c r="C978" t="inlineStr">
        <is>
          <t>/</t>
        </is>
      </c>
      <c r="D978" t="inlineStr">
        <is>
          <t>Joseph Isaiah Mensah</t>
        </is>
      </c>
      <c r="E978" t="inlineStr">
        <is>
          <t>Joseph Isaiah Mensah</t>
        </is>
      </c>
      <c r="F978" s="5" t="n">
        <v>46162.78192129629</v>
      </c>
      <c r="H978" t="inlineStr">
        <is>
          <t>PCGH774 -Evaluation Deep-Dive Action Plans by Socfin Group</t>
        </is>
      </c>
      <c r="I978" t="n">
        <v>8</v>
      </c>
      <c r="J978" t="inlineStr">
        <is>
          <t>PCGH774 - Field Verification (3) (Socfinco FR SA)</t>
        </is>
      </c>
      <c r="K978" t="inlineStr">
        <is>
          <t xml:space="preserve">Cameroon (Safacam) - Field verification/observation/community and stakeholder engagement </t>
        </is>
      </c>
      <c r="L978" t="b">
        <v>1</v>
      </c>
      <c r="M978" t="inlineStr">
        <is>
          <t>Billed at a Fixed price</t>
        </is>
      </c>
      <c r="N978" s="6">
        <f>IF(B978="","",IF(ISNUMBER(B978),TEXT(B978,"YYYY-MM"),LEFT(B978,7)))</f>
        <v/>
      </c>
    </row>
    <row r="979">
      <c r="A979" t="inlineStr">
        <is>
          <t>Patricia Offei</t>
        </is>
      </c>
      <c r="B979" s="4" t="n">
        <v>46135</v>
      </c>
      <c r="C979" t="inlineStr">
        <is>
          <t>/</t>
        </is>
      </c>
      <c r="D979" t="inlineStr">
        <is>
          <t>Patricia Offei</t>
        </is>
      </c>
      <c r="E979" t="inlineStr">
        <is>
          <t>Patricia Offei</t>
        </is>
      </c>
      <c r="F979" s="5" t="n">
        <v>46162.59943287037</v>
      </c>
      <c r="H979" t="inlineStr">
        <is>
          <t>PCGH774 -Evaluation Deep-Dive Action Plans by Socfin Group</t>
        </is>
      </c>
      <c r="I979" t="n">
        <v>8</v>
      </c>
      <c r="J979" t="inlineStr">
        <is>
          <t>PCGH774 - Project Management (2) (Socfinco FR SA)</t>
        </is>
      </c>
      <c r="L979" t="b">
        <v>1</v>
      </c>
      <c r="M979" t="inlineStr">
        <is>
          <t>Billed at a Fixed price</t>
        </is>
      </c>
      <c r="N979" s="6">
        <f>IF(B979="","",IF(ISNUMBER(B979),TEXT(B979,"YYYY-MM"),LEFT(B979,7)))</f>
        <v/>
      </c>
    </row>
    <row r="980">
      <c r="A980" t="inlineStr">
        <is>
          <t>Kingsley Fitz-Gerald Severine</t>
        </is>
      </c>
      <c r="B980" s="4" t="n">
        <v>46135</v>
      </c>
      <c r="C980" t="inlineStr">
        <is>
          <t>/</t>
        </is>
      </c>
      <c r="D980" t="inlineStr">
        <is>
          <t>Kingsley Fitz-Gerald Severine</t>
        </is>
      </c>
      <c r="E980" t="inlineStr">
        <is>
          <t>Kingsley Fitz-Gerald Severine</t>
        </is>
      </c>
      <c r="F980" s="5" t="n">
        <v>46162.55769675926</v>
      </c>
      <c r="G980" t="inlineStr">
        <is>
          <t>Preliminary findings and final consultation</t>
        </is>
      </c>
      <c r="H980" t="inlineStr">
        <is>
          <t>PCGH784</t>
        </is>
      </c>
      <c r="I980" t="n">
        <v>8</v>
      </c>
      <c r="J980" t="inlineStr">
        <is>
          <t>PCGH784 - Stakeholder Consultations (2) (Okeosisi Jonathan)</t>
        </is>
      </c>
      <c r="K980" t="inlineStr">
        <is>
          <t>Final consultation</t>
        </is>
      </c>
      <c r="L980" t="b">
        <v>1</v>
      </c>
      <c r="M980" t="inlineStr">
        <is>
          <t>Billed at a Fixed price</t>
        </is>
      </c>
      <c r="N980" s="6">
        <f>IF(B980="","",IF(ISNUMBER(B980),TEXT(B980,"YYYY-MM"),LEFT(B980,7)))</f>
        <v/>
      </c>
    </row>
    <row r="981">
      <c r="A981" t="inlineStr">
        <is>
          <t>Kwadwo Baniako Nti</t>
        </is>
      </c>
      <c r="B981" s="4" t="n">
        <v>46135</v>
      </c>
      <c r="C981" t="inlineStr">
        <is>
          <t>/</t>
        </is>
      </c>
      <c r="D981" t="inlineStr">
        <is>
          <t>Kwadwo Baniako Nti</t>
        </is>
      </c>
      <c r="E981" t="inlineStr">
        <is>
          <t>Kwadwo Baniako Nti</t>
        </is>
      </c>
      <c r="F981" s="5" t="n">
        <v>46161.79020833333</v>
      </c>
      <c r="G981" t="inlineStr">
        <is>
          <t>Field verification and reporting in Nigeria (3)</t>
        </is>
      </c>
      <c r="H981" t="inlineStr">
        <is>
          <t>PCGH775 - ESDD of Valency Operations for FMO</t>
        </is>
      </c>
      <c r="I981" t="n">
        <v>3</v>
      </c>
      <c r="J981" t="inlineStr">
        <is>
          <t>PCGH775 - Field Verification (3) (Valency International DMCC)</t>
        </is>
      </c>
      <c r="K981" t="inlineStr">
        <is>
          <t>Analysis and reporting in Nigeria</t>
        </is>
      </c>
      <c r="L981" t="b">
        <v>1</v>
      </c>
      <c r="M981" t="inlineStr">
        <is>
          <t>Billed at a Fixed price</t>
        </is>
      </c>
      <c r="N981" s="6">
        <f>IF(B981="","",IF(ISNUMBER(B981),TEXT(B981,"YYYY-MM"),LEFT(B981,7)))</f>
        <v/>
      </c>
    </row>
    <row r="982">
      <c r="A982" t="inlineStr">
        <is>
          <t>Kwadwo Baniako Nti</t>
        </is>
      </c>
      <c r="B982" s="4" t="n">
        <v>46135</v>
      </c>
      <c r="C982" t="inlineStr">
        <is>
          <t>/</t>
        </is>
      </c>
      <c r="D982" t="inlineStr">
        <is>
          <t>Kwadwo Baniako Nti</t>
        </is>
      </c>
      <c r="E982" t="inlineStr">
        <is>
          <t>Kwadwo Baniako Nti</t>
        </is>
      </c>
      <c r="F982" s="5" t="n">
        <v>46161.77847222222</v>
      </c>
      <c r="G982" t="inlineStr">
        <is>
          <t>Baseline Socio-Economic &amp; Environmental Surveys</t>
        </is>
      </c>
      <c r="H982" t="inlineStr">
        <is>
          <t>PCGH762 - GVL HCSA Restoration Project</t>
        </is>
      </c>
      <c r="I982" t="n">
        <v>3</v>
      </c>
      <c r="J982" t="inlineStr">
        <is>
          <t>PCGH762 - Baseline Socio-Economic &amp; Environmental Surveys (Golden Veroleum Liberia)</t>
        </is>
      </c>
      <c r="K982" t="inlineStr">
        <is>
          <t>Baseline Socio-Economic &amp; Environmental Surveys</t>
        </is>
      </c>
      <c r="L982" t="b">
        <v>1</v>
      </c>
      <c r="M982" t="inlineStr">
        <is>
          <t>Billed at a Fixed price</t>
        </is>
      </c>
      <c r="N982" s="6">
        <f>IF(B982="","",IF(ISNUMBER(B982),TEXT(B982,"YYYY-MM"),LEFT(B982,7)))</f>
        <v/>
      </c>
    </row>
    <row r="983">
      <c r="A983" t="inlineStr">
        <is>
          <t>Kwadwo Baniako Nti</t>
        </is>
      </c>
      <c r="B983" s="4" t="n">
        <v>46135</v>
      </c>
      <c r="C983" t="inlineStr">
        <is>
          <t>/</t>
        </is>
      </c>
      <c r="D983" t="inlineStr">
        <is>
          <t>Kwadwo Baniako Nti</t>
        </is>
      </c>
      <c r="E983" t="inlineStr">
        <is>
          <t>Kwadwo Baniako Nti</t>
        </is>
      </c>
      <c r="F983" s="5" t="n">
        <v>46161.75922453704</v>
      </c>
      <c r="G983" t="inlineStr">
        <is>
          <t>Desk Study (3)</t>
        </is>
      </c>
      <c r="H983" t="inlineStr">
        <is>
          <t>PCGH786 - Impact Level Baseline assessment for FGMC</t>
        </is>
      </c>
      <c r="I983" t="n">
        <v>2</v>
      </c>
      <c r="J983" t="inlineStr">
        <is>
          <t>PCGH786 - Desk Study (3) (NIRAS Group (UK) Ltd)</t>
        </is>
      </c>
      <c r="K983" t="inlineStr">
        <is>
          <t>Desk Study</t>
        </is>
      </c>
      <c r="L983" t="b">
        <v>1</v>
      </c>
      <c r="M983" t="inlineStr">
        <is>
          <t>Billed at a Fixed price</t>
        </is>
      </c>
      <c r="N983" s="6">
        <f>IF(B983="","",IF(ISNUMBER(B983),TEXT(B983,"YYYY-MM"),LEFT(B983,7)))</f>
        <v/>
      </c>
    </row>
    <row r="984">
      <c r="A984" t="inlineStr">
        <is>
          <t>Frederick Antwi</t>
        </is>
      </c>
      <c r="B984" s="4" t="n">
        <v>46135</v>
      </c>
      <c r="C984" t="inlineStr">
        <is>
          <t>/</t>
        </is>
      </c>
      <c r="D984" t="inlineStr">
        <is>
          <t>Frederick Antwi</t>
        </is>
      </c>
      <c r="E984" t="inlineStr">
        <is>
          <t>Frederick Antwi</t>
        </is>
      </c>
      <c r="F984" s="5" t="n">
        <v>46160.63684027778</v>
      </c>
      <c r="H984" t="inlineStr">
        <is>
          <t>P13PC00A00 - Private Sector Companies</t>
        </is>
      </c>
      <c r="I984" t="n">
        <v>8</v>
      </c>
      <c r="L984" t="b">
        <v>0</v>
      </c>
      <c r="M984" t="inlineStr">
        <is>
          <t>Non-Billable</t>
        </is>
      </c>
      <c r="N984" s="6">
        <f>IF(B984="","",IF(ISNUMBER(B984),TEXT(B984,"YYYY-MM"),LEFT(B984,7)))</f>
        <v/>
      </c>
    </row>
    <row r="985">
      <c r="A985" t="inlineStr">
        <is>
          <t>Augustus Asamoah</t>
        </is>
      </c>
      <c r="B985" s="4" t="n">
        <v>46135</v>
      </c>
      <c r="C985" t="inlineStr">
        <is>
          <t>/</t>
        </is>
      </c>
      <c r="D985" t="inlineStr">
        <is>
          <t>Augustus Asamoah</t>
        </is>
      </c>
      <c r="E985" t="inlineStr">
        <is>
          <t>Augustus Asamoah</t>
        </is>
      </c>
      <c r="F985" s="5" t="n">
        <v>46156.69505787037</v>
      </c>
      <c r="H985" t="inlineStr">
        <is>
          <t>P13NC00A00 - WALMART II</t>
        </is>
      </c>
      <c r="I985" t="n">
        <v>2</v>
      </c>
      <c r="L985" t="b">
        <v>0</v>
      </c>
      <c r="M985" t="inlineStr">
        <is>
          <t>Non-Billable</t>
        </is>
      </c>
      <c r="N985" s="6">
        <f>IF(B985="","",IF(ISNUMBER(B985),TEXT(B985,"YYYY-MM"),LEFT(B985,7)))</f>
        <v/>
      </c>
    </row>
    <row r="986">
      <c r="A986" t="inlineStr">
        <is>
          <t>Augustus Asamoah</t>
        </is>
      </c>
      <c r="B986" s="4" t="n">
        <v>46135</v>
      </c>
      <c r="C986" t="inlineStr">
        <is>
          <t>/</t>
        </is>
      </c>
      <c r="D986" t="inlineStr">
        <is>
          <t>Augustus Asamoah</t>
        </is>
      </c>
      <c r="E986" t="inlineStr">
        <is>
          <t>Augustus Asamoah</t>
        </is>
      </c>
      <c r="F986" s="5" t="n">
        <v>46156.6931712963</v>
      </c>
      <c r="H986" t="inlineStr">
        <is>
          <t>P13QC00A00 - EFI Programme</t>
        </is>
      </c>
      <c r="I986" t="n">
        <v>2</v>
      </c>
      <c r="L986" t="b">
        <v>0</v>
      </c>
      <c r="M986" t="inlineStr">
        <is>
          <t>Non-Billable</t>
        </is>
      </c>
      <c r="N986" s="6">
        <f>IF(B986="","",IF(ISNUMBER(B986),TEXT(B986,"YYYY-MM"),LEFT(B986,7)))</f>
        <v/>
      </c>
    </row>
    <row r="987">
      <c r="A987" t="inlineStr">
        <is>
          <t>Augustus Asamoah</t>
        </is>
      </c>
      <c r="B987" s="4" t="n">
        <v>46135</v>
      </c>
      <c r="C987" t="inlineStr">
        <is>
          <t>/</t>
        </is>
      </c>
      <c r="D987" t="inlineStr">
        <is>
          <t>Augustus Asamoah</t>
        </is>
      </c>
      <c r="E987" t="inlineStr">
        <is>
          <t>Augustus Asamoah</t>
        </is>
      </c>
      <c r="F987" s="5" t="n">
        <v>46156.69327546296</v>
      </c>
      <c r="H987" t="inlineStr">
        <is>
          <t>P13PC00A00 - Private Sector Companies</t>
        </is>
      </c>
      <c r="I987" t="n">
        <v>4</v>
      </c>
      <c r="L987" t="b">
        <v>0</v>
      </c>
      <c r="M987" t="inlineStr">
        <is>
          <t>Non-Billable</t>
        </is>
      </c>
      <c r="N987" s="6">
        <f>IF(B987="","",IF(ISNUMBER(B987),TEXT(B987,"YYYY-MM"),LEFT(B987,7)))</f>
        <v/>
      </c>
    </row>
    <row r="988">
      <c r="A988" t="inlineStr">
        <is>
          <t>Soro TCHEREGNIMIN</t>
        </is>
      </c>
      <c r="B988" s="4" t="n">
        <v>46135</v>
      </c>
      <c r="C988" t="inlineStr">
        <is>
          <t>Drafting the interview plan and identification of stakeholders</t>
        </is>
      </c>
      <c r="D988" t="inlineStr">
        <is>
          <t>Soro TCHEREGNIMIN</t>
        </is>
      </c>
      <c r="E988" t="inlineStr">
        <is>
          <t>Soro TCHEREGNIMIN</t>
        </is>
      </c>
      <c r="F988" s="5" t="n">
        <v>46154.93438657407</v>
      </c>
      <c r="H988" t="inlineStr">
        <is>
          <t>PCGH787</t>
        </is>
      </c>
      <c r="I988" t="n">
        <v>8</v>
      </c>
      <c r="J988" t="inlineStr">
        <is>
          <t>PCGH787 - Desk Study (3) (Proforest Limited(PCUK GBP))</t>
        </is>
      </c>
      <c r="L988" t="b">
        <v>1</v>
      </c>
      <c r="M988" t="inlineStr">
        <is>
          <t>Billed at a Fixed price</t>
        </is>
      </c>
      <c r="N988" s="6">
        <f>IF(B988="","",IF(ISNUMBER(B988),TEXT(B988,"YYYY-MM"),LEFT(B988,7)))</f>
        <v/>
      </c>
    </row>
    <row r="989">
      <c r="A989" t="inlineStr">
        <is>
          <t>Helena Tetteh</t>
        </is>
      </c>
      <c r="B989" s="4" t="n">
        <v>46135</v>
      </c>
      <c r="C989" t="inlineStr">
        <is>
          <t>/</t>
        </is>
      </c>
      <c r="D989" t="inlineStr">
        <is>
          <t xml:space="preserve">Helena Tetteh </t>
        </is>
      </c>
      <c r="E989" t="inlineStr">
        <is>
          <t>OdooBot</t>
        </is>
      </c>
      <c r="F989" s="5" t="n">
        <v>46154.70721064815</v>
      </c>
      <c r="G989" t="inlineStr">
        <is>
          <t>Output 2.3</t>
        </is>
      </c>
      <c r="H989" t="inlineStr">
        <is>
          <t>P23AC00C00 - FGMC</t>
        </is>
      </c>
      <c r="I989" t="n">
        <v>8</v>
      </c>
      <c r="K989" t="inlineStr">
        <is>
          <t>P23AC22A00 - Output Two (Elevating Local Solutions - West Africa)</t>
        </is>
      </c>
      <c r="L989" t="b">
        <v>0</v>
      </c>
      <c r="M989" t="inlineStr">
        <is>
          <t>Non-Billable</t>
        </is>
      </c>
      <c r="N989" s="6">
        <f>IF(B989="","",IF(ISNUMBER(B989),TEXT(B989,"YYYY-MM"),LEFT(B989,7)))</f>
        <v/>
      </c>
    </row>
    <row r="990">
      <c r="A990" t="inlineStr">
        <is>
          <t>Afua Serwah Akoto Prempeh</t>
        </is>
      </c>
      <c r="B990" s="4" t="n">
        <v>46135</v>
      </c>
      <c r="C990" t="inlineStr">
        <is>
          <t>/</t>
        </is>
      </c>
      <c r="D990" t="inlineStr">
        <is>
          <t>Afua Serwah Akoto Prempeh</t>
        </is>
      </c>
      <c r="E990" t="inlineStr">
        <is>
          <t>OdooBot</t>
        </is>
      </c>
      <c r="F990" s="5" t="n">
        <v>46154.70721064815</v>
      </c>
      <c r="H990" t="inlineStr">
        <is>
          <t>Non-Billable Tasks</t>
        </is>
      </c>
      <c r="I990" t="n">
        <v>4</v>
      </c>
      <c r="K990" t="inlineStr">
        <is>
          <t>Professional development and Knowledge sharing(training,global knowledge calls,exchange weeks)</t>
        </is>
      </c>
      <c r="L990" t="b">
        <v>0</v>
      </c>
      <c r="M990" t="inlineStr">
        <is>
          <t>Non-Billable</t>
        </is>
      </c>
      <c r="N990" s="6">
        <f>IF(B990="","",IF(ISNUMBER(B990),TEXT(B990,"YYYY-MM"),LEFT(B990,7)))</f>
        <v/>
      </c>
    </row>
    <row r="991">
      <c r="A991" t="inlineStr">
        <is>
          <t>Afua Serwah Akoto Prempeh</t>
        </is>
      </c>
      <c r="B991" s="4" t="n">
        <v>46135</v>
      </c>
      <c r="C991" t="inlineStr">
        <is>
          <t>/</t>
        </is>
      </c>
      <c r="D991" t="inlineStr">
        <is>
          <t>Afua Serwah Akoto Prempeh</t>
        </is>
      </c>
      <c r="E991" t="inlineStr">
        <is>
          <t>OdooBot</t>
        </is>
      </c>
      <c r="F991" s="5" t="n">
        <v>46154.70721064815</v>
      </c>
      <c r="H991" t="inlineStr">
        <is>
          <t>Non-Billable Tasks</t>
        </is>
      </c>
      <c r="I991" t="n">
        <v>4</v>
      </c>
      <c r="L991" t="b">
        <v>0</v>
      </c>
      <c r="M991" t="inlineStr">
        <is>
          <t>Non-Billable</t>
        </is>
      </c>
      <c r="N991" s="6">
        <f>IF(B991="","",IF(ISNUMBER(B991),TEXT(B991,"YYYY-MM"),LEFT(B991,7)))</f>
        <v/>
      </c>
    </row>
    <row r="992">
      <c r="A992" t="inlineStr">
        <is>
          <t>Stephen Doso</t>
        </is>
      </c>
      <c r="B992" s="4" t="n">
        <v>46135</v>
      </c>
      <c r="C992" t="inlineStr">
        <is>
          <t>/</t>
        </is>
      </c>
      <c r="D992" t="inlineStr">
        <is>
          <t>Stephen Doso</t>
        </is>
      </c>
      <c r="E992" t="inlineStr">
        <is>
          <t>OdooBot</t>
        </is>
      </c>
      <c r="F992" s="5" t="n">
        <v>46154.70721064815</v>
      </c>
      <c r="G992" t="inlineStr">
        <is>
          <t>Preliminary findings and final consultation</t>
        </is>
      </c>
      <c r="H992" t="inlineStr">
        <is>
          <t>PCGH784</t>
        </is>
      </c>
      <c r="I992" t="n">
        <v>8</v>
      </c>
      <c r="J992" t="inlineStr">
        <is>
          <t>PCGH784 - Stakeholder Consultations (3) (Okeosisi Jonathan)</t>
        </is>
      </c>
      <c r="K992" t="inlineStr">
        <is>
          <t>Final consultation</t>
        </is>
      </c>
      <c r="L992" t="b">
        <v>1</v>
      </c>
      <c r="M992" t="inlineStr">
        <is>
          <t>Billed at a Fixed price</t>
        </is>
      </c>
      <c r="N992" s="6">
        <f>IF(B992="","",IF(ISNUMBER(B992),TEXT(B992,"YYYY-MM"),LEFT(B992,7)))</f>
        <v/>
      </c>
    </row>
    <row r="993">
      <c r="A993" t="inlineStr">
        <is>
          <t>Louis Defo</t>
        </is>
      </c>
      <c r="B993" s="4" t="n">
        <v>46135</v>
      </c>
      <c r="C993" t="inlineStr">
        <is>
          <t>/</t>
        </is>
      </c>
      <c r="D993" t="inlineStr">
        <is>
          <t>Louis Defo</t>
        </is>
      </c>
      <c r="E993" t="inlineStr">
        <is>
          <t>OdooBot</t>
        </is>
      </c>
      <c r="F993" s="5" t="n">
        <v>46154.70721064815</v>
      </c>
      <c r="H993" t="inlineStr">
        <is>
          <t>PCGH774 -Evaluation Deep-Dive Action Plans by Socfin Group</t>
        </is>
      </c>
      <c r="I993" t="n">
        <v>8</v>
      </c>
      <c r="J993" t="inlineStr">
        <is>
          <t>PCGH774 - Project Management (2) (Socfinco FR SA)</t>
        </is>
      </c>
      <c r="L993" t="b">
        <v>1</v>
      </c>
      <c r="M993" t="inlineStr">
        <is>
          <t>Billed at a Fixed price</t>
        </is>
      </c>
      <c r="N993" s="6">
        <f>IF(B993="","",IF(ISNUMBER(B993),TEXT(B993,"YYYY-MM"),LEFT(B993,7)))</f>
        <v/>
      </c>
    </row>
    <row r="994">
      <c r="A994" t="inlineStr">
        <is>
          <t>Abel Ansu</t>
        </is>
      </c>
      <c r="B994" s="4" t="n">
        <v>46135</v>
      </c>
      <c r="C994" t="inlineStr">
        <is>
          <t>Together with Forestry Commission, sensitized farmers in Yawbrefo, Kramokrom, Oseiyawkrom, Tawiahkrom, Aboagyaa on MTS and the Support for Forest Protection and Rehabilitation project. Also had a capacity building workshop on Climate Smart Cocoa Practices</t>
        </is>
      </c>
      <c r="D994" t="inlineStr">
        <is>
          <t>Abel Ansu</t>
        </is>
      </c>
      <c r="E994" t="inlineStr">
        <is>
          <t>OdooBot</t>
        </is>
      </c>
      <c r="F994" s="5" t="n">
        <v>46154.70721064815</v>
      </c>
      <c r="H994" t="inlineStr">
        <is>
          <t>Internal</t>
        </is>
      </c>
      <c r="I994" t="n">
        <v>8</v>
      </c>
      <c r="K994" t="inlineStr">
        <is>
          <t>MTS Sensitization with farmers</t>
        </is>
      </c>
      <c r="L994" t="b">
        <v>0</v>
      </c>
      <c r="M994" t="inlineStr">
        <is>
          <t>Non-Billable</t>
        </is>
      </c>
      <c r="N994" s="6">
        <f>IF(B994="","",IF(ISNUMBER(B994),TEXT(B994,"YYYY-MM"),LEFT(B994,7)))</f>
        <v/>
      </c>
    </row>
    <row r="995">
      <c r="A995" t="inlineStr">
        <is>
          <t>Mawuse Agblobi</t>
        </is>
      </c>
      <c r="B995" s="4" t="n">
        <v>46134</v>
      </c>
      <c r="C995" t="inlineStr">
        <is>
          <t>Time Off (3/5)</t>
        </is>
      </c>
      <c r="D995" t="inlineStr">
        <is>
          <t>Daleba Bernard Kpenahi Raymond</t>
        </is>
      </c>
      <c r="E995" t="inlineStr">
        <is>
          <t>Mawuse Agblobi</t>
        </is>
      </c>
      <c r="F995" s="5" t="n">
        <v>46174.89994212963</v>
      </c>
      <c r="H995" t="inlineStr">
        <is>
          <t>Internal</t>
        </is>
      </c>
      <c r="I995" t="n">
        <v>8</v>
      </c>
      <c r="K995" t="inlineStr">
        <is>
          <t>Time Off</t>
        </is>
      </c>
      <c r="L995" t="b">
        <v>0</v>
      </c>
      <c r="M995" t="inlineStr">
        <is>
          <t>Non-Billable</t>
        </is>
      </c>
      <c r="N995" s="6">
        <f>IF(B995="","",IF(ISNUMBER(B995),TEXT(B995,"YYYY-MM"),LEFT(B995,7)))</f>
        <v/>
      </c>
    </row>
    <row r="996">
      <c r="A996" t="inlineStr">
        <is>
          <t>Clement Obeng-Manu</t>
        </is>
      </c>
      <c r="B996" s="4" t="n">
        <v>46134</v>
      </c>
      <c r="C996" t="inlineStr">
        <is>
          <t>/</t>
        </is>
      </c>
      <c r="D996" t="inlineStr">
        <is>
          <t>Clement Obeng-Manu</t>
        </is>
      </c>
      <c r="E996" t="inlineStr">
        <is>
          <t>Clement Obeng-Manu</t>
        </is>
      </c>
      <c r="F996" s="5" t="n">
        <v>46173.76539351852</v>
      </c>
      <c r="H996" t="inlineStr">
        <is>
          <t>PCGH777</t>
        </is>
      </c>
      <c r="I996" t="n">
        <v>8</v>
      </c>
      <c r="J996" t="inlineStr">
        <is>
          <t>PCGH777 - Land Use Change Analysis (Proforest Limited(PCUK GBP))</t>
        </is>
      </c>
      <c r="K996" t="inlineStr">
        <is>
          <t xml:space="preserve">Post fieldwork analysis </t>
        </is>
      </c>
      <c r="L996" t="b">
        <v>1</v>
      </c>
      <c r="M996" t="inlineStr">
        <is>
          <t>Billed at a Fixed price</t>
        </is>
      </c>
      <c r="N996" s="6">
        <f>IF(B996="","",IF(ISNUMBER(B996),TEXT(B996,"YYYY-MM"),LEFT(B996,7)))</f>
        <v/>
      </c>
    </row>
    <row r="997">
      <c r="A997" t="inlineStr">
        <is>
          <t>Ekow Nyamekye Tawiah</t>
        </is>
      </c>
      <c r="B997" s="4" t="n">
        <v>46134</v>
      </c>
      <c r="C997" t="inlineStr">
        <is>
          <t>Deforestation Risk Analysis</t>
        </is>
      </c>
      <c r="D997" t="inlineStr">
        <is>
          <t>Ekow Nyamekye Tawiah</t>
        </is>
      </c>
      <c r="E997" t="inlineStr">
        <is>
          <t>Ekow Nyamekye Tawiah</t>
        </is>
      </c>
      <c r="F997" s="5" t="n">
        <v>46162.87983796297</v>
      </c>
      <c r="H997" t="inlineStr">
        <is>
          <t>PCGH778 - General Support</t>
        </is>
      </c>
      <c r="I997" t="n">
        <v>4</v>
      </c>
      <c r="J997" t="inlineStr">
        <is>
          <t>PCGH778 - Support to Other Workstreams (3) (Proforest Limited(PCUK GBP))</t>
        </is>
      </c>
      <c r="L997" t="b">
        <v>1</v>
      </c>
      <c r="M997" t="inlineStr">
        <is>
          <t>Billed at a Fixed price</t>
        </is>
      </c>
      <c r="N997" s="6">
        <f>IF(B997="","",IF(ISNUMBER(B997),TEXT(B997,"YYYY-MM"),LEFT(B997,7)))</f>
        <v/>
      </c>
    </row>
    <row r="998">
      <c r="A998" t="inlineStr">
        <is>
          <t>James Parker Mckeown</t>
        </is>
      </c>
      <c r="B998" s="4" t="n">
        <v>46134</v>
      </c>
      <c r="C998" t="inlineStr">
        <is>
          <t>/</t>
        </is>
      </c>
      <c r="D998" t="inlineStr">
        <is>
          <t>James Parker Mckeown</t>
        </is>
      </c>
      <c r="E998" t="inlineStr">
        <is>
          <t>James Parker Mckeown</t>
        </is>
      </c>
      <c r="F998" s="5" t="n">
        <v>46162.78302083333</v>
      </c>
      <c r="H998" t="inlineStr">
        <is>
          <t>PCGH786 - Impact Level Baseline assessment for FGMC</t>
        </is>
      </c>
      <c r="I998" t="n">
        <v>2</v>
      </c>
      <c r="L998" t="b">
        <v>1</v>
      </c>
      <c r="M998" t="inlineStr">
        <is>
          <t>Non-Billable</t>
        </is>
      </c>
      <c r="N998" s="6">
        <f>IF(B998="","",IF(ISNUMBER(B998),TEXT(B998,"YYYY-MM"),LEFT(B998,7)))</f>
        <v/>
      </c>
    </row>
    <row r="999">
      <c r="A999" t="inlineStr">
        <is>
          <t>James Parker Mckeown</t>
        </is>
      </c>
      <c r="B999" s="4" t="n">
        <v>46134</v>
      </c>
      <c r="C999" t="inlineStr">
        <is>
          <t xml:space="preserve">Concept note preparation for CI </t>
        </is>
      </c>
      <c r="D999" t="inlineStr">
        <is>
          <t>James Parker Mckeown</t>
        </is>
      </c>
      <c r="E999" t="inlineStr">
        <is>
          <t>James Parker Mckeown</t>
        </is>
      </c>
      <c r="F999" s="5" t="n">
        <v>46162.78239583333</v>
      </c>
      <c r="H999" t="inlineStr">
        <is>
          <t>Non-Billable Tasks</t>
        </is>
      </c>
      <c r="I999" t="n">
        <v>2</v>
      </c>
      <c r="K999" t="inlineStr">
        <is>
          <t>Business Development and Networking</t>
        </is>
      </c>
      <c r="L999" t="b">
        <v>0</v>
      </c>
      <c r="M999" t="inlineStr">
        <is>
          <t>Non-Billable</t>
        </is>
      </c>
      <c r="N999" s="6">
        <f>IF(B999="","",IF(ISNUMBER(B999),TEXT(B999,"YYYY-MM"),LEFT(B999,7)))</f>
        <v/>
      </c>
    </row>
    <row r="1000">
      <c r="A1000" t="inlineStr">
        <is>
          <t>Joseph Isaiah Mensah</t>
        </is>
      </c>
      <c r="B1000" s="4" t="n">
        <v>46134</v>
      </c>
      <c r="C1000" t="inlineStr">
        <is>
          <t>/</t>
        </is>
      </c>
      <c r="D1000" t="inlineStr">
        <is>
          <t>Joseph Isaiah Mensah</t>
        </is>
      </c>
      <c r="E1000" t="inlineStr">
        <is>
          <t>Joseph Isaiah Mensah</t>
        </is>
      </c>
      <c r="F1000" s="5" t="n">
        <v>46162.78167824074</v>
      </c>
      <c r="H1000" t="inlineStr">
        <is>
          <t>PCGH774 -Evaluation Deep-Dive Action Plans by Socfin Group</t>
        </is>
      </c>
      <c r="I1000" t="n">
        <v>8</v>
      </c>
      <c r="J1000" t="inlineStr">
        <is>
          <t>PCGH774 - Field Verification (3) (Socfinco FR SA)</t>
        </is>
      </c>
      <c r="K1000" t="inlineStr">
        <is>
          <t xml:space="preserve">Cameroon (Safacam) - Field verification/observation/community and stakeholder engagement </t>
        </is>
      </c>
      <c r="L1000" t="b">
        <v>1</v>
      </c>
      <c r="M1000" t="inlineStr">
        <is>
          <t>Billed at a Fixed price</t>
        </is>
      </c>
      <c r="N1000" s="6">
        <f>IF(B1000="","",IF(ISNUMBER(B1000),TEXT(B1000,"YYYY-MM"),LEFT(B1000,7)))</f>
        <v/>
      </c>
    </row>
    <row r="1001">
      <c r="A1001" t="inlineStr">
        <is>
          <t>James Parker Mckeown</t>
        </is>
      </c>
      <c r="B1001" s="4" t="n">
        <v>46134</v>
      </c>
      <c r="C1001" t="inlineStr">
        <is>
          <t>LEW: Quick Catch-up on Social safeguards Questions/survey</t>
        </is>
      </c>
      <c r="D1001" t="inlineStr">
        <is>
          <t>James Parker Mckeown</t>
        </is>
      </c>
      <c r="E1001" t="inlineStr">
        <is>
          <t>James Parker Mckeown</t>
        </is>
      </c>
      <c r="F1001" s="5" t="n">
        <v>46162.78050925926</v>
      </c>
      <c r="H1001" t="inlineStr">
        <is>
          <t>Non-Billable Tasks</t>
        </is>
      </c>
      <c r="I1001" t="n">
        <v>1.5</v>
      </c>
      <c r="K1001" t="inlineStr">
        <is>
          <t>Internal Focal points and workstreams</t>
        </is>
      </c>
      <c r="L1001" t="b">
        <v>0</v>
      </c>
      <c r="M1001" t="inlineStr">
        <is>
          <t>Non-Billable</t>
        </is>
      </c>
      <c r="N1001" s="6">
        <f>IF(B1001="","",IF(ISNUMBER(B1001),TEXT(B1001,"YYYY-MM"),LEFT(B1001,7)))</f>
        <v/>
      </c>
    </row>
    <row r="1002">
      <c r="A1002" t="inlineStr">
        <is>
          <t>James Parker Mckeown</t>
        </is>
      </c>
      <c r="B1002" s="4" t="n">
        <v>46134</v>
      </c>
      <c r="C1002" t="inlineStr">
        <is>
          <t>Preparing updates for pipeline funding</t>
        </is>
      </c>
      <c r="D1002" t="inlineStr">
        <is>
          <t>James Parker Mckeown</t>
        </is>
      </c>
      <c r="E1002" t="inlineStr">
        <is>
          <t>James Parker Mckeown</t>
        </is>
      </c>
      <c r="F1002" s="5" t="n">
        <v>46162.78160879629</v>
      </c>
      <c r="H1002" t="inlineStr">
        <is>
          <t>Non-Billable Tasks</t>
        </is>
      </c>
      <c r="I1002" t="n">
        <v>2</v>
      </c>
      <c r="K1002" t="inlineStr">
        <is>
          <t>Business Development and Networking</t>
        </is>
      </c>
      <c r="L1002" t="b">
        <v>0</v>
      </c>
      <c r="M1002" t="inlineStr">
        <is>
          <t>Non-Billable</t>
        </is>
      </c>
      <c r="N1002" s="6">
        <f>IF(B1002="","",IF(ISNUMBER(B1002),TEXT(B1002,"YYYY-MM"),LEFT(B1002,7)))</f>
        <v/>
      </c>
    </row>
    <row r="1003">
      <c r="A1003" t="inlineStr">
        <is>
          <t>James Parker Mckeown</t>
        </is>
      </c>
      <c r="B1003" s="4" t="n">
        <v>46134</v>
      </c>
      <c r="C1003" t="inlineStr">
        <is>
          <t>Rachel/James GLF</t>
        </is>
      </c>
      <c r="D1003" t="inlineStr">
        <is>
          <t>James Parker Mckeown</t>
        </is>
      </c>
      <c r="E1003" t="inlineStr">
        <is>
          <t>James Parker Mckeown</t>
        </is>
      </c>
      <c r="F1003" s="5" t="n">
        <v>46162.77893518518</v>
      </c>
      <c r="G1003" t="inlineStr">
        <is>
          <t>Output 2.3</t>
        </is>
      </c>
      <c r="H1003" t="inlineStr">
        <is>
          <t>P23AC00C00 - FGMC</t>
        </is>
      </c>
      <c r="I1003" t="n">
        <v>1</v>
      </c>
      <c r="K1003" t="inlineStr">
        <is>
          <t>P23AC22A00 - Output Two (Elevating Local Solutions - West Africa)</t>
        </is>
      </c>
      <c r="L1003" t="b">
        <v>0</v>
      </c>
      <c r="M1003" t="inlineStr">
        <is>
          <t>Non-Billable</t>
        </is>
      </c>
      <c r="N1003" s="6">
        <f>IF(B1003="","",IF(ISNUMBER(B1003),TEXT(B1003,"YYYY-MM"),LEFT(B1003,7)))</f>
        <v/>
      </c>
    </row>
    <row r="1004">
      <c r="A1004" t="inlineStr">
        <is>
          <t>Patricia Offei</t>
        </is>
      </c>
      <c r="B1004" s="4" t="n">
        <v>46134</v>
      </c>
      <c r="C1004" t="inlineStr">
        <is>
          <t>/</t>
        </is>
      </c>
      <c r="D1004" t="inlineStr">
        <is>
          <t>Patricia Offei</t>
        </is>
      </c>
      <c r="E1004" t="inlineStr">
        <is>
          <t>Patricia Offei</t>
        </is>
      </c>
      <c r="F1004" s="5" t="n">
        <v>46162.59940972222</v>
      </c>
      <c r="H1004" t="inlineStr">
        <is>
          <t>PCGH774 -Evaluation Deep-Dive Action Plans by Socfin Group</t>
        </is>
      </c>
      <c r="I1004" t="n">
        <v>8</v>
      </c>
      <c r="J1004" t="inlineStr">
        <is>
          <t>PCGH774 - Project Management (2) (Socfinco FR SA)</t>
        </is>
      </c>
      <c r="L1004" t="b">
        <v>1</v>
      </c>
      <c r="M1004" t="inlineStr">
        <is>
          <t>Billed at a Fixed price</t>
        </is>
      </c>
      <c r="N1004" s="6">
        <f>IF(B1004="","",IF(ISNUMBER(B1004),TEXT(B1004,"YYYY-MM"),LEFT(B1004,7)))</f>
        <v/>
      </c>
    </row>
    <row r="1005">
      <c r="A1005" t="inlineStr">
        <is>
          <t>Kingsley Fitz-Gerald Severine</t>
        </is>
      </c>
      <c r="B1005" s="4" t="n">
        <v>46134</v>
      </c>
      <c r="C1005" t="inlineStr">
        <is>
          <t>/</t>
        </is>
      </c>
      <c r="D1005" t="inlineStr">
        <is>
          <t>Kingsley Fitz-Gerald Severine</t>
        </is>
      </c>
      <c r="E1005" t="inlineStr">
        <is>
          <t>Kingsley Fitz-Gerald Severine</t>
        </is>
      </c>
      <c r="F1005" s="5" t="n">
        <v>46162.55762731482</v>
      </c>
      <c r="G1005" t="inlineStr">
        <is>
          <t>Preliminary findings and final consultation</t>
        </is>
      </c>
      <c r="H1005" t="inlineStr">
        <is>
          <t>PCGH784</t>
        </is>
      </c>
      <c r="I1005" t="n">
        <v>8</v>
      </c>
      <c r="J1005" t="inlineStr">
        <is>
          <t>PCGH784 - Stakeholder Consultations (2) (Okeosisi Jonathan)</t>
        </is>
      </c>
      <c r="K1005" t="inlineStr">
        <is>
          <t>Final consultation</t>
        </is>
      </c>
      <c r="L1005" t="b">
        <v>1</v>
      </c>
      <c r="M1005" t="inlineStr">
        <is>
          <t>Billed at a Fixed price</t>
        </is>
      </c>
      <c r="N1005" s="6">
        <f>IF(B1005="","",IF(ISNUMBER(B1005),TEXT(B1005,"YYYY-MM"),LEFT(B1005,7)))</f>
        <v/>
      </c>
    </row>
    <row r="1006">
      <c r="A1006" t="inlineStr">
        <is>
          <t>Kwadwo Baniako Nti</t>
        </is>
      </c>
      <c r="B1006" s="4" t="n">
        <v>46134</v>
      </c>
      <c r="C1006" t="inlineStr">
        <is>
          <t>/</t>
        </is>
      </c>
      <c r="D1006" t="inlineStr">
        <is>
          <t>Kwadwo Baniako Nti</t>
        </is>
      </c>
      <c r="E1006" t="inlineStr">
        <is>
          <t>Kwadwo Baniako Nti</t>
        </is>
      </c>
      <c r="F1006" s="5" t="n">
        <v>46161.79018518519</v>
      </c>
      <c r="G1006" t="inlineStr">
        <is>
          <t>Field verification and reporting in Nigeria (3)</t>
        </is>
      </c>
      <c r="H1006" t="inlineStr">
        <is>
          <t>PCGH775 - ESDD of Valency Operations for FMO</t>
        </is>
      </c>
      <c r="I1006" t="n">
        <v>3</v>
      </c>
      <c r="J1006" t="inlineStr">
        <is>
          <t>PCGH775 - Field Verification (3) (Valency International DMCC)</t>
        </is>
      </c>
      <c r="K1006" t="inlineStr">
        <is>
          <t>Analysis and reporting in Nigeria</t>
        </is>
      </c>
      <c r="L1006" t="b">
        <v>1</v>
      </c>
      <c r="M1006" t="inlineStr">
        <is>
          <t>Billed at a Fixed price</t>
        </is>
      </c>
      <c r="N1006" s="6">
        <f>IF(B1006="","",IF(ISNUMBER(B1006),TEXT(B1006,"YYYY-MM"),LEFT(B1006,7)))</f>
        <v/>
      </c>
    </row>
    <row r="1007">
      <c r="A1007" t="inlineStr">
        <is>
          <t>Kwadwo Baniako Nti</t>
        </is>
      </c>
      <c r="B1007" s="4" t="n">
        <v>46134</v>
      </c>
      <c r="C1007" t="inlineStr">
        <is>
          <t>/</t>
        </is>
      </c>
      <c r="D1007" t="inlineStr">
        <is>
          <t>Kwadwo Baniako Nti</t>
        </is>
      </c>
      <c r="E1007" t="inlineStr">
        <is>
          <t>Kwadwo Baniako Nti</t>
        </is>
      </c>
      <c r="F1007" s="5" t="n">
        <v>46161.7784837963</v>
      </c>
      <c r="G1007" t="inlineStr">
        <is>
          <t>Baseline Socio-Economic &amp; Environmental Surveys</t>
        </is>
      </c>
      <c r="H1007" t="inlineStr">
        <is>
          <t>PCGH762 - GVL HCSA Restoration Project</t>
        </is>
      </c>
      <c r="I1007" t="n">
        <v>3</v>
      </c>
      <c r="J1007" t="inlineStr">
        <is>
          <t>PCGH762 - Baseline Socio-Economic &amp; Environmental Surveys (Golden Veroleum Liberia)</t>
        </is>
      </c>
      <c r="K1007" t="inlineStr">
        <is>
          <t>Baseline Socio-Economic &amp; Environmental Surveys</t>
        </is>
      </c>
      <c r="L1007" t="b">
        <v>1</v>
      </c>
      <c r="M1007" t="inlineStr">
        <is>
          <t>Billed at a Fixed price</t>
        </is>
      </c>
      <c r="N1007" s="6">
        <f>IF(B1007="","",IF(ISNUMBER(B1007),TEXT(B1007,"YYYY-MM"),LEFT(B1007,7)))</f>
        <v/>
      </c>
    </row>
    <row r="1008">
      <c r="A1008" t="inlineStr">
        <is>
          <t>Kwadwo Baniako Nti</t>
        </is>
      </c>
      <c r="B1008" s="4" t="n">
        <v>46134</v>
      </c>
      <c r="C1008" t="inlineStr">
        <is>
          <t>/</t>
        </is>
      </c>
      <c r="D1008" t="inlineStr">
        <is>
          <t>Kwadwo Baniako Nti</t>
        </is>
      </c>
      <c r="E1008" t="inlineStr">
        <is>
          <t>Kwadwo Baniako Nti</t>
        </is>
      </c>
      <c r="F1008" s="5" t="n">
        <v>46161.75921296296</v>
      </c>
      <c r="G1008" t="inlineStr">
        <is>
          <t>Desk Study (3)</t>
        </is>
      </c>
      <c r="H1008" t="inlineStr">
        <is>
          <t>PCGH786 - Impact Level Baseline assessment for FGMC</t>
        </is>
      </c>
      <c r="I1008" t="n">
        <v>2</v>
      </c>
      <c r="J1008" t="inlineStr">
        <is>
          <t>PCGH786 - Desk Study (3) (NIRAS Group (UK) Ltd)</t>
        </is>
      </c>
      <c r="K1008" t="inlineStr">
        <is>
          <t>Desk Study</t>
        </is>
      </c>
      <c r="L1008" t="b">
        <v>1</v>
      </c>
      <c r="M1008" t="inlineStr">
        <is>
          <t>Billed at a Fixed price</t>
        </is>
      </c>
      <c r="N1008" s="6">
        <f>IF(B1008="","",IF(ISNUMBER(B1008),TEXT(B1008,"YYYY-MM"),LEFT(B1008,7)))</f>
        <v/>
      </c>
    </row>
    <row r="1009">
      <c r="A1009" t="inlineStr">
        <is>
          <t>Frederick Antwi</t>
        </is>
      </c>
      <c r="B1009" s="4" t="n">
        <v>46134</v>
      </c>
      <c r="C1009" t="inlineStr">
        <is>
          <t>/</t>
        </is>
      </c>
      <c r="D1009" t="inlineStr">
        <is>
          <t>Frederick Antwi</t>
        </is>
      </c>
      <c r="E1009" t="inlineStr">
        <is>
          <t>Frederick Antwi</t>
        </is>
      </c>
      <c r="F1009" s="5" t="n">
        <v>46160.6368287037</v>
      </c>
      <c r="H1009" t="inlineStr">
        <is>
          <t>P13PC00A00 - Private Sector Companies</t>
        </is>
      </c>
      <c r="I1009" t="n">
        <v>8</v>
      </c>
      <c r="L1009" t="b">
        <v>0</v>
      </c>
      <c r="M1009" t="inlineStr">
        <is>
          <t>Non-Billable</t>
        </is>
      </c>
      <c r="N1009" s="6">
        <f>IF(B1009="","",IF(ISNUMBER(B1009),TEXT(B1009,"YYYY-MM"),LEFT(B1009,7)))</f>
        <v/>
      </c>
    </row>
    <row r="1010">
      <c r="A1010" t="inlineStr">
        <is>
          <t>Augustus Asamoah</t>
        </is>
      </c>
      <c r="B1010" s="4" t="n">
        <v>46134</v>
      </c>
      <c r="C1010" t="inlineStr">
        <is>
          <t>Agroforestry Policy Dialogue &amp; Validation Session</t>
        </is>
      </c>
      <c r="D1010" t="inlineStr">
        <is>
          <t>Augustus Asamoah</t>
        </is>
      </c>
      <c r="E1010" t="inlineStr">
        <is>
          <t>Augustus Asamoah</t>
        </is>
      </c>
      <c r="F1010" s="5" t="n">
        <v>46156.6922337963</v>
      </c>
      <c r="H1010" t="inlineStr">
        <is>
          <t>Non-Billable Tasks</t>
        </is>
      </c>
      <c r="I1010" t="n">
        <v>8</v>
      </c>
      <c r="L1010" t="b">
        <v>0</v>
      </c>
      <c r="M1010" t="inlineStr">
        <is>
          <t>Non-Billable</t>
        </is>
      </c>
      <c r="N1010" s="6">
        <f>IF(B1010="","",IF(ISNUMBER(B1010),TEXT(B1010,"YYYY-MM"),LEFT(B1010,7)))</f>
        <v/>
      </c>
    </row>
    <row r="1011">
      <c r="A1011" t="inlineStr">
        <is>
          <t>Soro TCHEREGNIMIN</t>
        </is>
      </c>
      <c r="B1011" s="4" t="n">
        <v>46134</v>
      </c>
      <c r="C1011" t="inlineStr">
        <is>
          <t>/</t>
        </is>
      </c>
      <c r="D1011" t="inlineStr">
        <is>
          <t>Soro TCHEREGNIMIN</t>
        </is>
      </c>
      <c r="E1011" t="inlineStr">
        <is>
          <t>Soro TCHEREGNIMIN</t>
        </is>
      </c>
      <c r="F1011" s="5" t="n">
        <v>46154.94693287037</v>
      </c>
      <c r="H1011" t="inlineStr">
        <is>
          <t>Non-Billable Tasks</t>
        </is>
      </c>
      <c r="I1011" t="n">
        <v>8</v>
      </c>
      <c r="L1011" t="b">
        <v>0</v>
      </c>
      <c r="M1011" t="inlineStr">
        <is>
          <t>Non-Billable</t>
        </is>
      </c>
      <c r="N1011" s="6">
        <f>IF(B1011="","",IF(ISNUMBER(B1011),TEXT(B1011,"YYYY-MM"),LEFT(B1011,7)))</f>
        <v/>
      </c>
    </row>
    <row r="1012">
      <c r="A1012" t="inlineStr">
        <is>
          <t>Helena Tetteh</t>
        </is>
      </c>
      <c r="B1012" s="4" t="n">
        <v>46134</v>
      </c>
      <c r="C1012" t="inlineStr">
        <is>
          <t>/</t>
        </is>
      </c>
      <c r="D1012" t="inlineStr">
        <is>
          <t xml:space="preserve">Helena Tetteh </t>
        </is>
      </c>
      <c r="E1012" t="inlineStr">
        <is>
          <t>OdooBot</t>
        </is>
      </c>
      <c r="F1012" s="5" t="n">
        <v>46154.70721064815</v>
      </c>
      <c r="G1012" t="inlineStr">
        <is>
          <t>Output 2.3</t>
        </is>
      </c>
      <c r="H1012" t="inlineStr">
        <is>
          <t>P23AC00C00 - FGMC</t>
        </is>
      </c>
      <c r="I1012" t="n">
        <v>8</v>
      </c>
      <c r="K1012" t="inlineStr">
        <is>
          <t>P23AC22A00 - Output Two (Elevating Local Solutions - West Africa)</t>
        </is>
      </c>
      <c r="L1012" t="b">
        <v>0</v>
      </c>
      <c r="M1012" t="inlineStr">
        <is>
          <t>Non-Billable</t>
        </is>
      </c>
      <c r="N1012" s="6">
        <f>IF(B1012="","",IF(ISNUMBER(B1012),TEXT(B1012,"YYYY-MM"),LEFT(B1012,7)))</f>
        <v/>
      </c>
    </row>
    <row r="1013">
      <c r="A1013" t="inlineStr">
        <is>
          <t>Afua Serwah Akoto Prempeh</t>
        </is>
      </c>
      <c r="B1013" s="4" t="n">
        <v>46134</v>
      </c>
      <c r="C1013" t="inlineStr">
        <is>
          <t>/</t>
        </is>
      </c>
      <c r="D1013" t="inlineStr">
        <is>
          <t>Afua Serwah Akoto Prempeh</t>
        </is>
      </c>
      <c r="E1013" t="inlineStr">
        <is>
          <t>OdooBot</t>
        </is>
      </c>
      <c r="F1013" s="5" t="n">
        <v>46154.70721064815</v>
      </c>
      <c r="H1013" t="inlineStr">
        <is>
          <t>Non-Billable Tasks</t>
        </is>
      </c>
      <c r="I1013" t="n">
        <v>4</v>
      </c>
      <c r="K1013" t="inlineStr">
        <is>
          <t>Professional development and Knowledge sharing(training,global knowledge calls,exchange weeks)</t>
        </is>
      </c>
      <c r="L1013" t="b">
        <v>0</v>
      </c>
      <c r="M1013" t="inlineStr">
        <is>
          <t>Non-Billable</t>
        </is>
      </c>
      <c r="N1013" s="6">
        <f>IF(B1013="","",IF(ISNUMBER(B1013),TEXT(B1013,"YYYY-MM"),LEFT(B1013,7)))</f>
        <v/>
      </c>
    </row>
    <row r="1014">
      <c r="A1014" t="inlineStr">
        <is>
          <t>Afua Serwah Akoto Prempeh</t>
        </is>
      </c>
      <c r="B1014" s="4" t="n">
        <v>46134</v>
      </c>
      <c r="C1014" t="inlineStr">
        <is>
          <t>/</t>
        </is>
      </c>
      <c r="D1014" t="inlineStr">
        <is>
          <t>Afua Serwah Akoto Prempeh</t>
        </is>
      </c>
      <c r="E1014" t="inlineStr">
        <is>
          <t>OdooBot</t>
        </is>
      </c>
      <c r="F1014" s="5" t="n">
        <v>46154.70721064815</v>
      </c>
      <c r="H1014" t="inlineStr">
        <is>
          <t>Non-Billable Tasks</t>
        </is>
      </c>
      <c r="I1014" t="n">
        <v>4</v>
      </c>
      <c r="L1014" t="b">
        <v>0</v>
      </c>
      <c r="M1014" t="inlineStr">
        <is>
          <t>Non-Billable</t>
        </is>
      </c>
      <c r="N1014" s="6">
        <f>IF(B1014="","",IF(ISNUMBER(B1014),TEXT(B1014,"YYYY-MM"),LEFT(B1014,7)))</f>
        <v/>
      </c>
    </row>
    <row r="1015">
      <c r="A1015" t="inlineStr">
        <is>
          <t>Stephen Doso</t>
        </is>
      </c>
      <c r="B1015" s="4" t="n">
        <v>46134</v>
      </c>
      <c r="C1015" t="inlineStr">
        <is>
          <t>/</t>
        </is>
      </c>
      <c r="D1015" t="inlineStr">
        <is>
          <t>Stephen Doso</t>
        </is>
      </c>
      <c r="E1015" t="inlineStr">
        <is>
          <t>OdooBot</t>
        </is>
      </c>
      <c r="F1015" s="5" t="n">
        <v>46154.70721064815</v>
      </c>
      <c r="G1015" t="inlineStr">
        <is>
          <t>Preliminary findings and final consultation</t>
        </is>
      </c>
      <c r="H1015" t="inlineStr">
        <is>
          <t>PCGH784</t>
        </is>
      </c>
      <c r="I1015" t="n">
        <v>8</v>
      </c>
      <c r="J1015" t="inlineStr">
        <is>
          <t>PCGH784 - Stakeholder Consultations (3) (Okeosisi Jonathan)</t>
        </is>
      </c>
      <c r="K1015" t="inlineStr">
        <is>
          <t>Final consultation</t>
        </is>
      </c>
      <c r="L1015" t="b">
        <v>1</v>
      </c>
      <c r="M1015" t="inlineStr">
        <is>
          <t>Billed at a Fixed price</t>
        </is>
      </c>
      <c r="N1015" s="6">
        <f>IF(B1015="","",IF(ISNUMBER(B1015),TEXT(B1015,"YYYY-MM"),LEFT(B1015,7)))</f>
        <v/>
      </c>
    </row>
    <row r="1016">
      <c r="A1016" t="inlineStr">
        <is>
          <t>Louis Defo</t>
        </is>
      </c>
      <c r="B1016" s="4" t="n">
        <v>46134</v>
      </c>
      <c r="C1016" t="inlineStr">
        <is>
          <t>/</t>
        </is>
      </c>
      <c r="D1016" t="inlineStr">
        <is>
          <t>Louis Defo</t>
        </is>
      </c>
      <c r="E1016" t="inlineStr">
        <is>
          <t>OdooBot</t>
        </is>
      </c>
      <c r="F1016" s="5" t="n">
        <v>46154.70721064815</v>
      </c>
      <c r="H1016" t="inlineStr">
        <is>
          <t>PCGH774 -Evaluation Deep-Dive Action Plans by Socfin Group</t>
        </is>
      </c>
      <c r="I1016" t="n">
        <v>8</v>
      </c>
      <c r="J1016" t="inlineStr">
        <is>
          <t>PCGH774 - Project Management (2) (Socfinco FR SA)</t>
        </is>
      </c>
      <c r="L1016" t="b">
        <v>1</v>
      </c>
      <c r="M1016" t="inlineStr">
        <is>
          <t>Billed at a Fixed price</t>
        </is>
      </c>
      <c r="N1016" s="6">
        <f>IF(B1016="","",IF(ISNUMBER(B1016),TEXT(B1016,"YYYY-MM"),LEFT(B1016,7)))</f>
        <v/>
      </c>
    </row>
    <row r="1017">
      <c r="A1017" t="inlineStr">
        <is>
          <t>Abel Ansu</t>
        </is>
      </c>
      <c r="B1017" s="4" t="n">
        <v>46134</v>
      </c>
      <c r="C1017" t="inlineStr">
        <is>
          <t>Together with Forestry Commission, sensitized farmers in Tokrom, Camp, Koforidua, Amangoase and Tawiahkrom on MTS and the Support for Forest Protection and Rehabilitation project</t>
        </is>
      </c>
      <c r="D1017" t="inlineStr">
        <is>
          <t>Abel Ansu</t>
        </is>
      </c>
      <c r="E1017" t="inlineStr">
        <is>
          <t>OdooBot</t>
        </is>
      </c>
      <c r="F1017" s="5" t="n">
        <v>46154.70721064815</v>
      </c>
      <c r="H1017" t="inlineStr">
        <is>
          <t>Internal</t>
        </is>
      </c>
      <c r="I1017" t="n">
        <v>8</v>
      </c>
      <c r="K1017" t="inlineStr">
        <is>
          <t>MTS Sensitization with farmers</t>
        </is>
      </c>
      <c r="L1017" t="b">
        <v>0</v>
      </c>
      <c r="M1017" t="inlineStr">
        <is>
          <t>Non-Billable</t>
        </is>
      </c>
      <c r="N1017" s="6">
        <f>IF(B1017="","",IF(ISNUMBER(B1017),TEXT(B1017,"YYYY-MM"),LEFT(B1017,7)))</f>
        <v/>
      </c>
    </row>
    <row r="1018">
      <c r="A1018" t="inlineStr">
        <is>
          <t>Mawuse Agblobi</t>
        </is>
      </c>
      <c r="B1018" s="4" t="n">
        <v>46133</v>
      </c>
      <c r="C1018" t="inlineStr">
        <is>
          <t>Time Off (2/5)</t>
        </is>
      </c>
      <c r="D1018" t="inlineStr">
        <is>
          <t>Daleba Bernard Kpenahi Raymond</t>
        </is>
      </c>
      <c r="E1018" t="inlineStr">
        <is>
          <t>Mawuse Agblobi</t>
        </is>
      </c>
      <c r="F1018" s="5" t="n">
        <v>46174.89994212963</v>
      </c>
      <c r="H1018" t="inlineStr">
        <is>
          <t>Internal</t>
        </is>
      </c>
      <c r="I1018" t="n">
        <v>8</v>
      </c>
      <c r="K1018" t="inlineStr">
        <is>
          <t>Time Off</t>
        </is>
      </c>
      <c r="L1018" t="b">
        <v>0</v>
      </c>
      <c r="M1018" t="inlineStr">
        <is>
          <t>Non-Billable</t>
        </is>
      </c>
      <c r="N1018" s="6">
        <f>IF(B1018="","",IF(ISNUMBER(B1018),TEXT(B1018,"YYYY-MM"),LEFT(B1018,7)))</f>
        <v/>
      </c>
    </row>
    <row r="1019">
      <c r="A1019" t="inlineStr">
        <is>
          <t>Mawuse Agblobi</t>
        </is>
      </c>
      <c r="B1019" s="4" t="n">
        <v>46133</v>
      </c>
      <c r="C1019" t="inlineStr">
        <is>
          <t>Time Off (1/1)</t>
        </is>
      </c>
      <c r="D1019" t="inlineStr">
        <is>
          <t>Clement Obeng-Manu</t>
        </is>
      </c>
      <c r="E1019" t="inlineStr">
        <is>
          <t>Mawuse Agblobi</t>
        </is>
      </c>
      <c r="F1019" s="5" t="n">
        <v>46174.89994212963</v>
      </c>
      <c r="H1019" t="inlineStr">
        <is>
          <t>Internal</t>
        </is>
      </c>
      <c r="I1019" t="n">
        <v>8</v>
      </c>
      <c r="K1019" t="inlineStr">
        <is>
          <t>Time Off</t>
        </is>
      </c>
      <c r="L1019" t="b">
        <v>0</v>
      </c>
      <c r="M1019" t="inlineStr">
        <is>
          <t>Non-Billable</t>
        </is>
      </c>
      <c r="N1019" s="6">
        <f>IF(B1019="","",IF(ISNUMBER(B1019),TEXT(B1019,"YYYY-MM"),LEFT(B1019,7)))</f>
        <v/>
      </c>
    </row>
    <row r="1020">
      <c r="A1020" t="inlineStr">
        <is>
          <t>Clement Obeng-Manu</t>
        </is>
      </c>
      <c r="B1020" s="4" t="n">
        <v>46133</v>
      </c>
      <c r="C1020" t="inlineStr">
        <is>
          <t>/</t>
        </is>
      </c>
      <c r="D1020" t="inlineStr">
        <is>
          <t>Ekow Nyamekye Tawiah</t>
        </is>
      </c>
      <c r="E1020" t="inlineStr">
        <is>
          <t>Clement Obeng-Manu</t>
        </is>
      </c>
      <c r="F1020" s="5" t="n">
        <v>46173.76461805555</v>
      </c>
      <c r="H1020" t="inlineStr">
        <is>
          <t>PCGH777</t>
        </is>
      </c>
      <c r="I1020" t="n">
        <v>8</v>
      </c>
      <c r="J1020" t="inlineStr">
        <is>
          <t>PCGH777 - Desk Study (3) (Proforest Limited(PCUK GBP))</t>
        </is>
      </c>
      <c r="L1020" t="b">
        <v>1</v>
      </c>
      <c r="M1020" t="inlineStr">
        <is>
          <t>Billed at a Fixed price</t>
        </is>
      </c>
      <c r="N1020" s="6">
        <f>IF(B1020="","",IF(ISNUMBER(B1020),TEXT(B1020,"YYYY-MM"),LEFT(B1020,7)))</f>
        <v/>
      </c>
    </row>
    <row r="1021">
      <c r="A1021" t="inlineStr">
        <is>
          <t>Ekow Nyamekye Tawiah</t>
        </is>
      </c>
      <c r="B1021" s="4" t="n">
        <v>46133</v>
      </c>
      <c r="C1021" t="inlineStr">
        <is>
          <t>Deforestation Risk Analysis</t>
        </is>
      </c>
      <c r="D1021" t="inlineStr">
        <is>
          <t>Joseph Isaiah Mensah</t>
        </is>
      </c>
      <c r="E1021" t="inlineStr">
        <is>
          <t>Ekow Nyamekye Tawiah</t>
        </is>
      </c>
      <c r="F1021" s="5" t="n">
        <v>46162.87987268518</v>
      </c>
      <c r="H1021" t="inlineStr">
        <is>
          <t>PCGH778 - General Support</t>
        </is>
      </c>
      <c r="I1021" t="n">
        <v>4</v>
      </c>
      <c r="J1021" t="inlineStr">
        <is>
          <t>PCGH778 - Support to Other Workstreams (3) (Proforest Limited(PCUK GBP))</t>
        </is>
      </c>
      <c r="L1021" t="b">
        <v>1</v>
      </c>
      <c r="M1021" t="inlineStr">
        <is>
          <t>Billed at a Fixed price</t>
        </is>
      </c>
      <c r="N1021" s="6">
        <f>IF(B1021="","",IF(ISNUMBER(B1021),TEXT(B1021,"YYYY-MM"),LEFT(B1021,7)))</f>
        <v/>
      </c>
    </row>
    <row r="1022">
      <c r="A1022" t="inlineStr">
        <is>
          <t>Joseph Isaiah Mensah</t>
        </is>
      </c>
      <c r="B1022" s="4" t="n">
        <v>46133</v>
      </c>
      <c r="C1022" t="inlineStr">
        <is>
          <t>/</t>
        </is>
      </c>
      <c r="D1022" t="inlineStr">
        <is>
          <t>Jacqueline Nyakutse Afua</t>
        </is>
      </c>
      <c r="E1022" t="inlineStr">
        <is>
          <t>Joseph Isaiah Mensah</t>
        </is>
      </c>
      <c r="F1022" s="5" t="n">
        <v>46162.78141203704</v>
      </c>
      <c r="H1022" t="inlineStr">
        <is>
          <t>PCGH774 -Evaluation Deep-Dive Action Plans by Socfin Group</t>
        </is>
      </c>
      <c r="I1022" t="n">
        <v>8</v>
      </c>
      <c r="J1022" t="inlineStr">
        <is>
          <t>PCGH774 - Field Verification (3) (Socfinco FR SA)</t>
        </is>
      </c>
      <c r="K1022" t="inlineStr">
        <is>
          <t xml:space="preserve">Cameroon (Safacam) - Field verification/observation/community and stakeholder engagement </t>
        </is>
      </c>
      <c r="L1022" t="b">
        <v>1</v>
      </c>
      <c r="M1022" t="inlineStr">
        <is>
          <t>Billed at a Fixed price</t>
        </is>
      </c>
      <c r="N1022" s="6">
        <f>IF(B1022="","",IF(ISNUMBER(B1022),TEXT(B1022,"YYYY-MM"),LEFT(B1022,7)))</f>
        <v/>
      </c>
    </row>
    <row r="1023">
      <c r="A1023" t="inlineStr">
        <is>
          <t>James Parker Mckeown</t>
        </is>
      </c>
      <c r="B1023" s="4" t="n">
        <v>46133</v>
      </c>
      <c r="C1023" t="inlineStr">
        <is>
          <t>/</t>
        </is>
      </c>
      <c r="D1023" t="inlineStr">
        <is>
          <t>James Parker Mckeown</t>
        </is>
      </c>
      <c r="E1023" t="inlineStr">
        <is>
          <t>James Parker Mckeown</t>
        </is>
      </c>
      <c r="F1023" s="5" t="n">
        <v>46162.77732638889</v>
      </c>
      <c r="H1023" t="inlineStr">
        <is>
          <t>Global Internal Projects (GIPs)</t>
        </is>
      </c>
      <c r="I1023" t="n">
        <v>1</v>
      </c>
      <c r="K1023" t="inlineStr">
        <is>
          <t>Measurement, Reporting and Impact</t>
        </is>
      </c>
      <c r="L1023" t="b">
        <v>1</v>
      </c>
      <c r="M1023" t="inlineStr">
        <is>
          <t>Non-Billable</t>
        </is>
      </c>
      <c r="N1023" s="6">
        <f>IF(B1023="","",IF(ISNUMBER(B1023),TEXT(B1023,"YYYY-MM"),LEFT(B1023,7)))</f>
        <v/>
      </c>
    </row>
    <row r="1024">
      <c r="A1024" t="inlineStr">
        <is>
          <t>James Parker Mckeown</t>
        </is>
      </c>
      <c r="B1024" s="4" t="n">
        <v>46133</v>
      </c>
      <c r="C1024" t="inlineStr">
        <is>
          <t>follow-up on data collection for FCDO-FGMC baseline</t>
        </is>
      </c>
      <c r="D1024" t="inlineStr">
        <is>
          <t>James Parker Mckeown</t>
        </is>
      </c>
      <c r="E1024" t="inlineStr">
        <is>
          <t>James Parker Mckeown</t>
        </is>
      </c>
      <c r="F1024" s="5" t="n">
        <v>46162.77684027778</v>
      </c>
      <c r="H1024" t="inlineStr">
        <is>
          <t>PCGH786 - Impact Level Baseline assessment for FGMC</t>
        </is>
      </c>
      <c r="I1024" t="n">
        <v>3</v>
      </c>
      <c r="J1024" t="inlineStr">
        <is>
          <t>PCGH786 - Site Assessment (3) (NIRAS Group (UK) Ltd)</t>
        </is>
      </c>
      <c r="L1024" t="b">
        <v>1</v>
      </c>
      <c r="M1024" t="inlineStr">
        <is>
          <t>Billed at a Fixed price</t>
        </is>
      </c>
      <c r="N1024" s="6">
        <f>IF(B1024="","",IF(ISNUMBER(B1024),TEXT(B1024,"YYYY-MM"),LEFT(B1024,7)))</f>
        <v/>
      </c>
    </row>
    <row r="1025">
      <c r="A1025" t="inlineStr">
        <is>
          <t>James Parker Mckeown</t>
        </is>
      </c>
      <c r="B1025" s="4" t="n">
        <v>46133</v>
      </c>
      <c r="C1025" t="inlineStr">
        <is>
          <t>James-Lotte catch up</t>
        </is>
      </c>
      <c r="D1025" t="inlineStr">
        <is>
          <t>James Parker Mckeown</t>
        </is>
      </c>
      <c r="E1025" t="inlineStr">
        <is>
          <t>James Parker Mckeown</t>
        </is>
      </c>
      <c r="F1025" s="5" t="n">
        <v>46162.77609953703</v>
      </c>
      <c r="H1025" t="inlineStr">
        <is>
          <t>Non-Billable Tasks</t>
        </is>
      </c>
      <c r="I1025" t="n">
        <v>1</v>
      </c>
      <c r="K1025" t="inlineStr">
        <is>
          <t>Business Development and Networking</t>
        </is>
      </c>
      <c r="L1025" t="b">
        <v>0</v>
      </c>
      <c r="M1025" t="inlineStr">
        <is>
          <t>Non-Billable</t>
        </is>
      </c>
      <c r="N1025" s="6">
        <f>IF(B1025="","",IF(ISNUMBER(B1025),TEXT(B1025,"YYYY-MM"),LEFT(B1025,7)))</f>
        <v/>
      </c>
    </row>
    <row r="1026">
      <c r="A1026" t="inlineStr">
        <is>
          <t>James Parker Mckeown</t>
        </is>
      </c>
      <c r="B1026" s="4" t="n">
        <v>46133</v>
      </c>
      <c r="C1026" t="inlineStr">
        <is>
          <t>Reviewing FGMC Y2 budget</t>
        </is>
      </c>
      <c r="D1026" t="inlineStr">
        <is>
          <t>James Parker Mckeown</t>
        </is>
      </c>
      <c r="E1026" t="inlineStr">
        <is>
          <t>James Parker Mckeown</t>
        </is>
      </c>
      <c r="F1026" s="5" t="n">
        <v>46162.77517361111</v>
      </c>
      <c r="G1026" t="inlineStr">
        <is>
          <t>Output 4</t>
        </is>
      </c>
      <c r="H1026" t="inlineStr">
        <is>
          <t>P23AC00C00 - FGMC</t>
        </is>
      </c>
      <c r="I1026" t="n">
        <v>3</v>
      </c>
      <c r="K1026" t="inlineStr">
        <is>
          <t>P23AC03A00 - Project Management</t>
        </is>
      </c>
      <c r="L1026" t="b">
        <v>0</v>
      </c>
      <c r="M1026" t="inlineStr">
        <is>
          <t>Non-Billable</t>
        </is>
      </c>
      <c r="N1026" s="6">
        <f>IF(B1026="","",IF(ISNUMBER(B1026),TEXT(B1026,"YYYY-MM"),LEFT(B1026,7)))</f>
        <v/>
      </c>
    </row>
    <row r="1027">
      <c r="A1027" t="inlineStr">
        <is>
          <t>Patricia Offei</t>
        </is>
      </c>
      <c r="B1027" s="4" t="n">
        <v>46133</v>
      </c>
      <c r="C1027" t="inlineStr">
        <is>
          <t>/</t>
        </is>
      </c>
      <c r="D1027" t="inlineStr">
        <is>
          <t>Patricia Offei</t>
        </is>
      </c>
      <c r="E1027" t="inlineStr">
        <is>
          <t>Patricia Offei</t>
        </is>
      </c>
      <c r="F1027" s="5" t="n">
        <v>46162.59938657407</v>
      </c>
      <c r="H1027" t="inlineStr">
        <is>
          <t>PCGH774 -Evaluation Deep-Dive Action Plans by Socfin Group</t>
        </is>
      </c>
      <c r="I1027" t="n">
        <v>8</v>
      </c>
      <c r="J1027" t="inlineStr">
        <is>
          <t>PCGH774 - Project Management (2) (Socfinco FR SA)</t>
        </is>
      </c>
      <c r="L1027" t="b">
        <v>1</v>
      </c>
      <c r="M1027" t="inlineStr">
        <is>
          <t>Billed at a Fixed price</t>
        </is>
      </c>
      <c r="N1027" s="6">
        <f>IF(B1027="","",IF(ISNUMBER(B1027),TEXT(B1027,"YYYY-MM"),LEFT(B1027,7)))</f>
        <v/>
      </c>
    </row>
    <row r="1028">
      <c r="A1028" t="inlineStr">
        <is>
          <t>Kingsley Fitz-Gerald Severine</t>
        </is>
      </c>
      <c r="B1028" s="4" t="n">
        <v>46133</v>
      </c>
      <c r="C1028" t="inlineStr">
        <is>
          <t>/</t>
        </is>
      </c>
      <c r="D1028" t="inlineStr">
        <is>
          <t>Kingsley Fitz-Gerald Severine</t>
        </is>
      </c>
      <c r="E1028" t="inlineStr">
        <is>
          <t>Kingsley Fitz-Gerald Severine</t>
        </is>
      </c>
      <c r="F1028" s="5" t="n">
        <v>46162.55680555556</v>
      </c>
      <c r="G1028" t="inlineStr">
        <is>
          <t>Pre-assessment and desk-based review of documents</t>
        </is>
      </c>
      <c r="H1028" t="inlineStr">
        <is>
          <t>PCGH792</t>
        </is>
      </c>
      <c r="I1028" t="n">
        <v>4</v>
      </c>
      <c r="J1028" t="inlineStr">
        <is>
          <t>PCGH792 - Desk Study (3) (Okeosisi Jonathan)</t>
        </is>
      </c>
      <c r="K1028" t="inlineStr">
        <is>
          <t>Data collection tools and guides</t>
        </is>
      </c>
      <c r="L1028" t="b">
        <v>1</v>
      </c>
      <c r="M1028" t="inlineStr">
        <is>
          <t>Billed at a Fixed price</t>
        </is>
      </c>
      <c r="N1028" s="6">
        <f>IF(B1028="","",IF(ISNUMBER(B1028),TEXT(B1028,"YYYY-MM"),LEFT(B1028,7)))</f>
        <v/>
      </c>
    </row>
    <row r="1029">
      <c r="A1029" t="inlineStr">
        <is>
          <t>Kingsley Fitz-Gerald Severine</t>
        </is>
      </c>
      <c r="B1029" s="4" t="n">
        <v>46133</v>
      </c>
      <c r="C1029" t="inlineStr">
        <is>
          <t>/</t>
        </is>
      </c>
      <c r="D1029" t="inlineStr">
        <is>
          <t>Kingsley Fitz-Gerald Severine</t>
        </is>
      </c>
      <c r="E1029" t="inlineStr">
        <is>
          <t>Kingsley Fitz-Gerald Severine</t>
        </is>
      </c>
      <c r="F1029" s="5" t="n">
        <v>46162.55439814815</v>
      </c>
      <c r="G1029" t="inlineStr">
        <is>
          <t>Pre-assessment and desk-based review of documents</t>
        </is>
      </c>
      <c r="H1029" t="inlineStr">
        <is>
          <t>PCGH792</t>
        </is>
      </c>
      <c r="I1029" t="n">
        <v>4</v>
      </c>
      <c r="J1029" t="inlineStr">
        <is>
          <t>PCGH792 - Desk Study (3) (Okeosisi Jonathan)</t>
        </is>
      </c>
      <c r="K1029" t="inlineStr">
        <is>
          <t>Rapid due diligence</t>
        </is>
      </c>
      <c r="L1029" t="b">
        <v>1</v>
      </c>
      <c r="M1029" t="inlineStr">
        <is>
          <t>Billed at a Fixed price</t>
        </is>
      </c>
      <c r="N1029" s="6">
        <f>IF(B1029="","",IF(ISNUMBER(B1029),TEXT(B1029,"YYYY-MM"),LEFT(B1029,7)))</f>
        <v/>
      </c>
    </row>
    <row r="1030">
      <c r="A1030" t="inlineStr">
        <is>
          <t>Kingsley Fitz-Gerald Severine</t>
        </is>
      </c>
      <c r="B1030" s="4" t="n">
        <v>46133</v>
      </c>
      <c r="C1030" t="inlineStr">
        <is>
          <t>/</t>
        </is>
      </c>
      <c r="D1030" t="inlineStr">
        <is>
          <t>Kingsley Fitz-Gerald Severine</t>
        </is>
      </c>
      <c r="E1030" t="inlineStr">
        <is>
          <t>Kingsley Fitz-Gerald Severine</t>
        </is>
      </c>
      <c r="F1030" s="5" t="n">
        <v>46162.5544212963</v>
      </c>
      <c r="H1030" t="inlineStr">
        <is>
          <t>PCGH789 - Valency MSMO EHS audit</t>
        </is>
      </c>
      <c r="I1030" t="n">
        <v>0</v>
      </c>
      <c r="J1030" t="inlineStr">
        <is>
          <t>PCGH789 - Reporting (3) (Valency International DMCC)</t>
        </is>
      </c>
      <c r="K1030" t="inlineStr">
        <is>
          <t>Final Reporting (3)</t>
        </is>
      </c>
      <c r="L1030" t="b">
        <v>1</v>
      </c>
      <c r="M1030" t="inlineStr">
        <is>
          <t>Billed at a Fixed price</t>
        </is>
      </c>
      <c r="N1030" s="6">
        <f>IF(B1030="","",IF(ISNUMBER(B1030),TEXT(B1030,"YYYY-MM"),LEFT(B1030,7)))</f>
        <v/>
      </c>
    </row>
    <row r="1031">
      <c r="A1031" t="inlineStr">
        <is>
          <t>Kwadwo Baniako Nti</t>
        </is>
      </c>
      <c r="B1031" s="4" t="n">
        <v>46133</v>
      </c>
      <c r="C1031" t="inlineStr">
        <is>
          <t>/</t>
        </is>
      </c>
      <c r="D1031" t="inlineStr">
        <is>
          <t>Kwadwo Baniako Nti</t>
        </is>
      </c>
      <c r="E1031" t="inlineStr">
        <is>
          <t>Kwadwo Baniako Nti</t>
        </is>
      </c>
      <c r="F1031" s="5" t="n">
        <v>46161.79016203704</v>
      </c>
      <c r="G1031" t="inlineStr">
        <is>
          <t>Field verification and reporting in Nigeria (3)</t>
        </is>
      </c>
      <c r="H1031" t="inlineStr">
        <is>
          <t>PCGH775 - ESDD of Valency Operations for FMO</t>
        </is>
      </c>
      <c r="I1031" t="n">
        <v>1</v>
      </c>
      <c r="J1031" t="inlineStr">
        <is>
          <t>PCGH775 - Field Verification (3) (Valency International DMCC)</t>
        </is>
      </c>
      <c r="K1031" t="inlineStr">
        <is>
          <t>Analysis and reporting in Nigeria</t>
        </is>
      </c>
      <c r="L1031" t="b">
        <v>1</v>
      </c>
      <c r="M1031" t="inlineStr">
        <is>
          <t>Billed at a Fixed price</t>
        </is>
      </c>
      <c r="N1031" s="6">
        <f>IF(B1031="","",IF(ISNUMBER(B1031),TEXT(B1031,"YYYY-MM"),LEFT(B1031,7)))</f>
        <v/>
      </c>
    </row>
    <row r="1032">
      <c r="A1032" t="inlineStr">
        <is>
          <t>Kwadwo Baniako Nti</t>
        </is>
      </c>
      <c r="B1032" s="4" t="n">
        <v>46133</v>
      </c>
      <c r="C1032" t="inlineStr">
        <is>
          <t>/</t>
        </is>
      </c>
      <c r="D1032" t="inlineStr">
        <is>
          <t>Kwadwo Baniako Nti</t>
        </is>
      </c>
      <c r="E1032" t="inlineStr">
        <is>
          <t>Kwadwo Baniako Nti</t>
        </is>
      </c>
      <c r="F1032" s="5" t="n">
        <v>46161.77849537037</v>
      </c>
      <c r="G1032" t="inlineStr">
        <is>
          <t>Baseline Socio-Economic &amp; Environmental Surveys</t>
        </is>
      </c>
      <c r="H1032" t="inlineStr">
        <is>
          <t>PCGH762 - GVL HCSA Restoration Project</t>
        </is>
      </c>
      <c r="I1032" t="n">
        <v>3</v>
      </c>
      <c r="J1032" t="inlineStr">
        <is>
          <t>PCGH762 - Baseline Socio-Economic &amp; Environmental Surveys (Golden Veroleum Liberia)</t>
        </is>
      </c>
      <c r="K1032" t="inlineStr">
        <is>
          <t>Baseline Socio-Economic &amp; Environmental Surveys</t>
        </is>
      </c>
      <c r="L1032" t="b">
        <v>1</v>
      </c>
      <c r="M1032" t="inlineStr">
        <is>
          <t>Billed at a Fixed price</t>
        </is>
      </c>
      <c r="N1032" s="6">
        <f>IF(B1032="","",IF(ISNUMBER(B1032),TEXT(B1032,"YYYY-MM"),LEFT(B1032,7)))</f>
        <v/>
      </c>
    </row>
    <row r="1033">
      <c r="A1033" t="inlineStr">
        <is>
          <t>Kwadwo Baniako Nti</t>
        </is>
      </c>
      <c r="B1033" s="4" t="n">
        <v>46133</v>
      </c>
      <c r="C1033" t="inlineStr">
        <is>
          <t>/</t>
        </is>
      </c>
      <c r="D1033" t="inlineStr">
        <is>
          <t>Kwadwo Baniako Nti</t>
        </is>
      </c>
      <c r="E1033" t="inlineStr">
        <is>
          <t>Kwadwo Baniako Nti</t>
        </is>
      </c>
      <c r="F1033" s="5" t="n">
        <v>46161.77454861111</v>
      </c>
      <c r="H1033" t="inlineStr">
        <is>
          <t>Non-Billable Tasks</t>
        </is>
      </c>
      <c r="I1033" t="n">
        <v>2</v>
      </c>
      <c r="K1033" t="inlineStr">
        <is>
          <t>Professional development and Knowledge sharing(training,global knowledge calls,exchange weeks)</t>
        </is>
      </c>
      <c r="L1033" t="b">
        <v>0</v>
      </c>
      <c r="M1033" t="inlineStr">
        <is>
          <t>Non-Billable</t>
        </is>
      </c>
      <c r="N1033" s="6">
        <f>IF(B1033="","",IF(ISNUMBER(B1033),TEXT(B1033,"YYYY-MM"),LEFT(B1033,7)))</f>
        <v/>
      </c>
    </row>
    <row r="1034">
      <c r="A1034" t="inlineStr">
        <is>
          <t>Kwadwo Baniako Nti</t>
        </is>
      </c>
      <c r="B1034" s="4" t="n">
        <v>46133</v>
      </c>
      <c r="C1034" t="inlineStr">
        <is>
          <t>/</t>
        </is>
      </c>
      <c r="D1034" t="inlineStr">
        <is>
          <t>Kwadwo Baniako Nti</t>
        </is>
      </c>
      <c r="E1034" t="inlineStr">
        <is>
          <t>Kwadwo Baniako Nti</t>
        </is>
      </c>
      <c r="F1034" s="5" t="n">
        <v>46161.75920138889</v>
      </c>
      <c r="G1034" t="inlineStr">
        <is>
          <t>Desk Study (3)</t>
        </is>
      </c>
      <c r="H1034" t="inlineStr">
        <is>
          <t>PCGH786 - Impact Level Baseline assessment for FGMC</t>
        </is>
      </c>
      <c r="I1034" t="n">
        <v>2</v>
      </c>
      <c r="J1034" t="inlineStr">
        <is>
          <t>PCGH786 - Desk Study (3) (NIRAS Group (UK) Ltd)</t>
        </is>
      </c>
      <c r="K1034" t="inlineStr">
        <is>
          <t>Desk Study</t>
        </is>
      </c>
      <c r="L1034" t="b">
        <v>1</v>
      </c>
      <c r="M1034" t="inlineStr">
        <is>
          <t>Billed at a Fixed price</t>
        </is>
      </c>
      <c r="N1034" s="6">
        <f>IF(B1034="","",IF(ISNUMBER(B1034),TEXT(B1034,"YYYY-MM"),LEFT(B1034,7)))</f>
        <v/>
      </c>
    </row>
    <row r="1035">
      <c r="A1035" t="inlineStr">
        <is>
          <t>Frederick Antwi</t>
        </is>
      </c>
      <c r="B1035" s="4" t="n">
        <v>46133</v>
      </c>
      <c r="C1035" t="inlineStr">
        <is>
          <t>/</t>
        </is>
      </c>
      <c r="D1035" t="inlineStr">
        <is>
          <t>Frederick Antwi</t>
        </is>
      </c>
      <c r="E1035" t="inlineStr">
        <is>
          <t>Frederick Antwi</t>
        </is>
      </c>
      <c r="F1035" s="5" t="n">
        <v>46160.63680555556</v>
      </c>
      <c r="H1035" t="inlineStr">
        <is>
          <t>P13PC00A00 - Private Sector Companies</t>
        </is>
      </c>
      <c r="I1035" t="n">
        <v>8</v>
      </c>
      <c r="L1035" t="b">
        <v>0</v>
      </c>
      <c r="M1035" t="inlineStr">
        <is>
          <t>Non-Billable</t>
        </is>
      </c>
      <c r="N1035" s="6">
        <f>IF(B1035="","",IF(ISNUMBER(B1035),TEXT(B1035,"YYYY-MM"),LEFT(B1035,7)))</f>
        <v/>
      </c>
    </row>
    <row r="1036">
      <c r="A1036" t="inlineStr">
        <is>
          <t>Augustus Asamoah</t>
        </is>
      </c>
      <c r="B1036" s="4" t="n">
        <v>46133</v>
      </c>
      <c r="C1036" t="inlineStr">
        <is>
          <t>/</t>
        </is>
      </c>
      <c r="D1036" t="inlineStr">
        <is>
          <t>Augustus Asamoah</t>
        </is>
      </c>
      <c r="E1036" t="inlineStr">
        <is>
          <t>Augustus Asamoah</t>
        </is>
      </c>
      <c r="F1036" s="5" t="n">
        <v>46156.69159722222</v>
      </c>
      <c r="H1036" t="inlineStr">
        <is>
          <t>PCGH784</t>
        </is>
      </c>
      <c r="I1036" t="n">
        <v>2</v>
      </c>
      <c r="J1036" t="inlineStr">
        <is>
          <t>PCGH784 - Desk Study (3) (Okeosisi Jonathan)</t>
        </is>
      </c>
      <c r="L1036" t="b">
        <v>1</v>
      </c>
      <c r="M1036" t="inlineStr">
        <is>
          <t>Billed at a Fixed price</t>
        </is>
      </c>
      <c r="N1036" s="6">
        <f>IF(B1036="","",IF(ISNUMBER(B1036),TEXT(B1036,"YYYY-MM"),LEFT(B1036,7)))</f>
        <v/>
      </c>
    </row>
    <row r="1037">
      <c r="A1037" t="inlineStr">
        <is>
          <t>Augustus Asamoah</t>
        </is>
      </c>
      <c r="B1037" s="4" t="n">
        <v>46133</v>
      </c>
      <c r="C1037" t="inlineStr">
        <is>
          <t>/</t>
        </is>
      </c>
      <c r="D1037" t="inlineStr">
        <is>
          <t>Augustus Asamoah</t>
        </is>
      </c>
      <c r="E1037" t="inlineStr">
        <is>
          <t>Augustus Asamoah</t>
        </is>
      </c>
      <c r="F1037" s="5" t="n">
        <v>46156.69024305556</v>
      </c>
      <c r="H1037" t="inlineStr">
        <is>
          <t>P13PC00A00 - Private Sector Companies</t>
        </is>
      </c>
      <c r="I1037" t="n">
        <v>2</v>
      </c>
      <c r="L1037" t="b">
        <v>0</v>
      </c>
      <c r="M1037" t="inlineStr">
        <is>
          <t>Non-Billable</t>
        </is>
      </c>
      <c r="N1037" s="6">
        <f>IF(B1037="","",IF(ISNUMBER(B1037),TEXT(B1037,"YYYY-MM"),LEFT(B1037,7)))</f>
        <v/>
      </c>
    </row>
    <row r="1038">
      <c r="A1038" t="inlineStr">
        <is>
          <t>Augustus Asamoah</t>
        </is>
      </c>
      <c r="B1038" s="4" t="n">
        <v>46133</v>
      </c>
      <c r="C1038" t="inlineStr">
        <is>
          <t>/</t>
        </is>
      </c>
      <c r="D1038" t="inlineStr">
        <is>
          <t>Augustus Asamoah</t>
        </is>
      </c>
      <c r="E1038" t="inlineStr">
        <is>
          <t>Augustus Asamoah</t>
        </is>
      </c>
      <c r="F1038" s="5" t="n">
        <v>46156.68991898148</v>
      </c>
      <c r="H1038" t="inlineStr">
        <is>
          <t>P13NC00A00 - WALMART II</t>
        </is>
      </c>
      <c r="I1038" t="n">
        <v>2</v>
      </c>
      <c r="L1038" t="b">
        <v>0</v>
      </c>
      <c r="M1038" t="inlineStr">
        <is>
          <t>Non-Billable</t>
        </is>
      </c>
      <c r="N1038" s="6">
        <f>IF(B1038="","",IF(ISNUMBER(B1038),TEXT(B1038,"YYYY-MM"),LEFT(B1038,7)))</f>
        <v/>
      </c>
    </row>
    <row r="1039">
      <c r="A1039" t="inlineStr">
        <is>
          <t>Augustus Asamoah</t>
        </is>
      </c>
      <c r="B1039" s="4" t="n">
        <v>46133</v>
      </c>
      <c r="C1039" t="inlineStr">
        <is>
          <t>/</t>
        </is>
      </c>
      <c r="D1039" t="inlineStr">
        <is>
          <t>Augustus Asamoah</t>
        </is>
      </c>
      <c r="E1039" t="inlineStr">
        <is>
          <t>Augustus Asamoah</t>
        </is>
      </c>
      <c r="F1039" s="5" t="n">
        <v>46156.68975694444</v>
      </c>
      <c r="H1039" t="inlineStr">
        <is>
          <t>P13QC00A00 - EFI Programme</t>
        </is>
      </c>
      <c r="I1039" t="n">
        <v>2</v>
      </c>
      <c r="L1039" t="b">
        <v>0</v>
      </c>
      <c r="M1039" t="inlineStr">
        <is>
          <t>Non-Billable</t>
        </is>
      </c>
      <c r="N1039" s="6">
        <f>IF(B1039="","",IF(ISNUMBER(B1039),TEXT(B1039,"YYYY-MM"),LEFT(B1039,7)))</f>
        <v/>
      </c>
    </row>
    <row r="1040">
      <c r="A1040" t="inlineStr">
        <is>
          <t>Soro TCHEREGNIMIN</t>
        </is>
      </c>
      <c r="B1040" s="4" t="n">
        <v>46133</v>
      </c>
      <c r="C1040" t="inlineStr">
        <is>
          <t>/</t>
        </is>
      </c>
      <c r="D1040" t="inlineStr">
        <is>
          <t>Soro TCHEREGNIMIN</t>
        </is>
      </c>
      <c r="E1040" t="inlineStr">
        <is>
          <t>Soro TCHEREGNIMIN</t>
        </is>
      </c>
      <c r="F1040" s="5" t="n">
        <v>46154.94685185186</v>
      </c>
      <c r="H1040" t="inlineStr">
        <is>
          <t>Non-Billable Tasks</t>
        </is>
      </c>
      <c r="I1040" t="n">
        <v>8</v>
      </c>
      <c r="L1040" t="b">
        <v>0</v>
      </c>
      <c r="M1040" t="inlineStr">
        <is>
          <t>Non-Billable</t>
        </is>
      </c>
      <c r="N1040" s="6">
        <f>IF(B1040="","",IF(ISNUMBER(B1040),TEXT(B1040,"YYYY-MM"),LEFT(B1040,7)))</f>
        <v/>
      </c>
    </row>
    <row r="1041">
      <c r="A1041" t="inlineStr">
        <is>
          <t>Helena Tetteh</t>
        </is>
      </c>
      <c r="B1041" s="4" t="n">
        <v>46133</v>
      </c>
      <c r="C1041" t="inlineStr">
        <is>
          <t>/</t>
        </is>
      </c>
      <c r="D1041" t="inlineStr">
        <is>
          <t xml:space="preserve">Helena Tetteh </t>
        </is>
      </c>
      <c r="E1041" t="inlineStr">
        <is>
          <t>OdooBot</t>
        </is>
      </c>
      <c r="F1041" s="5" t="n">
        <v>46154.70721064815</v>
      </c>
      <c r="G1041" t="inlineStr">
        <is>
          <t>Output 2.3</t>
        </is>
      </c>
      <c r="H1041" t="inlineStr">
        <is>
          <t>P23AC00C00 - FGMC</t>
        </is>
      </c>
      <c r="I1041" t="n">
        <v>8</v>
      </c>
      <c r="K1041" t="inlineStr">
        <is>
          <t>P23AC22A00 - Output Two (Elevating Local Solutions - West Africa)</t>
        </is>
      </c>
      <c r="L1041" t="b">
        <v>0</v>
      </c>
      <c r="M1041" t="inlineStr">
        <is>
          <t>Non-Billable</t>
        </is>
      </c>
      <c r="N1041" s="6">
        <f>IF(B1041="","",IF(ISNUMBER(B1041),TEXT(B1041,"YYYY-MM"),LEFT(B1041,7)))</f>
        <v/>
      </c>
    </row>
    <row r="1042">
      <c r="A1042" t="inlineStr">
        <is>
          <t>Afua Serwah Akoto Prempeh</t>
        </is>
      </c>
      <c r="B1042" s="4" t="n">
        <v>46133</v>
      </c>
      <c r="C1042" t="inlineStr">
        <is>
          <t>/</t>
        </is>
      </c>
      <c r="D1042" t="inlineStr">
        <is>
          <t>Afua Serwah Akoto Prempeh</t>
        </is>
      </c>
      <c r="E1042" t="inlineStr">
        <is>
          <t>OdooBot</t>
        </is>
      </c>
      <c r="F1042" s="5" t="n">
        <v>46154.70721064815</v>
      </c>
      <c r="H1042" t="inlineStr">
        <is>
          <t>Non-Billable Tasks</t>
        </is>
      </c>
      <c r="I1042" t="n">
        <v>4</v>
      </c>
      <c r="K1042" t="inlineStr">
        <is>
          <t>Professional development and Knowledge sharing(training,global knowledge calls,exchange weeks)</t>
        </is>
      </c>
      <c r="L1042" t="b">
        <v>0</v>
      </c>
      <c r="M1042" t="inlineStr">
        <is>
          <t>Non-Billable</t>
        </is>
      </c>
      <c r="N1042" s="6">
        <f>IF(B1042="","",IF(ISNUMBER(B1042),TEXT(B1042,"YYYY-MM"),LEFT(B1042,7)))</f>
        <v/>
      </c>
    </row>
    <row r="1043">
      <c r="A1043" t="inlineStr">
        <is>
          <t>Afua Serwah Akoto Prempeh</t>
        </is>
      </c>
      <c r="B1043" s="4" t="n">
        <v>46133</v>
      </c>
      <c r="C1043" t="inlineStr">
        <is>
          <t>/</t>
        </is>
      </c>
      <c r="D1043" t="inlineStr">
        <is>
          <t>Afua Serwah Akoto Prempeh</t>
        </is>
      </c>
      <c r="E1043" t="inlineStr">
        <is>
          <t>OdooBot</t>
        </is>
      </c>
      <c r="F1043" s="5" t="n">
        <v>46154.70721064815</v>
      </c>
      <c r="H1043" t="inlineStr">
        <is>
          <t>Non-Billable Tasks</t>
        </is>
      </c>
      <c r="I1043" t="n">
        <v>4</v>
      </c>
      <c r="L1043" t="b">
        <v>0</v>
      </c>
      <c r="M1043" t="inlineStr">
        <is>
          <t>Non-Billable</t>
        </is>
      </c>
      <c r="N1043" s="6">
        <f>IF(B1043="","",IF(ISNUMBER(B1043),TEXT(B1043,"YYYY-MM"),LEFT(B1043,7)))</f>
        <v/>
      </c>
    </row>
    <row r="1044">
      <c r="A1044" t="inlineStr">
        <is>
          <t>Stephen Doso</t>
        </is>
      </c>
      <c r="B1044" s="4" t="n">
        <v>46133</v>
      </c>
      <c r="C1044" t="inlineStr">
        <is>
          <t>/</t>
        </is>
      </c>
      <c r="D1044" t="inlineStr">
        <is>
          <t>Stephen Doso</t>
        </is>
      </c>
      <c r="E1044" t="inlineStr">
        <is>
          <t>OdooBot</t>
        </is>
      </c>
      <c r="F1044" s="5" t="n">
        <v>46154.70721064815</v>
      </c>
      <c r="G1044" t="inlineStr">
        <is>
          <t>Review</t>
        </is>
      </c>
      <c r="H1044" t="inlineStr">
        <is>
          <t>PCGH784</t>
        </is>
      </c>
      <c r="I1044" t="n">
        <v>8</v>
      </c>
      <c r="J1044" t="inlineStr">
        <is>
          <t>PCGH784 - Reporting (2) (Okeosisi Jonathan)</t>
        </is>
      </c>
      <c r="K1044" t="inlineStr">
        <is>
          <t>Reporting</t>
        </is>
      </c>
      <c r="L1044" t="b">
        <v>1</v>
      </c>
      <c r="M1044" t="inlineStr">
        <is>
          <t>Billed at a Fixed price</t>
        </is>
      </c>
      <c r="N1044" s="6">
        <f>IF(B1044="","",IF(ISNUMBER(B1044),TEXT(B1044,"YYYY-MM"),LEFT(B1044,7)))</f>
        <v/>
      </c>
    </row>
    <row r="1045">
      <c r="A1045" t="inlineStr">
        <is>
          <t>Louis Defo</t>
        </is>
      </c>
      <c r="B1045" s="4" t="n">
        <v>46133</v>
      </c>
      <c r="C1045" t="inlineStr">
        <is>
          <t>/</t>
        </is>
      </c>
      <c r="D1045" t="inlineStr">
        <is>
          <t>Louis Defo</t>
        </is>
      </c>
      <c r="E1045" t="inlineStr">
        <is>
          <t>OdooBot</t>
        </is>
      </c>
      <c r="F1045" s="5" t="n">
        <v>46154.70721064815</v>
      </c>
      <c r="H1045" t="inlineStr">
        <is>
          <t>PCGH774 -Evaluation Deep-Dive Action Plans by Socfin Group</t>
        </is>
      </c>
      <c r="I1045" t="n">
        <v>8</v>
      </c>
      <c r="J1045" t="inlineStr">
        <is>
          <t>PCGH774 - Project Management (2) (Socfinco FR SA)</t>
        </is>
      </c>
      <c r="L1045" t="b">
        <v>1</v>
      </c>
      <c r="M1045" t="inlineStr">
        <is>
          <t>Billed at a Fixed price</t>
        </is>
      </c>
      <c r="N1045" s="6">
        <f>IF(B1045="","",IF(ISNUMBER(B1045),TEXT(B1045,"YYYY-MM"),LEFT(B1045,7)))</f>
        <v/>
      </c>
    </row>
    <row r="1046">
      <c r="A1046" t="inlineStr">
        <is>
          <t>Abel Ansu</t>
        </is>
      </c>
      <c r="B1046" s="4" t="n">
        <v>46133</v>
      </c>
      <c r="C1046" t="inlineStr">
        <is>
          <t>Together with Forestry Commission, sensitized farmers in Biaso Kasapin, Agravi, Gambia No 1 and 2 and Kwadeekrom on MTS and the Support for Forest Protection and Rehabilitation project</t>
        </is>
      </c>
      <c r="D1046" t="inlineStr">
        <is>
          <t>Abel Ansu</t>
        </is>
      </c>
      <c r="E1046" t="inlineStr">
        <is>
          <t>OdooBot</t>
        </is>
      </c>
      <c r="F1046" s="5" t="n">
        <v>46154.70721064815</v>
      </c>
      <c r="H1046" t="inlineStr">
        <is>
          <t>Internal</t>
        </is>
      </c>
      <c r="I1046" t="n">
        <v>8</v>
      </c>
      <c r="K1046" t="inlineStr">
        <is>
          <t>MTS Sensitization with farmers</t>
        </is>
      </c>
      <c r="L1046" t="b">
        <v>0</v>
      </c>
      <c r="M1046" t="inlineStr">
        <is>
          <t>Non-Billable</t>
        </is>
      </c>
      <c r="N1046" s="6">
        <f>IF(B1046="","",IF(ISNUMBER(B1046),TEXT(B1046,"YYYY-MM"),LEFT(B1046,7)))</f>
        <v/>
      </c>
    </row>
    <row r="1047">
      <c r="A1047" t="inlineStr">
        <is>
          <t>Mawuse Agblobi</t>
        </is>
      </c>
      <c r="B1047" s="4" t="n">
        <v>46133</v>
      </c>
      <c r="C1047" t="inlineStr">
        <is>
          <t>Time Off (1/1)</t>
        </is>
      </c>
      <c r="D1047" t="inlineStr">
        <is>
          <t>Adwoa Fremah Ntosour-Amponsem</t>
        </is>
      </c>
      <c r="E1047" t="inlineStr">
        <is>
          <t>OdooBot</t>
        </is>
      </c>
      <c r="F1047" s="5" t="n">
        <v>46154.70721064815</v>
      </c>
      <c r="H1047" t="inlineStr">
        <is>
          <t>Internal</t>
        </is>
      </c>
      <c r="I1047" t="n">
        <v>8</v>
      </c>
      <c r="K1047" t="inlineStr">
        <is>
          <t>Time Off</t>
        </is>
      </c>
      <c r="L1047" t="b">
        <v>0</v>
      </c>
      <c r="M1047" t="inlineStr">
        <is>
          <t>Non-Billable</t>
        </is>
      </c>
      <c r="N1047" s="6">
        <f>IF(B1047="","",IF(ISNUMBER(B1047),TEXT(B1047,"YYYY-MM"),LEFT(B1047,7)))</f>
        <v/>
      </c>
    </row>
    <row r="1048">
      <c r="A1048" t="inlineStr">
        <is>
          <t>Mawuse Agblobi</t>
        </is>
      </c>
      <c r="B1048" s="4" t="n">
        <v>46132</v>
      </c>
      <c r="C1048" t="inlineStr">
        <is>
          <t>Time Off (1/5)</t>
        </is>
      </c>
      <c r="D1048" t="inlineStr">
        <is>
          <t>Daleba Bernard Kpenahi Raymond</t>
        </is>
      </c>
      <c r="E1048" t="inlineStr">
        <is>
          <t>Mawuse Agblobi</t>
        </is>
      </c>
      <c r="F1048" s="5" t="n">
        <v>46174.89994212963</v>
      </c>
      <c r="H1048" t="inlineStr">
        <is>
          <t>Internal</t>
        </is>
      </c>
      <c r="I1048" t="n">
        <v>8</v>
      </c>
      <c r="K1048" t="inlineStr">
        <is>
          <t>Time Off</t>
        </is>
      </c>
      <c r="L1048" t="b">
        <v>0</v>
      </c>
      <c r="M1048" t="inlineStr">
        <is>
          <t>Non-Billable</t>
        </is>
      </c>
      <c r="N1048" s="6">
        <f>IF(B1048="","",IF(ISNUMBER(B1048),TEXT(B1048,"YYYY-MM"),LEFT(B1048,7)))</f>
        <v/>
      </c>
    </row>
    <row r="1049">
      <c r="A1049" t="inlineStr">
        <is>
          <t>Clement Obeng-Manu</t>
        </is>
      </c>
      <c r="B1049" s="4" t="n">
        <v>46132</v>
      </c>
      <c r="C1049" t="inlineStr">
        <is>
          <t>/</t>
        </is>
      </c>
      <c r="D1049" t="inlineStr">
        <is>
          <t>Ekow Nyamekye Tawiah</t>
        </is>
      </c>
      <c r="E1049" t="inlineStr">
        <is>
          <t>Clement Obeng-Manu</t>
        </is>
      </c>
      <c r="F1049" s="5" t="n">
        <v>46173.7653587963</v>
      </c>
      <c r="H1049" t="inlineStr">
        <is>
          <t>PCGH777</t>
        </is>
      </c>
      <c r="I1049" t="n">
        <v>0</v>
      </c>
      <c r="K1049" t="inlineStr">
        <is>
          <t xml:space="preserve">Post fieldwork analysis </t>
        </is>
      </c>
      <c r="L1049" t="b">
        <v>1</v>
      </c>
      <c r="M1049" t="inlineStr">
        <is>
          <t>Non-Billable</t>
        </is>
      </c>
      <c r="N1049" s="6">
        <f>IF(B1049="","",IF(ISNUMBER(B1049),TEXT(B1049,"YYYY-MM"),LEFT(B1049,7)))</f>
        <v/>
      </c>
    </row>
    <row r="1050">
      <c r="A1050" t="inlineStr">
        <is>
          <t>Clement Obeng-Manu</t>
        </is>
      </c>
      <c r="B1050" s="4" t="n">
        <v>46132</v>
      </c>
      <c r="C1050" t="inlineStr">
        <is>
          <t>/</t>
        </is>
      </c>
      <c r="D1050" t="inlineStr">
        <is>
          <t>Ekow Nyamekye Tawiah</t>
        </is>
      </c>
      <c r="E1050" t="inlineStr">
        <is>
          <t>Clement Obeng-Manu</t>
        </is>
      </c>
      <c r="F1050" s="5" t="n">
        <v>46173.76497685185</v>
      </c>
      <c r="H1050" t="inlineStr">
        <is>
          <t>PCGH777</t>
        </is>
      </c>
      <c r="I1050" t="n">
        <v>-8</v>
      </c>
      <c r="J1050" t="inlineStr">
        <is>
          <t>PCGH750 - Data Analysis (Proforest Limited(PCUK GBP))</t>
        </is>
      </c>
      <c r="L1050" t="b">
        <v>1</v>
      </c>
      <c r="M1050" t="inlineStr">
        <is>
          <t>Billed at a Fixed price</t>
        </is>
      </c>
      <c r="N1050" s="6">
        <f>IF(B1050="","",IF(ISNUMBER(B1050),TEXT(B1050,"YYYY-MM"),LEFT(B1050,7)))</f>
        <v/>
      </c>
    </row>
    <row r="1051">
      <c r="A1051" t="inlineStr">
        <is>
          <t>Clement Obeng-Manu</t>
        </is>
      </c>
      <c r="B1051" s="4" t="n">
        <v>46132</v>
      </c>
      <c r="C1051" t="inlineStr">
        <is>
          <t>/</t>
        </is>
      </c>
      <c r="D1051" t="inlineStr">
        <is>
          <t>Ekow Nyamekye Tawiah</t>
        </is>
      </c>
      <c r="E1051" t="inlineStr">
        <is>
          <t>Clement Obeng-Manu</t>
        </is>
      </c>
      <c r="F1051" s="5" t="n">
        <v>46173.76489583333</v>
      </c>
      <c r="H1051" t="inlineStr">
        <is>
          <t>PCGH777</t>
        </is>
      </c>
      <c r="I1051" t="n">
        <v>8</v>
      </c>
      <c r="J1051" t="inlineStr">
        <is>
          <t>PCGH750 - Data Analysis (Proforest Limited(PCUK GBP))</t>
        </is>
      </c>
      <c r="L1051" t="b">
        <v>1</v>
      </c>
      <c r="M1051" t="inlineStr">
        <is>
          <t>Billed at a Fixed price</t>
        </is>
      </c>
      <c r="N1051" s="6">
        <f>IF(B1051="","",IF(ISNUMBER(B1051),TEXT(B1051,"YYYY-MM"),LEFT(B1051,7)))</f>
        <v/>
      </c>
    </row>
    <row r="1052">
      <c r="A1052" t="inlineStr">
        <is>
          <t>Clement Obeng-Manu</t>
        </is>
      </c>
      <c r="B1052" s="4" t="n">
        <v>46132</v>
      </c>
      <c r="C1052" t="inlineStr">
        <is>
          <t>/</t>
        </is>
      </c>
      <c r="D1052" t="inlineStr">
        <is>
          <t>Ekow Nyamekye Tawiah</t>
        </is>
      </c>
      <c r="E1052" t="inlineStr">
        <is>
          <t>Clement Obeng-Manu</t>
        </is>
      </c>
      <c r="F1052" s="5" t="n">
        <v>46173.76459490741</v>
      </c>
      <c r="H1052" t="inlineStr">
        <is>
          <t>PCGH777</t>
        </is>
      </c>
      <c r="I1052" t="n">
        <v>8</v>
      </c>
      <c r="J1052" t="inlineStr">
        <is>
          <t>PCGH750 - Stakeholder Consultations and Land Cover Verification (Proforest Limited(PCUK GBP))</t>
        </is>
      </c>
      <c r="L1052" t="b">
        <v>1</v>
      </c>
      <c r="M1052" t="inlineStr">
        <is>
          <t>Billed at a Fixed price</t>
        </is>
      </c>
      <c r="N1052" s="6">
        <f>IF(B1052="","",IF(ISNUMBER(B1052),TEXT(B1052,"YYYY-MM"),LEFT(B1052,7)))</f>
        <v/>
      </c>
    </row>
    <row r="1053">
      <c r="A1053" t="inlineStr">
        <is>
          <t>Ekow Nyamekye Tawiah</t>
        </is>
      </c>
      <c r="B1053" s="4" t="n">
        <v>46132</v>
      </c>
      <c r="C1053" t="inlineStr">
        <is>
          <t>Deforestation Risk Analysis</t>
        </is>
      </c>
      <c r="D1053" t="inlineStr">
        <is>
          <t>Joseph Isaiah Mensah</t>
        </is>
      </c>
      <c r="E1053" t="inlineStr">
        <is>
          <t>Ekow Nyamekye Tawiah</t>
        </is>
      </c>
      <c r="F1053" s="5" t="n">
        <v>46162.8671412037</v>
      </c>
      <c r="H1053" t="inlineStr">
        <is>
          <t>PCGH778 - General Support</t>
        </is>
      </c>
      <c r="I1053" t="n">
        <v>4</v>
      </c>
      <c r="J1053" t="inlineStr">
        <is>
          <t>PCGH778 - Support to Other Workstreams (3) (Proforest Limited(PCUK GBP))</t>
        </is>
      </c>
      <c r="L1053" t="b">
        <v>1</v>
      </c>
      <c r="M1053" t="inlineStr">
        <is>
          <t>Billed at a Fixed price</t>
        </is>
      </c>
      <c r="N1053" s="6">
        <f>IF(B1053="","",IF(ISNUMBER(B1053),TEXT(B1053,"YYYY-MM"),LEFT(B1053,7)))</f>
        <v/>
      </c>
    </row>
    <row r="1054">
      <c r="A1054" t="inlineStr">
        <is>
          <t>Joseph Isaiah Mensah</t>
        </is>
      </c>
      <c r="B1054" s="4" t="n">
        <v>46132</v>
      </c>
      <c r="C1054" t="inlineStr">
        <is>
          <t>/</t>
        </is>
      </c>
      <c r="D1054" t="inlineStr">
        <is>
          <t>Jacqueline Nyakutse Afua</t>
        </is>
      </c>
      <c r="E1054" t="inlineStr">
        <is>
          <t>Joseph Isaiah Mensah</t>
        </is>
      </c>
      <c r="F1054" s="5" t="n">
        <v>46162.78114583333</v>
      </c>
      <c r="H1054" t="inlineStr">
        <is>
          <t>PCGH774 -Evaluation Deep-Dive Action Plans by Socfin Group</t>
        </is>
      </c>
      <c r="I1054" t="n">
        <v>8</v>
      </c>
      <c r="J1054" t="inlineStr">
        <is>
          <t>PCGH774 - Field Verification (3) (Socfinco FR SA)</t>
        </is>
      </c>
      <c r="K1054" t="inlineStr">
        <is>
          <t xml:space="preserve">Cameroon (Safacam) - Field verification/observation/community and stakeholder engagement </t>
        </is>
      </c>
      <c r="L1054" t="b">
        <v>1</v>
      </c>
      <c r="M1054" t="inlineStr">
        <is>
          <t>Billed at a Fixed price</t>
        </is>
      </c>
      <c r="N1054" s="6">
        <f>IF(B1054="","",IF(ISNUMBER(B1054),TEXT(B1054,"YYYY-MM"),LEFT(B1054,7)))</f>
        <v/>
      </c>
    </row>
    <row r="1055">
      <c r="A1055" t="inlineStr">
        <is>
          <t>James Parker Mckeown</t>
        </is>
      </c>
      <c r="B1055" s="4" t="n">
        <v>46132</v>
      </c>
      <c r="C1055" t="inlineStr">
        <is>
          <t>Folllow-up on FGMC Bridge activities: Ghana-Cameroon</t>
        </is>
      </c>
      <c r="D1055" t="inlineStr">
        <is>
          <t>James Parker Mckeown</t>
        </is>
      </c>
      <c r="E1055" t="inlineStr">
        <is>
          <t>James Parker Mckeown</t>
        </is>
      </c>
      <c r="F1055" s="5" t="n">
        <v>46162.77811342593</v>
      </c>
      <c r="G1055" t="inlineStr">
        <is>
          <t>Output 2.3</t>
        </is>
      </c>
      <c r="H1055" t="inlineStr">
        <is>
          <t>P23AC00C00 - FGMC</t>
        </is>
      </c>
      <c r="I1055" t="n">
        <v>2</v>
      </c>
      <c r="K1055" t="inlineStr">
        <is>
          <t>P23AC22A00 - Output Two (Elevating Local Solutions - West Africa)</t>
        </is>
      </c>
      <c r="L1055" t="b">
        <v>0</v>
      </c>
      <c r="M1055" t="inlineStr">
        <is>
          <t>Non-Billable</t>
        </is>
      </c>
      <c r="N1055" s="6">
        <f>IF(B1055="","",IF(ISNUMBER(B1055),TEXT(B1055,"YYYY-MM"),LEFT(B1055,7)))</f>
        <v/>
      </c>
    </row>
    <row r="1056">
      <c r="A1056" t="inlineStr">
        <is>
          <t>James Parker Mckeown</t>
        </is>
      </c>
      <c r="B1056" s="4" t="n">
        <v>46132</v>
      </c>
      <c r="C1056" t="inlineStr">
        <is>
          <t>Monitoring effective pilot: Rebecca White</t>
        </is>
      </c>
      <c r="D1056" t="inlineStr">
        <is>
          <t>James Parker Mckeown</t>
        </is>
      </c>
      <c r="E1056" t="inlineStr">
        <is>
          <t>James Parker Mckeown</t>
        </is>
      </c>
      <c r="F1056" s="5" t="n">
        <v>46162.77459490741</v>
      </c>
      <c r="H1056" t="inlineStr">
        <is>
          <t>Global Internal Projects (GIPs)</t>
        </is>
      </c>
      <c r="I1056" t="n">
        <v>1</v>
      </c>
      <c r="K1056" t="inlineStr">
        <is>
          <t>Measurement, Reporting and Impact</t>
        </is>
      </c>
      <c r="L1056" t="b">
        <v>1</v>
      </c>
      <c r="M1056" t="inlineStr">
        <is>
          <t>Non-Billable</t>
        </is>
      </c>
      <c r="N1056" s="6">
        <f>IF(B1056="","",IF(ISNUMBER(B1056),TEXT(B1056,"YYYY-MM"),LEFT(B1056,7)))</f>
        <v/>
      </c>
    </row>
    <row r="1057">
      <c r="A1057" t="inlineStr">
        <is>
          <t>James Parker Mckeown</t>
        </is>
      </c>
      <c r="B1057" s="4" t="n">
        <v>46132</v>
      </c>
      <c r="C1057" t="inlineStr">
        <is>
          <t>Follow-up on LEW Social Safeguarding session planning</t>
        </is>
      </c>
      <c r="D1057" t="inlineStr">
        <is>
          <t>James Parker Mckeown</t>
        </is>
      </c>
      <c r="E1057" t="inlineStr">
        <is>
          <t>James Parker Mckeown</t>
        </is>
      </c>
      <c r="F1057" s="5" t="n">
        <v>46162.77358796296</v>
      </c>
      <c r="H1057" t="inlineStr">
        <is>
          <t>Non-Billable Tasks</t>
        </is>
      </c>
      <c r="I1057" t="n">
        <v>3</v>
      </c>
      <c r="K1057" t="inlineStr">
        <is>
          <t>Internal Focal points and workstreams</t>
        </is>
      </c>
      <c r="L1057" t="b">
        <v>0</v>
      </c>
      <c r="M1057" t="inlineStr">
        <is>
          <t>Non-Billable</t>
        </is>
      </c>
      <c r="N1057" s="6">
        <f>IF(B1057="","",IF(ISNUMBER(B1057),TEXT(B1057,"YYYY-MM"),LEFT(B1057,7)))</f>
        <v/>
      </c>
    </row>
    <row r="1058">
      <c r="A1058" t="inlineStr">
        <is>
          <t>James Parker Mckeown</t>
        </is>
      </c>
      <c r="B1058" s="4" t="n">
        <v>46132</v>
      </c>
      <c r="C1058" t="inlineStr">
        <is>
          <t>FGMC Forum expenses returns</t>
        </is>
      </c>
      <c r="D1058" t="inlineStr">
        <is>
          <t>James Parker Mckeown</t>
        </is>
      </c>
      <c r="E1058" t="inlineStr">
        <is>
          <t>James Parker Mckeown</t>
        </is>
      </c>
      <c r="F1058" s="5" t="n">
        <v>46162.77291666667</v>
      </c>
      <c r="G1058" t="inlineStr">
        <is>
          <t>Output 4</t>
        </is>
      </c>
      <c r="H1058" t="inlineStr">
        <is>
          <t>P23AC00C00 - FGMC</t>
        </is>
      </c>
      <c r="I1058" t="n">
        <v>3</v>
      </c>
      <c r="K1058" t="inlineStr">
        <is>
          <t>P23AC03A00 - Project Management</t>
        </is>
      </c>
      <c r="L1058" t="b">
        <v>0</v>
      </c>
      <c r="M1058" t="inlineStr">
        <is>
          <t>Non-Billable</t>
        </is>
      </c>
      <c r="N1058" s="6">
        <f>IF(B1058="","",IF(ISNUMBER(B1058),TEXT(B1058,"YYYY-MM"),LEFT(B1058,7)))</f>
        <v/>
      </c>
    </row>
    <row r="1059">
      <c r="A1059" t="inlineStr">
        <is>
          <t>James Parker Mckeown</t>
        </is>
      </c>
      <c r="B1059" s="4" t="n">
        <v>46132</v>
      </c>
      <c r="C1059" t="inlineStr">
        <is>
          <t xml:space="preserve">One-on-one catch up with Jian </t>
        </is>
      </c>
      <c r="D1059" t="inlineStr">
        <is>
          <t>James Parker Mckeown</t>
        </is>
      </c>
      <c r="E1059" t="inlineStr">
        <is>
          <t>James Parker Mckeown</t>
        </is>
      </c>
      <c r="F1059" s="5" t="n">
        <v>46162.77194444444</v>
      </c>
      <c r="G1059" t="inlineStr">
        <is>
          <t>Output 3</t>
        </is>
      </c>
      <c r="H1059" t="inlineStr">
        <is>
          <t>P23AC00C00 - FGMC</t>
        </is>
      </c>
      <c r="I1059" t="n">
        <v>2</v>
      </c>
      <c r="K1059" t="inlineStr">
        <is>
          <t>P23AC13A00 - Output one (Demand Side Analysis and Policy Intergration.</t>
        </is>
      </c>
      <c r="L1059" t="b">
        <v>0</v>
      </c>
      <c r="M1059" t="inlineStr">
        <is>
          <t>Non-Billable</t>
        </is>
      </c>
      <c r="N1059" s="6">
        <f>IF(B1059="","",IF(ISNUMBER(B1059),TEXT(B1059,"YYYY-MM"),LEFT(B1059,7)))</f>
        <v/>
      </c>
    </row>
    <row r="1060">
      <c r="A1060" t="inlineStr">
        <is>
          <t>Patricia Offei</t>
        </is>
      </c>
      <c r="B1060" s="4" t="n">
        <v>46132</v>
      </c>
      <c r="C1060" t="inlineStr">
        <is>
          <t>Safacam FW</t>
        </is>
      </c>
      <c r="D1060" t="inlineStr">
        <is>
          <t>Patricia Offei</t>
        </is>
      </c>
      <c r="E1060" t="inlineStr">
        <is>
          <t>Patricia Offei</t>
        </is>
      </c>
      <c r="F1060" s="5" t="n">
        <v>46162.59934027777</v>
      </c>
      <c r="H1060" t="inlineStr">
        <is>
          <t>PCGH774 -Evaluation Deep-Dive Action Plans by Socfin Group</t>
        </is>
      </c>
      <c r="I1060" t="n">
        <v>8</v>
      </c>
      <c r="J1060" t="inlineStr">
        <is>
          <t>PCGH774 - Field Verification (2) (Socfinco FR SA)</t>
        </is>
      </c>
      <c r="L1060" t="b">
        <v>1</v>
      </c>
      <c r="M1060" t="inlineStr">
        <is>
          <t>Billed at a Fixed price</t>
        </is>
      </c>
      <c r="N1060" s="6">
        <f>IF(B1060="","",IF(ISNUMBER(B1060),TEXT(B1060,"YYYY-MM"),LEFT(B1060,7)))</f>
        <v/>
      </c>
    </row>
    <row r="1061">
      <c r="A1061" t="inlineStr">
        <is>
          <t>Kingsley Fitz-Gerald Severine</t>
        </is>
      </c>
      <c r="B1061" s="4" t="n">
        <v>46132</v>
      </c>
      <c r="C1061" t="inlineStr">
        <is>
          <t>/</t>
        </is>
      </c>
      <c r="D1061" t="inlineStr">
        <is>
          <t>Kingsley Fitz-Gerald Severine</t>
        </is>
      </c>
      <c r="E1061" t="inlineStr">
        <is>
          <t>Kingsley Fitz-Gerald Severine</t>
        </is>
      </c>
      <c r="F1061" s="5" t="n">
        <v>46162.55695601852</v>
      </c>
      <c r="G1061" t="inlineStr">
        <is>
          <t>Pre-assessment and desk-based review of documents</t>
        </is>
      </c>
      <c r="H1061" t="inlineStr">
        <is>
          <t>PCGH792</t>
        </is>
      </c>
      <c r="I1061" t="n">
        <v>0</v>
      </c>
      <c r="J1061" t="inlineStr">
        <is>
          <t>PCGH792 - Desk Study (3) (Okeosisi Jonathan)</t>
        </is>
      </c>
      <c r="K1061" t="inlineStr">
        <is>
          <t>Rapid due diligence</t>
        </is>
      </c>
      <c r="L1061" t="b">
        <v>1</v>
      </c>
      <c r="M1061" t="inlineStr">
        <is>
          <t>Billed at a Fixed price</t>
        </is>
      </c>
      <c r="N1061" s="6">
        <f>IF(B1061="","",IF(ISNUMBER(B1061),TEXT(B1061,"YYYY-MM"),LEFT(B1061,7)))</f>
        <v/>
      </c>
    </row>
    <row r="1062">
      <c r="A1062" t="inlineStr">
        <is>
          <t>Kingsley Fitz-Gerald Severine</t>
        </is>
      </c>
      <c r="B1062" s="4" t="n">
        <v>46132</v>
      </c>
      <c r="C1062" t="inlineStr">
        <is>
          <t>/</t>
        </is>
      </c>
      <c r="D1062" t="inlineStr">
        <is>
          <t>Kingsley Fitz-Gerald Severine</t>
        </is>
      </c>
      <c r="E1062" t="inlineStr">
        <is>
          <t>Kingsley Fitz-Gerald Severine</t>
        </is>
      </c>
      <c r="F1062" s="5" t="n">
        <v>46162.55693287037</v>
      </c>
      <c r="H1062" t="inlineStr">
        <is>
          <t>PCGH789 - Valency MSMO EHS audit</t>
        </is>
      </c>
      <c r="I1062" t="n">
        <v>2.5</v>
      </c>
      <c r="J1062" t="inlineStr">
        <is>
          <t>PCGH789 - Reporting (3) (Valency International DMCC)</t>
        </is>
      </c>
      <c r="K1062" t="inlineStr">
        <is>
          <t>Final Reporting (3)</t>
        </is>
      </c>
      <c r="L1062" t="b">
        <v>1</v>
      </c>
      <c r="M1062" t="inlineStr">
        <is>
          <t>Billed at a Fixed price</t>
        </is>
      </c>
      <c r="N1062" s="6">
        <f>IF(B1062="","",IF(ISNUMBER(B1062),TEXT(B1062,"YYYY-MM"),LEFT(B1062,7)))</f>
        <v/>
      </c>
    </row>
    <row r="1063">
      <c r="A1063" t="inlineStr">
        <is>
          <t>Kingsley Fitz-Gerald Severine</t>
        </is>
      </c>
      <c r="B1063" s="4" t="n">
        <v>46132</v>
      </c>
      <c r="C1063" t="inlineStr">
        <is>
          <t>/</t>
        </is>
      </c>
      <c r="D1063" t="inlineStr">
        <is>
          <t>Kingsley Fitz-Gerald Severine</t>
        </is>
      </c>
      <c r="E1063" t="inlineStr">
        <is>
          <t>Kingsley Fitz-Gerald Severine</t>
        </is>
      </c>
      <c r="F1063" s="5" t="n">
        <v>46162.55307870371</v>
      </c>
      <c r="H1063" t="inlineStr">
        <is>
          <t>PCGH789 - Valency MSMO EHS audit</t>
        </is>
      </c>
      <c r="I1063" t="n">
        <v>5.5</v>
      </c>
      <c r="J1063" t="inlineStr">
        <is>
          <t>PCGH789 - Site Assessment (3) (Valency International DMCC)</t>
        </is>
      </c>
      <c r="K1063" t="inlineStr">
        <is>
          <t>1st quarterly visit (3)</t>
        </is>
      </c>
      <c r="L1063" t="b">
        <v>1</v>
      </c>
      <c r="M1063" t="inlineStr">
        <is>
          <t>Billed at a Fixed price</t>
        </is>
      </c>
      <c r="N1063" s="6">
        <f>IF(B1063="","",IF(ISNUMBER(B1063),TEXT(B1063,"YYYY-MM"),LEFT(B1063,7)))</f>
        <v/>
      </c>
    </row>
    <row r="1064">
      <c r="A1064" t="inlineStr">
        <is>
          <t>Kwadwo Baniako Nti</t>
        </is>
      </c>
      <c r="B1064" s="4" t="n">
        <v>46132</v>
      </c>
      <c r="C1064" t="inlineStr">
        <is>
          <t>/</t>
        </is>
      </c>
      <c r="D1064" t="inlineStr">
        <is>
          <t>Kwadwo Baniako Nti</t>
        </is>
      </c>
      <c r="E1064" t="inlineStr">
        <is>
          <t>Kwadwo Baniako Nti</t>
        </is>
      </c>
      <c r="F1064" s="5" t="n">
        <v>46161.79013888889</v>
      </c>
      <c r="G1064" t="inlineStr">
        <is>
          <t>Field verification and reporting in Nigeria (3)</t>
        </is>
      </c>
      <c r="H1064" t="inlineStr">
        <is>
          <t>PCGH775 - ESDD of Valency Operations for FMO</t>
        </is>
      </c>
      <c r="I1064" t="n">
        <v>1</v>
      </c>
      <c r="J1064" t="inlineStr">
        <is>
          <t>PCGH775 - Field Verification (3) (Valency International DMCC)</t>
        </is>
      </c>
      <c r="K1064" t="inlineStr">
        <is>
          <t>Analysis and reporting in Nigeria</t>
        </is>
      </c>
      <c r="L1064" t="b">
        <v>1</v>
      </c>
      <c r="M1064" t="inlineStr">
        <is>
          <t>Billed at a Fixed price</t>
        </is>
      </c>
      <c r="N1064" s="6">
        <f>IF(B1064="","",IF(ISNUMBER(B1064),TEXT(B1064,"YYYY-MM"),LEFT(B1064,7)))</f>
        <v/>
      </c>
    </row>
    <row r="1065">
      <c r="A1065" t="inlineStr">
        <is>
          <t>Kwadwo Baniako Nti</t>
        </is>
      </c>
      <c r="B1065" s="4" t="n">
        <v>46132</v>
      </c>
      <c r="C1065" t="inlineStr">
        <is>
          <t>/</t>
        </is>
      </c>
      <c r="D1065" t="inlineStr">
        <is>
          <t>Kwadwo Baniako Nti</t>
        </is>
      </c>
      <c r="E1065" t="inlineStr">
        <is>
          <t>Kwadwo Baniako Nti</t>
        </is>
      </c>
      <c r="F1065" s="5" t="n">
        <v>46161.77851851852</v>
      </c>
      <c r="G1065" t="inlineStr">
        <is>
          <t>Baseline Socio-Economic &amp; Environmental Surveys</t>
        </is>
      </c>
      <c r="H1065" t="inlineStr">
        <is>
          <t>PCGH762 - GVL HCSA Restoration Project</t>
        </is>
      </c>
      <c r="I1065" t="n">
        <v>3</v>
      </c>
      <c r="J1065" t="inlineStr">
        <is>
          <t>PCGH762 - Baseline Socio-Economic &amp; Environmental Surveys (Golden Veroleum Liberia)</t>
        </is>
      </c>
      <c r="K1065" t="inlineStr">
        <is>
          <t>Baseline Socio-Economic &amp; Environmental Surveys</t>
        </is>
      </c>
      <c r="L1065" t="b">
        <v>1</v>
      </c>
      <c r="M1065" t="inlineStr">
        <is>
          <t>Billed at a Fixed price</t>
        </is>
      </c>
      <c r="N1065" s="6">
        <f>IF(B1065="","",IF(ISNUMBER(B1065),TEXT(B1065,"YYYY-MM"),LEFT(B1065,7)))</f>
        <v/>
      </c>
    </row>
    <row r="1066">
      <c r="A1066" t="inlineStr">
        <is>
          <t>Kwadwo Baniako Nti</t>
        </is>
      </c>
      <c r="B1066" s="4" t="n">
        <v>46132</v>
      </c>
      <c r="C1066" t="inlineStr">
        <is>
          <t>Insetting Practitioners Training/CLimate Deep Dive Training</t>
        </is>
      </c>
      <c r="D1066" t="inlineStr">
        <is>
          <t>Kwadwo Baniako Nti</t>
        </is>
      </c>
      <c r="E1066" t="inlineStr">
        <is>
          <t>Kwadwo Baniako Nti</t>
        </is>
      </c>
      <c r="F1066" s="5" t="n">
        <v>46161.77451388889</v>
      </c>
      <c r="H1066" t="inlineStr">
        <is>
          <t>Non-Billable Tasks</t>
        </is>
      </c>
      <c r="I1066" t="n">
        <v>2</v>
      </c>
      <c r="K1066" t="inlineStr">
        <is>
          <t>Professional development and Knowledge sharing(training,global knowledge calls,exchange weeks)</t>
        </is>
      </c>
      <c r="L1066" t="b">
        <v>0</v>
      </c>
      <c r="M1066" t="inlineStr">
        <is>
          <t>Non-Billable</t>
        </is>
      </c>
      <c r="N1066" s="6">
        <f>IF(B1066="","",IF(ISNUMBER(B1066),TEXT(B1066,"YYYY-MM"),LEFT(B1066,7)))</f>
        <v/>
      </c>
    </row>
    <row r="1067">
      <c r="A1067" t="inlineStr">
        <is>
          <t>Kwadwo Baniako Nti</t>
        </is>
      </c>
      <c r="B1067" s="4" t="n">
        <v>46132</v>
      </c>
      <c r="C1067" t="inlineStr">
        <is>
          <t>/</t>
        </is>
      </c>
      <c r="D1067" t="inlineStr">
        <is>
          <t>Kwadwo Baniako Nti</t>
        </is>
      </c>
      <c r="E1067" t="inlineStr">
        <is>
          <t>Kwadwo Baniako Nti</t>
        </is>
      </c>
      <c r="F1067" s="5" t="n">
        <v>46161.75917824074</v>
      </c>
      <c r="G1067" t="inlineStr">
        <is>
          <t>Desk Study (3)</t>
        </is>
      </c>
      <c r="H1067" t="inlineStr">
        <is>
          <t>PCGH786 - Impact Level Baseline assessment for FGMC</t>
        </is>
      </c>
      <c r="I1067" t="n">
        <v>2</v>
      </c>
      <c r="J1067" t="inlineStr">
        <is>
          <t>PCGH786 - Desk Study (3) (NIRAS Group (UK) Ltd)</t>
        </is>
      </c>
      <c r="K1067" t="inlineStr">
        <is>
          <t>Desk Study</t>
        </is>
      </c>
      <c r="L1067" t="b">
        <v>1</v>
      </c>
      <c r="M1067" t="inlineStr">
        <is>
          <t>Billed at a Fixed price</t>
        </is>
      </c>
      <c r="N1067" s="6">
        <f>IF(B1067="","",IF(ISNUMBER(B1067),TEXT(B1067,"YYYY-MM"),LEFT(B1067,7)))</f>
        <v/>
      </c>
    </row>
    <row r="1068">
      <c r="A1068" t="inlineStr">
        <is>
          <t>Frederick Antwi</t>
        </is>
      </c>
      <c r="B1068" s="4" t="n">
        <v>46132</v>
      </c>
      <c r="C1068" t="inlineStr">
        <is>
          <t>/</t>
        </is>
      </c>
      <c r="D1068" t="inlineStr">
        <is>
          <t>Frederick Antwi</t>
        </is>
      </c>
      <c r="E1068" t="inlineStr">
        <is>
          <t>Frederick Antwi</t>
        </is>
      </c>
      <c r="F1068" s="5" t="n">
        <v>46160.6367824074</v>
      </c>
      <c r="H1068" t="inlineStr">
        <is>
          <t>P13PC00A00 - Private Sector Companies</t>
        </is>
      </c>
      <c r="I1068" t="n">
        <v>8</v>
      </c>
      <c r="L1068" t="b">
        <v>0</v>
      </c>
      <c r="M1068" t="inlineStr">
        <is>
          <t>Non-Billable</t>
        </is>
      </c>
      <c r="N1068" s="6">
        <f>IF(B1068="","",IF(ISNUMBER(B1068),TEXT(B1068,"YYYY-MM"),LEFT(B1068,7)))</f>
        <v/>
      </c>
    </row>
    <row r="1069">
      <c r="A1069" t="inlineStr">
        <is>
          <t>Augustus Asamoah</t>
        </is>
      </c>
      <c r="B1069" s="4" t="n">
        <v>46132</v>
      </c>
      <c r="C1069" t="inlineStr">
        <is>
          <t>Field Report drafting</t>
        </is>
      </c>
      <c r="D1069" t="inlineStr">
        <is>
          <t>Augustus Asamoah</t>
        </is>
      </c>
      <c r="E1069" t="inlineStr">
        <is>
          <t>Augustus Asamoah</t>
        </is>
      </c>
      <c r="F1069" s="5" t="n">
        <v>46156.6915162037</v>
      </c>
      <c r="H1069" t="inlineStr">
        <is>
          <t>PCGH784</t>
        </is>
      </c>
      <c r="I1069" t="n">
        <v>0</v>
      </c>
      <c r="J1069" t="inlineStr">
        <is>
          <t>PCGH784 - Desk Study (3) (Okeosisi Jonathan)</t>
        </is>
      </c>
      <c r="L1069" t="b">
        <v>1</v>
      </c>
      <c r="M1069" t="inlineStr">
        <is>
          <t>Billed at a Fixed price</t>
        </is>
      </c>
      <c r="N1069" s="6">
        <f>IF(B1069="","",IF(ISNUMBER(B1069),TEXT(B1069,"YYYY-MM"),LEFT(B1069,7)))</f>
        <v/>
      </c>
    </row>
    <row r="1070">
      <c r="A1070" t="inlineStr">
        <is>
          <t>Augustus Asamoah</t>
        </is>
      </c>
      <c r="B1070" s="4" t="n">
        <v>46132</v>
      </c>
      <c r="C1070" t="inlineStr">
        <is>
          <t>/</t>
        </is>
      </c>
      <c r="D1070" t="inlineStr">
        <is>
          <t>Augustus Asamoah</t>
        </is>
      </c>
      <c r="E1070" t="inlineStr">
        <is>
          <t>Augustus Asamoah</t>
        </is>
      </c>
      <c r="F1070" s="5" t="n">
        <v>46156.68865740741</v>
      </c>
      <c r="H1070" t="inlineStr">
        <is>
          <t>P13QC00A00 - EFI Programme</t>
        </is>
      </c>
      <c r="I1070" t="n">
        <v>0</v>
      </c>
      <c r="L1070" t="b">
        <v>0</v>
      </c>
      <c r="M1070" t="inlineStr">
        <is>
          <t>Non-Billable</t>
        </is>
      </c>
      <c r="N1070" s="6">
        <f>IF(B1070="","",IF(ISNUMBER(B1070),TEXT(B1070,"YYYY-MM"),LEFT(B1070,7)))</f>
        <v/>
      </c>
    </row>
    <row r="1071">
      <c r="A1071" t="inlineStr">
        <is>
          <t>Augustus Asamoah</t>
        </is>
      </c>
      <c r="B1071" s="4" t="n">
        <v>46132</v>
      </c>
      <c r="C1071" t="inlineStr">
        <is>
          <t>Material supply and AFS</t>
        </is>
      </c>
      <c r="D1071" t="inlineStr">
        <is>
          <t>Augustus Asamoah</t>
        </is>
      </c>
      <c r="E1071" t="inlineStr">
        <is>
          <t>Augustus Asamoah</t>
        </is>
      </c>
      <c r="F1071" s="5" t="n">
        <v>46156.68094907407</v>
      </c>
      <c r="H1071" t="inlineStr">
        <is>
          <t>P13NC00A00 - WALMART II</t>
        </is>
      </c>
      <c r="I1071" t="n">
        <v>4</v>
      </c>
      <c r="L1071" t="b">
        <v>0</v>
      </c>
      <c r="M1071" t="inlineStr">
        <is>
          <t>Non-Billable</t>
        </is>
      </c>
      <c r="N1071" s="6">
        <f>IF(B1071="","",IF(ISNUMBER(B1071),TEXT(B1071,"YYYY-MM"),LEFT(B1071,7)))</f>
        <v/>
      </c>
    </row>
    <row r="1072">
      <c r="A1072" t="inlineStr">
        <is>
          <t>Augustus Asamoah</t>
        </is>
      </c>
      <c r="B1072" s="4" t="n">
        <v>46132</v>
      </c>
      <c r="C1072" t="inlineStr">
        <is>
          <t>AFS for Demarcation etc</t>
        </is>
      </c>
      <c r="D1072" t="inlineStr">
        <is>
          <t>Augustus Asamoah</t>
        </is>
      </c>
      <c r="E1072" t="inlineStr">
        <is>
          <t>Augustus Asamoah</t>
        </is>
      </c>
      <c r="F1072" s="5" t="n">
        <v>46156.68045138889</v>
      </c>
      <c r="H1072" t="inlineStr">
        <is>
          <t>P13PC00A00 - Private Sector Companies</t>
        </is>
      </c>
      <c r="I1072" t="n">
        <v>4</v>
      </c>
      <c r="L1072" t="b">
        <v>0</v>
      </c>
      <c r="M1072" t="inlineStr">
        <is>
          <t>Non-Billable</t>
        </is>
      </c>
      <c r="N1072" s="6">
        <f>IF(B1072="","",IF(ISNUMBER(B1072),TEXT(B1072,"YYYY-MM"),LEFT(B1072,7)))</f>
        <v/>
      </c>
    </row>
    <row r="1073">
      <c r="A1073" t="inlineStr">
        <is>
          <t>Soro TCHEREGNIMIN</t>
        </is>
      </c>
      <c r="B1073" s="4" t="n">
        <v>46132</v>
      </c>
      <c r="C1073" t="inlineStr">
        <is>
          <t>Risk identification in cocoa farming in Cameroon</t>
        </is>
      </c>
      <c r="D1073" t="inlineStr">
        <is>
          <t>Soro TCHEREGNIMIN</t>
        </is>
      </c>
      <c r="E1073" t="inlineStr">
        <is>
          <t>Soro TCHEREGNIMIN</t>
        </is>
      </c>
      <c r="F1073" s="5" t="n">
        <v>46154.94666666666</v>
      </c>
      <c r="H1073" t="inlineStr">
        <is>
          <t>Non-Billable Tasks</t>
        </is>
      </c>
      <c r="I1073" t="n">
        <v>8</v>
      </c>
      <c r="L1073" t="b">
        <v>0</v>
      </c>
      <c r="M1073" t="inlineStr">
        <is>
          <t>Non-Billable</t>
        </is>
      </c>
      <c r="N1073" s="6">
        <f>IF(B1073="","",IF(ISNUMBER(B1073),TEXT(B1073,"YYYY-MM"),LEFT(B1073,7)))</f>
        <v/>
      </c>
    </row>
    <row r="1074">
      <c r="A1074" t="inlineStr">
        <is>
          <t>Helena Tetteh</t>
        </is>
      </c>
      <c r="B1074" s="4" t="n">
        <v>46132</v>
      </c>
      <c r="C1074" t="inlineStr">
        <is>
          <t>/</t>
        </is>
      </c>
      <c r="D1074" t="inlineStr">
        <is>
          <t xml:space="preserve">Helena Tetteh </t>
        </is>
      </c>
      <c r="E1074" t="inlineStr">
        <is>
          <t>OdooBot</t>
        </is>
      </c>
      <c r="F1074" s="5" t="n">
        <v>46154.70721064815</v>
      </c>
      <c r="G1074" t="inlineStr">
        <is>
          <t>Output 2.3</t>
        </is>
      </c>
      <c r="H1074" t="inlineStr">
        <is>
          <t>P23AC00C00 - FGMC</t>
        </is>
      </c>
      <c r="I1074" t="n">
        <v>-2</v>
      </c>
      <c r="K1074" t="inlineStr">
        <is>
          <t>P23AC22A00 - Output Two (Elevating Local Solutions - West Africa)</t>
        </is>
      </c>
      <c r="L1074" t="b">
        <v>0</v>
      </c>
      <c r="M1074" t="inlineStr">
        <is>
          <t>Non-Billable</t>
        </is>
      </c>
      <c r="N1074" s="6">
        <f>IF(B1074="","",IF(ISNUMBER(B1074),TEXT(B1074,"YYYY-MM"),LEFT(B1074,7)))</f>
        <v/>
      </c>
    </row>
    <row r="1075">
      <c r="A1075" t="inlineStr">
        <is>
          <t>Helena Tetteh</t>
        </is>
      </c>
      <c r="B1075" s="4" t="n">
        <v>46132</v>
      </c>
      <c r="C1075" t="inlineStr">
        <is>
          <t>TaylorCrabbe x ISEAL x Proforest, FGMC BRIDGE Programe updates for Liberia</t>
        </is>
      </c>
      <c r="D1075" t="inlineStr">
        <is>
          <t xml:space="preserve">Helena Tetteh </t>
        </is>
      </c>
      <c r="E1075" t="inlineStr">
        <is>
          <t>OdooBot</t>
        </is>
      </c>
      <c r="F1075" s="5" t="n">
        <v>46154.70721064815</v>
      </c>
      <c r="G1075" t="inlineStr">
        <is>
          <t>Output 2.3</t>
        </is>
      </c>
      <c r="H1075" t="inlineStr">
        <is>
          <t>P23AC00C00 - FGMC</t>
        </is>
      </c>
      <c r="I1075" t="n">
        <v>2</v>
      </c>
      <c r="K1075" t="inlineStr">
        <is>
          <t>P23AC22A00 - Output Two (Elevating Local Solutions - West Africa)</t>
        </is>
      </c>
      <c r="L1075" t="b">
        <v>0</v>
      </c>
      <c r="M1075" t="inlineStr">
        <is>
          <t>Non-Billable</t>
        </is>
      </c>
      <c r="N1075" s="6">
        <f>IF(B1075="","",IF(ISNUMBER(B1075),TEXT(B1075,"YYYY-MM"),LEFT(B1075,7)))</f>
        <v/>
      </c>
    </row>
    <row r="1076">
      <c r="A1076" t="inlineStr">
        <is>
          <t>Helena Tetteh</t>
        </is>
      </c>
      <c r="B1076" s="4" t="n">
        <v>46132</v>
      </c>
      <c r="C1076" t="inlineStr">
        <is>
          <t>Input into analysis working session with TC, BRIDGE: SL &amp; PDLs Monthly meeting, etc</t>
        </is>
      </c>
      <c r="D1076" t="inlineStr">
        <is>
          <t xml:space="preserve">Helena Tetteh </t>
        </is>
      </c>
      <c r="E1076" t="inlineStr">
        <is>
          <t>OdooBot</t>
        </is>
      </c>
      <c r="F1076" s="5" t="n">
        <v>46154.70721064815</v>
      </c>
      <c r="G1076" t="inlineStr">
        <is>
          <t>Output 2.3</t>
        </is>
      </c>
      <c r="H1076" t="inlineStr">
        <is>
          <t>P23AC00C00 - FGMC</t>
        </is>
      </c>
      <c r="I1076" t="n">
        <v>8</v>
      </c>
      <c r="K1076" t="inlineStr">
        <is>
          <t>P23AC22A00 - Output Two (Elevating Local Solutions - West Africa)</t>
        </is>
      </c>
      <c r="L1076" t="b">
        <v>0</v>
      </c>
      <c r="M1076" t="inlineStr">
        <is>
          <t>Non-Billable</t>
        </is>
      </c>
      <c r="N1076" s="6">
        <f>IF(B1076="","",IF(ISNUMBER(B1076),TEXT(B1076,"YYYY-MM"),LEFT(B1076,7)))</f>
        <v/>
      </c>
    </row>
    <row r="1077">
      <c r="A1077" t="inlineStr">
        <is>
          <t>Afua Serwah Akoto Prempeh</t>
        </is>
      </c>
      <c r="B1077" s="4" t="n">
        <v>46132</v>
      </c>
      <c r="C1077" t="inlineStr">
        <is>
          <t>/</t>
        </is>
      </c>
      <c r="D1077" t="inlineStr">
        <is>
          <t>Afua Serwah Akoto Prempeh</t>
        </is>
      </c>
      <c r="E1077" t="inlineStr">
        <is>
          <t>OdooBot</t>
        </is>
      </c>
      <c r="F1077" s="5" t="n">
        <v>46154.70721064815</v>
      </c>
      <c r="H1077" t="inlineStr">
        <is>
          <t>Non-Billable Tasks</t>
        </is>
      </c>
      <c r="I1077" t="n">
        <v>4</v>
      </c>
      <c r="K1077" t="inlineStr">
        <is>
          <t>Professional development and Knowledge sharing(training,global knowledge calls,exchange weeks)</t>
        </is>
      </c>
      <c r="L1077" t="b">
        <v>0</v>
      </c>
      <c r="M1077" t="inlineStr">
        <is>
          <t>Non-Billable</t>
        </is>
      </c>
      <c r="N1077" s="6">
        <f>IF(B1077="","",IF(ISNUMBER(B1077),TEXT(B1077,"YYYY-MM"),LEFT(B1077,7)))</f>
        <v/>
      </c>
    </row>
    <row r="1078">
      <c r="A1078" t="inlineStr">
        <is>
          <t>Afua Serwah Akoto Prempeh</t>
        </is>
      </c>
      <c r="B1078" s="4" t="n">
        <v>46132</v>
      </c>
      <c r="C1078" t="inlineStr">
        <is>
          <t>/</t>
        </is>
      </c>
      <c r="D1078" t="inlineStr">
        <is>
          <t>Afua Serwah Akoto Prempeh</t>
        </is>
      </c>
      <c r="E1078" t="inlineStr">
        <is>
          <t>OdooBot</t>
        </is>
      </c>
      <c r="F1078" s="5" t="n">
        <v>46154.70721064815</v>
      </c>
      <c r="H1078" t="inlineStr">
        <is>
          <t>Non-Billable Tasks</t>
        </is>
      </c>
      <c r="I1078" t="n">
        <v>4</v>
      </c>
      <c r="L1078" t="b">
        <v>0</v>
      </c>
      <c r="M1078" t="inlineStr">
        <is>
          <t>Non-Billable</t>
        </is>
      </c>
      <c r="N1078" s="6">
        <f>IF(B1078="","",IF(ISNUMBER(B1078),TEXT(B1078,"YYYY-MM"),LEFT(B1078,7)))</f>
        <v/>
      </c>
    </row>
    <row r="1079">
      <c r="A1079" t="inlineStr">
        <is>
          <t>Stephen Doso</t>
        </is>
      </c>
      <c r="B1079" s="4" t="n">
        <v>46132</v>
      </c>
      <c r="C1079" t="inlineStr">
        <is>
          <t>/</t>
        </is>
      </c>
      <c r="D1079" t="inlineStr">
        <is>
          <t>Stephen Doso</t>
        </is>
      </c>
      <c r="E1079" t="inlineStr">
        <is>
          <t>OdooBot</t>
        </is>
      </c>
      <c r="F1079" s="5" t="n">
        <v>46154.70721064815</v>
      </c>
      <c r="H1079" t="inlineStr">
        <is>
          <t>PCGH792</t>
        </is>
      </c>
      <c r="I1079" t="n">
        <v>4</v>
      </c>
      <c r="J1079" t="inlineStr">
        <is>
          <t>PCGH792 - Desk Study (3) (Okeosisi Jonathan)</t>
        </is>
      </c>
      <c r="L1079" t="b">
        <v>1</v>
      </c>
      <c r="M1079" t="inlineStr">
        <is>
          <t>Billed at a Fixed price</t>
        </is>
      </c>
      <c r="N1079" s="6">
        <f>IF(B1079="","",IF(ISNUMBER(B1079),TEXT(B1079,"YYYY-MM"),LEFT(B1079,7)))</f>
        <v/>
      </c>
    </row>
    <row r="1080">
      <c r="A1080" t="inlineStr">
        <is>
          <t>Stephen Doso</t>
        </is>
      </c>
      <c r="B1080" s="4" t="n">
        <v>46132</v>
      </c>
      <c r="C1080" t="inlineStr">
        <is>
          <t>/</t>
        </is>
      </c>
      <c r="D1080" t="inlineStr">
        <is>
          <t>Stephen Doso</t>
        </is>
      </c>
      <c r="E1080" t="inlineStr">
        <is>
          <t>OdooBot</t>
        </is>
      </c>
      <c r="F1080" s="5" t="n">
        <v>46154.70721064815</v>
      </c>
      <c r="G1080" t="inlineStr">
        <is>
          <t>Pre-assessment and desk-based review of documents</t>
        </is>
      </c>
      <c r="H1080" t="inlineStr">
        <is>
          <t>PCGH792</t>
        </is>
      </c>
      <c r="I1080" t="n">
        <v>4</v>
      </c>
      <c r="J1080" t="inlineStr">
        <is>
          <t>PCGH792 - Desk Study (2) (Okeosisi Jonathan)</t>
        </is>
      </c>
      <c r="K1080" t="inlineStr">
        <is>
          <t>Rapid due diligence</t>
        </is>
      </c>
      <c r="L1080" t="b">
        <v>1</v>
      </c>
      <c r="M1080" t="inlineStr">
        <is>
          <t>Billed at a Fixed price</t>
        </is>
      </c>
      <c r="N1080" s="6">
        <f>IF(B1080="","",IF(ISNUMBER(B1080),TEXT(B1080,"YYYY-MM"),LEFT(B1080,7)))</f>
        <v/>
      </c>
    </row>
    <row r="1081">
      <c r="A1081" t="inlineStr">
        <is>
          <t>Louis Defo</t>
        </is>
      </c>
      <c r="B1081" s="4" t="n">
        <v>46132</v>
      </c>
      <c r="C1081" t="inlineStr">
        <is>
          <t>/</t>
        </is>
      </c>
      <c r="D1081" t="inlineStr">
        <is>
          <t>Louis Defo</t>
        </is>
      </c>
      <c r="E1081" t="inlineStr">
        <is>
          <t>OdooBot</t>
        </is>
      </c>
      <c r="F1081" s="5" t="n">
        <v>46154.70721064815</v>
      </c>
      <c r="H1081" t="inlineStr">
        <is>
          <t>PCGH774 -Evaluation Deep-Dive Action Plans by Socfin Group</t>
        </is>
      </c>
      <c r="I1081" t="n">
        <v>8</v>
      </c>
      <c r="J1081" t="inlineStr">
        <is>
          <t>PCGH774 - Project Management (2) (Socfinco FR SA)</t>
        </is>
      </c>
      <c r="L1081" t="b">
        <v>1</v>
      </c>
      <c r="M1081" t="inlineStr">
        <is>
          <t>Billed at a Fixed price</t>
        </is>
      </c>
      <c r="N1081" s="6">
        <f>IF(B1081="","",IF(ISNUMBER(B1081),TEXT(B1081,"YYYY-MM"),LEFT(B1081,7)))</f>
        <v/>
      </c>
    </row>
    <row r="1082">
      <c r="A1082" t="inlineStr">
        <is>
          <t>Daleba Bernard Kpenahi Raymond</t>
        </is>
      </c>
      <c r="B1082" s="4" t="n">
        <v>46132</v>
      </c>
      <c r="C1082" t="inlineStr">
        <is>
          <t xml:space="preserve">Develop Proposal for CEPF </t>
        </is>
      </c>
      <c r="D1082" t="inlineStr">
        <is>
          <t>Daleba Bernard Kpenahi Raymond</t>
        </is>
      </c>
      <c r="E1082" t="inlineStr">
        <is>
          <t>OdooBot</t>
        </is>
      </c>
      <c r="F1082" s="5" t="n">
        <v>46154.70721064815</v>
      </c>
      <c r="H1082" t="inlineStr">
        <is>
          <t>Non-Billable Tasks</t>
        </is>
      </c>
      <c r="I1082" t="n">
        <v>0</v>
      </c>
      <c r="K1082" t="inlineStr">
        <is>
          <t>Business Development and Networking</t>
        </is>
      </c>
      <c r="L1082" t="b">
        <v>0</v>
      </c>
      <c r="M1082" t="inlineStr">
        <is>
          <t>Non-Billable</t>
        </is>
      </c>
      <c r="N1082" s="6">
        <f>IF(B1082="","",IF(ISNUMBER(B1082),TEXT(B1082,"YYYY-MM"),LEFT(B1082,7)))</f>
        <v/>
      </c>
    </row>
    <row r="1083">
      <c r="A1083" t="inlineStr">
        <is>
          <t>Abel Ansu</t>
        </is>
      </c>
      <c r="B1083" s="4" t="n">
        <v>46132</v>
      </c>
      <c r="C1083" t="inlineStr">
        <is>
          <t>Visited Asirifi and Alhajikrom communities in Asunafo North district to sensitize farmers on MTS and reorganize their CRMCs</t>
        </is>
      </c>
      <c r="D1083" t="inlineStr">
        <is>
          <t>Abel Ansu</t>
        </is>
      </c>
      <c r="E1083" t="inlineStr">
        <is>
          <t>OdooBot</t>
        </is>
      </c>
      <c r="F1083" s="5" t="n">
        <v>46154.70721064815</v>
      </c>
      <c r="H1083" t="inlineStr">
        <is>
          <t>Internal</t>
        </is>
      </c>
      <c r="I1083" t="n">
        <v>8</v>
      </c>
      <c r="K1083" t="inlineStr">
        <is>
          <t>MTS Sensitization with farmers</t>
        </is>
      </c>
      <c r="L1083" t="b">
        <v>0</v>
      </c>
      <c r="M1083" t="inlineStr">
        <is>
          <t>Non-Billable</t>
        </is>
      </c>
      <c r="N1083" s="6">
        <f>IF(B1083="","",IF(ISNUMBER(B1083),TEXT(B1083,"YYYY-MM"),LEFT(B1083,7)))</f>
        <v/>
      </c>
    </row>
    <row r="1084">
      <c r="A1084" t="inlineStr">
        <is>
          <t>Patricia Offei</t>
        </is>
      </c>
      <c r="B1084" s="4" t="n">
        <v>46130</v>
      </c>
      <c r="C1084" t="inlineStr">
        <is>
          <t>/</t>
        </is>
      </c>
      <c r="D1084" t="inlineStr">
        <is>
          <t>Patricia Offei</t>
        </is>
      </c>
      <c r="E1084" t="inlineStr">
        <is>
          <t>Patricia Offei</t>
        </is>
      </c>
      <c r="F1084" s="5" t="n">
        <v>46162.59689814815</v>
      </c>
      <c r="H1084" t="inlineStr">
        <is>
          <t>PCGH774 -Evaluation Deep-Dive Action Plans by Socfin Group</t>
        </is>
      </c>
      <c r="I1084" t="n">
        <v>8</v>
      </c>
      <c r="J1084" t="inlineStr">
        <is>
          <t>PCGH774 - Project Management (2) (Socfinco FR SA)</t>
        </is>
      </c>
      <c r="L1084" t="b">
        <v>1</v>
      </c>
      <c r="M1084" t="inlineStr">
        <is>
          <t>Billed at a Fixed price</t>
        </is>
      </c>
      <c r="N1084" s="6">
        <f>IF(B1084="","",IF(ISNUMBER(B1084),TEXT(B1084,"YYYY-MM"),LEFT(B1084,7)))</f>
        <v/>
      </c>
    </row>
    <row r="1085">
      <c r="A1085" t="inlineStr">
        <is>
          <t>Ekow Nyamekye Tawiah</t>
        </is>
      </c>
      <c r="B1085" s="4" t="n">
        <v>46129</v>
      </c>
      <c r="C1085" t="inlineStr">
        <is>
          <t>Deforestation Risk Analysis</t>
        </is>
      </c>
      <c r="D1085" t="inlineStr">
        <is>
          <t>Joseph Isaiah Mensah</t>
        </is>
      </c>
      <c r="E1085" t="inlineStr">
        <is>
          <t>Ekow Nyamekye Tawiah</t>
        </is>
      </c>
      <c r="F1085" s="5" t="n">
        <v>46162.88072916667</v>
      </c>
      <c r="H1085" t="inlineStr">
        <is>
          <t>PCGH778 - General Support</t>
        </is>
      </c>
      <c r="I1085" t="n">
        <v>4</v>
      </c>
      <c r="J1085" t="inlineStr">
        <is>
          <t>PCGH778 - Support to Other Workstreams (3) (Proforest Limited(PCUK GBP))</t>
        </is>
      </c>
      <c r="L1085" t="b">
        <v>1</v>
      </c>
      <c r="M1085" t="inlineStr">
        <is>
          <t>Billed at a Fixed price</t>
        </is>
      </c>
      <c r="N1085" s="6">
        <f>IF(B1085="","",IF(ISNUMBER(B1085),TEXT(B1085,"YYYY-MM"),LEFT(B1085,7)))</f>
        <v/>
      </c>
    </row>
    <row r="1086">
      <c r="A1086" t="inlineStr">
        <is>
          <t>Joseph Isaiah Mensah</t>
        </is>
      </c>
      <c r="B1086" s="4" t="n">
        <v>46129</v>
      </c>
      <c r="C1086" t="inlineStr">
        <is>
          <t>/</t>
        </is>
      </c>
      <c r="D1086" t="inlineStr">
        <is>
          <t>Jacqueline Nyakutse Afua</t>
        </is>
      </c>
      <c r="E1086" t="inlineStr">
        <is>
          <t>Joseph Isaiah Mensah</t>
        </is>
      </c>
      <c r="F1086" s="5" t="n">
        <v>46162.77964120371</v>
      </c>
      <c r="H1086" t="inlineStr">
        <is>
          <t>PCGH774 -Evaluation Deep-Dive Action Plans by Socfin Group</t>
        </is>
      </c>
      <c r="I1086" t="n">
        <v>8</v>
      </c>
      <c r="J1086" t="inlineStr">
        <is>
          <t>PCGH774 - Field Verification (2) (Socfinco FR SA)</t>
        </is>
      </c>
      <c r="K1086" t="inlineStr">
        <is>
          <t>[Cameroon, Socapalm （Dibombari + Edéa + Mbongo + Mbambou） Report review] - Field verification/observation/community and stakeholder engagement</t>
        </is>
      </c>
      <c r="L1086" t="b">
        <v>1</v>
      </c>
      <c r="M1086" t="inlineStr">
        <is>
          <t>Billed at a Fixed price</t>
        </is>
      </c>
      <c r="N1086" s="6">
        <f>IF(B1086="","",IF(ISNUMBER(B1086),TEXT(B1086,"YYYY-MM"),LEFT(B1086,7)))</f>
        <v/>
      </c>
    </row>
    <row r="1087">
      <c r="A1087" t="inlineStr">
        <is>
          <t>James Parker Mckeown</t>
        </is>
      </c>
      <c r="B1087" s="4" t="n">
        <v>46129</v>
      </c>
      <c r="C1087" t="inlineStr">
        <is>
          <t>/</t>
        </is>
      </c>
      <c r="D1087" t="inlineStr">
        <is>
          <t>James Parker Mckeown</t>
        </is>
      </c>
      <c r="E1087" t="inlineStr">
        <is>
          <t>James Parker Mckeown</t>
        </is>
      </c>
      <c r="F1087" s="5" t="n">
        <v>46162.77064814815</v>
      </c>
      <c r="G1087" t="inlineStr">
        <is>
          <t>Output 2.1</t>
        </is>
      </c>
      <c r="H1087" t="inlineStr">
        <is>
          <t>P23AC00C00 - FGMC</t>
        </is>
      </c>
      <c r="I1087" t="n">
        <v>8</v>
      </c>
      <c r="K1087" t="inlineStr">
        <is>
          <t>P23AC32A00 - Connecting Supply and Demand Side</t>
        </is>
      </c>
      <c r="L1087" t="b">
        <v>0</v>
      </c>
      <c r="M1087" t="inlineStr">
        <is>
          <t>Non-Billable</t>
        </is>
      </c>
      <c r="N1087" s="6">
        <f>IF(B1087="","",IF(ISNUMBER(B1087),TEXT(B1087,"YYYY-MM"),LEFT(B1087,7)))</f>
        <v/>
      </c>
    </row>
    <row r="1088">
      <c r="A1088" t="inlineStr">
        <is>
          <t>Patricia Offei</t>
        </is>
      </c>
      <c r="B1088" s="4" t="n">
        <v>46129</v>
      </c>
      <c r="C1088" t="inlineStr">
        <is>
          <t>/</t>
        </is>
      </c>
      <c r="D1088" t="inlineStr">
        <is>
          <t>Patricia Offei</t>
        </is>
      </c>
      <c r="E1088" t="inlineStr">
        <is>
          <t>Patricia Offei</t>
        </is>
      </c>
      <c r="F1088" s="5" t="n">
        <v>46162.59685185185</v>
      </c>
      <c r="H1088" t="inlineStr">
        <is>
          <t>PCGH774 -Evaluation Deep-Dive Action Plans by Socfin Group</t>
        </is>
      </c>
      <c r="I1088" t="n">
        <v>8</v>
      </c>
      <c r="J1088" t="inlineStr">
        <is>
          <t>PCGH774 - Project Management (2) (Socfinco FR SA)</t>
        </is>
      </c>
      <c r="L1088" t="b">
        <v>1</v>
      </c>
      <c r="M1088" t="inlineStr">
        <is>
          <t>Billed at a Fixed price</t>
        </is>
      </c>
      <c r="N1088" s="6">
        <f>IF(B1088="","",IF(ISNUMBER(B1088),TEXT(B1088,"YYYY-MM"),LEFT(B1088,7)))</f>
        <v/>
      </c>
    </row>
    <row r="1089">
      <c r="A1089" t="inlineStr">
        <is>
          <t>Kwadwo Baniako Nti</t>
        </is>
      </c>
      <c r="B1089" s="4" t="n">
        <v>46129</v>
      </c>
      <c r="C1089" t="inlineStr">
        <is>
          <t>/</t>
        </is>
      </c>
      <c r="D1089" t="inlineStr">
        <is>
          <t>Kwadwo Baniako Nti</t>
        </is>
      </c>
      <c r="E1089" t="inlineStr">
        <is>
          <t>Kwadwo Baniako Nti</t>
        </is>
      </c>
      <c r="F1089" s="5" t="n">
        <v>46162.38385416667</v>
      </c>
      <c r="G1089" t="inlineStr">
        <is>
          <t>Training and Capacity Building</t>
        </is>
      </c>
      <c r="H1089" t="inlineStr">
        <is>
          <t>PCGH762 - GVL HCSA Restoration Project</t>
        </is>
      </c>
      <c r="I1089" t="n">
        <v>1</v>
      </c>
      <c r="J1089" t="inlineStr">
        <is>
          <t>PCGH762 - Training and Capacity Building (Golden Veroleum Liberia)</t>
        </is>
      </c>
      <c r="K1089" t="inlineStr">
        <is>
          <t>Training and Capacity Building</t>
        </is>
      </c>
      <c r="L1089" t="b">
        <v>1</v>
      </c>
      <c r="M1089" t="inlineStr">
        <is>
          <t>Billed at a Fixed price</t>
        </is>
      </c>
      <c r="N1089" s="6">
        <f>IF(B1089="","",IF(ISNUMBER(B1089),TEXT(B1089,"YYYY-MM"),LEFT(B1089,7)))</f>
        <v/>
      </c>
    </row>
    <row r="1090">
      <c r="A1090" t="inlineStr">
        <is>
          <t>Kwadwo Baniako Nti</t>
        </is>
      </c>
      <c r="B1090" s="4" t="n">
        <v>46129</v>
      </c>
      <c r="C1090" t="inlineStr">
        <is>
          <t>/</t>
        </is>
      </c>
      <c r="D1090" t="inlineStr">
        <is>
          <t>Kwadwo Baniako Nti</t>
        </is>
      </c>
      <c r="E1090" t="inlineStr">
        <is>
          <t>Kwadwo Baniako Nti</t>
        </is>
      </c>
      <c r="F1090" s="5" t="n">
        <v>46162.38332175926</v>
      </c>
      <c r="G1090" t="inlineStr">
        <is>
          <t>Field verification and reporting in Nigeria (3)</t>
        </is>
      </c>
      <c r="H1090" t="inlineStr">
        <is>
          <t>PCGH775 - ESDD of Valency Operations for FMO</t>
        </is>
      </c>
      <c r="I1090" t="n">
        <v>0</v>
      </c>
      <c r="J1090" t="inlineStr">
        <is>
          <t>PCGH775 - Field Verification (3) (Valency International DMCC)</t>
        </is>
      </c>
      <c r="K1090" t="inlineStr">
        <is>
          <t>Analysis and reporting in Nigeria</t>
        </is>
      </c>
      <c r="L1090" t="b">
        <v>1</v>
      </c>
      <c r="M1090" t="inlineStr">
        <is>
          <t>Billed at a Fixed price</t>
        </is>
      </c>
      <c r="N1090" s="6">
        <f>IF(B1090="","",IF(ISNUMBER(B1090),TEXT(B1090,"YYYY-MM"),LEFT(B1090,7)))</f>
        <v/>
      </c>
    </row>
    <row r="1091">
      <c r="A1091" t="inlineStr">
        <is>
          <t>Kwadwo Baniako Nti</t>
        </is>
      </c>
      <c r="B1091" s="4" t="n">
        <v>46129</v>
      </c>
      <c r="C1091" t="inlineStr">
        <is>
          <t>/</t>
        </is>
      </c>
      <c r="D1091" t="inlineStr">
        <is>
          <t>Kwadwo Baniako Nti</t>
        </is>
      </c>
      <c r="E1091" t="inlineStr">
        <is>
          <t>Kwadwo Baniako Nti</t>
        </is>
      </c>
      <c r="F1091" s="5" t="n">
        <v>46161.77615740741</v>
      </c>
      <c r="H1091" t="inlineStr">
        <is>
          <t>Non-Billable Tasks</t>
        </is>
      </c>
      <c r="I1091" t="n">
        <v>4</v>
      </c>
      <c r="K1091" t="inlineStr">
        <is>
          <t>Professional development and Knowledge sharing(training,global knowledge calls,exchange weeks)</t>
        </is>
      </c>
      <c r="L1091" t="b">
        <v>0</v>
      </c>
      <c r="M1091" t="inlineStr">
        <is>
          <t>Non-Billable</t>
        </is>
      </c>
      <c r="N1091" s="6">
        <f>IF(B1091="","",IF(ISNUMBER(B1091),TEXT(B1091,"YYYY-MM"),LEFT(B1091,7)))</f>
        <v/>
      </c>
    </row>
    <row r="1092">
      <c r="A1092" t="inlineStr">
        <is>
          <t>Kwadwo Baniako Nti</t>
        </is>
      </c>
      <c r="B1092" s="4" t="n">
        <v>46129</v>
      </c>
      <c r="C1092" t="inlineStr">
        <is>
          <t>/</t>
        </is>
      </c>
      <c r="D1092" t="inlineStr">
        <is>
          <t>Kwadwo Baniako Nti</t>
        </is>
      </c>
      <c r="E1092" t="inlineStr">
        <is>
          <t>Kwadwo Baniako Nti</t>
        </is>
      </c>
      <c r="F1092" s="5" t="n">
        <v>46161.77592592593</v>
      </c>
      <c r="G1092" t="inlineStr">
        <is>
          <t>Baseline Socio-Economic &amp; Environmental Surveys</t>
        </is>
      </c>
      <c r="H1092" t="inlineStr">
        <is>
          <t>PCGH762 - GVL HCSA Restoration Project</t>
        </is>
      </c>
      <c r="I1092" t="n">
        <v>3</v>
      </c>
      <c r="J1092" t="inlineStr">
        <is>
          <t>PCGH762 - Baseline Socio-Economic &amp; Environmental Surveys (Golden Veroleum Liberia)</t>
        </is>
      </c>
      <c r="K1092" t="inlineStr">
        <is>
          <t>Baseline Socio-Economic &amp; Environmental Surveys</t>
        </is>
      </c>
      <c r="L1092" t="b">
        <v>1</v>
      </c>
      <c r="M1092" t="inlineStr">
        <is>
          <t>Billed at a Fixed price</t>
        </is>
      </c>
      <c r="N1092" s="6">
        <f>IF(B1092="","",IF(ISNUMBER(B1092),TEXT(B1092,"YYYY-MM"),LEFT(B1092,7)))</f>
        <v/>
      </c>
    </row>
    <row r="1093">
      <c r="A1093" t="inlineStr">
        <is>
          <t>Kingsley Fitz-Gerald Severine</t>
        </is>
      </c>
      <c r="B1093" s="4" t="n">
        <v>46129</v>
      </c>
      <c r="C1093" t="inlineStr">
        <is>
          <t>/</t>
        </is>
      </c>
      <c r="D1093" t="inlineStr">
        <is>
          <t>Kingsley Fitz-Gerald Severine</t>
        </is>
      </c>
      <c r="E1093" t="inlineStr">
        <is>
          <t>Kingsley Fitz-Gerald Severine</t>
        </is>
      </c>
      <c r="F1093" s="5" t="n">
        <v>46162.55215277777</v>
      </c>
      <c r="H1093" t="inlineStr">
        <is>
          <t>PCGH789 - Valency MSMO EHS audit</t>
        </is>
      </c>
      <c r="I1093" t="n">
        <v>4</v>
      </c>
      <c r="J1093" t="inlineStr">
        <is>
          <t>PCGH789 - Site Assessment (3) (Valency International DMCC)</t>
        </is>
      </c>
      <c r="K1093" t="inlineStr">
        <is>
          <t>1st quarterly visit (3)</t>
        </is>
      </c>
      <c r="L1093" t="b">
        <v>1</v>
      </c>
      <c r="M1093" t="inlineStr">
        <is>
          <t>Billed at a Fixed price</t>
        </is>
      </c>
      <c r="N1093" s="6">
        <f>IF(B1093="","",IF(ISNUMBER(B1093),TEXT(B1093,"YYYY-MM"),LEFT(B1093,7)))</f>
        <v/>
      </c>
    </row>
    <row r="1094">
      <c r="A1094" t="inlineStr">
        <is>
          <t>Kingsley Fitz-Gerald Severine</t>
        </is>
      </c>
      <c r="B1094" s="4" t="n">
        <v>46129</v>
      </c>
      <c r="C1094" t="inlineStr">
        <is>
          <t>/</t>
        </is>
      </c>
      <c r="D1094" t="inlineStr">
        <is>
          <t>Kingsley Fitz-Gerald Severine</t>
        </is>
      </c>
      <c r="E1094" t="inlineStr">
        <is>
          <t>Kingsley Fitz-Gerald Severine</t>
        </is>
      </c>
      <c r="F1094" s="5" t="n">
        <v>46161.70371527778</v>
      </c>
      <c r="H1094" t="inlineStr">
        <is>
          <t>PCGH789 - Valency MSMO EHS audit</t>
        </is>
      </c>
      <c r="I1094" t="n">
        <v>2</v>
      </c>
      <c r="J1094" t="inlineStr">
        <is>
          <t>PCGH789 - Desk Study (3) (Valency International DMCC)</t>
        </is>
      </c>
      <c r="K1094" t="inlineStr">
        <is>
          <t>Desktop Study &amp; Assessment Framework Dev't (3)</t>
        </is>
      </c>
      <c r="L1094" t="b">
        <v>1</v>
      </c>
      <c r="M1094" t="inlineStr">
        <is>
          <t>Billed at a Fixed price</t>
        </is>
      </c>
      <c r="N1094" s="6">
        <f>IF(B1094="","",IF(ISNUMBER(B1094),TEXT(B1094,"YYYY-MM"),LEFT(B1094,7)))</f>
        <v/>
      </c>
    </row>
    <row r="1095">
      <c r="A1095" t="inlineStr">
        <is>
          <t>Kingsley Fitz-Gerald Severine</t>
        </is>
      </c>
      <c r="B1095" s="4" t="n">
        <v>46129</v>
      </c>
      <c r="C1095" t="inlineStr">
        <is>
          <t>/</t>
        </is>
      </c>
      <c r="D1095" t="inlineStr">
        <is>
          <t>Kingsley Fitz-Gerald Severine</t>
        </is>
      </c>
      <c r="E1095" t="inlineStr">
        <is>
          <t>Kingsley Fitz-Gerald Severine</t>
        </is>
      </c>
      <c r="F1095" s="5" t="n">
        <v>46161.69983796297</v>
      </c>
      <c r="H1095" t="inlineStr">
        <is>
          <t>PCGH789 - Valency MSMO EHS audit</t>
        </is>
      </c>
      <c r="I1095" t="n">
        <v>2</v>
      </c>
      <c r="J1095" t="inlineStr">
        <is>
          <t>PCGH789 - Kick-Off Meeting (Valency International DMCC)</t>
        </is>
      </c>
      <c r="K1095" t="inlineStr">
        <is>
          <t>Inception / Kick off (3)</t>
        </is>
      </c>
      <c r="L1095" t="b">
        <v>1</v>
      </c>
      <c r="M1095" t="inlineStr">
        <is>
          <t>Billed at a Fixed price</t>
        </is>
      </c>
      <c r="N1095" s="6">
        <f>IF(B1095="","",IF(ISNUMBER(B1095),TEXT(B1095,"YYYY-MM"),LEFT(B1095,7)))</f>
        <v/>
      </c>
    </row>
    <row r="1096">
      <c r="A1096" t="inlineStr">
        <is>
          <t>Frederick Antwi</t>
        </is>
      </c>
      <c r="B1096" s="4" t="n">
        <v>46129</v>
      </c>
      <c r="C1096" t="inlineStr">
        <is>
          <t>/</t>
        </is>
      </c>
      <c r="D1096" t="inlineStr">
        <is>
          <t>Frederick Antwi</t>
        </is>
      </c>
      <c r="E1096" t="inlineStr">
        <is>
          <t>Frederick Antwi</t>
        </is>
      </c>
      <c r="F1096" s="5" t="n">
        <v>46160.63644675926</v>
      </c>
      <c r="H1096" t="inlineStr">
        <is>
          <t>P13QC00A00 - EFI Programme</t>
        </is>
      </c>
      <c r="I1096" t="n">
        <v>8</v>
      </c>
      <c r="L1096" t="b">
        <v>0</v>
      </c>
      <c r="M1096" t="inlineStr">
        <is>
          <t>Non-Billable</t>
        </is>
      </c>
      <c r="N1096" s="6">
        <f>IF(B1096="","",IF(ISNUMBER(B1096),TEXT(B1096,"YYYY-MM"),LEFT(B1096,7)))</f>
        <v/>
      </c>
    </row>
    <row r="1097">
      <c r="A1097" t="inlineStr">
        <is>
          <t>Augustus Asamoah</t>
        </is>
      </c>
      <c r="B1097" s="4" t="n">
        <v>46129</v>
      </c>
      <c r="C1097" t="inlineStr">
        <is>
          <t>/</t>
        </is>
      </c>
      <c r="D1097" t="inlineStr">
        <is>
          <t>Augustus Asamoah</t>
        </is>
      </c>
      <c r="E1097" t="inlineStr">
        <is>
          <t>Augustus Asamoah</t>
        </is>
      </c>
      <c r="F1097" s="5" t="n">
        <v>46156.67778935185</v>
      </c>
      <c r="H1097" t="inlineStr">
        <is>
          <t>P13NC00A00 - WALMART II</t>
        </is>
      </c>
      <c r="I1097" t="n">
        <v>1</v>
      </c>
      <c r="L1097" t="b">
        <v>0</v>
      </c>
      <c r="M1097" t="inlineStr">
        <is>
          <t>Non-Billable</t>
        </is>
      </c>
      <c r="N1097" s="6">
        <f>IF(B1097="","",IF(ISNUMBER(B1097),TEXT(B1097,"YYYY-MM"),LEFT(B1097,7)))</f>
        <v/>
      </c>
    </row>
    <row r="1098">
      <c r="A1098" t="inlineStr">
        <is>
          <t>Augustus Asamoah</t>
        </is>
      </c>
      <c r="B1098" s="4" t="n">
        <v>46129</v>
      </c>
      <c r="C1098" t="inlineStr">
        <is>
          <t>/</t>
        </is>
      </c>
      <c r="D1098" t="inlineStr">
        <is>
          <t>Augustus Asamoah</t>
        </is>
      </c>
      <c r="E1098" t="inlineStr">
        <is>
          <t>Augustus Asamoah</t>
        </is>
      </c>
      <c r="F1098" s="5" t="n">
        <v>46156.67776620371</v>
      </c>
      <c r="H1098" t="inlineStr">
        <is>
          <t>P13PC00A00 - Private Sector Companies</t>
        </is>
      </c>
      <c r="I1098" t="n">
        <v>2</v>
      </c>
      <c r="L1098" t="b">
        <v>0</v>
      </c>
      <c r="M1098" t="inlineStr">
        <is>
          <t>Non-Billable</t>
        </is>
      </c>
      <c r="N1098" s="6">
        <f>IF(B1098="","",IF(ISNUMBER(B1098),TEXT(B1098,"YYYY-MM"),LEFT(B1098,7)))</f>
        <v/>
      </c>
    </row>
    <row r="1099">
      <c r="A1099" t="inlineStr">
        <is>
          <t>Augustus Asamoah</t>
        </is>
      </c>
      <c r="B1099" s="4" t="n">
        <v>46129</v>
      </c>
      <c r="C1099" t="inlineStr">
        <is>
          <t>/</t>
        </is>
      </c>
      <c r="D1099" t="inlineStr">
        <is>
          <t>Augustus Asamoah</t>
        </is>
      </c>
      <c r="E1099" t="inlineStr">
        <is>
          <t>Augustus Asamoah</t>
        </is>
      </c>
      <c r="F1099" s="5" t="n">
        <v>46156.67769675926</v>
      </c>
      <c r="H1099" t="inlineStr">
        <is>
          <t>P13QC00A00 - EFI Programme</t>
        </is>
      </c>
      <c r="I1099" t="n">
        <v>3</v>
      </c>
      <c r="L1099" t="b">
        <v>0</v>
      </c>
      <c r="M1099" t="inlineStr">
        <is>
          <t>Non-Billable</t>
        </is>
      </c>
      <c r="N1099" s="6">
        <f>IF(B1099="","",IF(ISNUMBER(B1099),TEXT(B1099,"YYYY-MM"),LEFT(B1099,7)))</f>
        <v/>
      </c>
    </row>
    <row r="1100">
      <c r="A1100" t="inlineStr">
        <is>
          <t>Augustus Asamoah</t>
        </is>
      </c>
      <c r="B1100" s="4" t="n">
        <v>46129</v>
      </c>
      <c r="C1100" t="inlineStr">
        <is>
          <t>/</t>
        </is>
      </c>
      <c r="D1100" t="inlineStr">
        <is>
          <t>Augustus Asamoah</t>
        </is>
      </c>
      <c r="E1100" t="inlineStr">
        <is>
          <t>Augustus Asamoah</t>
        </is>
      </c>
      <c r="F1100" s="5" t="n">
        <v>46156.67722222222</v>
      </c>
      <c r="H1100" t="inlineStr">
        <is>
          <t>PCGH769</t>
        </is>
      </c>
      <c r="I1100" t="n">
        <v>2</v>
      </c>
      <c r="J1100" t="inlineStr">
        <is>
          <t>PCGH769 - Desk Study (2) (Biase Plantations Ltd.)</t>
        </is>
      </c>
      <c r="L1100" t="b">
        <v>1</v>
      </c>
      <c r="M1100" t="inlineStr">
        <is>
          <t>Billed at a Fixed price</t>
        </is>
      </c>
      <c r="N1100" s="6">
        <f>IF(B1100="","",IF(ISNUMBER(B1100),TEXT(B1100,"YYYY-MM"),LEFT(B1100,7)))</f>
        <v/>
      </c>
    </row>
    <row r="1101">
      <c r="A1101" t="inlineStr">
        <is>
          <t>Helena Tetteh</t>
        </is>
      </c>
      <c r="B1101" s="4" t="n">
        <v>46129</v>
      </c>
      <c r="C1101" t="inlineStr">
        <is>
          <t>/</t>
        </is>
      </c>
      <c r="D1101" t="inlineStr">
        <is>
          <t xml:space="preserve">Helena Tetteh </t>
        </is>
      </c>
      <c r="E1101" t="inlineStr">
        <is>
          <t>OdooBot</t>
        </is>
      </c>
      <c r="F1101" s="5" t="n">
        <v>46154.70721064815</v>
      </c>
      <c r="H1101" t="inlineStr">
        <is>
          <t>Non-Billable Tasks</t>
        </is>
      </c>
      <c r="I1101" t="n">
        <v>8</v>
      </c>
      <c r="K1101" t="inlineStr">
        <is>
          <t>Public Holiday</t>
        </is>
      </c>
      <c r="L1101" t="b">
        <v>0</v>
      </c>
      <c r="M1101" t="inlineStr">
        <is>
          <t>Non-Billable</t>
        </is>
      </c>
      <c r="N1101" s="6">
        <f>IF(B1101="","",IF(ISNUMBER(B1101),TEXT(B1101,"YYYY-MM"),LEFT(B1101,7)))</f>
        <v/>
      </c>
    </row>
    <row r="1102">
      <c r="A1102" t="inlineStr">
        <is>
          <t>Stephen Doso</t>
        </is>
      </c>
      <c r="B1102" s="4" t="n">
        <v>46129</v>
      </c>
      <c r="C1102" t="inlineStr">
        <is>
          <t>/</t>
        </is>
      </c>
      <c r="D1102" t="inlineStr">
        <is>
          <t>Stephen Doso</t>
        </is>
      </c>
      <c r="E1102" t="inlineStr">
        <is>
          <t>OdooBot</t>
        </is>
      </c>
      <c r="F1102" s="5" t="n">
        <v>46154.70721064815</v>
      </c>
      <c r="H1102" t="inlineStr">
        <is>
          <t>PCGH769</t>
        </is>
      </c>
      <c r="I1102" t="n">
        <v>3</v>
      </c>
      <c r="J1102" t="inlineStr">
        <is>
          <t>PCGH769 - Desk Study (2) (Biase Plantations Ltd.)</t>
        </is>
      </c>
      <c r="K1102" t="inlineStr">
        <is>
          <t>HCV/HCS - Reporting and review</t>
        </is>
      </c>
      <c r="L1102" t="b">
        <v>1</v>
      </c>
      <c r="M1102" t="inlineStr">
        <is>
          <t>Billed at a Fixed price</t>
        </is>
      </c>
      <c r="N1102" s="6">
        <f>IF(B1102="","",IF(ISNUMBER(B1102),TEXT(B1102,"YYYY-MM"),LEFT(B1102,7)))</f>
        <v/>
      </c>
    </row>
    <row r="1103">
      <c r="A1103" t="inlineStr">
        <is>
          <t>Stephen Doso</t>
        </is>
      </c>
      <c r="B1103" s="4" t="n">
        <v>46129</v>
      </c>
      <c r="C1103" t="inlineStr">
        <is>
          <t>/</t>
        </is>
      </c>
      <c r="D1103" t="inlineStr">
        <is>
          <t>Stephen Doso</t>
        </is>
      </c>
      <c r="E1103" t="inlineStr">
        <is>
          <t>OdooBot</t>
        </is>
      </c>
      <c r="F1103" s="5" t="n">
        <v>46154.70721064815</v>
      </c>
      <c r="H1103" t="inlineStr">
        <is>
          <t>Non-Billable Tasks</t>
        </is>
      </c>
      <c r="I1103" t="n">
        <v>1</v>
      </c>
      <c r="K1103" t="inlineStr">
        <is>
          <t>Line Management</t>
        </is>
      </c>
      <c r="L1103" t="b">
        <v>0</v>
      </c>
      <c r="M1103" t="inlineStr">
        <is>
          <t>Non-Billable</t>
        </is>
      </c>
      <c r="N1103" s="6">
        <f>IF(B1103="","",IF(ISNUMBER(B1103),TEXT(B1103,"YYYY-MM"),LEFT(B1103,7)))</f>
        <v/>
      </c>
    </row>
    <row r="1104">
      <c r="A1104" t="inlineStr">
        <is>
          <t>Afua Serwah Akoto Prempeh</t>
        </is>
      </c>
      <c r="B1104" s="4" t="n">
        <v>46129</v>
      </c>
      <c r="C1104" t="inlineStr">
        <is>
          <t>/</t>
        </is>
      </c>
      <c r="D1104" t="inlineStr">
        <is>
          <t>Afua Serwah Akoto Prempeh</t>
        </is>
      </c>
      <c r="E1104" t="inlineStr">
        <is>
          <t>OdooBot</t>
        </is>
      </c>
      <c r="F1104" s="5" t="n">
        <v>46154.70721064815</v>
      </c>
      <c r="H1104" t="inlineStr">
        <is>
          <t>Non-Billable Tasks</t>
        </is>
      </c>
      <c r="I1104" t="n">
        <v>3</v>
      </c>
      <c r="L1104" t="b">
        <v>0</v>
      </c>
      <c r="M1104" t="inlineStr">
        <is>
          <t>Non-Billable</t>
        </is>
      </c>
      <c r="N1104" s="6">
        <f>IF(B1104="","",IF(ISNUMBER(B1104),TEXT(B1104,"YYYY-MM"),LEFT(B1104,7)))</f>
        <v/>
      </c>
    </row>
    <row r="1105">
      <c r="A1105" t="inlineStr">
        <is>
          <t>Afua Serwah Akoto Prempeh</t>
        </is>
      </c>
      <c r="B1105" s="4" t="n">
        <v>46129</v>
      </c>
      <c r="C1105" t="inlineStr">
        <is>
          <t>/</t>
        </is>
      </c>
      <c r="D1105" t="inlineStr">
        <is>
          <t>Afua Serwah Akoto Prempeh</t>
        </is>
      </c>
      <c r="E1105" t="inlineStr">
        <is>
          <t>OdooBot</t>
        </is>
      </c>
      <c r="F1105" s="5" t="n">
        <v>46154.70721064815</v>
      </c>
      <c r="H1105" t="inlineStr">
        <is>
          <t>Non-Billable Tasks</t>
        </is>
      </c>
      <c r="I1105" t="n">
        <v>2</v>
      </c>
      <c r="K1105" t="inlineStr">
        <is>
          <t>Professional development and Knowledge sharing(training,global knowledge calls,exchange weeks)</t>
        </is>
      </c>
      <c r="L1105" t="b">
        <v>0</v>
      </c>
      <c r="M1105" t="inlineStr">
        <is>
          <t>Non-Billable</t>
        </is>
      </c>
      <c r="N1105" s="6">
        <f>IF(B1105="","",IF(ISNUMBER(B1105),TEXT(B1105,"YYYY-MM"),LEFT(B1105,7)))</f>
        <v/>
      </c>
    </row>
    <row r="1106">
      <c r="A1106" t="inlineStr">
        <is>
          <t>Afua Serwah Akoto Prempeh</t>
        </is>
      </c>
      <c r="B1106" s="4" t="n">
        <v>46129</v>
      </c>
      <c r="C1106" t="inlineStr">
        <is>
          <t>/</t>
        </is>
      </c>
      <c r="D1106" t="inlineStr">
        <is>
          <t>Afua Serwah Akoto Prempeh</t>
        </is>
      </c>
      <c r="E1106" t="inlineStr">
        <is>
          <t>OdooBot</t>
        </is>
      </c>
      <c r="F1106" s="5" t="n">
        <v>46154.70721064815</v>
      </c>
      <c r="H1106" t="inlineStr">
        <is>
          <t>Non-Billable Tasks</t>
        </is>
      </c>
      <c r="I1106" t="n">
        <v>3</v>
      </c>
      <c r="K1106" t="inlineStr">
        <is>
          <t>BIP MSI Mapping Exercise</t>
        </is>
      </c>
      <c r="L1106" t="b">
        <v>0</v>
      </c>
      <c r="M1106" t="inlineStr">
        <is>
          <t>Non-Billable</t>
        </is>
      </c>
      <c r="N1106" s="6">
        <f>IF(B1106="","",IF(ISNUMBER(B1106),TEXT(B1106,"YYYY-MM"),LEFT(B1106,7)))</f>
        <v/>
      </c>
    </row>
    <row r="1107">
      <c r="A1107" t="inlineStr">
        <is>
          <t>Clement Obeng-Manu</t>
        </is>
      </c>
      <c r="B1107" s="4" t="n">
        <v>46129</v>
      </c>
      <c r="C1107" t="inlineStr">
        <is>
          <t>/</t>
        </is>
      </c>
      <c r="D1107" t="inlineStr">
        <is>
          <t>Ekow Nyamekye Tawiah</t>
        </is>
      </c>
      <c r="E1107" t="inlineStr">
        <is>
          <t>OdooBot</t>
        </is>
      </c>
      <c r="F1107" s="5" t="n">
        <v>46154.70721064815</v>
      </c>
      <c r="H1107" t="inlineStr">
        <is>
          <t>PCGH776 - Deforestation Risk-Assessment Cashew-Coast</t>
        </is>
      </c>
      <c r="I1107" t="n">
        <v>8</v>
      </c>
      <c r="J1107" t="inlineStr">
        <is>
          <t>PCGH776 - Groundthruthing and Verification (3) (Cashew Coast Products Inc)</t>
        </is>
      </c>
      <c r="K1107" t="inlineStr">
        <is>
          <t>Land cover classification, ground truthing and accuracy assessment</t>
        </is>
      </c>
      <c r="L1107" t="b">
        <v>1</v>
      </c>
      <c r="M1107" t="inlineStr">
        <is>
          <t>Billed at a Fixed price</t>
        </is>
      </c>
      <c r="N1107" s="6">
        <f>IF(B1107="","",IF(ISNUMBER(B1107),TEXT(B1107,"YYYY-MM"),LEFT(B1107,7)))</f>
        <v/>
      </c>
    </row>
    <row r="1108">
      <c r="A1108" t="inlineStr">
        <is>
          <t>Stephen Doso</t>
        </is>
      </c>
      <c r="B1108" s="4" t="n">
        <v>46129</v>
      </c>
      <c r="C1108" t="inlineStr">
        <is>
          <t>/</t>
        </is>
      </c>
      <c r="D1108" t="inlineStr">
        <is>
          <t>Stephen Doso</t>
        </is>
      </c>
      <c r="E1108" t="inlineStr">
        <is>
          <t>OdooBot</t>
        </is>
      </c>
      <c r="F1108" s="5" t="n">
        <v>46154.70721064815</v>
      </c>
      <c r="H1108" t="inlineStr">
        <is>
          <t>PCGH769</t>
        </is>
      </c>
      <c r="I1108" t="n">
        <v>4</v>
      </c>
      <c r="J1108" t="inlineStr">
        <is>
          <t>PCGH769 - Desk Study (2) (Biase Plantations Ltd.)</t>
        </is>
      </c>
      <c r="K1108" t="inlineStr">
        <is>
          <t>HCV/HCS - Reporting and review</t>
        </is>
      </c>
      <c r="L1108" t="b">
        <v>1</v>
      </c>
      <c r="M1108" t="inlineStr">
        <is>
          <t>Billed at a Fixed price</t>
        </is>
      </c>
      <c r="N1108" s="6">
        <f>IF(B1108="","",IF(ISNUMBER(B1108),TEXT(B1108,"YYYY-MM"),LEFT(B1108,7)))</f>
        <v/>
      </c>
    </row>
    <row r="1109">
      <c r="A1109" t="inlineStr">
        <is>
          <t>Louis Defo</t>
        </is>
      </c>
      <c r="B1109" s="4" t="n">
        <v>46129</v>
      </c>
      <c r="C1109" t="inlineStr">
        <is>
          <t>/</t>
        </is>
      </c>
      <c r="D1109" t="inlineStr">
        <is>
          <t>Louis Defo</t>
        </is>
      </c>
      <c r="E1109" t="inlineStr">
        <is>
          <t>OdooBot</t>
        </is>
      </c>
      <c r="F1109" s="5" t="n">
        <v>46154.70721064815</v>
      </c>
      <c r="H1109" t="inlineStr">
        <is>
          <t>PCGH774 -Evaluation Deep-Dive Action Plans by Socfin Group</t>
        </is>
      </c>
      <c r="I1109" t="n">
        <v>8</v>
      </c>
      <c r="J1109" t="inlineStr">
        <is>
          <t>PCGH774 - Project Management (2) (Socfinco FR SA)</t>
        </is>
      </c>
      <c r="L1109" t="b">
        <v>1</v>
      </c>
      <c r="M1109" t="inlineStr">
        <is>
          <t>Billed at a Fixed price</t>
        </is>
      </c>
      <c r="N1109" s="6">
        <f>IF(B1109="","",IF(ISNUMBER(B1109),TEXT(B1109,"YYYY-MM"),LEFT(B1109,7)))</f>
        <v/>
      </c>
    </row>
    <row r="1110">
      <c r="A1110" t="inlineStr">
        <is>
          <t>Abel Ansu</t>
        </is>
      </c>
      <c r="B1110" s="4" t="n">
        <v>46129</v>
      </c>
      <c r="C1110" t="inlineStr">
        <is>
          <t>Had a capacity building workshop on climate smart cocoa practices</t>
        </is>
      </c>
      <c r="D1110" t="inlineStr">
        <is>
          <t>Abel Ansu</t>
        </is>
      </c>
      <c r="E1110" t="inlineStr">
        <is>
          <t>OdooBot</t>
        </is>
      </c>
      <c r="F1110" s="5" t="n">
        <v>46154.70721064815</v>
      </c>
      <c r="H1110" t="inlineStr">
        <is>
          <t>Internal</t>
        </is>
      </c>
      <c r="I1110" t="n">
        <v>8</v>
      </c>
      <c r="K1110" t="inlineStr">
        <is>
          <t>Capacity building workshop</t>
        </is>
      </c>
      <c r="L1110" t="b">
        <v>0</v>
      </c>
      <c r="M1110" t="inlineStr">
        <is>
          <t>Non-Billable</t>
        </is>
      </c>
      <c r="N1110" s="6">
        <f>IF(B1110="","",IF(ISNUMBER(B1110),TEXT(B1110,"YYYY-MM"),LEFT(B1110,7)))</f>
        <v/>
      </c>
    </row>
    <row r="1111">
      <c r="A1111" t="inlineStr">
        <is>
          <t>Ekow Nyamekye Tawiah</t>
        </is>
      </c>
      <c r="B1111" s="4" t="n">
        <v>46128</v>
      </c>
      <c r="C1111" t="inlineStr">
        <is>
          <t>Deforestation Risk Analysis</t>
        </is>
      </c>
      <c r="D1111" t="inlineStr">
        <is>
          <t>Joseph Isaiah Mensah</t>
        </is>
      </c>
      <c r="E1111" t="inlineStr">
        <is>
          <t>Ekow Nyamekye Tawiah</t>
        </is>
      </c>
      <c r="F1111" s="5" t="n">
        <v>46162.88049768518</v>
      </c>
      <c r="H1111" t="inlineStr">
        <is>
          <t>PCGH778 - General Support</t>
        </is>
      </c>
      <c r="I1111" t="n">
        <v>4</v>
      </c>
      <c r="J1111" t="inlineStr">
        <is>
          <t>PCGH778 - Support to Other Workstreams (3) (Proforest Limited(PCUK GBP))</t>
        </is>
      </c>
      <c r="L1111" t="b">
        <v>1</v>
      </c>
      <c r="M1111" t="inlineStr">
        <is>
          <t>Billed at a Fixed price</t>
        </is>
      </c>
      <c r="N1111" s="6">
        <f>IF(B1111="","",IF(ISNUMBER(B1111),TEXT(B1111,"YYYY-MM"),LEFT(B1111,7)))</f>
        <v/>
      </c>
    </row>
    <row r="1112">
      <c r="A1112" t="inlineStr">
        <is>
          <t>James Parker Mckeown</t>
        </is>
      </c>
      <c r="B1112" s="4" t="n">
        <v>46128</v>
      </c>
      <c r="C1112" t="inlineStr">
        <is>
          <t>/</t>
        </is>
      </c>
      <c r="D1112" t="inlineStr">
        <is>
          <t>James Parker Mckeown</t>
        </is>
      </c>
      <c r="E1112" t="inlineStr">
        <is>
          <t>James Parker Mckeown</t>
        </is>
      </c>
      <c r="F1112" s="5" t="n">
        <v>46162.77061342593</v>
      </c>
      <c r="G1112" t="inlineStr">
        <is>
          <t>Output 2.1</t>
        </is>
      </c>
      <c r="H1112" t="inlineStr">
        <is>
          <t>P23AC00C00 - FGMC</t>
        </is>
      </c>
      <c r="I1112" t="n">
        <v>8</v>
      </c>
      <c r="K1112" t="inlineStr">
        <is>
          <t>P23AC32A00 - Connecting Supply and Demand Side</t>
        </is>
      </c>
      <c r="L1112" t="b">
        <v>0</v>
      </c>
      <c r="M1112" t="inlineStr">
        <is>
          <t>Non-Billable</t>
        </is>
      </c>
      <c r="N1112" s="6">
        <f>IF(B1112="","",IF(ISNUMBER(B1112),TEXT(B1112,"YYYY-MM"),LEFT(B1112,7)))</f>
        <v/>
      </c>
    </row>
    <row r="1113">
      <c r="A1113" t="inlineStr">
        <is>
          <t>Joseph Isaiah Mensah</t>
        </is>
      </c>
      <c r="B1113" s="4" t="n">
        <v>46128</v>
      </c>
      <c r="C1113" t="inlineStr">
        <is>
          <t>/</t>
        </is>
      </c>
      <c r="D1113" t="inlineStr">
        <is>
          <t>Jacqueline Nyakutse Afua</t>
        </is>
      </c>
      <c r="E1113" t="inlineStr">
        <is>
          <t>Joseph Isaiah Mensah</t>
        </is>
      </c>
      <c r="F1113" s="5" t="n">
        <v>46162.7680787037</v>
      </c>
      <c r="H1113" t="inlineStr">
        <is>
          <t>PCGH774 -Evaluation Deep-Dive Action Plans by Socfin Group</t>
        </is>
      </c>
      <c r="I1113" t="n">
        <v>8</v>
      </c>
      <c r="J1113" t="inlineStr">
        <is>
          <t>PCGH774 - Field Verification (2) (Socfinco FR SA)</t>
        </is>
      </c>
      <c r="K1113" t="inlineStr">
        <is>
          <t>[Cameroon, Socapalm （Dibombari + Edéa + Mbongo + Mbambou） Report review] - Field verification/observation/community and stakeholder engagement</t>
        </is>
      </c>
      <c r="L1113" t="b">
        <v>1</v>
      </c>
      <c r="M1113" t="inlineStr">
        <is>
          <t>Billed at a Fixed price</t>
        </is>
      </c>
      <c r="N1113" s="6">
        <f>IF(B1113="","",IF(ISNUMBER(B1113),TEXT(B1113,"YYYY-MM"),LEFT(B1113,7)))</f>
        <v/>
      </c>
    </row>
    <row r="1114">
      <c r="A1114" t="inlineStr">
        <is>
          <t>Patricia Offei</t>
        </is>
      </c>
      <c r="B1114" s="4" t="n">
        <v>46128</v>
      </c>
      <c r="C1114" t="inlineStr">
        <is>
          <t>/</t>
        </is>
      </c>
      <c r="D1114" t="inlineStr">
        <is>
          <t>Patricia Offei</t>
        </is>
      </c>
      <c r="E1114" t="inlineStr">
        <is>
          <t>Patricia Offei</t>
        </is>
      </c>
      <c r="F1114" s="5" t="n">
        <v>46162.59888888889</v>
      </c>
      <c r="H1114" t="inlineStr">
        <is>
          <t>Non-Billable Tasks</t>
        </is>
      </c>
      <c r="I1114" t="n">
        <v>3</v>
      </c>
      <c r="K1114" t="inlineStr">
        <is>
          <t>Professional development and Knowledge sharing(training,global knowledge calls,exchange weeks)</t>
        </is>
      </c>
      <c r="L1114" t="b">
        <v>0</v>
      </c>
      <c r="M1114" t="inlineStr">
        <is>
          <t>Non-Billable</t>
        </is>
      </c>
      <c r="N1114" s="6">
        <f>IF(B1114="","",IF(ISNUMBER(B1114),TEXT(B1114,"YYYY-MM"),LEFT(B1114,7)))</f>
        <v/>
      </c>
    </row>
    <row r="1115">
      <c r="A1115" t="inlineStr">
        <is>
          <t>Patricia Offei</t>
        </is>
      </c>
      <c r="B1115" s="4" t="n">
        <v>46128</v>
      </c>
      <c r="C1115" t="inlineStr">
        <is>
          <t>/</t>
        </is>
      </c>
      <c r="D1115" t="inlineStr">
        <is>
          <t>Patricia Offei</t>
        </is>
      </c>
      <c r="E1115" t="inlineStr">
        <is>
          <t>Patricia Offei</t>
        </is>
      </c>
      <c r="F1115" s="5" t="n">
        <v>46162.59892361111</v>
      </c>
      <c r="H1115" t="inlineStr">
        <is>
          <t>PCGH774 -Evaluation Deep-Dive Action Plans by Socfin Group</t>
        </is>
      </c>
      <c r="I1115" t="n">
        <v>5</v>
      </c>
      <c r="J1115" t="inlineStr">
        <is>
          <t>PCGH774 - Project Management (2) (Socfinco FR SA)</t>
        </is>
      </c>
      <c r="L1115" t="b">
        <v>1</v>
      </c>
      <c r="M1115" t="inlineStr">
        <is>
          <t>Billed at a Fixed price</t>
        </is>
      </c>
      <c r="N1115" s="6">
        <f>IF(B1115="","",IF(ISNUMBER(B1115),TEXT(B1115,"YYYY-MM"),LEFT(B1115,7)))</f>
        <v/>
      </c>
    </row>
    <row r="1116">
      <c r="A1116" t="inlineStr">
        <is>
          <t>Kwadwo Baniako Nti</t>
        </is>
      </c>
      <c r="B1116" s="4" t="n">
        <v>46128</v>
      </c>
      <c r="C1116" t="inlineStr">
        <is>
          <t>/</t>
        </is>
      </c>
      <c r="D1116" t="inlineStr">
        <is>
          <t>Kwadwo Baniako Nti</t>
        </is>
      </c>
      <c r="E1116" t="inlineStr">
        <is>
          <t>Kwadwo Baniako Nti</t>
        </is>
      </c>
      <c r="F1116" s="5" t="n">
        <v>46162.38390046296</v>
      </c>
      <c r="G1116" t="inlineStr">
        <is>
          <t>Training and Capacity Building</t>
        </is>
      </c>
      <c r="H1116" t="inlineStr">
        <is>
          <t>PCGH762 - GVL HCSA Restoration Project</t>
        </is>
      </c>
      <c r="I1116" t="n">
        <v>1.5</v>
      </c>
      <c r="J1116" t="inlineStr">
        <is>
          <t>PCGH762 - Training and Capacity Building (Golden Veroleum Liberia)</t>
        </is>
      </c>
      <c r="K1116" t="inlineStr">
        <is>
          <t>Training and Capacity Building</t>
        </is>
      </c>
      <c r="L1116" t="b">
        <v>1</v>
      </c>
      <c r="M1116" t="inlineStr">
        <is>
          <t>Billed at a Fixed price</t>
        </is>
      </c>
      <c r="N1116" s="6">
        <f>IF(B1116="","",IF(ISNUMBER(B1116),TEXT(B1116,"YYYY-MM"),LEFT(B1116,7)))</f>
        <v/>
      </c>
    </row>
    <row r="1117">
      <c r="A1117" t="inlineStr">
        <is>
          <t>Kwadwo Baniako Nti</t>
        </is>
      </c>
      <c r="B1117" s="4" t="n">
        <v>46128</v>
      </c>
      <c r="C1117" t="inlineStr">
        <is>
          <t>/</t>
        </is>
      </c>
      <c r="D1117" t="inlineStr">
        <is>
          <t>Kwadwo Baniako Nti</t>
        </is>
      </c>
      <c r="E1117" t="inlineStr">
        <is>
          <t>Kwadwo Baniako Nti</t>
        </is>
      </c>
      <c r="F1117" s="5" t="n">
        <v>46162.38328703704</v>
      </c>
      <c r="G1117" t="inlineStr">
        <is>
          <t>Field verification and reporting in Nigeria (3)</t>
        </is>
      </c>
      <c r="H1117" t="inlineStr">
        <is>
          <t>PCGH775 - ESDD of Valency Operations for FMO</t>
        </is>
      </c>
      <c r="I1117" t="n">
        <v>0</v>
      </c>
      <c r="J1117" t="inlineStr">
        <is>
          <t>PCGH775 - Field Verification (3) (Valency International DMCC)</t>
        </is>
      </c>
      <c r="K1117" t="inlineStr">
        <is>
          <t>Analysis and reporting in Nigeria</t>
        </is>
      </c>
      <c r="L1117" t="b">
        <v>1</v>
      </c>
      <c r="M1117" t="inlineStr">
        <is>
          <t>Billed at a Fixed price</t>
        </is>
      </c>
      <c r="N1117" s="6">
        <f>IF(B1117="","",IF(ISNUMBER(B1117),TEXT(B1117,"YYYY-MM"),LEFT(B1117,7)))</f>
        <v/>
      </c>
    </row>
    <row r="1118">
      <c r="A1118" t="inlineStr">
        <is>
          <t>Kwadwo Baniako Nti</t>
        </is>
      </c>
      <c r="B1118" s="4" t="n">
        <v>46128</v>
      </c>
      <c r="C1118" t="inlineStr">
        <is>
          <t>/</t>
        </is>
      </c>
      <c r="D1118" t="inlineStr">
        <is>
          <t>Kwadwo Baniako Nti</t>
        </is>
      </c>
      <c r="E1118" t="inlineStr">
        <is>
          <t>Kwadwo Baniako Nti</t>
        </is>
      </c>
      <c r="F1118" s="5" t="n">
        <v>46161.77591435185</v>
      </c>
      <c r="G1118" t="inlineStr">
        <is>
          <t>Baseline Socio-Economic &amp; Environmental Surveys</t>
        </is>
      </c>
      <c r="H1118" t="inlineStr">
        <is>
          <t>PCGH762 - GVL HCSA Restoration Project</t>
        </is>
      </c>
      <c r="I1118" t="n">
        <v>3</v>
      </c>
      <c r="J1118" t="inlineStr">
        <is>
          <t>PCGH762 - Baseline Socio-Economic &amp; Environmental Surveys (Golden Veroleum Liberia)</t>
        </is>
      </c>
      <c r="K1118" t="inlineStr">
        <is>
          <t>Baseline Socio-Economic &amp; Environmental Surveys</t>
        </is>
      </c>
      <c r="L1118" t="b">
        <v>1</v>
      </c>
      <c r="M1118" t="inlineStr">
        <is>
          <t>Billed at a Fixed price</t>
        </is>
      </c>
      <c r="N1118" s="6">
        <f>IF(B1118="","",IF(ISNUMBER(B1118),TEXT(B1118,"YYYY-MM"),LEFT(B1118,7)))</f>
        <v/>
      </c>
    </row>
    <row r="1119">
      <c r="A1119" t="inlineStr">
        <is>
          <t>Kwadwo Baniako Nti</t>
        </is>
      </c>
      <c r="B1119" s="4" t="n">
        <v>46128</v>
      </c>
      <c r="C1119" t="inlineStr">
        <is>
          <t>/</t>
        </is>
      </c>
      <c r="D1119" t="inlineStr">
        <is>
          <t>Kwadwo Baniako Nti</t>
        </is>
      </c>
      <c r="E1119" t="inlineStr">
        <is>
          <t>Kwadwo Baniako Nti</t>
        </is>
      </c>
      <c r="F1119" s="5" t="n">
        <v>46161.7677662037</v>
      </c>
      <c r="H1119" t="inlineStr">
        <is>
          <t>Non-Billable Tasks</t>
        </is>
      </c>
      <c r="I1119" t="n">
        <v>1.5</v>
      </c>
      <c r="K1119" t="inlineStr">
        <is>
          <t>Professional development and Knowledge sharing(training,global knowledge calls,exchange weeks)</t>
        </is>
      </c>
      <c r="L1119" t="b">
        <v>0</v>
      </c>
      <c r="M1119" t="inlineStr">
        <is>
          <t>Non-Billable</t>
        </is>
      </c>
      <c r="N1119" s="6">
        <f>IF(B1119="","",IF(ISNUMBER(B1119),TEXT(B1119,"YYYY-MM"),LEFT(B1119,7)))</f>
        <v/>
      </c>
    </row>
    <row r="1120">
      <c r="A1120" t="inlineStr">
        <is>
          <t>Kwadwo Baniako Nti</t>
        </is>
      </c>
      <c r="B1120" s="4" t="n">
        <v>46128</v>
      </c>
      <c r="C1120" t="inlineStr">
        <is>
          <t>/</t>
        </is>
      </c>
      <c r="D1120" t="inlineStr">
        <is>
          <t>Kwadwo Baniako Nti</t>
        </is>
      </c>
      <c r="E1120" t="inlineStr">
        <is>
          <t>Kwadwo Baniako Nti</t>
        </is>
      </c>
      <c r="F1120" s="5" t="n">
        <v>46161.76016203704</v>
      </c>
      <c r="H1120" t="inlineStr">
        <is>
          <t>PCGH774 -Evaluation Deep-Dive Action Plans by Socfin Group</t>
        </is>
      </c>
      <c r="I1120" t="n">
        <v>2</v>
      </c>
      <c r="J1120" t="inlineStr">
        <is>
          <t>PCGH774 - Project Management (3) (Socfinco FR SA)</t>
        </is>
      </c>
      <c r="K1120" t="inlineStr">
        <is>
          <t>Project Management (3)</t>
        </is>
      </c>
      <c r="L1120" t="b">
        <v>1</v>
      </c>
      <c r="M1120" t="inlineStr">
        <is>
          <t>Billed at a Fixed price</t>
        </is>
      </c>
      <c r="N1120" s="6">
        <f>IF(B1120="","",IF(ISNUMBER(B1120),TEXT(B1120,"YYYY-MM"),LEFT(B1120,7)))</f>
        <v/>
      </c>
    </row>
    <row r="1121">
      <c r="A1121" t="inlineStr">
        <is>
          <t>Kingsley Fitz-Gerald Severine</t>
        </is>
      </c>
      <c r="B1121" s="4" t="n">
        <v>46128</v>
      </c>
      <c r="C1121" t="inlineStr">
        <is>
          <t xml:space="preserve">Global Landscape call
</t>
        </is>
      </c>
      <c r="D1121" t="inlineStr">
        <is>
          <t>Kingsley Fitz-Gerald Severine</t>
        </is>
      </c>
      <c r="E1121" t="inlineStr">
        <is>
          <t>Kingsley Fitz-Gerald Severine</t>
        </is>
      </c>
      <c r="F1121" s="5" t="n">
        <v>46161.70100694444</v>
      </c>
      <c r="H1121" t="inlineStr">
        <is>
          <t>Non-Billable Tasks</t>
        </is>
      </c>
      <c r="I1121" t="n">
        <v>1.5</v>
      </c>
      <c r="K1121" t="inlineStr">
        <is>
          <t>Professional development and Knowledge sharing(training,global knowledge calls,exchange weeks)</t>
        </is>
      </c>
      <c r="L1121" t="b">
        <v>0</v>
      </c>
      <c r="M1121" t="inlineStr">
        <is>
          <t>Non-Billable</t>
        </is>
      </c>
      <c r="N1121" s="6">
        <f>IF(B1121="","",IF(ISNUMBER(B1121),TEXT(B1121,"YYYY-MM"),LEFT(B1121,7)))</f>
        <v/>
      </c>
    </row>
    <row r="1122">
      <c r="A1122" t="inlineStr">
        <is>
          <t>Kingsley Fitz-Gerald Severine</t>
        </is>
      </c>
      <c r="B1122" s="4" t="n">
        <v>46128</v>
      </c>
      <c r="C1122" t="inlineStr">
        <is>
          <t>/</t>
        </is>
      </c>
      <c r="D1122" t="inlineStr">
        <is>
          <t>Kingsley Fitz-Gerald Severine</t>
        </is>
      </c>
      <c r="E1122" t="inlineStr">
        <is>
          <t>Kingsley Fitz-Gerald Severine</t>
        </is>
      </c>
      <c r="F1122" s="5" t="n">
        <v>46162.5511574074</v>
      </c>
      <c r="H1122" t="inlineStr">
        <is>
          <t>PCGH789 - Valency MSMO EHS audit</t>
        </is>
      </c>
      <c r="I1122" t="n">
        <v>6.5</v>
      </c>
      <c r="J1122" t="inlineStr">
        <is>
          <t>PCGH789 - Site Assessment (3) (Valency International DMCC)</t>
        </is>
      </c>
      <c r="K1122" t="inlineStr">
        <is>
          <t>1st quarterly visit (3)</t>
        </is>
      </c>
      <c r="L1122" t="b">
        <v>1</v>
      </c>
      <c r="M1122" t="inlineStr">
        <is>
          <t>Billed at a Fixed price</t>
        </is>
      </c>
      <c r="N1122" s="6">
        <f>IF(B1122="","",IF(ISNUMBER(B1122),TEXT(B1122,"YYYY-MM"),LEFT(B1122,7)))</f>
        <v/>
      </c>
    </row>
    <row r="1123">
      <c r="A1123" t="inlineStr">
        <is>
          <t>Frederick Antwi</t>
        </is>
      </c>
      <c r="B1123" s="4" t="n">
        <v>46128</v>
      </c>
      <c r="C1123" t="inlineStr">
        <is>
          <t>/</t>
        </is>
      </c>
      <c r="D1123" t="inlineStr">
        <is>
          <t>Frederick Antwi</t>
        </is>
      </c>
      <c r="E1123" t="inlineStr">
        <is>
          <t>Frederick Antwi</t>
        </is>
      </c>
      <c r="F1123" s="5" t="n">
        <v>46160.63622685185</v>
      </c>
      <c r="H1123" t="inlineStr">
        <is>
          <t>P13PC00A00 - Private Sector Companies</t>
        </is>
      </c>
      <c r="I1123" t="n">
        <v>8</v>
      </c>
      <c r="L1123" t="b">
        <v>0</v>
      </c>
      <c r="M1123" t="inlineStr">
        <is>
          <t>Non-Billable</t>
        </is>
      </c>
      <c r="N1123" s="6">
        <f>IF(B1123="","",IF(ISNUMBER(B1123),TEXT(B1123,"YYYY-MM"),LEFT(B1123,7)))</f>
        <v/>
      </c>
    </row>
    <row r="1124">
      <c r="A1124" t="inlineStr">
        <is>
          <t>Augustus Asamoah</t>
        </is>
      </c>
      <c r="B1124" s="4" t="n">
        <v>46128</v>
      </c>
      <c r="C1124" t="inlineStr">
        <is>
          <t>/</t>
        </is>
      </c>
      <c r="D1124" t="inlineStr">
        <is>
          <t>Augustus Asamoah</t>
        </is>
      </c>
      <c r="E1124" t="inlineStr">
        <is>
          <t>Augustus Asamoah</t>
        </is>
      </c>
      <c r="F1124" s="5" t="n">
        <v>46156.67586805556</v>
      </c>
      <c r="H1124" t="inlineStr">
        <is>
          <t>P13PC00A00 - Private Sector Companies</t>
        </is>
      </c>
      <c r="I1124" t="n">
        <v>4</v>
      </c>
      <c r="L1124" t="b">
        <v>0</v>
      </c>
      <c r="M1124" t="inlineStr">
        <is>
          <t>Non-Billable</t>
        </is>
      </c>
      <c r="N1124" s="6">
        <f>IF(B1124="","",IF(ISNUMBER(B1124),TEXT(B1124,"YYYY-MM"),LEFT(B1124,7)))</f>
        <v/>
      </c>
    </row>
    <row r="1125">
      <c r="A1125" t="inlineStr">
        <is>
          <t>Augustus Asamoah</t>
        </is>
      </c>
      <c r="B1125" s="4" t="n">
        <v>46128</v>
      </c>
      <c r="C1125" t="inlineStr">
        <is>
          <t>/</t>
        </is>
      </c>
      <c r="D1125" t="inlineStr">
        <is>
          <t>Augustus Asamoah</t>
        </is>
      </c>
      <c r="E1125" t="inlineStr">
        <is>
          <t>Augustus Asamoah</t>
        </is>
      </c>
      <c r="F1125" s="5" t="n">
        <v>46156.67564814815</v>
      </c>
      <c r="H1125" t="inlineStr">
        <is>
          <t>P13NC00A00 - WALMART II</t>
        </is>
      </c>
      <c r="I1125" t="n">
        <v>3</v>
      </c>
      <c r="L1125" t="b">
        <v>0</v>
      </c>
      <c r="M1125" t="inlineStr">
        <is>
          <t>Non-Billable</t>
        </is>
      </c>
      <c r="N1125" s="6">
        <f>IF(B1125="","",IF(ISNUMBER(B1125),TEXT(B1125,"YYYY-MM"),LEFT(B1125,7)))</f>
        <v/>
      </c>
    </row>
    <row r="1126">
      <c r="A1126" t="inlineStr">
        <is>
          <t>Augustus Asamoah</t>
        </is>
      </c>
      <c r="B1126" s="4" t="n">
        <v>46128</v>
      </c>
      <c r="C1126" t="inlineStr">
        <is>
          <t>/</t>
        </is>
      </c>
      <c r="D1126" t="inlineStr">
        <is>
          <t>Augustus Asamoah</t>
        </is>
      </c>
      <c r="E1126" t="inlineStr">
        <is>
          <t>Augustus Asamoah</t>
        </is>
      </c>
      <c r="F1126" s="5" t="n">
        <v>46156.67587962963</v>
      </c>
      <c r="H1126" t="inlineStr">
        <is>
          <t>P13QC00A00 - EFI Programme</t>
        </is>
      </c>
      <c r="I1126" t="n">
        <v>1</v>
      </c>
      <c r="L1126" t="b">
        <v>0</v>
      </c>
      <c r="M1126" t="inlineStr">
        <is>
          <t>Non-Billable</t>
        </is>
      </c>
      <c r="N1126" s="6">
        <f>IF(B1126="","",IF(ISNUMBER(B1126),TEXT(B1126,"YYYY-MM"),LEFT(B1126,7)))</f>
        <v/>
      </c>
    </row>
    <row r="1127">
      <c r="A1127" t="inlineStr">
        <is>
          <t>Helena Tetteh</t>
        </is>
      </c>
      <c r="B1127" s="4" t="n">
        <v>46128</v>
      </c>
      <c r="C1127" t="inlineStr">
        <is>
          <t>/</t>
        </is>
      </c>
      <c r="D1127" t="inlineStr">
        <is>
          <t xml:space="preserve">Helena Tetteh </t>
        </is>
      </c>
      <c r="E1127" t="inlineStr">
        <is>
          <t>OdooBot</t>
        </is>
      </c>
      <c r="F1127" s="5" t="n">
        <v>46154.70721064815</v>
      </c>
      <c r="H1127" t="inlineStr">
        <is>
          <t>Non-Billable Tasks</t>
        </is>
      </c>
      <c r="I1127" t="n">
        <v>1.5</v>
      </c>
      <c r="K1127" t="inlineStr">
        <is>
          <t>Professional development and Knowledge sharing(training,global knowledge calls,exchange weeks)</t>
        </is>
      </c>
      <c r="L1127" t="b">
        <v>0</v>
      </c>
      <c r="M1127" t="inlineStr">
        <is>
          <t>Non-Billable</t>
        </is>
      </c>
      <c r="N1127" s="6">
        <f>IF(B1127="","",IF(ISNUMBER(B1127),TEXT(B1127,"YYYY-MM"),LEFT(B1127,7)))</f>
        <v/>
      </c>
    </row>
    <row r="1128">
      <c r="A1128" t="inlineStr">
        <is>
          <t>Helena Tetteh</t>
        </is>
      </c>
      <c r="B1128" s="4" t="n">
        <v>46128</v>
      </c>
      <c r="C1128" t="inlineStr">
        <is>
          <t>/</t>
        </is>
      </c>
      <c r="D1128" t="inlineStr">
        <is>
          <t xml:space="preserve">Helena Tetteh </t>
        </is>
      </c>
      <c r="E1128" t="inlineStr">
        <is>
          <t>OdooBot</t>
        </is>
      </c>
      <c r="F1128" s="5" t="n">
        <v>46154.70721064815</v>
      </c>
      <c r="G1128" t="inlineStr">
        <is>
          <t>Output 2.3</t>
        </is>
      </c>
      <c r="H1128" t="inlineStr">
        <is>
          <t>P23AC00C00 - FGMC</t>
        </is>
      </c>
      <c r="I1128" t="n">
        <v>6.5</v>
      </c>
      <c r="K1128" t="inlineStr">
        <is>
          <t>P23AC22A00 - Output Two (Elevating Local Solutions - West Africa)</t>
        </is>
      </c>
      <c r="L1128" t="b">
        <v>0</v>
      </c>
      <c r="M1128" t="inlineStr">
        <is>
          <t>Non-Billable</t>
        </is>
      </c>
      <c r="N1128" s="6">
        <f>IF(B1128="","",IF(ISNUMBER(B1128),TEXT(B1128,"YYYY-MM"),LEFT(B1128,7)))</f>
        <v/>
      </c>
    </row>
    <row r="1129">
      <c r="A1129" t="inlineStr">
        <is>
          <t>Stephen Doso</t>
        </is>
      </c>
      <c r="B1129" s="4" t="n">
        <v>46128</v>
      </c>
      <c r="C1129" t="inlineStr">
        <is>
          <t>RSPO P&amp;C 2024 TTT Online course</t>
        </is>
      </c>
      <c r="D1129" t="inlineStr">
        <is>
          <t>Stephen Doso</t>
        </is>
      </c>
      <c r="E1129" t="inlineStr">
        <is>
          <t>OdooBot</t>
        </is>
      </c>
      <c r="F1129" s="5" t="n">
        <v>46154.70721064815</v>
      </c>
      <c r="H1129" t="inlineStr">
        <is>
          <t>Non-Billable Tasks</t>
        </is>
      </c>
      <c r="I1129" t="n">
        <v>8</v>
      </c>
      <c r="K1129" t="inlineStr">
        <is>
          <t>Professional development and Knowledge sharing(training,global knowledge calls,exchange weeks)</t>
        </is>
      </c>
      <c r="L1129" t="b">
        <v>0</v>
      </c>
      <c r="M1129" t="inlineStr">
        <is>
          <t>Non-Billable</t>
        </is>
      </c>
      <c r="N1129" s="6">
        <f>IF(B1129="","",IF(ISNUMBER(B1129),TEXT(B1129,"YYYY-MM"),LEFT(B1129,7)))</f>
        <v/>
      </c>
    </row>
    <row r="1130">
      <c r="A1130" t="inlineStr">
        <is>
          <t>Afua Serwah Akoto Prempeh</t>
        </is>
      </c>
      <c r="B1130" s="4" t="n">
        <v>46128</v>
      </c>
      <c r="C1130" t="inlineStr">
        <is>
          <t>/</t>
        </is>
      </c>
      <c r="D1130" t="inlineStr">
        <is>
          <t>Afua Serwah Akoto Prempeh</t>
        </is>
      </c>
      <c r="E1130" t="inlineStr">
        <is>
          <t>OdooBot</t>
        </is>
      </c>
      <c r="F1130" s="5" t="n">
        <v>46154.70721064815</v>
      </c>
      <c r="H1130" t="inlineStr">
        <is>
          <t>Non-Billable Tasks</t>
        </is>
      </c>
      <c r="I1130" t="n">
        <v>6</v>
      </c>
      <c r="L1130" t="b">
        <v>0</v>
      </c>
      <c r="M1130" t="inlineStr">
        <is>
          <t>Non-Billable</t>
        </is>
      </c>
      <c r="N1130" s="6">
        <f>IF(B1130="","",IF(ISNUMBER(B1130),TEXT(B1130,"YYYY-MM"),LEFT(B1130,7)))</f>
        <v/>
      </c>
    </row>
    <row r="1131">
      <c r="A1131" t="inlineStr">
        <is>
          <t>Afua Serwah Akoto Prempeh</t>
        </is>
      </c>
      <c r="B1131" s="4" t="n">
        <v>46128</v>
      </c>
      <c r="C1131" t="inlineStr">
        <is>
          <t>/</t>
        </is>
      </c>
      <c r="D1131" t="inlineStr">
        <is>
          <t>Afua Serwah Akoto Prempeh</t>
        </is>
      </c>
      <c r="E1131" t="inlineStr">
        <is>
          <t>OdooBot</t>
        </is>
      </c>
      <c r="F1131" s="5" t="n">
        <v>46154.70721064815</v>
      </c>
      <c r="H1131" t="inlineStr">
        <is>
          <t>Non-Billable Tasks</t>
        </is>
      </c>
      <c r="I1131" t="n">
        <v>2</v>
      </c>
      <c r="K1131" t="inlineStr">
        <is>
          <t>Professional development and Knowledge sharing(training,global knowledge calls,exchange weeks)</t>
        </is>
      </c>
      <c r="L1131" t="b">
        <v>0</v>
      </c>
      <c r="M1131" t="inlineStr">
        <is>
          <t>Non-Billable</t>
        </is>
      </c>
      <c r="N1131" s="6">
        <f>IF(B1131="","",IF(ISNUMBER(B1131),TEXT(B1131,"YYYY-MM"),LEFT(B1131,7)))</f>
        <v/>
      </c>
    </row>
    <row r="1132">
      <c r="A1132" t="inlineStr">
        <is>
          <t>Clement Obeng-Manu</t>
        </is>
      </c>
      <c r="B1132" s="4" t="n">
        <v>46128</v>
      </c>
      <c r="C1132" t="inlineStr">
        <is>
          <t>/</t>
        </is>
      </c>
      <c r="D1132" t="inlineStr">
        <is>
          <t>Ekow Nyamekye Tawiah</t>
        </is>
      </c>
      <c r="E1132" t="inlineStr">
        <is>
          <t>OdooBot</t>
        </is>
      </c>
      <c r="F1132" s="5" t="n">
        <v>46154.70721064815</v>
      </c>
      <c r="H1132" t="inlineStr">
        <is>
          <t>PCGH776 - Deforestation Risk-Assessment Cashew-Coast</t>
        </is>
      </c>
      <c r="I1132" t="n">
        <v>4</v>
      </c>
      <c r="J1132" t="inlineStr">
        <is>
          <t>PCGH776 - Groundthruthing and Verification (3) (Cashew Coast Products Inc)</t>
        </is>
      </c>
      <c r="K1132" t="inlineStr">
        <is>
          <t>Land cover classification, ground truthing and accuracy assessment</t>
        </is>
      </c>
      <c r="L1132" t="b">
        <v>1</v>
      </c>
      <c r="M1132" t="inlineStr">
        <is>
          <t>Billed at a Fixed price</t>
        </is>
      </c>
      <c r="N1132" s="6">
        <f>IF(B1132="","",IF(ISNUMBER(B1132),TEXT(B1132,"YYYY-MM"),LEFT(B1132,7)))</f>
        <v/>
      </c>
    </row>
    <row r="1133">
      <c r="A1133" t="inlineStr">
        <is>
          <t>Clement Obeng-Manu</t>
        </is>
      </c>
      <c r="B1133" s="4" t="n">
        <v>46128</v>
      </c>
      <c r="C1133" t="inlineStr">
        <is>
          <t>/</t>
        </is>
      </c>
      <c r="D1133" t="inlineStr">
        <is>
          <t>Ekow Nyamekye Tawiah</t>
        </is>
      </c>
      <c r="E1133" t="inlineStr">
        <is>
          <t>OdooBot</t>
        </is>
      </c>
      <c r="F1133" s="5" t="n">
        <v>46154.70721064815</v>
      </c>
      <c r="H1133" t="inlineStr">
        <is>
          <t>PCGH785</t>
        </is>
      </c>
      <c r="I1133" t="n">
        <v>4</v>
      </c>
      <c r="J1133" t="inlineStr">
        <is>
          <t>PCGH785 - GIS and Mapping (3) (Okeosisi Jonathan)</t>
        </is>
      </c>
      <c r="K1133" t="inlineStr">
        <is>
          <t>Preliminary land cover classification</t>
        </is>
      </c>
      <c r="L1133" t="b">
        <v>1</v>
      </c>
      <c r="M1133" t="inlineStr">
        <is>
          <t>Billed at a Fixed price</t>
        </is>
      </c>
      <c r="N1133" s="6">
        <f>IF(B1133="","",IF(ISNUMBER(B1133),TEXT(B1133,"YYYY-MM"),LEFT(B1133,7)))</f>
        <v/>
      </c>
    </row>
    <row r="1134">
      <c r="A1134" t="inlineStr">
        <is>
          <t>Louis Defo</t>
        </is>
      </c>
      <c r="B1134" s="4" t="n">
        <v>46128</v>
      </c>
      <c r="C1134" t="inlineStr">
        <is>
          <t>/</t>
        </is>
      </c>
      <c r="D1134" t="inlineStr">
        <is>
          <t>Louis Defo</t>
        </is>
      </c>
      <c r="E1134" t="inlineStr">
        <is>
          <t>OdooBot</t>
        </is>
      </c>
      <c r="F1134" s="5" t="n">
        <v>46154.70721064815</v>
      </c>
      <c r="H1134" t="inlineStr">
        <is>
          <t>PCGH774 -Evaluation Deep-Dive Action Plans by Socfin Group</t>
        </is>
      </c>
      <c r="I1134" t="n">
        <v>8</v>
      </c>
      <c r="J1134" t="inlineStr">
        <is>
          <t>PCGH774 - Project Management (2) (Socfinco FR SA)</t>
        </is>
      </c>
      <c r="L1134" t="b">
        <v>1</v>
      </c>
      <c r="M1134" t="inlineStr">
        <is>
          <t>Billed at a Fixed price</t>
        </is>
      </c>
      <c r="N1134" s="6">
        <f>IF(B1134="","",IF(ISNUMBER(B1134),TEXT(B1134,"YYYY-MM"),LEFT(B1134,7)))</f>
        <v/>
      </c>
    </row>
    <row r="1135">
      <c r="A1135" t="inlineStr">
        <is>
          <t>Abel Ansu</t>
        </is>
      </c>
      <c r="B1135" s="4" t="n">
        <v>46128</v>
      </c>
      <c r="C1135" t="inlineStr">
        <is>
          <t>Visited nursery sites to monitor tree seedlings</t>
        </is>
      </c>
      <c r="D1135" t="inlineStr">
        <is>
          <t>Abel Ansu</t>
        </is>
      </c>
      <c r="E1135" t="inlineStr">
        <is>
          <t>OdooBot</t>
        </is>
      </c>
      <c r="F1135" s="5" t="n">
        <v>46154.70721064815</v>
      </c>
      <c r="H1135" t="inlineStr">
        <is>
          <t>Internal</t>
        </is>
      </c>
      <c r="I1135" t="n">
        <v>8</v>
      </c>
      <c r="K1135" t="inlineStr">
        <is>
          <t>Nursery sites visit</t>
        </is>
      </c>
      <c r="L1135" t="b">
        <v>0</v>
      </c>
      <c r="M1135" t="inlineStr">
        <is>
          <t>Non-Billable</t>
        </is>
      </c>
      <c r="N1135" s="6">
        <f>IF(B1135="","",IF(ISNUMBER(B1135),TEXT(B1135,"YYYY-MM"),LEFT(B1135,7)))</f>
        <v/>
      </c>
    </row>
    <row r="1136">
      <c r="A1136" t="inlineStr">
        <is>
          <t>Mawuse Agblobi</t>
        </is>
      </c>
      <c r="B1136" s="4" t="n">
        <v>46127</v>
      </c>
      <c r="C1136" t="inlineStr">
        <is>
          <t>Time Off (3/3)</t>
        </is>
      </c>
      <c r="D1136" t="inlineStr">
        <is>
          <t>Joseph Isaiah Mensah</t>
        </is>
      </c>
      <c r="E1136" t="inlineStr">
        <is>
          <t>Mawuse Agblobi</t>
        </is>
      </c>
      <c r="F1136" s="5" t="n">
        <v>46174.89994212963</v>
      </c>
      <c r="H1136" t="inlineStr">
        <is>
          <t>Internal</t>
        </is>
      </c>
      <c r="I1136" t="n">
        <v>8</v>
      </c>
      <c r="K1136" t="inlineStr">
        <is>
          <t>Time Off</t>
        </is>
      </c>
      <c r="L1136" t="b">
        <v>0</v>
      </c>
      <c r="M1136" t="inlineStr">
        <is>
          <t>Non-Billable</t>
        </is>
      </c>
      <c r="N1136" s="6">
        <f>IF(B1136="","",IF(ISNUMBER(B1136),TEXT(B1136,"YYYY-MM"),LEFT(B1136,7)))</f>
        <v/>
      </c>
    </row>
    <row r="1137">
      <c r="A1137" t="inlineStr">
        <is>
          <t>Ekow Nyamekye Tawiah</t>
        </is>
      </c>
      <c r="B1137" s="4" t="n">
        <v>46127</v>
      </c>
      <c r="C1137" t="inlineStr">
        <is>
          <t>/</t>
        </is>
      </c>
      <c r="D1137" t="inlineStr">
        <is>
          <t>Joseph Isaiah Mensah</t>
        </is>
      </c>
      <c r="E1137" t="inlineStr">
        <is>
          <t>Ekow Nyamekye Tawiah</t>
        </is>
      </c>
      <c r="F1137" s="5" t="n">
        <v>46191.59991898148</v>
      </c>
      <c r="H1137" t="inlineStr">
        <is>
          <t>Non-Billable Tasks</t>
        </is>
      </c>
      <c r="I1137" t="n">
        <v>0</v>
      </c>
      <c r="K1137" t="inlineStr">
        <is>
          <t>Annual Leave</t>
        </is>
      </c>
      <c r="L1137" t="b">
        <v>0</v>
      </c>
      <c r="M1137" t="inlineStr">
        <is>
          <t>Non-Billable</t>
        </is>
      </c>
      <c r="N1137" s="6">
        <f>IF(B1137="","",IF(ISNUMBER(B1137),TEXT(B1137,"YYYY-MM"),LEFT(B1137,7)))</f>
        <v/>
      </c>
    </row>
    <row r="1138">
      <c r="A1138" t="inlineStr">
        <is>
          <t>James Parker Mckeown</t>
        </is>
      </c>
      <c r="B1138" s="4" t="n">
        <v>46127</v>
      </c>
      <c r="C1138" t="inlineStr">
        <is>
          <t>/</t>
        </is>
      </c>
      <c r="D1138" t="inlineStr">
        <is>
          <t>James Parker Mckeown</t>
        </is>
      </c>
      <c r="E1138" t="inlineStr">
        <is>
          <t>James Parker Mckeown</t>
        </is>
      </c>
      <c r="F1138" s="5" t="n">
        <v>46162.7705787037</v>
      </c>
      <c r="G1138" t="inlineStr">
        <is>
          <t>Output 2.1</t>
        </is>
      </c>
      <c r="H1138" t="inlineStr">
        <is>
          <t>P23AC00C00 - FGMC</t>
        </is>
      </c>
      <c r="I1138" t="n">
        <v>8</v>
      </c>
      <c r="K1138" t="inlineStr">
        <is>
          <t>P23AC32A00 - Connecting Supply and Demand Side</t>
        </is>
      </c>
      <c r="L1138" t="b">
        <v>0</v>
      </c>
      <c r="M1138" t="inlineStr">
        <is>
          <t>Non-Billable</t>
        </is>
      </c>
      <c r="N1138" s="6">
        <f>IF(B1138="","",IF(ISNUMBER(B1138),TEXT(B1138,"YYYY-MM"),LEFT(B1138,7)))</f>
        <v/>
      </c>
    </row>
    <row r="1139">
      <c r="A1139" t="inlineStr">
        <is>
          <t>Joseph Isaiah Mensah</t>
        </is>
      </c>
      <c r="B1139" s="4" t="n">
        <v>46127</v>
      </c>
      <c r="C1139" t="inlineStr">
        <is>
          <t>/</t>
        </is>
      </c>
      <c r="D1139" t="inlineStr">
        <is>
          <t>Jacqueline Nyakutse Afua</t>
        </is>
      </c>
      <c r="E1139" t="inlineStr">
        <is>
          <t>Joseph Isaiah Mensah</t>
        </is>
      </c>
      <c r="F1139" s="5" t="n">
        <v>46162.76741898148</v>
      </c>
      <c r="H1139" t="inlineStr">
        <is>
          <t>PCGH774 -Evaluation Deep-Dive Action Plans by Socfin Group</t>
        </is>
      </c>
      <c r="I1139" t="n">
        <v>8</v>
      </c>
      <c r="J1139" t="inlineStr">
        <is>
          <t>PCGH774 - Field Verification (2) (Socfinco FR SA)</t>
        </is>
      </c>
      <c r="K1139" t="inlineStr">
        <is>
          <t>[Cameroon, Socapalm （Dibombari + Edéa + Mbongo + Mbambou） Report review] - Field verification/observation/community and stakeholder engagement</t>
        </is>
      </c>
      <c r="L1139" t="b">
        <v>1</v>
      </c>
      <c r="M1139" t="inlineStr">
        <is>
          <t>Billed at a Fixed price</t>
        </is>
      </c>
      <c r="N1139" s="6">
        <f>IF(B1139="","",IF(ISNUMBER(B1139),TEXT(B1139,"YYYY-MM"),LEFT(B1139,7)))</f>
        <v/>
      </c>
    </row>
    <row r="1140">
      <c r="A1140" t="inlineStr">
        <is>
          <t>Patricia Offei</t>
        </is>
      </c>
      <c r="B1140" s="4" t="n">
        <v>46127</v>
      </c>
      <c r="C1140" t="inlineStr">
        <is>
          <t>/</t>
        </is>
      </c>
      <c r="D1140" t="inlineStr">
        <is>
          <t>Patricia Offei</t>
        </is>
      </c>
      <c r="E1140" t="inlineStr">
        <is>
          <t>Patricia Offei</t>
        </is>
      </c>
      <c r="F1140" s="5" t="n">
        <v>46162.59881944444</v>
      </c>
      <c r="H1140" t="inlineStr">
        <is>
          <t>Non-Billable Tasks</t>
        </is>
      </c>
      <c r="I1140" t="n">
        <v>8</v>
      </c>
      <c r="K1140" t="inlineStr">
        <is>
          <t>Professional development and Knowledge sharing(training,global knowledge calls,exchange weeks)</t>
        </is>
      </c>
      <c r="L1140" t="b">
        <v>0</v>
      </c>
      <c r="M1140" t="inlineStr">
        <is>
          <t>Non-Billable</t>
        </is>
      </c>
      <c r="N1140" s="6">
        <f>IF(B1140="","",IF(ISNUMBER(B1140),TEXT(B1140,"YYYY-MM"),LEFT(B1140,7)))</f>
        <v/>
      </c>
    </row>
    <row r="1141">
      <c r="A1141" t="inlineStr">
        <is>
          <t>Kwadwo Baniako Nti</t>
        </is>
      </c>
      <c r="B1141" s="4" t="n">
        <v>46127</v>
      </c>
      <c r="C1141" t="inlineStr">
        <is>
          <t>/</t>
        </is>
      </c>
      <c r="D1141" t="inlineStr">
        <is>
          <t>Kwadwo Baniako Nti</t>
        </is>
      </c>
      <c r="E1141" t="inlineStr">
        <is>
          <t>Kwadwo Baniako Nti</t>
        </is>
      </c>
      <c r="F1141" s="5" t="n">
        <v>46162.38381944445</v>
      </c>
      <c r="G1141" t="inlineStr">
        <is>
          <t>Training and Capacity Building</t>
        </is>
      </c>
      <c r="H1141" t="inlineStr">
        <is>
          <t>PCGH762 - GVL HCSA Restoration Project</t>
        </is>
      </c>
      <c r="I1141" t="n">
        <v>1</v>
      </c>
      <c r="J1141" t="inlineStr">
        <is>
          <t>PCGH762 - Training and Capacity Building (Golden Veroleum Liberia)</t>
        </is>
      </c>
      <c r="K1141" t="inlineStr">
        <is>
          <t>Training and Capacity Building</t>
        </is>
      </c>
      <c r="L1141" t="b">
        <v>1</v>
      </c>
      <c r="M1141" t="inlineStr">
        <is>
          <t>Billed at a Fixed price</t>
        </is>
      </c>
      <c r="N1141" s="6">
        <f>IF(B1141="","",IF(ISNUMBER(B1141),TEXT(B1141,"YYYY-MM"),LEFT(B1141,7)))</f>
        <v/>
      </c>
    </row>
    <row r="1142">
      <c r="A1142" t="inlineStr">
        <is>
          <t>Kwadwo Baniako Nti</t>
        </is>
      </c>
      <c r="B1142" s="4" t="n">
        <v>46127</v>
      </c>
      <c r="C1142" t="inlineStr">
        <is>
          <t>/</t>
        </is>
      </c>
      <c r="D1142" t="inlineStr">
        <is>
          <t>Kwadwo Baniako Nti</t>
        </is>
      </c>
      <c r="E1142" t="inlineStr">
        <is>
          <t>Kwadwo Baniako Nti</t>
        </is>
      </c>
      <c r="F1142" s="5" t="n">
        <v>46162.38324074074</v>
      </c>
      <c r="G1142" t="inlineStr">
        <is>
          <t>Field verification and reporting in Nigeria (3)</t>
        </is>
      </c>
      <c r="H1142" t="inlineStr">
        <is>
          <t>PCGH775 - ESDD of Valency Operations for FMO</t>
        </is>
      </c>
      <c r="I1142" t="n">
        <v>0</v>
      </c>
      <c r="J1142" t="inlineStr">
        <is>
          <t>PCGH775 - Field Verification (3) (Valency International DMCC)</t>
        </is>
      </c>
      <c r="K1142" t="inlineStr">
        <is>
          <t>Analysis and reporting in Nigeria</t>
        </is>
      </c>
      <c r="L1142" t="b">
        <v>1</v>
      </c>
      <c r="M1142" t="inlineStr">
        <is>
          <t>Billed at a Fixed price</t>
        </is>
      </c>
      <c r="N1142" s="6">
        <f>IF(B1142="","",IF(ISNUMBER(B1142),TEXT(B1142,"YYYY-MM"),LEFT(B1142,7)))</f>
        <v/>
      </c>
    </row>
    <row r="1143">
      <c r="A1143" t="inlineStr">
        <is>
          <t>Kwadwo Baniako Nti</t>
        </is>
      </c>
      <c r="B1143" s="4" t="n">
        <v>46127</v>
      </c>
      <c r="C1143" t="inlineStr">
        <is>
          <t>/</t>
        </is>
      </c>
      <c r="D1143" t="inlineStr">
        <is>
          <t>Kwadwo Baniako Nti</t>
        </is>
      </c>
      <c r="E1143" t="inlineStr">
        <is>
          <t>Kwadwo Baniako Nti</t>
        </is>
      </c>
      <c r="F1143" s="5" t="n">
        <v>46161.77590277778</v>
      </c>
      <c r="G1143" t="inlineStr">
        <is>
          <t>Baseline Socio-Economic &amp; Environmental Surveys</t>
        </is>
      </c>
      <c r="H1143" t="inlineStr">
        <is>
          <t>PCGH762 - GVL HCSA Restoration Project</t>
        </is>
      </c>
      <c r="I1143" t="n">
        <v>3</v>
      </c>
      <c r="J1143" t="inlineStr">
        <is>
          <t>PCGH762 - Baseline Socio-Economic &amp; Environmental Surveys (Golden Veroleum Liberia)</t>
        </is>
      </c>
      <c r="K1143" t="inlineStr">
        <is>
          <t>Baseline Socio-Economic &amp; Environmental Surveys</t>
        </is>
      </c>
      <c r="L1143" t="b">
        <v>1</v>
      </c>
      <c r="M1143" t="inlineStr">
        <is>
          <t>Billed at a Fixed price</t>
        </is>
      </c>
      <c r="N1143" s="6">
        <f>IF(B1143="","",IF(ISNUMBER(B1143),TEXT(B1143,"YYYY-MM"),LEFT(B1143,7)))</f>
        <v/>
      </c>
    </row>
    <row r="1144">
      <c r="A1144" t="inlineStr">
        <is>
          <t>Kwadwo Baniako Nti</t>
        </is>
      </c>
      <c r="B1144" s="4" t="n">
        <v>46127</v>
      </c>
      <c r="C1144" t="inlineStr">
        <is>
          <t>/</t>
        </is>
      </c>
      <c r="D1144" t="inlineStr">
        <is>
          <t>Kwadwo Baniako Nti</t>
        </is>
      </c>
      <c r="E1144" t="inlineStr">
        <is>
          <t>Kwadwo Baniako Nti</t>
        </is>
      </c>
      <c r="F1144" s="5" t="n">
        <v>46161.76863425926</v>
      </c>
      <c r="H1144" t="inlineStr">
        <is>
          <t>Non-Billable Tasks</t>
        </is>
      </c>
      <c r="I1144" t="n">
        <v>2</v>
      </c>
      <c r="K1144" t="inlineStr">
        <is>
          <t>Professional development and Knowledge sharing(training,global knowledge calls,exchange weeks)</t>
        </is>
      </c>
      <c r="L1144" t="b">
        <v>0</v>
      </c>
      <c r="M1144" t="inlineStr">
        <is>
          <t>Non-Billable</t>
        </is>
      </c>
      <c r="N1144" s="6">
        <f>IF(B1144="","",IF(ISNUMBER(B1144),TEXT(B1144,"YYYY-MM"),LEFT(B1144,7)))</f>
        <v/>
      </c>
    </row>
    <row r="1145">
      <c r="A1145" t="inlineStr">
        <is>
          <t>Kwadwo Baniako Nti</t>
        </is>
      </c>
      <c r="B1145" s="4" t="n">
        <v>46127</v>
      </c>
      <c r="C1145" t="inlineStr">
        <is>
          <t>/</t>
        </is>
      </c>
      <c r="D1145" t="inlineStr">
        <is>
          <t>Kwadwo Baniako Nti</t>
        </is>
      </c>
      <c r="E1145" t="inlineStr">
        <is>
          <t>Kwadwo Baniako Nti</t>
        </is>
      </c>
      <c r="F1145" s="5" t="n">
        <v>46161.76012731482</v>
      </c>
      <c r="H1145" t="inlineStr">
        <is>
          <t>PCGH774 -Evaluation Deep-Dive Action Plans by Socfin Group</t>
        </is>
      </c>
      <c r="I1145" t="n">
        <v>2</v>
      </c>
      <c r="J1145" t="inlineStr">
        <is>
          <t>PCGH774 - Project Management (3) (Socfinco FR SA)</t>
        </is>
      </c>
      <c r="K1145" t="inlineStr">
        <is>
          <t>Project Management (3)</t>
        </is>
      </c>
      <c r="L1145" t="b">
        <v>1</v>
      </c>
      <c r="M1145" t="inlineStr">
        <is>
          <t>Billed at a Fixed price</t>
        </is>
      </c>
      <c r="N1145" s="6">
        <f>IF(B1145="","",IF(ISNUMBER(B1145),TEXT(B1145,"YYYY-MM"),LEFT(B1145,7)))</f>
        <v/>
      </c>
    </row>
    <row r="1146">
      <c r="A1146" t="inlineStr">
        <is>
          <t>Kingsley Fitz-Gerald Severine</t>
        </is>
      </c>
      <c r="B1146" s="4" t="n">
        <v>46127</v>
      </c>
      <c r="C1146" t="inlineStr">
        <is>
          <t>/</t>
        </is>
      </c>
      <c r="D1146" t="inlineStr">
        <is>
          <t>Kingsley Fitz-Gerald Severine</t>
        </is>
      </c>
      <c r="E1146" t="inlineStr">
        <is>
          <t>Kingsley Fitz-Gerald Severine</t>
        </is>
      </c>
      <c r="F1146" s="5" t="n">
        <v>46161.69969907407</v>
      </c>
      <c r="H1146" t="inlineStr">
        <is>
          <t>PCGH789 - Valency MSMO EHS audit</t>
        </is>
      </c>
      <c r="I1146" t="n">
        <v>8</v>
      </c>
      <c r="J1146" t="inlineStr">
        <is>
          <t>PCGH789 - Kick-Off Meeting (Valency International DMCC)</t>
        </is>
      </c>
      <c r="K1146" t="inlineStr">
        <is>
          <t>Inception / Kick off (3)</t>
        </is>
      </c>
      <c r="L1146" t="b">
        <v>1</v>
      </c>
      <c r="M1146" t="inlineStr">
        <is>
          <t>Billed at a Fixed price</t>
        </is>
      </c>
      <c r="N1146" s="6">
        <f>IF(B1146="","",IF(ISNUMBER(B1146),TEXT(B1146,"YYYY-MM"),LEFT(B1146,7)))</f>
        <v/>
      </c>
    </row>
    <row r="1147">
      <c r="A1147" t="inlineStr">
        <is>
          <t>Frederick Antwi</t>
        </is>
      </c>
      <c r="B1147" s="4" t="n">
        <v>46127</v>
      </c>
      <c r="C1147" t="inlineStr">
        <is>
          <t>/</t>
        </is>
      </c>
      <c r="D1147" t="inlineStr">
        <is>
          <t>Frederick Antwi</t>
        </is>
      </c>
      <c r="E1147" t="inlineStr">
        <is>
          <t>Frederick Antwi</t>
        </is>
      </c>
      <c r="F1147" s="5" t="n">
        <v>46160.63601851852</v>
      </c>
      <c r="H1147" t="inlineStr">
        <is>
          <t>P13PC00A00 - Private Sector Companies</t>
        </is>
      </c>
      <c r="I1147" t="n">
        <v>4</v>
      </c>
      <c r="L1147" t="b">
        <v>0</v>
      </c>
      <c r="M1147" t="inlineStr">
        <is>
          <t>Non-Billable</t>
        </is>
      </c>
      <c r="N1147" s="6">
        <f>IF(B1147="","",IF(ISNUMBER(B1147),TEXT(B1147,"YYYY-MM"),LEFT(B1147,7)))</f>
        <v/>
      </c>
    </row>
    <row r="1148">
      <c r="A1148" t="inlineStr">
        <is>
          <t>Frederick Antwi</t>
        </is>
      </c>
      <c r="B1148" s="4" t="n">
        <v>46127</v>
      </c>
      <c r="C1148" t="inlineStr">
        <is>
          <t>/</t>
        </is>
      </c>
      <c r="D1148" t="inlineStr">
        <is>
          <t>Frederick Antwi</t>
        </is>
      </c>
      <c r="E1148" t="inlineStr">
        <is>
          <t>Frederick Antwi</t>
        </is>
      </c>
      <c r="F1148" s="5" t="n">
        <v>46160.63597222222</v>
      </c>
      <c r="H1148" t="inlineStr">
        <is>
          <t>P13QC00A00 - EFI Programme</t>
        </is>
      </c>
      <c r="I1148" t="n">
        <v>2</v>
      </c>
      <c r="L1148" t="b">
        <v>0</v>
      </c>
      <c r="M1148" t="inlineStr">
        <is>
          <t>Non-Billable</t>
        </is>
      </c>
      <c r="N1148" s="6">
        <f>IF(B1148="","",IF(ISNUMBER(B1148),TEXT(B1148,"YYYY-MM"),LEFT(B1148,7)))</f>
        <v/>
      </c>
    </row>
    <row r="1149">
      <c r="A1149" t="inlineStr">
        <is>
          <t>Frederick Antwi</t>
        </is>
      </c>
      <c r="B1149" s="4" t="n">
        <v>46127</v>
      </c>
      <c r="C1149" t="inlineStr">
        <is>
          <t>/</t>
        </is>
      </c>
      <c r="D1149" t="inlineStr">
        <is>
          <t>Frederick Antwi</t>
        </is>
      </c>
      <c r="E1149" t="inlineStr">
        <is>
          <t>Frederick Antwi</t>
        </is>
      </c>
      <c r="F1149" s="5" t="n">
        <v>46160.63590277778</v>
      </c>
      <c r="H1149" t="inlineStr">
        <is>
          <t>PCGH768</t>
        </is>
      </c>
      <c r="I1149" t="n">
        <v>2</v>
      </c>
      <c r="L1149" t="b">
        <v>1</v>
      </c>
      <c r="M1149" t="inlineStr">
        <is>
          <t>Non-Billable</t>
        </is>
      </c>
      <c r="N1149" s="6">
        <f>IF(B1149="","",IF(ISNUMBER(B1149),TEXT(B1149,"YYYY-MM"),LEFT(B1149,7)))</f>
        <v/>
      </c>
    </row>
    <row r="1150">
      <c r="A1150" t="inlineStr">
        <is>
          <t>Augustus Asamoah</t>
        </is>
      </c>
      <c r="B1150" s="4" t="n">
        <v>46127</v>
      </c>
      <c r="C1150" t="inlineStr">
        <is>
          <t>/</t>
        </is>
      </c>
      <c r="D1150" t="inlineStr">
        <is>
          <t>Augustus Asamoah</t>
        </is>
      </c>
      <c r="E1150" t="inlineStr">
        <is>
          <t>Augustus Asamoah</t>
        </is>
      </c>
      <c r="F1150" s="5" t="n">
        <v>46156.67520833333</v>
      </c>
      <c r="H1150" t="inlineStr">
        <is>
          <t>P13PC00A00 - Private Sector Companies</t>
        </is>
      </c>
      <c r="I1150" t="n">
        <v>3</v>
      </c>
      <c r="L1150" t="b">
        <v>0</v>
      </c>
      <c r="M1150" t="inlineStr">
        <is>
          <t>Non-Billable</t>
        </is>
      </c>
      <c r="N1150" s="6">
        <f>IF(B1150="","",IF(ISNUMBER(B1150),TEXT(B1150,"YYYY-MM"),LEFT(B1150,7)))</f>
        <v/>
      </c>
    </row>
    <row r="1151">
      <c r="A1151" t="inlineStr">
        <is>
          <t>Augustus Asamoah</t>
        </is>
      </c>
      <c r="B1151" s="4" t="n">
        <v>46127</v>
      </c>
      <c r="C1151" t="inlineStr">
        <is>
          <t>/</t>
        </is>
      </c>
      <c r="D1151" t="inlineStr">
        <is>
          <t>Augustus Asamoah</t>
        </is>
      </c>
      <c r="E1151" t="inlineStr">
        <is>
          <t>Augustus Asamoah</t>
        </is>
      </c>
      <c r="F1151" s="5" t="n">
        <v>46156.67516203703</v>
      </c>
      <c r="H1151" t="inlineStr">
        <is>
          <t>P13QC00A00 - EFI Programme</t>
        </is>
      </c>
      <c r="I1151" t="n">
        <v>1</v>
      </c>
      <c r="L1151" t="b">
        <v>0</v>
      </c>
      <c r="M1151" t="inlineStr">
        <is>
          <t>Non-Billable</t>
        </is>
      </c>
      <c r="N1151" s="6">
        <f>IF(B1151="","",IF(ISNUMBER(B1151),TEXT(B1151,"YYYY-MM"),LEFT(B1151,7)))</f>
        <v/>
      </c>
    </row>
    <row r="1152">
      <c r="A1152" t="inlineStr">
        <is>
          <t>Augustus Asamoah</t>
        </is>
      </c>
      <c r="B1152" s="4" t="n">
        <v>46127</v>
      </c>
      <c r="C1152" t="inlineStr">
        <is>
          <t>/</t>
        </is>
      </c>
      <c r="D1152" t="inlineStr">
        <is>
          <t>Augustus Asamoah</t>
        </is>
      </c>
      <c r="E1152" t="inlineStr">
        <is>
          <t>Augustus Asamoah</t>
        </is>
      </c>
      <c r="F1152" s="5" t="n">
        <v>46156.67505787037</v>
      </c>
      <c r="H1152" t="inlineStr">
        <is>
          <t>P13NC00A00 - WALMART II</t>
        </is>
      </c>
      <c r="I1152" t="n">
        <v>4</v>
      </c>
      <c r="L1152" t="b">
        <v>0</v>
      </c>
      <c r="M1152" t="inlineStr">
        <is>
          <t>Non-Billable</t>
        </is>
      </c>
      <c r="N1152" s="6">
        <f>IF(B1152="","",IF(ISNUMBER(B1152),TEXT(B1152,"YYYY-MM"),LEFT(B1152,7)))</f>
        <v/>
      </c>
    </row>
    <row r="1153">
      <c r="A1153" t="inlineStr">
        <is>
          <t>Helena Tetteh</t>
        </is>
      </c>
      <c r="B1153" s="4" t="n">
        <v>46127</v>
      </c>
      <c r="C1153" t="inlineStr">
        <is>
          <t>Discussion of travel and lodging arrangements forRSPO training</t>
        </is>
      </c>
      <c r="D1153" t="inlineStr">
        <is>
          <t xml:space="preserve">Helena Tetteh </t>
        </is>
      </c>
      <c r="E1153" t="inlineStr">
        <is>
          <t>OdooBot</t>
        </is>
      </c>
      <c r="F1153" s="5" t="n">
        <v>46154.70721064815</v>
      </c>
      <c r="H1153" t="inlineStr">
        <is>
          <t>Non-Billable Tasks</t>
        </is>
      </c>
      <c r="I1153" t="n">
        <v>8</v>
      </c>
      <c r="K1153" t="inlineStr">
        <is>
          <t>Professional development and Knowledge sharing(training,global knowledge calls,exchange weeks)</t>
        </is>
      </c>
      <c r="L1153" t="b">
        <v>0</v>
      </c>
      <c r="M1153" t="inlineStr">
        <is>
          <t>Non-Billable</t>
        </is>
      </c>
      <c r="N1153" s="6">
        <f>IF(B1153="","",IF(ISNUMBER(B1153),TEXT(B1153,"YYYY-MM"),LEFT(B1153,7)))</f>
        <v/>
      </c>
    </row>
    <row r="1154">
      <c r="A1154" t="inlineStr">
        <is>
          <t>Stephen Doso</t>
        </is>
      </c>
      <c r="B1154" s="4" t="n">
        <v>46127</v>
      </c>
      <c r="C1154" t="inlineStr">
        <is>
          <t>/</t>
        </is>
      </c>
      <c r="D1154" t="inlineStr">
        <is>
          <t>Stephen Doso</t>
        </is>
      </c>
      <c r="E1154" t="inlineStr">
        <is>
          <t>OdooBot</t>
        </is>
      </c>
      <c r="F1154" s="5" t="n">
        <v>46154.70721064815</v>
      </c>
      <c r="H1154" t="inlineStr">
        <is>
          <t>Non-Billable Tasks</t>
        </is>
      </c>
      <c r="I1154" t="n">
        <v>3</v>
      </c>
      <c r="K1154" t="inlineStr">
        <is>
          <t>Business Development and Networking</t>
        </is>
      </c>
      <c r="L1154" t="b">
        <v>0</v>
      </c>
      <c r="M1154" t="inlineStr">
        <is>
          <t>Non-Billable</t>
        </is>
      </c>
      <c r="N1154" s="6">
        <f>IF(B1154="","",IF(ISNUMBER(B1154),TEXT(B1154,"YYYY-MM"),LEFT(B1154,7)))</f>
        <v/>
      </c>
    </row>
    <row r="1155">
      <c r="A1155" t="inlineStr">
        <is>
          <t>Stephen Doso</t>
        </is>
      </c>
      <c r="B1155" s="4" t="n">
        <v>46127</v>
      </c>
      <c r="C1155" t="inlineStr">
        <is>
          <t>/</t>
        </is>
      </c>
      <c r="D1155" t="inlineStr">
        <is>
          <t>Stephen Doso</t>
        </is>
      </c>
      <c r="E1155" t="inlineStr">
        <is>
          <t>OdooBot</t>
        </is>
      </c>
      <c r="F1155" s="5" t="n">
        <v>46154.70721064815</v>
      </c>
      <c r="G1155" t="inlineStr">
        <is>
          <t>Review</t>
        </is>
      </c>
      <c r="H1155" t="inlineStr">
        <is>
          <t>PCGH784</t>
        </is>
      </c>
      <c r="I1155" t="n">
        <v>5</v>
      </c>
      <c r="J1155" t="inlineStr">
        <is>
          <t>PCGH784 - Reporting (2) (Okeosisi Jonathan)</t>
        </is>
      </c>
      <c r="K1155" t="inlineStr">
        <is>
          <t>Reporting</t>
        </is>
      </c>
      <c r="L1155" t="b">
        <v>1</v>
      </c>
      <c r="M1155" t="inlineStr">
        <is>
          <t>Billed at a Fixed price</t>
        </is>
      </c>
      <c r="N1155" s="6">
        <f>IF(B1155="","",IF(ISNUMBER(B1155),TEXT(B1155,"YYYY-MM"),LEFT(B1155,7)))</f>
        <v/>
      </c>
    </row>
    <row r="1156">
      <c r="A1156" t="inlineStr">
        <is>
          <t>Afua Serwah Akoto Prempeh</t>
        </is>
      </c>
      <c r="B1156" s="4" t="n">
        <v>46127</v>
      </c>
      <c r="C1156" t="inlineStr">
        <is>
          <t>/</t>
        </is>
      </c>
      <c r="D1156" t="inlineStr">
        <is>
          <t>Afua Serwah Akoto Prempeh</t>
        </is>
      </c>
      <c r="E1156" t="inlineStr">
        <is>
          <t>OdooBot</t>
        </is>
      </c>
      <c r="F1156" s="5" t="n">
        <v>46154.70721064815</v>
      </c>
      <c r="H1156" t="inlineStr">
        <is>
          <t>Non-Billable Tasks</t>
        </is>
      </c>
      <c r="I1156" t="n">
        <v>5</v>
      </c>
      <c r="L1156" t="b">
        <v>0</v>
      </c>
      <c r="M1156" t="inlineStr">
        <is>
          <t>Non-Billable</t>
        </is>
      </c>
      <c r="N1156" s="6">
        <f>IF(B1156="","",IF(ISNUMBER(B1156),TEXT(B1156,"YYYY-MM"),LEFT(B1156,7)))</f>
        <v/>
      </c>
    </row>
    <row r="1157">
      <c r="A1157" t="inlineStr">
        <is>
          <t>Afua Serwah Akoto Prempeh</t>
        </is>
      </c>
      <c r="B1157" s="4" t="n">
        <v>46127</v>
      </c>
      <c r="C1157" t="inlineStr">
        <is>
          <t>/</t>
        </is>
      </c>
      <c r="D1157" t="inlineStr">
        <is>
          <t>Afua Serwah Akoto Prempeh</t>
        </is>
      </c>
      <c r="E1157" t="inlineStr">
        <is>
          <t>OdooBot</t>
        </is>
      </c>
      <c r="F1157" s="5" t="n">
        <v>46154.70721064815</v>
      </c>
      <c r="H1157" t="inlineStr">
        <is>
          <t>Non-Billable Tasks</t>
        </is>
      </c>
      <c r="I1157" t="n">
        <v>3</v>
      </c>
      <c r="K1157" t="inlineStr">
        <is>
          <t>Professional development and Knowledge sharing(training,global knowledge calls,exchange weeks)</t>
        </is>
      </c>
      <c r="L1157" t="b">
        <v>0</v>
      </c>
      <c r="M1157" t="inlineStr">
        <is>
          <t>Non-Billable</t>
        </is>
      </c>
      <c r="N1157" s="6">
        <f>IF(B1157="","",IF(ISNUMBER(B1157),TEXT(B1157,"YYYY-MM"),LEFT(B1157,7)))</f>
        <v/>
      </c>
    </row>
    <row r="1158">
      <c r="A1158" t="inlineStr">
        <is>
          <t>Clement Obeng-Manu</t>
        </is>
      </c>
      <c r="B1158" s="4" t="n">
        <v>46127</v>
      </c>
      <c r="C1158" t="inlineStr">
        <is>
          <t>/</t>
        </is>
      </c>
      <c r="D1158" t="inlineStr">
        <is>
          <t>Ekow Nyamekye Tawiah</t>
        </is>
      </c>
      <c r="E1158" t="inlineStr">
        <is>
          <t>OdooBot</t>
        </is>
      </c>
      <c r="F1158" s="5" t="n">
        <v>46154.70721064815</v>
      </c>
      <c r="H1158" t="inlineStr">
        <is>
          <t>PCGH785</t>
        </is>
      </c>
      <c r="I1158" t="n">
        <v>8</v>
      </c>
      <c r="J1158" t="inlineStr">
        <is>
          <t>PCGH785 - GIS and Mapping (3) (Okeosisi Jonathan)</t>
        </is>
      </c>
      <c r="K1158" t="inlineStr">
        <is>
          <t>Preliminary land cover classification</t>
        </is>
      </c>
      <c r="L1158" t="b">
        <v>1</v>
      </c>
      <c r="M1158" t="inlineStr">
        <is>
          <t>Billed at a Fixed price</t>
        </is>
      </c>
      <c r="N1158" s="6">
        <f>IF(B1158="","",IF(ISNUMBER(B1158),TEXT(B1158,"YYYY-MM"),LEFT(B1158,7)))</f>
        <v/>
      </c>
    </row>
    <row r="1159">
      <c r="A1159" t="inlineStr">
        <is>
          <t>Louis Defo</t>
        </is>
      </c>
      <c r="B1159" s="4" t="n">
        <v>46127</v>
      </c>
      <c r="C1159" t="inlineStr">
        <is>
          <t>/</t>
        </is>
      </c>
      <c r="D1159" t="inlineStr">
        <is>
          <t>Louis Defo</t>
        </is>
      </c>
      <c r="E1159" t="inlineStr">
        <is>
          <t>OdooBot</t>
        </is>
      </c>
      <c r="F1159" s="5" t="n">
        <v>46154.70721064815</v>
      </c>
      <c r="H1159" t="inlineStr">
        <is>
          <t>PCGH774 -Evaluation Deep-Dive Action Plans by Socfin Group</t>
        </is>
      </c>
      <c r="I1159" t="n">
        <v>8</v>
      </c>
      <c r="J1159" t="inlineStr">
        <is>
          <t>PCGH774 - Project Management (2) (Socfinco FR SA)</t>
        </is>
      </c>
      <c r="L1159" t="b">
        <v>1</v>
      </c>
      <c r="M1159" t="inlineStr">
        <is>
          <t>Billed at a Fixed price</t>
        </is>
      </c>
      <c r="N1159" s="6">
        <f>IF(B1159="","",IF(ISNUMBER(B1159),TEXT(B1159,"YYYY-MM"),LEFT(B1159,7)))</f>
        <v/>
      </c>
    </row>
    <row r="1160">
      <c r="A1160" t="inlineStr">
        <is>
          <t>Abel Ansu</t>
        </is>
      </c>
      <c r="B1160" s="4" t="n">
        <v>46127</v>
      </c>
      <c r="C1160" t="inlineStr">
        <is>
          <t>Visited the Ayum forest reserve to monitor and pick GPS coordinates for new lands cleared for MTS</t>
        </is>
      </c>
      <c r="D1160" t="inlineStr">
        <is>
          <t>Abel Ansu</t>
        </is>
      </c>
      <c r="E1160" t="inlineStr">
        <is>
          <t>OdooBot</t>
        </is>
      </c>
      <c r="F1160" s="5" t="n">
        <v>46154.70721064815</v>
      </c>
      <c r="H1160" t="inlineStr">
        <is>
          <t>Internal</t>
        </is>
      </c>
      <c r="I1160" t="n">
        <v>8</v>
      </c>
      <c r="K1160" t="inlineStr">
        <is>
          <t>Field monitoring</t>
        </is>
      </c>
      <c r="L1160" t="b">
        <v>0</v>
      </c>
      <c r="M1160" t="inlineStr">
        <is>
          <t>Non-Billable</t>
        </is>
      </c>
      <c r="N1160" s="6">
        <f>IF(B1160="","",IF(ISNUMBER(B1160),TEXT(B1160,"YYYY-MM"),LEFT(B1160,7)))</f>
        <v/>
      </c>
    </row>
    <row r="1161">
      <c r="A1161" t="inlineStr">
        <is>
          <t>Kingsley Fitz-Gerald Severine</t>
        </is>
      </c>
      <c r="B1161" s="4" t="n">
        <v>46127</v>
      </c>
      <c r="C1161" t="inlineStr">
        <is>
          <t>/</t>
        </is>
      </c>
      <c r="D1161" t="inlineStr">
        <is>
          <t>Kingsley Fitz-Gerald Severine</t>
        </is>
      </c>
      <c r="E1161" t="inlineStr">
        <is>
          <t>OdooBot</t>
        </is>
      </c>
      <c r="F1161" s="5" t="n">
        <v>46154.70721064815</v>
      </c>
      <c r="H1161" t="inlineStr">
        <is>
          <t>PCGH789 - Valency MSMO EHS audit</t>
        </is>
      </c>
      <c r="I1161" t="n">
        <v>0</v>
      </c>
      <c r="J1161" t="inlineStr">
        <is>
          <t>PCGH789 - Desk Study (3) (Valency International DMCC)</t>
        </is>
      </c>
      <c r="K1161" t="inlineStr">
        <is>
          <t>Desktop Study &amp; Assessment Framework Dev't (3)</t>
        </is>
      </c>
      <c r="L1161" t="b">
        <v>1</v>
      </c>
      <c r="M1161" t="inlineStr">
        <is>
          <t>Billed at a Fixed price</t>
        </is>
      </c>
      <c r="N1161" s="6">
        <f>IF(B1161="","",IF(ISNUMBER(B1161),TEXT(B1161,"YYYY-MM"),LEFT(B1161,7)))</f>
        <v/>
      </c>
    </row>
    <row r="1162">
      <c r="A1162" t="inlineStr">
        <is>
          <t>Mawuse Agblobi</t>
        </is>
      </c>
      <c r="B1162" s="4" t="n">
        <v>46126</v>
      </c>
      <c r="C1162" t="inlineStr">
        <is>
          <t>Time Off (2/3)</t>
        </is>
      </c>
      <c r="D1162" t="inlineStr">
        <is>
          <t>Joseph Isaiah Mensah</t>
        </is>
      </c>
      <c r="E1162" t="inlineStr">
        <is>
          <t>Mawuse Agblobi</t>
        </is>
      </c>
      <c r="F1162" s="5" t="n">
        <v>46174.89994212963</v>
      </c>
      <c r="H1162" t="inlineStr">
        <is>
          <t>Internal</t>
        </is>
      </c>
      <c r="I1162" t="n">
        <v>8</v>
      </c>
      <c r="K1162" t="inlineStr">
        <is>
          <t>Time Off</t>
        </is>
      </c>
      <c r="L1162" t="b">
        <v>0</v>
      </c>
      <c r="M1162" t="inlineStr">
        <is>
          <t>Non-Billable</t>
        </is>
      </c>
      <c r="N1162" s="6">
        <f>IF(B1162="","",IF(ISNUMBER(B1162),TEXT(B1162,"YYYY-MM"),LEFT(B1162,7)))</f>
        <v/>
      </c>
    </row>
    <row r="1163">
      <c r="A1163" t="inlineStr">
        <is>
          <t>Mawuse Agblobi</t>
        </is>
      </c>
      <c r="B1163" s="4" t="n">
        <v>46126</v>
      </c>
      <c r="C1163" t="inlineStr">
        <is>
          <t>Time Off (1/1)</t>
        </is>
      </c>
      <c r="D1163" t="inlineStr">
        <is>
          <t>Ernestina Incoom</t>
        </is>
      </c>
      <c r="E1163" t="inlineStr">
        <is>
          <t>Mawuse Agblobi</t>
        </is>
      </c>
      <c r="F1163" s="5" t="n">
        <v>46174.89994212963</v>
      </c>
      <c r="H1163" t="inlineStr">
        <is>
          <t>Internal</t>
        </is>
      </c>
      <c r="I1163" t="n">
        <v>8</v>
      </c>
      <c r="K1163" t="inlineStr">
        <is>
          <t>Time Off</t>
        </is>
      </c>
      <c r="L1163" t="b">
        <v>0</v>
      </c>
      <c r="M1163" t="inlineStr">
        <is>
          <t>Non-Billable</t>
        </is>
      </c>
      <c r="N1163" s="6">
        <f>IF(B1163="","",IF(ISNUMBER(B1163),TEXT(B1163,"YYYY-MM"),LEFT(B1163,7)))</f>
        <v/>
      </c>
    </row>
    <row r="1164">
      <c r="A1164" t="inlineStr">
        <is>
          <t>Ekow Nyamekye Tawiah</t>
        </is>
      </c>
      <c r="B1164" s="4" t="n">
        <v>46126</v>
      </c>
      <c r="C1164" t="inlineStr">
        <is>
          <t>/</t>
        </is>
      </c>
      <c r="D1164" t="inlineStr">
        <is>
          <t>Joseph Isaiah Mensah</t>
        </is>
      </c>
      <c r="E1164" t="inlineStr">
        <is>
          <t>Ekow Nyamekye Tawiah</t>
        </is>
      </c>
      <c r="F1164" s="5" t="n">
        <v>46191.59996527778</v>
      </c>
      <c r="H1164" t="inlineStr">
        <is>
          <t>Non-Billable Tasks</t>
        </is>
      </c>
      <c r="I1164" t="n">
        <v>0</v>
      </c>
      <c r="K1164" t="inlineStr">
        <is>
          <t>Annual Leave</t>
        </is>
      </c>
      <c r="L1164" t="b">
        <v>0</v>
      </c>
      <c r="M1164" t="inlineStr">
        <is>
          <t>Non-Billable</t>
        </is>
      </c>
      <c r="N1164" s="6">
        <f>IF(B1164="","",IF(ISNUMBER(B1164),TEXT(B1164,"YYYY-MM"),LEFT(B1164,7)))</f>
        <v/>
      </c>
    </row>
    <row r="1165">
      <c r="A1165" t="inlineStr">
        <is>
          <t>James Parker Mckeown</t>
        </is>
      </c>
      <c r="B1165" s="4" t="n">
        <v>46126</v>
      </c>
      <c r="C1165" t="inlineStr">
        <is>
          <t>/</t>
        </is>
      </c>
      <c r="D1165" t="inlineStr">
        <is>
          <t>James Parker Mckeown</t>
        </is>
      </c>
      <c r="E1165" t="inlineStr">
        <is>
          <t>James Parker Mckeown</t>
        </is>
      </c>
      <c r="F1165" s="5" t="n">
        <v>46162.77055555556</v>
      </c>
      <c r="G1165" t="inlineStr">
        <is>
          <t>Output 2.1</t>
        </is>
      </c>
      <c r="H1165" t="inlineStr">
        <is>
          <t>P23AC00C00 - FGMC</t>
        </is>
      </c>
      <c r="I1165" t="n">
        <v>8</v>
      </c>
      <c r="K1165" t="inlineStr">
        <is>
          <t>P23AC32A00 - Connecting Supply and Demand Side</t>
        </is>
      </c>
      <c r="L1165" t="b">
        <v>0</v>
      </c>
      <c r="M1165" t="inlineStr">
        <is>
          <t>Non-Billable</t>
        </is>
      </c>
      <c r="N1165" s="6">
        <f>IF(B1165="","",IF(ISNUMBER(B1165),TEXT(B1165,"YYYY-MM"),LEFT(B1165,7)))</f>
        <v/>
      </c>
    </row>
    <row r="1166">
      <c r="A1166" t="inlineStr">
        <is>
          <t>Joseph Isaiah Mensah</t>
        </is>
      </c>
      <c r="B1166" s="4" t="n">
        <v>46126</v>
      </c>
      <c r="C1166" t="inlineStr">
        <is>
          <t>/</t>
        </is>
      </c>
      <c r="D1166" t="inlineStr">
        <is>
          <t>Jacqueline Nyakutse Afua</t>
        </is>
      </c>
      <c r="E1166" t="inlineStr">
        <is>
          <t>Joseph Isaiah Mensah</t>
        </is>
      </c>
      <c r="F1166" s="5" t="n">
        <v>46162.76672453704</v>
      </c>
      <c r="H1166" t="inlineStr">
        <is>
          <t>PCGH774 -Evaluation Deep-Dive Action Plans by Socfin Group</t>
        </is>
      </c>
      <c r="I1166" t="n">
        <v>8</v>
      </c>
      <c r="J1166" t="inlineStr">
        <is>
          <t>PCGH774 - Field Verification (2) (Socfinco FR SA)</t>
        </is>
      </c>
      <c r="K1166" t="inlineStr">
        <is>
          <t>[Cameroon, Socapalm （Dibombari + Edéa + Mbongo + Mbambou） Report review] - Field verification/observation/community and stakeholder engagement</t>
        </is>
      </c>
      <c r="L1166" t="b">
        <v>1</v>
      </c>
      <c r="M1166" t="inlineStr">
        <is>
          <t>Billed at a Fixed price</t>
        </is>
      </c>
      <c r="N1166" s="6">
        <f>IF(B1166="","",IF(ISNUMBER(B1166),TEXT(B1166,"YYYY-MM"),LEFT(B1166,7)))</f>
        <v/>
      </c>
    </row>
    <row r="1167">
      <c r="A1167" t="inlineStr">
        <is>
          <t>Patricia Offei</t>
        </is>
      </c>
      <c r="B1167" s="4" t="n">
        <v>46126</v>
      </c>
      <c r="C1167" t="inlineStr">
        <is>
          <t>/</t>
        </is>
      </c>
      <c r="D1167" t="inlineStr">
        <is>
          <t>Patricia Offei</t>
        </is>
      </c>
      <c r="E1167" t="inlineStr">
        <is>
          <t>Patricia Offei</t>
        </is>
      </c>
      <c r="F1167" s="5" t="n">
        <v>46162.5987962963</v>
      </c>
      <c r="H1167" t="inlineStr">
        <is>
          <t>Non-Billable Tasks</t>
        </is>
      </c>
      <c r="I1167" t="n">
        <v>8</v>
      </c>
      <c r="K1167" t="inlineStr">
        <is>
          <t>Professional development and Knowledge sharing(training,global knowledge calls,exchange weeks)</t>
        </is>
      </c>
      <c r="L1167" t="b">
        <v>0</v>
      </c>
      <c r="M1167" t="inlineStr">
        <is>
          <t>Non-Billable</t>
        </is>
      </c>
      <c r="N1167" s="6">
        <f>IF(B1167="","",IF(ISNUMBER(B1167),TEXT(B1167,"YYYY-MM"),LEFT(B1167,7)))</f>
        <v/>
      </c>
    </row>
    <row r="1168">
      <c r="A1168" t="inlineStr">
        <is>
          <t>Kwadwo Baniako Nti</t>
        </is>
      </c>
      <c r="B1168" s="4" t="n">
        <v>46126</v>
      </c>
      <c r="C1168" t="inlineStr">
        <is>
          <t>/</t>
        </is>
      </c>
      <c r="D1168" t="inlineStr">
        <is>
          <t>Kwadwo Baniako Nti</t>
        </is>
      </c>
      <c r="E1168" t="inlineStr">
        <is>
          <t>Kwadwo Baniako Nti</t>
        </is>
      </c>
      <c r="F1168" s="5" t="n">
        <v>46161.77621527778</v>
      </c>
      <c r="H1168" t="inlineStr">
        <is>
          <t>Non-Billable Tasks</t>
        </is>
      </c>
      <c r="I1168" t="n">
        <v>3</v>
      </c>
      <c r="K1168" t="inlineStr">
        <is>
          <t>Professional development and Knowledge sharing(training,global knowledge calls,exchange weeks)</t>
        </is>
      </c>
      <c r="L1168" t="b">
        <v>0</v>
      </c>
      <c r="M1168" t="inlineStr">
        <is>
          <t>Non-Billable</t>
        </is>
      </c>
      <c r="N1168" s="6">
        <f>IF(B1168="","",IF(ISNUMBER(B1168),TEXT(B1168,"YYYY-MM"),LEFT(B1168,7)))</f>
        <v/>
      </c>
    </row>
    <row r="1169">
      <c r="A1169" t="inlineStr">
        <is>
          <t>Kwadwo Baniako Nti</t>
        </is>
      </c>
      <c r="B1169" s="4" t="n">
        <v>46126</v>
      </c>
      <c r="C1169" t="inlineStr">
        <is>
          <t>/</t>
        </is>
      </c>
      <c r="D1169" t="inlineStr">
        <is>
          <t>Kwadwo Baniako Nti</t>
        </is>
      </c>
      <c r="E1169" t="inlineStr">
        <is>
          <t>Kwadwo Baniako Nti</t>
        </is>
      </c>
      <c r="F1169" s="5" t="n">
        <v>46161.76010416666</v>
      </c>
      <c r="H1169" t="inlineStr">
        <is>
          <t>PCGH774 -Evaluation Deep-Dive Action Plans by Socfin Group</t>
        </is>
      </c>
      <c r="I1169" t="n">
        <v>2</v>
      </c>
      <c r="J1169" t="inlineStr">
        <is>
          <t>PCGH774 - Project Management (3) (Socfinco FR SA)</t>
        </is>
      </c>
      <c r="K1169" t="inlineStr">
        <is>
          <t>Project Management (3)</t>
        </is>
      </c>
      <c r="L1169" t="b">
        <v>1</v>
      </c>
      <c r="M1169" t="inlineStr">
        <is>
          <t>Billed at a Fixed price</t>
        </is>
      </c>
      <c r="N1169" s="6">
        <f>IF(B1169="","",IF(ISNUMBER(B1169),TEXT(B1169,"YYYY-MM"),LEFT(B1169,7)))</f>
        <v/>
      </c>
    </row>
    <row r="1170">
      <c r="A1170" t="inlineStr">
        <is>
          <t>Kwadwo Baniako Nti</t>
        </is>
      </c>
      <c r="B1170" s="4" t="n">
        <v>46126</v>
      </c>
      <c r="C1170" t="inlineStr">
        <is>
          <t>/</t>
        </is>
      </c>
      <c r="D1170" t="inlineStr">
        <is>
          <t>Kwadwo Baniako Nti</t>
        </is>
      </c>
      <c r="E1170" t="inlineStr">
        <is>
          <t>Kwadwo Baniako Nti</t>
        </is>
      </c>
      <c r="F1170" s="5" t="n">
        <v>46161.74802083334</v>
      </c>
      <c r="G1170" t="inlineStr">
        <is>
          <t>Baseline Socio-Economic &amp; Environmental Surveys</t>
        </is>
      </c>
      <c r="H1170" t="inlineStr">
        <is>
          <t>PCGH762 - GVL HCSA Restoration Project</t>
        </is>
      </c>
      <c r="I1170" t="n">
        <v>3</v>
      </c>
      <c r="J1170" t="inlineStr">
        <is>
          <t>PCGH762 - Baseline Socio-Economic &amp; Environmental Surveys (Golden Veroleum Liberia)</t>
        </is>
      </c>
      <c r="K1170" t="inlineStr">
        <is>
          <t>Baseline Socio-Economic &amp; Environmental Surveys</t>
        </is>
      </c>
      <c r="L1170" t="b">
        <v>1</v>
      </c>
      <c r="M1170" t="inlineStr">
        <is>
          <t>Billed at a Fixed price</t>
        </is>
      </c>
      <c r="N1170" s="6">
        <f>IF(B1170="","",IF(ISNUMBER(B1170),TEXT(B1170,"YYYY-MM"),LEFT(B1170,7)))</f>
        <v/>
      </c>
    </row>
    <row r="1171">
      <c r="A1171" t="inlineStr">
        <is>
          <t>Kingsley Fitz-Gerald Severine</t>
        </is>
      </c>
      <c r="B1171" s="4" t="n">
        <v>46126</v>
      </c>
      <c r="C1171" t="inlineStr">
        <is>
          <t>/</t>
        </is>
      </c>
      <c r="D1171" t="inlineStr">
        <is>
          <t>Kingsley Fitz-Gerald Severine</t>
        </is>
      </c>
      <c r="E1171" t="inlineStr">
        <is>
          <t>Kingsley Fitz-Gerald Severine</t>
        </is>
      </c>
      <c r="F1171" s="5" t="n">
        <v>46161.69966435185</v>
      </c>
      <c r="H1171" t="inlineStr">
        <is>
          <t>PCGH789 - Valency MSMO EHS audit</t>
        </is>
      </c>
      <c r="I1171" t="n">
        <v>8</v>
      </c>
      <c r="J1171" t="inlineStr">
        <is>
          <t>PCGH789 - Desk Study (3) (Valency International DMCC)</t>
        </is>
      </c>
      <c r="K1171" t="inlineStr">
        <is>
          <t>Desktop Study &amp; Assessment Framework Dev't (3)</t>
        </is>
      </c>
      <c r="L1171" t="b">
        <v>1</v>
      </c>
      <c r="M1171" t="inlineStr">
        <is>
          <t>Billed at a Fixed price</t>
        </is>
      </c>
      <c r="N1171" s="6">
        <f>IF(B1171="","",IF(ISNUMBER(B1171),TEXT(B1171,"YYYY-MM"),LEFT(B1171,7)))</f>
        <v/>
      </c>
    </row>
    <row r="1172">
      <c r="A1172" t="inlineStr">
        <is>
          <t>Frederick Antwi</t>
        </is>
      </c>
      <c r="B1172" s="4" t="n">
        <v>46126</v>
      </c>
      <c r="C1172" t="inlineStr">
        <is>
          <t>/</t>
        </is>
      </c>
      <c r="D1172" t="inlineStr">
        <is>
          <t>Frederick Antwi</t>
        </is>
      </c>
      <c r="E1172" t="inlineStr">
        <is>
          <t>Frederick Antwi</t>
        </is>
      </c>
      <c r="F1172" s="5" t="n">
        <v>46160.63545138889</v>
      </c>
      <c r="H1172" t="inlineStr">
        <is>
          <t>P13PC00A00 - Private Sector Companies</t>
        </is>
      </c>
      <c r="I1172" t="n">
        <v>4</v>
      </c>
      <c r="L1172" t="b">
        <v>0</v>
      </c>
      <c r="M1172" t="inlineStr">
        <is>
          <t>Non-Billable</t>
        </is>
      </c>
      <c r="N1172" s="6">
        <f>IF(B1172="","",IF(ISNUMBER(B1172),TEXT(B1172,"YYYY-MM"),LEFT(B1172,7)))</f>
        <v/>
      </c>
    </row>
    <row r="1173">
      <c r="A1173" t="inlineStr">
        <is>
          <t>Frederick Antwi</t>
        </is>
      </c>
      <c r="B1173" s="4" t="n">
        <v>46126</v>
      </c>
      <c r="C1173" t="inlineStr">
        <is>
          <t>/</t>
        </is>
      </c>
      <c r="D1173" t="inlineStr">
        <is>
          <t>Frederick Antwi</t>
        </is>
      </c>
      <c r="E1173" t="inlineStr">
        <is>
          <t>Frederick Antwi</t>
        </is>
      </c>
      <c r="F1173" s="5" t="n">
        <v>46160.63535879629</v>
      </c>
      <c r="H1173" t="inlineStr">
        <is>
          <t>P13NC00A00 - WALMART II</t>
        </is>
      </c>
      <c r="I1173" t="n">
        <v>4</v>
      </c>
      <c r="L1173" t="b">
        <v>0</v>
      </c>
      <c r="M1173" t="inlineStr">
        <is>
          <t>Non-Billable</t>
        </is>
      </c>
      <c r="N1173" s="6">
        <f>IF(B1173="","",IF(ISNUMBER(B1173),TEXT(B1173,"YYYY-MM"),LEFT(B1173,7)))</f>
        <v/>
      </c>
    </row>
    <row r="1174">
      <c r="A1174" t="inlineStr">
        <is>
          <t>Augustus Asamoah</t>
        </is>
      </c>
      <c r="B1174" s="4" t="n">
        <v>46126</v>
      </c>
      <c r="C1174" t="inlineStr">
        <is>
          <t>/</t>
        </is>
      </c>
      <c r="D1174" t="inlineStr">
        <is>
          <t>Augustus Asamoah</t>
        </is>
      </c>
      <c r="E1174" t="inlineStr">
        <is>
          <t>Augustus Asamoah</t>
        </is>
      </c>
      <c r="F1174" s="5" t="n">
        <v>46156.67297453704</v>
      </c>
      <c r="H1174" t="inlineStr">
        <is>
          <t>P13NC00A00 - WALMART II</t>
        </is>
      </c>
      <c r="I1174" t="n">
        <v>1</v>
      </c>
      <c r="L1174" t="b">
        <v>0</v>
      </c>
      <c r="M1174" t="inlineStr">
        <is>
          <t>Non-Billable</t>
        </is>
      </c>
      <c r="N1174" s="6">
        <f>IF(B1174="","",IF(ISNUMBER(B1174),TEXT(B1174,"YYYY-MM"),LEFT(B1174,7)))</f>
        <v/>
      </c>
    </row>
    <row r="1175">
      <c r="A1175" t="inlineStr">
        <is>
          <t>Augustus Asamoah</t>
        </is>
      </c>
      <c r="B1175" s="4" t="n">
        <v>46126</v>
      </c>
      <c r="C1175" t="inlineStr">
        <is>
          <t>/</t>
        </is>
      </c>
      <c r="D1175" t="inlineStr">
        <is>
          <t>Augustus Asamoah</t>
        </is>
      </c>
      <c r="E1175" t="inlineStr">
        <is>
          <t>Augustus Asamoah</t>
        </is>
      </c>
      <c r="F1175" s="5" t="n">
        <v>46156.67289351852</v>
      </c>
      <c r="H1175" t="inlineStr">
        <is>
          <t>P13QC00A00 - EFI Programme</t>
        </is>
      </c>
      <c r="I1175" t="n">
        <v>3</v>
      </c>
      <c r="L1175" t="b">
        <v>0</v>
      </c>
      <c r="M1175" t="inlineStr">
        <is>
          <t>Non-Billable</t>
        </is>
      </c>
      <c r="N1175" s="6">
        <f>IF(B1175="","",IF(ISNUMBER(B1175),TEXT(B1175,"YYYY-MM"),LEFT(B1175,7)))</f>
        <v/>
      </c>
    </row>
    <row r="1176">
      <c r="A1176" t="inlineStr">
        <is>
          <t>Augustus Asamoah</t>
        </is>
      </c>
      <c r="B1176" s="4" t="n">
        <v>46126</v>
      </c>
      <c r="C1176" t="inlineStr">
        <is>
          <t>Q2 Workplan and Discussion</t>
        </is>
      </c>
      <c r="D1176" t="inlineStr">
        <is>
          <t>Augustus Asamoah</t>
        </is>
      </c>
      <c r="E1176" t="inlineStr">
        <is>
          <t>Augustus Asamoah</t>
        </is>
      </c>
      <c r="F1176" s="5" t="n">
        <v>46156.67265046296</v>
      </c>
      <c r="H1176" t="inlineStr">
        <is>
          <t>P13PC00A00 - Private Sector Companies</t>
        </is>
      </c>
      <c r="I1176" t="n">
        <v>4</v>
      </c>
      <c r="L1176" t="b">
        <v>0</v>
      </c>
      <c r="M1176" t="inlineStr">
        <is>
          <t>Non-Billable</t>
        </is>
      </c>
      <c r="N1176" s="6">
        <f>IF(B1176="","",IF(ISNUMBER(B1176),TEXT(B1176,"YYYY-MM"),LEFT(B1176,7)))</f>
        <v/>
      </c>
    </row>
    <row r="1177">
      <c r="A1177" t="inlineStr">
        <is>
          <t>Helena Tetteh</t>
        </is>
      </c>
      <c r="B1177" s="4" t="n">
        <v>46126</v>
      </c>
      <c r="C1177" t="inlineStr">
        <is>
          <t>/</t>
        </is>
      </c>
      <c r="D1177" t="inlineStr">
        <is>
          <t xml:space="preserve">Helena Tetteh </t>
        </is>
      </c>
      <c r="E1177" t="inlineStr">
        <is>
          <t>OdooBot</t>
        </is>
      </c>
      <c r="F1177" s="5" t="n">
        <v>46154.70721064815</v>
      </c>
      <c r="H1177" t="inlineStr">
        <is>
          <t>Non-Billable Tasks</t>
        </is>
      </c>
      <c r="I1177" t="n">
        <v>8</v>
      </c>
      <c r="K1177" t="inlineStr">
        <is>
          <t>Public Holiday</t>
        </is>
      </c>
      <c r="L1177" t="b">
        <v>0</v>
      </c>
      <c r="M1177" t="inlineStr">
        <is>
          <t>Non-Billable</t>
        </is>
      </c>
      <c r="N1177" s="6">
        <f>IF(B1177="","",IF(ISNUMBER(B1177),TEXT(B1177,"YYYY-MM"),LEFT(B1177,7)))</f>
        <v/>
      </c>
    </row>
    <row r="1178">
      <c r="A1178" t="inlineStr">
        <is>
          <t>Stephen Doso</t>
        </is>
      </c>
      <c r="B1178" s="4" t="n">
        <v>46126</v>
      </c>
      <c r="C1178" t="inlineStr">
        <is>
          <t>Proposal</t>
        </is>
      </c>
      <c r="D1178" t="inlineStr">
        <is>
          <t>Stephen Doso</t>
        </is>
      </c>
      <c r="E1178" t="inlineStr">
        <is>
          <t>OdooBot</t>
        </is>
      </c>
      <c r="F1178" s="5" t="n">
        <v>46154.70721064815</v>
      </c>
      <c r="H1178" t="inlineStr">
        <is>
          <t>Non-Billable Tasks</t>
        </is>
      </c>
      <c r="I1178" t="n">
        <v>2</v>
      </c>
      <c r="K1178" t="inlineStr">
        <is>
          <t>Business Development and Networking</t>
        </is>
      </c>
      <c r="L1178" t="b">
        <v>0</v>
      </c>
      <c r="M1178" t="inlineStr">
        <is>
          <t>Non-Billable</t>
        </is>
      </c>
      <c r="N1178" s="6">
        <f>IF(B1178="","",IF(ISNUMBER(B1178),TEXT(B1178,"YYYY-MM"),LEFT(B1178,7)))</f>
        <v/>
      </c>
    </row>
    <row r="1179">
      <c r="A1179" t="inlineStr">
        <is>
          <t>Stephen Doso</t>
        </is>
      </c>
      <c r="B1179" s="4" t="n">
        <v>46126</v>
      </c>
      <c r="C1179" t="inlineStr">
        <is>
          <t>/</t>
        </is>
      </c>
      <c r="D1179" t="inlineStr">
        <is>
          <t>Stephen Doso</t>
        </is>
      </c>
      <c r="E1179" t="inlineStr">
        <is>
          <t>OdooBot</t>
        </is>
      </c>
      <c r="F1179" s="5" t="n">
        <v>46154.70721064815</v>
      </c>
      <c r="H1179" t="inlineStr">
        <is>
          <t>PCGH789 - Valency MSMO EHS audit</t>
        </is>
      </c>
      <c r="I1179" t="n">
        <v>5</v>
      </c>
      <c r="J1179" t="inlineStr">
        <is>
          <t>PCGH789 - Kick-Off Meeting (Valency International DMCC)</t>
        </is>
      </c>
      <c r="K1179" t="inlineStr">
        <is>
          <t>Inception / Kick off (2)</t>
        </is>
      </c>
      <c r="L1179" t="b">
        <v>1</v>
      </c>
      <c r="M1179" t="inlineStr">
        <is>
          <t>Billed at a Fixed price</t>
        </is>
      </c>
      <c r="N1179" s="6">
        <f>IF(B1179="","",IF(ISNUMBER(B1179),TEXT(B1179,"YYYY-MM"),LEFT(B1179,7)))</f>
        <v/>
      </c>
    </row>
    <row r="1180">
      <c r="A1180" t="inlineStr">
        <is>
          <t>Stephen Doso</t>
        </is>
      </c>
      <c r="B1180" s="4" t="n">
        <v>46126</v>
      </c>
      <c r="C1180" t="inlineStr">
        <is>
          <t>RSP EW meeting</t>
        </is>
      </c>
      <c r="D1180" t="inlineStr">
        <is>
          <t>Stephen Doso</t>
        </is>
      </c>
      <c r="E1180" t="inlineStr">
        <is>
          <t>OdooBot</t>
        </is>
      </c>
      <c r="F1180" s="5" t="n">
        <v>46154.70721064815</v>
      </c>
      <c r="H1180" t="inlineStr">
        <is>
          <t>Non-Billable Tasks</t>
        </is>
      </c>
      <c r="I1180" t="n">
        <v>1</v>
      </c>
      <c r="K1180" t="inlineStr">
        <is>
          <t>Internal Focal points and workstreams</t>
        </is>
      </c>
      <c r="L1180" t="b">
        <v>0</v>
      </c>
      <c r="M1180" t="inlineStr">
        <is>
          <t>Non-Billable</t>
        </is>
      </c>
      <c r="N1180" s="6">
        <f>IF(B1180="","",IF(ISNUMBER(B1180),TEXT(B1180,"YYYY-MM"),LEFT(B1180,7)))</f>
        <v/>
      </c>
    </row>
    <row r="1181">
      <c r="A1181" t="inlineStr">
        <is>
          <t>Afua Serwah Akoto Prempeh</t>
        </is>
      </c>
      <c r="B1181" s="4" t="n">
        <v>46126</v>
      </c>
      <c r="C1181" t="inlineStr">
        <is>
          <t>/</t>
        </is>
      </c>
      <c r="D1181" t="inlineStr">
        <is>
          <t>Afua Serwah Akoto Prempeh</t>
        </is>
      </c>
      <c r="E1181" t="inlineStr">
        <is>
          <t>OdooBot</t>
        </is>
      </c>
      <c r="F1181" s="5" t="n">
        <v>46154.70721064815</v>
      </c>
      <c r="H1181" t="inlineStr">
        <is>
          <t>Non-Billable Tasks</t>
        </is>
      </c>
      <c r="I1181" t="n">
        <v>5</v>
      </c>
      <c r="L1181" t="b">
        <v>0</v>
      </c>
      <c r="M1181" t="inlineStr">
        <is>
          <t>Non-Billable</t>
        </is>
      </c>
      <c r="N1181" s="6">
        <f>IF(B1181="","",IF(ISNUMBER(B1181),TEXT(B1181,"YYYY-MM"),LEFT(B1181,7)))</f>
        <v/>
      </c>
    </row>
    <row r="1182">
      <c r="A1182" t="inlineStr">
        <is>
          <t>Afua Serwah Akoto Prempeh</t>
        </is>
      </c>
      <c r="B1182" s="4" t="n">
        <v>46126</v>
      </c>
      <c r="C1182" t="inlineStr">
        <is>
          <t>/</t>
        </is>
      </c>
      <c r="D1182" t="inlineStr">
        <is>
          <t>Afua Serwah Akoto Prempeh</t>
        </is>
      </c>
      <c r="E1182" t="inlineStr">
        <is>
          <t>OdooBot</t>
        </is>
      </c>
      <c r="F1182" s="5" t="n">
        <v>46154.70721064815</v>
      </c>
      <c r="H1182" t="inlineStr">
        <is>
          <t>Non-Billable Tasks</t>
        </is>
      </c>
      <c r="I1182" t="n">
        <v>3</v>
      </c>
      <c r="K1182" t="inlineStr">
        <is>
          <t>Professional development and Knowledge sharing(training,global knowledge calls,exchange weeks)</t>
        </is>
      </c>
      <c r="L1182" t="b">
        <v>0</v>
      </c>
      <c r="M1182" t="inlineStr">
        <is>
          <t>Non-Billable</t>
        </is>
      </c>
      <c r="N1182" s="6">
        <f>IF(B1182="","",IF(ISNUMBER(B1182),TEXT(B1182,"YYYY-MM"),LEFT(B1182,7)))</f>
        <v/>
      </c>
    </row>
    <row r="1183">
      <c r="A1183" t="inlineStr">
        <is>
          <t>Clement Obeng-Manu</t>
        </is>
      </c>
      <c r="B1183" s="4" t="n">
        <v>46126</v>
      </c>
      <c r="C1183" t="inlineStr">
        <is>
          <t>/</t>
        </is>
      </c>
      <c r="D1183" t="inlineStr">
        <is>
          <t>Ekow Nyamekye Tawiah</t>
        </is>
      </c>
      <c r="E1183" t="inlineStr">
        <is>
          <t>OdooBot</t>
        </is>
      </c>
      <c r="F1183" s="5" t="n">
        <v>46154.70721064815</v>
      </c>
      <c r="H1183" t="inlineStr">
        <is>
          <t>PCGH785</t>
        </is>
      </c>
      <c r="I1183" t="n">
        <v>8</v>
      </c>
      <c r="J1183" t="inlineStr">
        <is>
          <t>PCGH785 - GIS and Mapping (3) (Okeosisi Jonathan)</t>
        </is>
      </c>
      <c r="K1183" t="inlineStr">
        <is>
          <t>Preliminary land cover classification</t>
        </is>
      </c>
      <c r="L1183" t="b">
        <v>1</v>
      </c>
      <c r="M1183" t="inlineStr">
        <is>
          <t>Billed at a Fixed price</t>
        </is>
      </c>
      <c r="N1183" s="6">
        <f>IF(B1183="","",IF(ISNUMBER(B1183),TEXT(B1183,"YYYY-MM"),LEFT(B1183,7)))</f>
        <v/>
      </c>
    </row>
    <row r="1184">
      <c r="A1184" t="inlineStr">
        <is>
          <t>Louis Defo</t>
        </is>
      </c>
      <c r="B1184" s="4" t="n">
        <v>46126</v>
      </c>
      <c r="C1184" t="inlineStr">
        <is>
          <t>/</t>
        </is>
      </c>
      <c r="D1184" t="inlineStr">
        <is>
          <t>Louis Defo</t>
        </is>
      </c>
      <c r="E1184" t="inlineStr">
        <is>
          <t>OdooBot</t>
        </is>
      </c>
      <c r="F1184" s="5" t="n">
        <v>46154.70721064815</v>
      </c>
      <c r="H1184" t="inlineStr">
        <is>
          <t>PCGH774 -Evaluation Deep-Dive Action Plans by Socfin Group</t>
        </is>
      </c>
      <c r="I1184" t="n">
        <v>8</v>
      </c>
      <c r="J1184" t="inlineStr">
        <is>
          <t>PCGH774 - Project Management (2) (Socfinco FR SA)</t>
        </is>
      </c>
      <c r="L1184" t="b">
        <v>1</v>
      </c>
      <c r="M1184" t="inlineStr">
        <is>
          <t>Billed at a Fixed price</t>
        </is>
      </c>
      <c r="N1184" s="6">
        <f>IF(B1184="","",IF(ISNUMBER(B1184),TEXT(B1184,"YYYY-MM"),LEFT(B1184,7)))</f>
        <v/>
      </c>
    </row>
    <row r="1185">
      <c r="A1185" t="inlineStr">
        <is>
          <t>Abel Ansu</t>
        </is>
      </c>
      <c r="B1185" s="4" t="n">
        <v>46126</v>
      </c>
      <c r="C1185" t="inlineStr">
        <is>
          <t>Had a meeting on Q2 workplan</t>
        </is>
      </c>
      <c r="D1185" t="inlineStr">
        <is>
          <t>Abel Ansu</t>
        </is>
      </c>
      <c r="E1185" t="inlineStr">
        <is>
          <t>OdooBot</t>
        </is>
      </c>
      <c r="F1185" s="5" t="n">
        <v>46154.70721064815</v>
      </c>
      <c r="H1185" t="inlineStr">
        <is>
          <t>Internal</t>
        </is>
      </c>
      <c r="I1185" t="n">
        <v>8</v>
      </c>
      <c r="K1185" t="inlineStr">
        <is>
          <t>Meeting on workplan</t>
        </is>
      </c>
      <c r="L1185" t="b">
        <v>0</v>
      </c>
      <c r="M1185" t="inlineStr">
        <is>
          <t>Non-Billable</t>
        </is>
      </c>
      <c r="N1185" s="6">
        <f>IF(B1185="","",IF(ISNUMBER(B1185),TEXT(B1185,"YYYY-MM"),LEFT(B1185,7)))</f>
        <v/>
      </c>
    </row>
    <row r="1186">
      <c r="A1186" t="inlineStr">
        <is>
          <t>Mawuse Agblobi</t>
        </is>
      </c>
      <c r="B1186" s="4" t="n">
        <v>46125</v>
      </c>
      <c r="C1186" t="inlineStr">
        <is>
          <t>Time Off (1/3)</t>
        </is>
      </c>
      <c r="D1186" t="inlineStr">
        <is>
          <t>Joseph Isaiah Mensah</t>
        </is>
      </c>
      <c r="E1186" t="inlineStr">
        <is>
          <t>Mawuse Agblobi</t>
        </is>
      </c>
      <c r="F1186" s="5" t="n">
        <v>46174.89994212963</v>
      </c>
      <c r="H1186" t="inlineStr">
        <is>
          <t>Internal</t>
        </is>
      </c>
      <c r="I1186" t="n">
        <v>8</v>
      </c>
      <c r="K1186" t="inlineStr">
        <is>
          <t>Time Off</t>
        </is>
      </c>
      <c r="L1186" t="b">
        <v>0</v>
      </c>
      <c r="M1186" t="inlineStr">
        <is>
          <t>Non-Billable</t>
        </is>
      </c>
      <c r="N1186" s="6">
        <f>IF(B1186="","",IF(ISNUMBER(B1186),TEXT(B1186,"YYYY-MM"),LEFT(B1186,7)))</f>
        <v/>
      </c>
    </row>
    <row r="1187">
      <c r="A1187" t="inlineStr">
        <is>
          <t>Ekow Nyamekye Tawiah</t>
        </is>
      </c>
      <c r="B1187" s="4" t="n">
        <v>46125</v>
      </c>
      <c r="C1187" t="inlineStr">
        <is>
          <t>Annual leave</t>
        </is>
      </c>
      <c r="D1187" t="inlineStr">
        <is>
          <t>Joseph Isaiah Mensah</t>
        </is>
      </c>
      <c r="E1187" t="inlineStr">
        <is>
          <t>Ekow Nyamekye Tawiah</t>
        </is>
      </c>
      <c r="F1187" s="5" t="n">
        <v>46191.6</v>
      </c>
      <c r="H1187" t="inlineStr">
        <is>
          <t>Non-Billable Tasks</t>
        </is>
      </c>
      <c r="I1187" t="n">
        <v>0</v>
      </c>
      <c r="K1187" t="inlineStr">
        <is>
          <t>Annual Leave</t>
        </is>
      </c>
      <c r="L1187" t="b">
        <v>0</v>
      </c>
      <c r="M1187" t="inlineStr">
        <is>
          <t>Non-Billable</t>
        </is>
      </c>
      <c r="N1187" s="6">
        <f>IF(B1187="","",IF(ISNUMBER(B1187),TEXT(B1187,"YYYY-MM"),LEFT(B1187,7)))</f>
        <v/>
      </c>
    </row>
    <row r="1188">
      <c r="A1188" t="inlineStr">
        <is>
          <t>James Parker Mckeown</t>
        </is>
      </c>
      <c r="B1188" s="4" t="n">
        <v>46125</v>
      </c>
      <c r="C1188" t="inlineStr">
        <is>
          <t>FGMC Forum</t>
        </is>
      </c>
      <c r="D1188" t="inlineStr">
        <is>
          <t>James Parker Mckeown</t>
        </is>
      </c>
      <c r="E1188" t="inlineStr">
        <is>
          <t>James Parker Mckeown</t>
        </is>
      </c>
      <c r="F1188" s="5" t="n">
        <v>46162.77046296297</v>
      </c>
      <c r="G1188" t="inlineStr">
        <is>
          <t>Output 2.1</t>
        </is>
      </c>
      <c r="H1188" t="inlineStr">
        <is>
          <t>P23AC00C00 - FGMC</t>
        </is>
      </c>
      <c r="I1188" t="n">
        <v>8</v>
      </c>
      <c r="K1188" t="inlineStr">
        <is>
          <t>P23AC32A00 - Connecting Supply and Demand Side</t>
        </is>
      </c>
      <c r="L1188" t="b">
        <v>0</v>
      </c>
      <c r="M1188" t="inlineStr">
        <is>
          <t>Non-Billable</t>
        </is>
      </c>
      <c r="N1188" s="6">
        <f>IF(B1188="","",IF(ISNUMBER(B1188),TEXT(B1188,"YYYY-MM"),LEFT(B1188,7)))</f>
        <v/>
      </c>
    </row>
    <row r="1189">
      <c r="A1189" t="inlineStr">
        <is>
          <t>Joseph Isaiah Mensah</t>
        </is>
      </c>
      <c r="B1189" s="4" t="n">
        <v>46125</v>
      </c>
      <c r="C1189" t="inlineStr">
        <is>
          <t>/</t>
        </is>
      </c>
      <c r="D1189" t="inlineStr">
        <is>
          <t>Jacqueline Nyakutse Afua</t>
        </is>
      </c>
      <c r="E1189" t="inlineStr">
        <is>
          <t>Joseph Isaiah Mensah</t>
        </is>
      </c>
      <c r="F1189" s="5" t="n">
        <v>46162.76637731482</v>
      </c>
      <c r="H1189" t="inlineStr">
        <is>
          <t>PCGH774 -Evaluation Deep-Dive Action Plans by Socfin Group</t>
        </is>
      </c>
      <c r="I1189" t="n">
        <v>8</v>
      </c>
      <c r="J1189" t="inlineStr">
        <is>
          <t>PCGH774 - Field Verification (2) (Socfinco FR SA)</t>
        </is>
      </c>
      <c r="K1189" t="inlineStr">
        <is>
          <t>[Cameroon, Socapalm （Dibombari + Edéa + Mbongo + Mbambou） Report review] - Field verification/observation/community and stakeholder engagement</t>
        </is>
      </c>
      <c r="L1189" t="b">
        <v>1</v>
      </c>
      <c r="M1189" t="inlineStr">
        <is>
          <t>Billed at a Fixed price</t>
        </is>
      </c>
      <c r="N1189" s="6">
        <f>IF(B1189="","",IF(ISNUMBER(B1189),TEXT(B1189,"YYYY-MM"),LEFT(B1189,7)))</f>
        <v/>
      </c>
    </row>
    <row r="1190">
      <c r="A1190" t="inlineStr">
        <is>
          <t>Patricia Offei</t>
        </is>
      </c>
      <c r="B1190" s="4" t="n">
        <v>46125</v>
      </c>
      <c r="C1190" t="inlineStr">
        <is>
          <t>Africa Sugar Conference</t>
        </is>
      </c>
      <c r="D1190" t="inlineStr">
        <is>
          <t>Patricia Offei</t>
        </is>
      </c>
      <c r="E1190" t="inlineStr">
        <is>
          <t>Patricia Offei</t>
        </is>
      </c>
      <c r="F1190" s="5" t="n">
        <v>46162.5986574074</v>
      </c>
      <c r="H1190" t="inlineStr">
        <is>
          <t>Non-Billable Tasks</t>
        </is>
      </c>
      <c r="I1190" t="n">
        <v>8</v>
      </c>
      <c r="K1190" t="inlineStr">
        <is>
          <t>Professional development and Knowledge sharing(training,global knowledge calls,exchange weeks)</t>
        </is>
      </c>
      <c r="L1190" t="b">
        <v>0</v>
      </c>
      <c r="M1190" t="inlineStr">
        <is>
          <t>Non-Billable</t>
        </is>
      </c>
      <c r="N1190" s="6">
        <f>IF(B1190="","",IF(ISNUMBER(B1190),TEXT(B1190,"YYYY-MM"),LEFT(B1190,7)))</f>
        <v/>
      </c>
    </row>
    <row r="1191">
      <c r="A1191" t="inlineStr">
        <is>
          <t>Patricia Offei</t>
        </is>
      </c>
      <c r="B1191" s="4" t="n">
        <v>46125</v>
      </c>
      <c r="C1191" t="inlineStr">
        <is>
          <t>/</t>
        </is>
      </c>
      <c r="D1191" t="inlineStr">
        <is>
          <t>Patricia Offei</t>
        </is>
      </c>
      <c r="E1191" t="inlineStr">
        <is>
          <t>Patricia Offei</t>
        </is>
      </c>
      <c r="F1191" s="5" t="n">
        <v>46162.59662037037</v>
      </c>
      <c r="H1191" t="inlineStr">
        <is>
          <t>PCGH774 -Evaluation Deep-Dive Action Plans by Socfin Group</t>
        </is>
      </c>
      <c r="I1191" t="n">
        <v>0</v>
      </c>
      <c r="J1191" t="inlineStr">
        <is>
          <t>PCGH774 - Field Verification (2) (Socfinco FR SA)</t>
        </is>
      </c>
      <c r="L1191" t="b">
        <v>1</v>
      </c>
      <c r="M1191" t="inlineStr">
        <is>
          <t>Billed at a Fixed price</t>
        </is>
      </c>
      <c r="N1191" s="6">
        <f>IF(B1191="","",IF(ISNUMBER(B1191),TEXT(B1191,"YYYY-MM"),LEFT(B1191,7)))</f>
        <v/>
      </c>
    </row>
    <row r="1192">
      <c r="A1192" t="inlineStr">
        <is>
          <t>Kwadwo Baniako Nti</t>
        </is>
      </c>
      <c r="B1192" s="4" t="n">
        <v>46125</v>
      </c>
      <c r="C1192" t="inlineStr">
        <is>
          <t>/</t>
        </is>
      </c>
      <c r="D1192" t="inlineStr">
        <is>
          <t>Kwadwo Baniako Nti</t>
        </is>
      </c>
      <c r="E1192" t="inlineStr">
        <is>
          <t>Kwadwo Baniako Nti</t>
        </is>
      </c>
      <c r="F1192" s="5" t="n">
        <v>46162.38379629629</v>
      </c>
      <c r="G1192" t="inlineStr">
        <is>
          <t>Training and Capacity Building</t>
        </is>
      </c>
      <c r="H1192" t="inlineStr">
        <is>
          <t>PCGH762 - GVL HCSA Restoration Project</t>
        </is>
      </c>
      <c r="I1192" t="n">
        <v>2</v>
      </c>
      <c r="J1192" t="inlineStr">
        <is>
          <t>PCGH762 - Training and Capacity Building (Golden Veroleum Liberia)</t>
        </is>
      </c>
      <c r="K1192" t="inlineStr">
        <is>
          <t>Training and Capacity Building</t>
        </is>
      </c>
      <c r="L1192" t="b">
        <v>1</v>
      </c>
      <c r="M1192" t="inlineStr">
        <is>
          <t>Billed at a Fixed price</t>
        </is>
      </c>
      <c r="N1192" s="6">
        <f>IF(B1192="","",IF(ISNUMBER(B1192),TEXT(B1192,"YYYY-MM"),LEFT(B1192,7)))</f>
        <v/>
      </c>
    </row>
    <row r="1193">
      <c r="A1193" t="inlineStr">
        <is>
          <t>Kwadwo Baniako Nti</t>
        </is>
      </c>
      <c r="B1193" s="4" t="n">
        <v>46125</v>
      </c>
      <c r="C1193" t="inlineStr">
        <is>
          <t>/</t>
        </is>
      </c>
      <c r="D1193" t="inlineStr">
        <is>
          <t>Kwadwo Baniako Nti</t>
        </is>
      </c>
      <c r="E1193" t="inlineStr">
        <is>
          <t>Kwadwo Baniako Nti</t>
        </is>
      </c>
      <c r="F1193" s="5" t="n">
        <v>46162.38320601852</v>
      </c>
      <c r="G1193" t="inlineStr">
        <is>
          <t>Field verification and reporting in Nigeria (3)</t>
        </is>
      </c>
      <c r="H1193" t="inlineStr">
        <is>
          <t>PCGH775 - ESDD of Valency Operations for FMO</t>
        </is>
      </c>
      <c r="I1193" t="n">
        <v>0</v>
      </c>
      <c r="J1193" t="inlineStr">
        <is>
          <t>PCGH775 - Field Verification (3) (Valency International DMCC)</t>
        </is>
      </c>
      <c r="K1193" t="inlineStr">
        <is>
          <t>Analysis and reporting in Nigeria</t>
        </is>
      </c>
      <c r="L1193" t="b">
        <v>1</v>
      </c>
      <c r="M1193" t="inlineStr">
        <is>
          <t>Billed at a Fixed price</t>
        </is>
      </c>
      <c r="N1193" s="6">
        <f>IF(B1193="","",IF(ISNUMBER(B1193),TEXT(B1193,"YYYY-MM"),LEFT(B1193,7)))</f>
        <v/>
      </c>
    </row>
    <row r="1194">
      <c r="A1194" t="inlineStr">
        <is>
          <t>Kwadwo Baniako Nti</t>
        </is>
      </c>
      <c r="B1194" s="4" t="n">
        <v>46125</v>
      </c>
      <c r="C1194" t="inlineStr">
        <is>
          <t>/</t>
        </is>
      </c>
      <c r="D1194" t="inlineStr">
        <is>
          <t>Kwadwo Baniako Nti</t>
        </is>
      </c>
      <c r="E1194" t="inlineStr">
        <is>
          <t>Kwadwo Baniako Nti</t>
        </is>
      </c>
      <c r="F1194" s="5" t="n">
        <v>46161.76732638889</v>
      </c>
      <c r="H1194" t="inlineStr">
        <is>
          <t>Non-Billable Tasks</t>
        </is>
      </c>
      <c r="I1194" t="n">
        <v>0</v>
      </c>
      <c r="K1194" t="inlineStr">
        <is>
          <t>Professional development and Knowledge sharing(training,global knowledge calls,exchange weeks)</t>
        </is>
      </c>
      <c r="L1194" t="b">
        <v>0</v>
      </c>
      <c r="M1194" t="inlineStr">
        <is>
          <t>Non-Billable</t>
        </is>
      </c>
      <c r="N1194" s="6">
        <f>IF(B1194="","",IF(ISNUMBER(B1194),TEXT(B1194,"YYYY-MM"),LEFT(B1194,7)))</f>
        <v/>
      </c>
    </row>
    <row r="1195">
      <c r="A1195" t="inlineStr">
        <is>
          <t>Kwadwo Baniako Nti</t>
        </is>
      </c>
      <c r="B1195" s="4" t="n">
        <v>46125</v>
      </c>
      <c r="C1195" t="inlineStr">
        <is>
          <t>/</t>
        </is>
      </c>
      <c r="D1195" t="inlineStr">
        <is>
          <t>Kwadwo Baniako Nti</t>
        </is>
      </c>
      <c r="E1195" t="inlineStr">
        <is>
          <t>Kwadwo Baniako Nti</t>
        </is>
      </c>
      <c r="F1195" s="5" t="n">
        <v>46161.76663194445</v>
      </c>
      <c r="H1195" t="inlineStr">
        <is>
          <t>Global Internal Projects (GIPs)</t>
        </is>
      </c>
      <c r="I1195" t="n">
        <v>2</v>
      </c>
      <c r="K1195" t="inlineStr">
        <is>
          <t>PFAFR002 Climate</t>
        </is>
      </c>
      <c r="L1195" t="b">
        <v>1</v>
      </c>
      <c r="M1195" t="inlineStr">
        <is>
          <t>Non-Billable</t>
        </is>
      </c>
      <c r="N1195" s="6">
        <f>IF(B1195="","",IF(ISNUMBER(B1195),TEXT(B1195,"YYYY-MM"),LEFT(B1195,7)))</f>
        <v/>
      </c>
    </row>
    <row r="1196">
      <c r="A1196" t="inlineStr">
        <is>
          <t>Kwadwo Baniako Nti</t>
        </is>
      </c>
      <c r="B1196" s="4" t="n">
        <v>46125</v>
      </c>
      <c r="C1196" t="inlineStr">
        <is>
          <t>/</t>
        </is>
      </c>
      <c r="D1196" t="inlineStr">
        <is>
          <t>Kwadwo Baniako Nti</t>
        </is>
      </c>
      <c r="E1196" t="inlineStr">
        <is>
          <t>Kwadwo Baniako Nti</t>
        </is>
      </c>
      <c r="F1196" s="5" t="n">
        <v>46161.76008101852</v>
      </c>
      <c r="H1196" t="inlineStr">
        <is>
          <t>PCGH774 -Evaluation Deep-Dive Action Plans by Socfin Group</t>
        </is>
      </c>
      <c r="I1196" t="n">
        <v>1</v>
      </c>
      <c r="J1196" t="inlineStr">
        <is>
          <t>PCGH774 - Project Management (3) (Socfinco FR SA)</t>
        </is>
      </c>
      <c r="K1196" t="inlineStr">
        <is>
          <t>Project Management (3)</t>
        </is>
      </c>
      <c r="L1196" t="b">
        <v>1</v>
      </c>
      <c r="M1196" t="inlineStr">
        <is>
          <t>Billed at a Fixed price</t>
        </is>
      </c>
      <c r="N1196" s="6">
        <f>IF(B1196="","",IF(ISNUMBER(B1196),TEXT(B1196,"YYYY-MM"),LEFT(B1196,7)))</f>
        <v/>
      </c>
    </row>
    <row r="1197">
      <c r="A1197" t="inlineStr">
        <is>
          <t>Kwadwo Baniako Nti</t>
        </is>
      </c>
      <c r="B1197" s="4" t="n">
        <v>46125</v>
      </c>
      <c r="C1197" t="inlineStr">
        <is>
          <t>/</t>
        </is>
      </c>
      <c r="D1197" t="inlineStr">
        <is>
          <t>Kwadwo Baniako Nti</t>
        </is>
      </c>
      <c r="E1197" t="inlineStr">
        <is>
          <t>Kwadwo Baniako Nti</t>
        </is>
      </c>
      <c r="F1197" s="5" t="n">
        <v>46161.74800925926</v>
      </c>
      <c r="G1197" t="inlineStr">
        <is>
          <t>Baseline Socio-Economic &amp; Environmental Surveys</t>
        </is>
      </c>
      <c r="H1197" t="inlineStr">
        <is>
          <t>PCGH762 - GVL HCSA Restoration Project</t>
        </is>
      </c>
      <c r="I1197" t="n">
        <v>3</v>
      </c>
      <c r="J1197" t="inlineStr">
        <is>
          <t>PCGH762 - Baseline Socio-Economic &amp; Environmental Surveys (Golden Veroleum Liberia)</t>
        </is>
      </c>
      <c r="K1197" t="inlineStr">
        <is>
          <t>Baseline Socio-Economic &amp; Environmental Surveys</t>
        </is>
      </c>
      <c r="L1197" t="b">
        <v>1</v>
      </c>
      <c r="M1197" t="inlineStr">
        <is>
          <t>Billed at a Fixed price</t>
        </is>
      </c>
      <c r="N1197" s="6">
        <f>IF(B1197="","",IF(ISNUMBER(B1197),TEXT(B1197,"YYYY-MM"),LEFT(B1197,7)))</f>
        <v/>
      </c>
    </row>
    <row r="1198">
      <c r="A1198" t="inlineStr">
        <is>
          <t>Frederick Antwi</t>
        </is>
      </c>
      <c r="B1198" s="4" t="n">
        <v>46125</v>
      </c>
      <c r="C1198" t="inlineStr">
        <is>
          <t>/</t>
        </is>
      </c>
      <c r="D1198" t="inlineStr">
        <is>
          <t>Frederick Antwi</t>
        </is>
      </c>
      <c r="E1198" t="inlineStr">
        <is>
          <t>Frederick Antwi</t>
        </is>
      </c>
      <c r="F1198" s="5" t="n">
        <v>46160.63578703703</v>
      </c>
      <c r="H1198" t="inlineStr">
        <is>
          <t>PCGH768</t>
        </is>
      </c>
      <c r="I1198" t="n">
        <v>0</v>
      </c>
      <c r="L1198" t="b">
        <v>1</v>
      </c>
      <c r="M1198" t="inlineStr">
        <is>
          <t>Non-Billable</t>
        </is>
      </c>
      <c r="N1198" s="6">
        <f>IF(B1198="","",IF(ISNUMBER(B1198),TEXT(B1198,"YYYY-MM"),LEFT(B1198,7)))</f>
        <v/>
      </c>
    </row>
    <row r="1199">
      <c r="A1199" t="inlineStr">
        <is>
          <t>Frederick Antwi</t>
        </is>
      </c>
      <c r="B1199" s="4" t="n">
        <v>46125</v>
      </c>
      <c r="C1199" t="inlineStr">
        <is>
          <t>/</t>
        </is>
      </c>
      <c r="D1199" t="inlineStr">
        <is>
          <t>Frederick Antwi</t>
        </is>
      </c>
      <c r="E1199" t="inlineStr">
        <is>
          <t>Frederick Antwi</t>
        </is>
      </c>
      <c r="F1199" s="5" t="n">
        <v>46160.63516203704</v>
      </c>
      <c r="H1199" t="inlineStr">
        <is>
          <t>P13PC00A00 - Private Sector Companies</t>
        </is>
      </c>
      <c r="I1199" t="n">
        <v>8</v>
      </c>
      <c r="L1199" t="b">
        <v>0</v>
      </c>
      <c r="M1199" t="inlineStr">
        <is>
          <t>Non-Billable</t>
        </is>
      </c>
      <c r="N1199" s="6">
        <f>IF(B1199="","",IF(ISNUMBER(B1199),TEXT(B1199,"YYYY-MM"),LEFT(B1199,7)))</f>
        <v/>
      </c>
    </row>
    <row r="1200">
      <c r="A1200" t="inlineStr">
        <is>
          <t>Frederick Antwi</t>
        </is>
      </c>
      <c r="B1200" s="4" t="n">
        <v>46125</v>
      </c>
      <c r="C1200" t="inlineStr">
        <is>
          <t>/</t>
        </is>
      </c>
      <c r="D1200" t="inlineStr">
        <is>
          <t>Frederick Antwi</t>
        </is>
      </c>
      <c r="E1200" t="inlineStr">
        <is>
          <t>Frederick Antwi</t>
        </is>
      </c>
      <c r="F1200" s="5" t="n">
        <v>46160.63375</v>
      </c>
      <c r="H1200" t="inlineStr">
        <is>
          <t>P13NC00A00 - WALMART II</t>
        </is>
      </c>
      <c r="I1200" t="n">
        <v>0</v>
      </c>
      <c r="L1200" t="b">
        <v>0</v>
      </c>
      <c r="M1200" t="inlineStr">
        <is>
          <t>Non-Billable</t>
        </is>
      </c>
      <c r="N1200" s="6">
        <f>IF(B1200="","",IF(ISNUMBER(B1200),TEXT(B1200,"YYYY-MM"),LEFT(B1200,7)))</f>
        <v/>
      </c>
    </row>
    <row r="1201">
      <c r="A1201" t="inlineStr">
        <is>
          <t>Frederick Antwi</t>
        </is>
      </c>
      <c r="B1201" s="4" t="n">
        <v>46125</v>
      </c>
      <c r="C1201" t="inlineStr">
        <is>
          <t>/</t>
        </is>
      </c>
      <c r="D1201" t="inlineStr">
        <is>
          <t>Frederick Antwi</t>
        </is>
      </c>
      <c r="E1201" t="inlineStr">
        <is>
          <t>Frederick Antwi</t>
        </is>
      </c>
      <c r="F1201" s="5" t="n">
        <v>46160.63313657408</v>
      </c>
      <c r="H1201" t="inlineStr">
        <is>
          <t>P13QC00A00 - EFI Programme</t>
        </is>
      </c>
      <c r="I1201" t="n">
        <v>0</v>
      </c>
      <c r="L1201" t="b">
        <v>0</v>
      </c>
      <c r="M1201" t="inlineStr">
        <is>
          <t>Non-Billable</t>
        </is>
      </c>
      <c r="N1201" s="6">
        <f>IF(B1201="","",IF(ISNUMBER(B1201),TEXT(B1201,"YYYY-MM"),LEFT(B1201,7)))</f>
        <v/>
      </c>
    </row>
    <row r="1202">
      <c r="A1202" t="inlineStr">
        <is>
          <t>Augustus Asamoah</t>
        </is>
      </c>
      <c r="B1202" s="4" t="n">
        <v>46125</v>
      </c>
      <c r="C1202" t="inlineStr">
        <is>
          <t>Review of BPL Report feedback</t>
        </is>
      </c>
      <c r="D1202" t="inlineStr">
        <is>
          <t>Augustus Asamoah</t>
        </is>
      </c>
      <c r="E1202" t="inlineStr">
        <is>
          <t>Augustus Asamoah</t>
        </is>
      </c>
      <c r="F1202" s="5" t="n">
        <v>46156.67706018518</v>
      </c>
      <c r="H1202" t="inlineStr">
        <is>
          <t>PCGH769</t>
        </is>
      </c>
      <c r="I1202" t="n">
        <v>0</v>
      </c>
      <c r="J1202" t="inlineStr">
        <is>
          <t>PCGH769 - Desk Study (2) (Biase Plantations Ltd.)</t>
        </is>
      </c>
      <c r="L1202" t="b">
        <v>1</v>
      </c>
      <c r="M1202" t="inlineStr">
        <is>
          <t>Billed at a Fixed price</t>
        </is>
      </c>
      <c r="N1202" s="6">
        <f>IF(B1202="","",IF(ISNUMBER(B1202),TEXT(B1202,"YYYY-MM"),LEFT(B1202,7)))</f>
        <v/>
      </c>
    </row>
    <row r="1203">
      <c r="A1203" t="inlineStr">
        <is>
          <t>Augustus Asamoah</t>
        </is>
      </c>
      <c r="B1203" s="4" t="n">
        <v>46125</v>
      </c>
      <c r="C1203" t="inlineStr">
        <is>
          <t>Q2 Workplan Discussion</t>
        </is>
      </c>
      <c r="D1203" t="inlineStr">
        <is>
          <t>Augustus Asamoah</t>
        </is>
      </c>
      <c r="E1203" t="inlineStr">
        <is>
          <t>Augustus Asamoah</t>
        </is>
      </c>
      <c r="F1203" s="5" t="n">
        <v>46156.67211805555</v>
      </c>
      <c r="H1203" t="inlineStr">
        <is>
          <t>P13QC00A00 - EFI Programme</t>
        </is>
      </c>
      <c r="I1203" t="n">
        <v>3</v>
      </c>
      <c r="L1203" t="b">
        <v>0</v>
      </c>
      <c r="M1203" t="inlineStr">
        <is>
          <t>Non-Billable</t>
        </is>
      </c>
      <c r="N1203" s="6">
        <f>IF(B1203="","",IF(ISNUMBER(B1203),TEXT(B1203,"YYYY-MM"),LEFT(B1203,7)))</f>
        <v/>
      </c>
    </row>
    <row r="1204">
      <c r="A1204" t="inlineStr">
        <is>
          <t>Augustus Asamoah</t>
        </is>
      </c>
      <c r="B1204" s="4" t="n">
        <v>46125</v>
      </c>
      <c r="C1204" t="inlineStr">
        <is>
          <t>Q2 Workplan discussion</t>
        </is>
      </c>
      <c r="D1204" t="inlineStr">
        <is>
          <t>Augustus Asamoah</t>
        </is>
      </c>
      <c r="E1204" t="inlineStr">
        <is>
          <t>Augustus Asamoah</t>
        </is>
      </c>
      <c r="F1204" s="5" t="n">
        <v>46156.67168981482</v>
      </c>
      <c r="H1204" t="inlineStr">
        <is>
          <t>P13NC00A00 - WALMART II</t>
        </is>
      </c>
      <c r="I1204" t="n">
        <v>3</v>
      </c>
      <c r="L1204" t="b">
        <v>0</v>
      </c>
      <c r="M1204" t="inlineStr">
        <is>
          <t>Non-Billable</t>
        </is>
      </c>
      <c r="N1204" s="6">
        <f>IF(B1204="","",IF(ISNUMBER(B1204),TEXT(B1204,"YYYY-MM"),LEFT(B1204,7)))</f>
        <v/>
      </c>
    </row>
    <row r="1205">
      <c r="A1205" t="inlineStr">
        <is>
          <t>Augustus Asamoah</t>
        </is>
      </c>
      <c r="B1205" s="4" t="n">
        <v>46125</v>
      </c>
      <c r="C1205" t="inlineStr">
        <is>
          <t>Discussion of Field Work</t>
        </is>
      </c>
      <c r="D1205" t="inlineStr">
        <is>
          <t>Augustus Asamoah</t>
        </is>
      </c>
      <c r="E1205" t="inlineStr">
        <is>
          <t>Augustus Asamoah</t>
        </is>
      </c>
      <c r="F1205" s="5" t="n">
        <v>46156.67135416667</v>
      </c>
      <c r="H1205" t="inlineStr">
        <is>
          <t>PCGH784</t>
        </is>
      </c>
      <c r="I1205" t="n">
        <v>2</v>
      </c>
      <c r="J1205" t="inlineStr">
        <is>
          <t>PCGH784 - Desk Study (3) (Okeosisi Jonathan)</t>
        </is>
      </c>
      <c r="L1205" t="b">
        <v>1</v>
      </c>
      <c r="M1205" t="inlineStr">
        <is>
          <t>Billed at a Fixed price</t>
        </is>
      </c>
      <c r="N1205" s="6">
        <f>IF(B1205="","",IF(ISNUMBER(B1205),TEXT(B1205,"YYYY-MM"),LEFT(B1205,7)))</f>
        <v/>
      </c>
    </row>
    <row r="1206">
      <c r="A1206" t="inlineStr">
        <is>
          <t>Helena Tetteh</t>
        </is>
      </c>
      <c r="B1206" s="4" t="n">
        <v>46125</v>
      </c>
      <c r="C1206" t="inlineStr">
        <is>
          <t>for 3rd april (good friday) and 6th April (easter monday)</t>
        </is>
      </c>
      <c r="D1206" t="inlineStr">
        <is>
          <t xml:space="preserve">Helena Tetteh </t>
        </is>
      </c>
      <c r="E1206" t="inlineStr">
        <is>
          <t>OdooBot</t>
        </is>
      </c>
      <c r="F1206" s="5" t="n">
        <v>46154.70721064815</v>
      </c>
      <c r="H1206" t="inlineStr">
        <is>
          <t>Non-Billable Tasks</t>
        </is>
      </c>
      <c r="I1206" t="n">
        <v>0</v>
      </c>
      <c r="K1206" t="inlineStr">
        <is>
          <t>Public Holiday</t>
        </is>
      </c>
      <c r="L1206" t="b">
        <v>0</v>
      </c>
      <c r="M1206" t="inlineStr">
        <is>
          <t>Non-Billable</t>
        </is>
      </c>
      <c r="N1206" s="6">
        <f>IF(B1206="","",IF(ISNUMBER(B1206),TEXT(B1206,"YYYY-MM"),LEFT(B1206,7)))</f>
        <v/>
      </c>
    </row>
    <row r="1207">
      <c r="A1207" t="inlineStr">
        <is>
          <t>Helena Tetteh</t>
        </is>
      </c>
      <c r="B1207" s="4" t="n">
        <v>46125</v>
      </c>
      <c r="C1207" t="inlineStr">
        <is>
          <t>Collaborative Research Update (Proforest), PFAFR BRIDGE: Weekly Catch-up</t>
        </is>
      </c>
      <c r="D1207" t="inlineStr">
        <is>
          <t xml:space="preserve">Helena Tetteh </t>
        </is>
      </c>
      <c r="E1207" t="inlineStr">
        <is>
          <t>OdooBot</t>
        </is>
      </c>
      <c r="F1207" s="5" t="n">
        <v>46154.70721064815</v>
      </c>
      <c r="G1207" t="inlineStr">
        <is>
          <t>Output 2.3</t>
        </is>
      </c>
      <c r="H1207" t="inlineStr">
        <is>
          <t>P23AC00C00 - FGMC</t>
        </is>
      </c>
      <c r="I1207" t="n">
        <v>0</v>
      </c>
      <c r="K1207" t="inlineStr">
        <is>
          <t>P23AC22A00 - Output Two (Elevating Local Solutions - West Africa)</t>
        </is>
      </c>
      <c r="L1207" t="b">
        <v>0</v>
      </c>
      <c r="M1207" t="inlineStr">
        <is>
          <t>Non-Billable</t>
        </is>
      </c>
      <c r="N1207" s="6">
        <f>IF(B1207="","",IF(ISNUMBER(B1207),TEXT(B1207,"YYYY-MM"),LEFT(B1207,7)))</f>
        <v/>
      </c>
    </row>
    <row r="1208">
      <c r="A1208" t="inlineStr">
        <is>
          <t>Helena Tetteh</t>
        </is>
      </c>
      <c r="B1208" s="4" t="n">
        <v>46125</v>
      </c>
      <c r="C1208" t="inlineStr">
        <is>
          <t>PIA (dashboard management- analysis, summary etc, document reviews, bi-weekly check-in)</t>
        </is>
      </c>
      <c r="D1208" t="inlineStr">
        <is>
          <t xml:space="preserve">Helena Tetteh </t>
        </is>
      </c>
      <c r="E1208" t="inlineStr">
        <is>
          <t>OdooBot</t>
        </is>
      </c>
      <c r="F1208" s="5" t="n">
        <v>46154.70721064815</v>
      </c>
      <c r="H1208" t="inlineStr">
        <is>
          <t>Non-Billable Tasks</t>
        </is>
      </c>
      <c r="I1208" t="n">
        <v>8</v>
      </c>
      <c r="K1208" t="inlineStr">
        <is>
          <t>Portfolio Team Management</t>
        </is>
      </c>
      <c r="L1208" t="b">
        <v>0</v>
      </c>
      <c r="M1208" t="inlineStr">
        <is>
          <t>Non-Billable</t>
        </is>
      </c>
      <c r="N1208" s="6">
        <f>IF(B1208="","",IF(ISNUMBER(B1208),TEXT(B1208,"YYYY-MM"),LEFT(B1208,7)))</f>
        <v/>
      </c>
    </row>
    <row r="1209">
      <c r="A1209" t="inlineStr">
        <is>
          <t>Afua Serwah Akoto Prempeh</t>
        </is>
      </c>
      <c r="B1209" s="4" t="n">
        <v>46125</v>
      </c>
      <c r="C1209" t="inlineStr">
        <is>
          <t>/</t>
        </is>
      </c>
      <c r="D1209" t="inlineStr">
        <is>
          <t>Afua Serwah Akoto Prempeh</t>
        </is>
      </c>
      <c r="E1209" t="inlineStr">
        <is>
          <t>OdooBot</t>
        </is>
      </c>
      <c r="F1209" s="5" t="n">
        <v>46154.70721064815</v>
      </c>
      <c r="H1209" t="inlineStr">
        <is>
          <t>Non-Billable Tasks</t>
        </is>
      </c>
      <c r="I1209" t="n">
        <v>5</v>
      </c>
      <c r="L1209" t="b">
        <v>0</v>
      </c>
      <c r="M1209" t="inlineStr">
        <is>
          <t>Non-Billable</t>
        </is>
      </c>
      <c r="N1209" s="6">
        <f>IF(B1209="","",IF(ISNUMBER(B1209),TEXT(B1209,"YYYY-MM"),LEFT(B1209,7)))</f>
        <v/>
      </c>
    </row>
    <row r="1210">
      <c r="A1210" t="inlineStr">
        <is>
          <t>Afua Serwah Akoto Prempeh</t>
        </is>
      </c>
      <c r="B1210" s="4" t="n">
        <v>46125</v>
      </c>
      <c r="C1210" t="inlineStr">
        <is>
          <t>/</t>
        </is>
      </c>
      <c r="D1210" t="inlineStr">
        <is>
          <t>Afua Serwah Akoto Prempeh</t>
        </is>
      </c>
      <c r="E1210" t="inlineStr">
        <is>
          <t>OdooBot</t>
        </is>
      </c>
      <c r="F1210" s="5" t="n">
        <v>46154.70721064815</v>
      </c>
      <c r="H1210" t="inlineStr">
        <is>
          <t>Non-Billable Tasks</t>
        </is>
      </c>
      <c r="I1210" t="n">
        <v>3</v>
      </c>
      <c r="K1210" t="inlineStr">
        <is>
          <t>Professional development and Knowledge sharing(training,global knowledge calls,exchange weeks)</t>
        </is>
      </c>
      <c r="L1210" t="b">
        <v>0</v>
      </c>
      <c r="M1210" t="inlineStr">
        <is>
          <t>Non-Billable</t>
        </is>
      </c>
      <c r="N1210" s="6">
        <f>IF(B1210="","",IF(ISNUMBER(B1210),TEXT(B1210,"YYYY-MM"),LEFT(B1210,7)))</f>
        <v/>
      </c>
    </row>
    <row r="1211">
      <c r="A1211" t="inlineStr">
        <is>
          <t>Clement Obeng-Manu</t>
        </is>
      </c>
      <c r="B1211" s="4" t="n">
        <v>46125</v>
      </c>
      <c r="C1211" t="inlineStr">
        <is>
          <t>/</t>
        </is>
      </c>
      <c r="D1211" t="inlineStr">
        <is>
          <t>Ekow Nyamekye Tawiah</t>
        </is>
      </c>
      <c r="E1211" t="inlineStr">
        <is>
          <t>OdooBot</t>
        </is>
      </c>
      <c r="F1211" s="5" t="n">
        <v>46154.70721064815</v>
      </c>
      <c r="H1211" t="inlineStr">
        <is>
          <t>PCGH785</t>
        </is>
      </c>
      <c r="I1211" t="n">
        <v>0</v>
      </c>
      <c r="J1211" t="inlineStr">
        <is>
          <t>PCGH785 - GIS and Mapping (3) (Okeosisi Jonathan)</t>
        </is>
      </c>
      <c r="K1211" t="inlineStr">
        <is>
          <t>Preliminary land cover classification</t>
        </is>
      </c>
      <c r="L1211" t="b">
        <v>1</v>
      </c>
      <c r="M1211" t="inlineStr">
        <is>
          <t>Billed at a Fixed price</t>
        </is>
      </c>
      <c r="N1211" s="6">
        <f>IF(B1211="","",IF(ISNUMBER(B1211),TEXT(B1211,"YYYY-MM"),LEFT(B1211,7)))</f>
        <v/>
      </c>
    </row>
    <row r="1212">
      <c r="A1212" t="inlineStr">
        <is>
          <t>Stephen Doso</t>
        </is>
      </c>
      <c r="B1212" s="4" t="n">
        <v>46125</v>
      </c>
      <c r="C1212" t="inlineStr">
        <is>
          <t>/</t>
        </is>
      </c>
      <c r="D1212" t="inlineStr">
        <is>
          <t>Stephen Doso</t>
        </is>
      </c>
      <c r="E1212" t="inlineStr">
        <is>
          <t>OdooBot</t>
        </is>
      </c>
      <c r="F1212" s="5" t="n">
        <v>46154.70721064815</v>
      </c>
      <c r="H1212" t="inlineStr">
        <is>
          <t>PCGH789 - Valency MSMO EHS audit</t>
        </is>
      </c>
      <c r="I1212" t="n">
        <v>8</v>
      </c>
      <c r="J1212" t="inlineStr">
        <is>
          <t>PCGH789 - Site Assessment (2) (Valency International DMCC)</t>
        </is>
      </c>
      <c r="K1212" t="inlineStr">
        <is>
          <t>1st quarterly visit (2)</t>
        </is>
      </c>
      <c r="L1212" t="b">
        <v>1</v>
      </c>
      <c r="M1212" t="inlineStr">
        <is>
          <t>Billed at a Fixed price</t>
        </is>
      </c>
      <c r="N1212" s="6">
        <f>IF(B1212="","",IF(ISNUMBER(B1212),TEXT(B1212,"YYYY-MM"),LEFT(B1212,7)))</f>
        <v/>
      </c>
    </row>
    <row r="1213">
      <c r="A1213" t="inlineStr">
        <is>
          <t>Louis Defo</t>
        </is>
      </c>
      <c r="B1213" s="4" t="n">
        <v>46125</v>
      </c>
      <c r="C1213" t="inlineStr">
        <is>
          <t>/</t>
        </is>
      </c>
      <c r="D1213" t="inlineStr">
        <is>
          <t>Louis Defo</t>
        </is>
      </c>
      <c r="E1213" t="inlineStr">
        <is>
          <t>OdooBot</t>
        </is>
      </c>
      <c r="F1213" s="5" t="n">
        <v>46154.70721064815</v>
      </c>
      <c r="H1213" t="inlineStr">
        <is>
          <t>PCGH774 -Evaluation Deep-Dive Action Plans by Socfin Group</t>
        </is>
      </c>
      <c r="I1213" t="n">
        <v>8</v>
      </c>
      <c r="J1213" t="inlineStr">
        <is>
          <t>PCGH774 - Project Management (2) (Socfinco FR SA)</t>
        </is>
      </c>
      <c r="L1213" t="b">
        <v>1</v>
      </c>
      <c r="M1213" t="inlineStr">
        <is>
          <t>Billed at a Fixed price</t>
        </is>
      </c>
      <c r="N1213" s="6">
        <f>IF(B1213="","",IF(ISNUMBER(B1213),TEXT(B1213,"YYYY-MM"),LEFT(B1213,7)))</f>
        <v/>
      </c>
    </row>
    <row r="1214">
      <c r="A1214" t="inlineStr">
        <is>
          <t>Abel Ansu</t>
        </is>
      </c>
      <c r="B1214" s="4" t="n">
        <v>46125</v>
      </c>
      <c r="C1214" t="inlineStr">
        <is>
          <t>Visited the Ayum forest reserve to monitor and pick GPS coordinates for new lands cleared for MTS</t>
        </is>
      </c>
      <c r="D1214" t="inlineStr">
        <is>
          <t>Abel Ansu</t>
        </is>
      </c>
      <c r="E1214" t="inlineStr">
        <is>
          <t>OdooBot</t>
        </is>
      </c>
      <c r="F1214" s="5" t="n">
        <v>46154.70721064815</v>
      </c>
      <c r="H1214" t="inlineStr">
        <is>
          <t>Internal</t>
        </is>
      </c>
      <c r="I1214" t="n">
        <v>0</v>
      </c>
      <c r="K1214" t="inlineStr">
        <is>
          <t>Field monitoring</t>
        </is>
      </c>
      <c r="L1214" t="b">
        <v>0</v>
      </c>
      <c r="M1214" t="inlineStr">
        <is>
          <t>Non-Billable</t>
        </is>
      </c>
      <c r="N1214" s="6">
        <f>IF(B1214="","",IF(ISNUMBER(B1214),TEXT(B1214,"YYYY-MM"),LEFT(B1214,7)))</f>
        <v/>
      </c>
    </row>
    <row r="1215">
      <c r="A1215" t="inlineStr">
        <is>
          <t>Abel Ansu</t>
        </is>
      </c>
      <c r="B1215" s="4" t="n">
        <v>46125</v>
      </c>
      <c r="C1215" t="inlineStr">
        <is>
          <t>Monitored seedlings at nursery sites and did studies on PF Academy</t>
        </is>
      </c>
      <c r="D1215" t="inlineStr">
        <is>
          <t>Abel Ansu</t>
        </is>
      </c>
      <c r="E1215" t="inlineStr">
        <is>
          <t>OdooBot</t>
        </is>
      </c>
      <c r="F1215" s="5" t="n">
        <v>46154.70721064815</v>
      </c>
      <c r="H1215" t="inlineStr">
        <is>
          <t>Internal</t>
        </is>
      </c>
      <c r="I1215" t="n">
        <v>8</v>
      </c>
      <c r="K1215" t="inlineStr">
        <is>
          <t>Nursery sites visit</t>
        </is>
      </c>
      <c r="L1215" t="b">
        <v>0</v>
      </c>
      <c r="M1215" t="inlineStr">
        <is>
          <t>Non-Billable</t>
        </is>
      </c>
      <c r="N1215" s="6">
        <f>IF(B1215="","",IF(ISNUMBER(B1215),TEXT(B1215,"YYYY-MM"),LEFT(B1215,7)))</f>
        <v/>
      </c>
    </row>
    <row r="1216">
      <c r="A1216" t="inlineStr">
        <is>
          <t>Clement Obeng-Manu</t>
        </is>
      </c>
      <c r="B1216" s="4" t="n">
        <v>46125</v>
      </c>
      <c r="C1216" t="inlineStr">
        <is>
          <t>/</t>
        </is>
      </c>
      <c r="D1216" t="inlineStr">
        <is>
          <t>Ekow Nyamekye Tawiah</t>
        </is>
      </c>
      <c r="E1216" t="inlineStr">
        <is>
          <t>OdooBot</t>
        </is>
      </c>
      <c r="F1216" s="5" t="n">
        <v>46154.70721064815</v>
      </c>
      <c r="H1216" t="inlineStr">
        <is>
          <t>PCGH776 - Deforestation Risk-Assessment Cashew-Coast</t>
        </is>
      </c>
      <c r="I1216" t="n">
        <v>8</v>
      </c>
      <c r="J1216" t="inlineStr">
        <is>
          <t>PCGH776 - Groundthruthing and Verification (3) (Cashew Coast Products Inc)</t>
        </is>
      </c>
      <c r="K1216" t="inlineStr">
        <is>
          <t>Land cover classification, ground truthing and accuracy assessment</t>
        </is>
      </c>
      <c r="L1216" t="b">
        <v>1</v>
      </c>
      <c r="M1216" t="inlineStr">
        <is>
          <t>Billed at a Fixed price</t>
        </is>
      </c>
      <c r="N1216" s="6">
        <f>IF(B1216="","",IF(ISNUMBER(B1216),TEXT(B1216,"YYYY-MM"),LEFT(B1216,7)))</f>
        <v/>
      </c>
    </row>
    <row r="1217">
      <c r="A1217" t="inlineStr">
        <is>
          <t>Kingsley Fitz-Gerald Severine</t>
        </is>
      </c>
      <c r="B1217" s="4" t="n">
        <v>46125</v>
      </c>
      <c r="C1217" t="inlineStr">
        <is>
          <t>/</t>
        </is>
      </c>
      <c r="D1217" t="inlineStr">
        <is>
          <t>Kingsley Fitz-Gerald Severine</t>
        </is>
      </c>
      <c r="E1217" t="inlineStr">
        <is>
          <t>OdooBot</t>
        </is>
      </c>
      <c r="F1217" s="5" t="n">
        <v>46154.70721064815</v>
      </c>
      <c r="H1217" t="inlineStr">
        <is>
          <t>PCGH789 - Valency MSMO EHS audit</t>
        </is>
      </c>
      <c r="I1217" t="n">
        <v>8</v>
      </c>
      <c r="J1217" t="inlineStr">
        <is>
          <t>PCGH789 - Desk Study (3) (Valency International DMCC)</t>
        </is>
      </c>
      <c r="K1217" t="inlineStr">
        <is>
          <t>Desktop Study &amp; Assessment Framework Dev't (3)</t>
        </is>
      </c>
      <c r="L1217" t="b">
        <v>1</v>
      </c>
      <c r="M1217" t="inlineStr">
        <is>
          <t>Billed at a Fixed price</t>
        </is>
      </c>
      <c r="N1217" s="6">
        <f>IF(B1217="","",IF(ISNUMBER(B1217),TEXT(B1217,"YYYY-MM"),LEFT(B1217,7)))</f>
        <v/>
      </c>
    </row>
    <row r="1218">
      <c r="A1218" t="inlineStr">
        <is>
          <t>Patricia Offei</t>
        </is>
      </c>
      <c r="B1218" s="4" t="n">
        <v>46124</v>
      </c>
      <c r="C1218" t="inlineStr">
        <is>
          <t>/</t>
        </is>
      </c>
      <c r="D1218" t="inlineStr">
        <is>
          <t>Patricia Offei</t>
        </is>
      </c>
      <c r="E1218" t="inlineStr">
        <is>
          <t>Patricia Offei</t>
        </is>
      </c>
      <c r="F1218" s="5" t="n">
        <v>46162.59876157407</v>
      </c>
      <c r="H1218" t="inlineStr">
        <is>
          <t>Non-Billable Tasks</t>
        </is>
      </c>
      <c r="I1218" t="n">
        <v>8</v>
      </c>
      <c r="K1218" t="inlineStr">
        <is>
          <t>Professional development and Knowledge sharing(training,global knowledge calls,exchange weeks)</t>
        </is>
      </c>
      <c r="L1218" t="b">
        <v>0</v>
      </c>
      <c r="M1218" t="inlineStr">
        <is>
          <t>Non-Billable</t>
        </is>
      </c>
      <c r="N1218" s="6">
        <f>IF(B1218="","",IF(ISNUMBER(B1218),TEXT(B1218,"YYYY-MM"),LEFT(B1218,7)))</f>
        <v/>
      </c>
    </row>
    <row r="1219">
      <c r="A1219" t="inlineStr">
        <is>
          <t>Patricia Offei</t>
        </is>
      </c>
      <c r="B1219" s="4" t="n">
        <v>46123</v>
      </c>
      <c r="C1219" t="inlineStr">
        <is>
          <t>/</t>
        </is>
      </c>
      <c r="D1219" t="inlineStr">
        <is>
          <t>Patricia Offei</t>
        </is>
      </c>
      <c r="E1219" t="inlineStr">
        <is>
          <t>Patricia Offei</t>
        </is>
      </c>
      <c r="F1219" s="5" t="n">
        <v>46162.59636574074</v>
      </c>
      <c r="H1219" t="inlineStr">
        <is>
          <t>PCGH774 -Evaluation Deep-Dive Action Plans by Socfin Group</t>
        </is>
      </c>
      <c r="I1219" t="n">
        <v>8</v>
      </c>
      <c r="J1219" t="inlineStr">
        <is>
          <t>PCGH774 - Project Management (2) (Socfinco FR SA)</t>
        </is>
      </c>
      <c r="L1219" t="b">
        <v>1</v>
      </c>
      <c r="M1219" t="inlineStr">
        <is>
          <t>Billed at a Fixed price</t>
        </is>
      </c>
      <c r="N1219" s="6">
        <f>IF(B1219="","",IF(ISNUMBER(B1219),TEXT(B1219,"YYYY-MM"),LEFT(B1219,7)))</f>
        <v/>
      </c>
    </row>
    <row r="1220">
      <c r="A1220" t="inlineStr">
        <is>
          <t>Ekow Nyamekye Tawiah</t>
        </is>
      </c>
      <c r="B1220" s="4" t="n">
        <v>46122</v>
      </c>
      <c r="C1220" t="inlineStr">
        <is>
          <t>Deforestation Risk Analysis</t>
        </is>
      </c>
      <c r="D1220" t="inlineStr">
        <is>
          <t>Joseph Isaiah Mensah</t>
        </is>
      </c>
      <c r="E1220" t="inlineStr">
        <is>
          <t>Ekow Nyamekye Tawiah</t>
        </is>
      </c>
      <c r="F1220" s="5" t="n">
        <v>46162.87989583334</v>
      </c>
      <c r="H1220" t="inlineStr">
        <is>
          <t>PCGH778 - General Support</t>
        </is>
      </c>
      <c r="I1220" t="n">
        <v>4</v>
      </c>
      <c r="J1220" t="inlineStr">
        <is>
          <t>PCGH778 - Support to Other Workstreams (3) (Proforest Limited(PCUK GBP))</t>
        </is>
      </c>
      <c r="L1220" t="b">
        <v>1</v>
      </c>
      <c r="M1220" t="inlineStr">
        <is>
          <t>Billed at a Fixed price</t>
        </is>
      </c>
      <c r="N1220" s="6">
        <f>IF(B1220="","",IF(ISNUMBER(B1220),TEXT(B1220,"YYYY-MM"),LEFT(B1220,7)))</f>
        <v/>
      </c>
    </row>
    <row r="1221">
      <c r="A1221" t="inlineStr">
        <is>
          <t>Joseph Isaiah Mensah</t>
        </is>
      </c>
      <c r="B1221" s="4" t="n">
        <v>46122</v>
      </c>
      <c r="C1221" t="inlineStr">
        <is>
          <t>/</t>
        </is>
      </c>
      <c r="D1221" t="inlineStr">
        <is>
          <t>Jacqueline Nyakutse Afua</t>
        </is>
      </c>
      <c r="E1221" t="inlineStr">
        <is>
          <t>Joseph Isaiah Mensah</t>
        </is>
      </c>
      <c r="F1221" s="5" t="n">
        <v>46162.77883101852</v>
      </c>
      <c r="H1221" t="inlineStr">
        <is>
          <t>PCGH774 -Evaluation Deep-Dive Action Plans by Socfin Group</t>
        </is>
      </c>
      <c r="I1221" t="n">
        <v>8</v>
      </c>
      <c r="J1221" t="inlineStr">
        <is>
          <t>PCGH774 - Field Verification (2) (Socfinco FR SA)</t>
        </is>
      </c>
      <c r="K1221" t="inlineStr">
        <is>
          <t>[Cameroon, Socapalm （Dibombari + Edéa + Mbongo + Mbambou） Report review] - Field verification/observation/community and stakeholder engagement</t>
        </is>
      </c>
      <c r="L1221" t="b">
        <v>1</v>
      </c>
      <c r="M1221" t="inlineStr">
        <is>
          <t>Billed at a Fixed price</t>
        </is>
      </c>
      <c r="N1221" s="6">
        <f>IF(B1221="","",IF(ISNUMBER(B1221),TEXT(B1221,"YYYY-MM"),LEFT(B1221,7)))</f>
        <v/>
      </c>
    </row>
    <row r="1222">
      <c r="A1222" t="inlineStr">
        <is>
          <t>James Parker Mckeown</t>
        </is>
      </c>
      <c r="B1222" s="4" t="n">
        <v>46122</v>
      </c>
      <c r="C1222" t="inlineStr">
        <is>
          <t>FGMC FCDO: Follow up with the FC, EPA, Minerals commission with Kwaduo</t>
        </is>
      </c>
      <c r="D1222" t="inlineStr">
        <is>
          <t>James Parker Mckeown</t>
        </is>
      </c>
      <c r="E1222" t="inlineStr">
        <is>
          <t>James Parker Mckeown</t>
        </is>
      </c>
      <c r="F1222" s="5" t="n">
        <v>46162.76931712963</v>
      </c>
      <c r="H1222" t="inlineStr">
        <is>
          <t>PCGH786 - Impact Level Baseline assessment for FGMC</t>
        </is>
      </c>
      <c r="I1222" t="n">
        <v>8</v>
      </c>
      <c r="L1222" t="b">
        <v>1</v>
      </c>
      <c r="M1222" t="inlineStr">
        <is>
          <t>Non-Billable</t>
        </is>
      </c>
      <c r="N1222" s="6">
        <f>IF(B1222="","",IF(ISNUMBER(B1222),TEXT(B1222,"YYYY-MM"),LEFT(B1222,7)))</f>
        <v/>
      </c>
    </row>
    <row r="1223">
      <c r="A1223" t="inlineStr">
        <is>
          <t>Patricia Offei</t>
        </is>
      </c>
      <c r="B1223" s="4" t="n">
        <v>46122</v>
      </c>
      <c r="C1223" t="inlineStr">
        <is>
          <t>/</t>
        </is>
      </c>
      <c r="D1223" t="inlineStr">
        <is>
          <t>Patricia Offei</t>
        </is>
      </c>
      <c r="E1223" t="inlineStr">
        <is>
          <t>Patricia Offei</t>
        </is>
      </c>
      <c r="F1223" s="5" t="n">
        <v>46162.59631944444</v>
      </c>
      <c r="H1223" t="inlineStr">
        <is>
          <t>PCGH774 -Evaluation Deep-Dive Action Plans by Socfin Group</t>
        </is>
      </c>
      <c r="I1223" t="n">
        <v>8</v>
      </c>
      <c r="J1223" t="inlineStr">
        <is>
          <t>PCGH774 - Project Management (2) (Socfinco FR SA)</t>
        </is>
      </c>
      <c r="L1223" t="b">
        <v>1</v>
      </c>
      <c r="M1223" t="inlineStr">
        <is>
          <t>Billed at a Fixed price</t>
        </is>
      </c>
      <c r="N1223" s="6">
        <f>IF(B1223="","",IF(ISNUMBER(B1223),TEXT(B1223,"YYYY-MM"),LEFT(B1223,7)))</f>
        <v/>
      </c>
    </row>
    <row r="1224">
      <c r="A1224" t="inlineStr">
        <is>
          <t>Frederick Antwi</t>
        </is>
      </c>
      <c r="B1224" s="4" t="n">
        <v>46122</v>
      </c>
      <c r="C1224" t="inlineStr">
        <is>
          <t>/</t>
        </is>
      </c>
      <c r="D1224" t="inlineStr">
        <is>
          <t>Frederick Antwi</t>
        </is>
      </c>
      <c r="E1224" t="inlineStr">
        <is>
          <t>Frederick Antwi</t>
        </is>
      </c>
      <c r="F1224" s="5" t="n">
        <v>46160.63256944445</v>
      </c>
      <c r="H1224" t="inlineStr">
        <is>
          <t>P13QC00A00 - EFI Programme</t>
        </is>
      </c>
      <c r="I1224" t="n">
        <v>5</v>
      </c>
      <c r="L1224" t="b">
        <v>0</v>
      </c>
      <c r="M1224" t="inlineStr">
        <is>
          <t>Non-Billable</t>
        </is>
      </c>
      <c r="N1224" s="6">
        <f>IF(B1224="","",IF(ISNUMBER(B1224),TEXT(B1224,"YYYY-MM"),LEFT(B1224,7)))</f>
        <v/>
      </c>
    </row>
    <row r="1225">
      <c r="A1225" t="inlineStr">
        <is>
          <t>Frederick Antwi</t>
        </is>
      </c>
      <c r="B1225" s="4" t="n">
        <v>46122</v>
      </c>
      <c r="C1225" t="inlineStr">
        <is>
          <t>/</t>
        </is>
      </c>
      <c r="D1225" t="inlineStr">
        <is>
          <t>Frederick Antwi</t>
        </is>
      </c>
      <c r="E1225" t="inlineStr">
        <is>
          <t>Frederick Antwi</t>
        </is>
      </c>
      <c r="F1225" s="5" t="n">
        <v>46160.6325</v>
      </c>
      <c r="H1225" t="inlineStr">
        <is>
          <t>PCGH768</t>
        </is>
      </c>
      <c r="I1225" t="n">
        <v>3</v>
      </c>
      <c r="L1225" t="b">
        <v>1</v>
      </c>
      <c r="M1225" t="inlineStr">
        <is>
          <t>Non-Billable</t>
        </is>
      </c>
      <c r="N1225" s="6">
        <f>IF(B1225="","",IF(ISNUMBER(B1225),TEXT(B1225,"YYYY-MM"),LEFT(B1225,7)))</f>
        <v/>
      </c>
    </row>
    <row r="1226">
      <c r="A1226" t="inlineStr">
        <is>
          <t>Augustus Asamoah</t>
        </is>
      </c>
      <c r="B1226" s="4" t="n">
        <v>46122</v>
      </c>
      <c r="C1226" t="inlineStr">
        <is>
          <t>/</t>
        </is>
      </c>
      <c r="D1226" t="inlineStr">
        <is>
          <t>Augustus Asamoah</t>
        </is>
      </c>
      <c r="E1226" t="inlineStr">
        <is>
          <t>Augustus Asamoah</t>
        </is>
      </c>
      <c r="F1226" s="5" t="n">
        <v>46156.67037037037</v>
      </c>
      <c r="H1226" t="inlineStr">
        <is>
          <t>P13NC00A00 - WALMART II</t>
        </is>
      </c>
      <c r="I1226" t="n">
        <v>1</v>
      </c>
      <c r="K1226" t="inlineStr">
        <is>
          <t>Programme Personnel and Management</t>
        </is>
      </c>
      <c r="L1226" t="b">
        <v>0</v>
      </c>
      <c r="M1226" t="inlineStr">
        <is>
          <t>Non-Billable</t>
        </is>
      </c>
      <c r="N1226" s="6">
        <f>IF(B1226="","",IF(ISNUMBER(B1226),TEXT(B1226,"YYYY-MM"),LEFT(B1226,7)))</f>
        <v/>
      </c>
    </row>
    <row r="1227">
      <c r="A1227" t="inlineStr">
        <is>
          <t>Augustus Asamoah</t>
        </is>
      </c>
      <c r="B1227" s="4" t="n">
        <v>46122</v>
      </c>
      <c r="C1227" t="inlineStr">
        <is>
          <t>/</t>
        </is>
      </c>
      <c r="D1227" t="inlineStr">
        <is>
          <t>Augustus Asamoah</t>
        </is>
      </c>
      <c r="E1227" t="inlineStr">
        <is>
          <t>Augustus Asamoah</t>
        </is>
      </c>
      <c r="F1227" s="5" t="n">
        <v>46156.67033564814</v>
      </c>
      <c r="H1227" t="inlineStr">
        <is>
          <t>P13PC00A00 - Private Sector Companies</t>
        </is>
      </c>
      <c r="I1227" t="n">
        <v>4</v>
      </c>
      <c r="L1227" t="b">
        <v>0</v>
      </c>
      <c r="M1227" t="inlineStr">
        <is>
          <t>Non-Billable</t>
        </is>
      </c>
      <c r="N1227" s="6">
        <f>IF(B1227="","",IF(ISNUMBER(B1227),TEXT(B1227,"YYYY-MM"),LEFT(B1227,7)))</f>
        <v/>
      </c>
    </row>
    <row r="1228">
      <c r="A1228" t="inlineStr">
        <is>
          <t>Augustus Asamoah</t>
        </is>
      </c>
      <c r="B1228" s="4" t="n">
        <v>46122</v>
      </c>
      <c r="C1228" t="inlineStr">
        <is>
          <t>/</t>
        </is>
      </c>
      <c r="D1228" t="inlineStr">
        <is>
          <t>Augustus Asamoah</t>
        </is>
      </c>
      <c r="E1228" t="inlineStr">
        <is>
          <t>Augustus Asamoah</t>
        </is>
      </c>
      <c r="F1228" s="5" t="n">
        <v>46156.67020833334</v>
      </c>
      <c r="H1228" t="inlineStr">
        <is>
          <t>P13QC00A00 - EFI Programme</t>
        </is>
      </c>
      <c r="I1228" t="n">
        <v>3</v>
      </c>
      <c r="L1228" t="b">
        <v>0</v>
      </c>
      <c r="M1228" t="inlineStr">
        <is>
          <t>Non-Billable</t>
        </is>
      </c>
      <c r="N1228" s="6">
        <f>IF(B1228="","",IF(ISNUMBER(B1228),TEXT(B1228,"YYYY-MM"),LEFT(B1228,7)))</f>
        <v/>
      </c>
    </row>
    <row r="1229">
      <c r="A1229" t="inlineStr">
        <is>
          <t>Helena Tetteh</t>
        </is>
      </c>
      <c r="B1229" s="4" t="n">
        <v>46122</v>
      </c>
      <c r="C1229" t="inlineStr">
        <is>
          <t>/</t>
        </is>
      </c>
      <c r="D1229" t="inlineStr">
        <is>
          <t xml:space="preserve">Helena Tetteh </t>
        </is>
      </c>
      <c r="E1229" t="inlineStr">
        <is>
          <t>OdooBot</t>
        </is>
      </c>
      <c r="F1229" s="5" t="n">
        <v>46154.70721064815</v>
      </c>
      <c r="H1229" t="inlineStr">
        <is>
          <t>P23AC00C00 - FGMC</t>
        </is>
      </c>
      <c r="I1229" t="n">
        <v>8</v>
      </c>
      <c r="L1229" t="b">
        <v>0</v>
      </c>
      <c r="M1229" t="inlineStr">
        <is>
          <t>Non-Billable</t>
        </is>
      </c>
      <c r="N1229" s="6">
        <f>IF(B1229="","",IF(ISNUMBER(B1229),TEXT(B1229,"YYYY-MM"),LEFT(B1229,7)))</f>
        <v/>
      </c>
    </row>
    <row r="1230">
      <c r="A1230" t="inlineStr">
        <is>
          <t>Afua Serwah Akoto Prempeh</t>
        </is>
      </c>
      <c r="B1230" s="4" t="n">
        <v>46122</v>
      </c>
      <c r="C1230" t="inlineStr">
        <is>
          <t>/</t>
        </is>
      </c>
      <c r="D1230" t="inlineStr">
        <is>
          <t>Afua Serwah Akoto Prempeh</t>
        </is>
      </c>
      <c r="E1230" t="inlineStr">
        <is>
          <t>OdooBot</t>
        </is>
      </c>
      <c r="F1230" s="5" t="n">
        <v>46154.70721064815</v>
      </c>
      <c r="H1230" t="inlineStr">
        <is>
          <t>Non-Billable Tasks</t>
        </is>
      </c>
      <c r="I1230" t="n">
        <v>8</v>
      </c>
      <c r="L1230" t="b">
        <v>0</v>
      </c>
      <c r="M1230" t="inlineStr">
        <is>
          <t>Non-Billable</t>
        </is>
      </c>
      <c r="N1230" s="6">
        <f>IF(B1230="","",IF(ISNUMBER(B1230),TEXT(B1230,"YYYY-MM"),LEFT(B1230,7)))</f>
        <v/>
      </c>
    </row>
    <row r="1231">
      <c r="A1231" t="inlineStr">
        <is>
          <t>Stephen Doso</t>
        </is>
      </c>
      <c r="B1231" s="4" t="n">
        <v>46122</v>
      </c>
      <c r="C1231" t="inlineStr">
        <is>
          <t>/</t>
        </is>
      </c>
      <c r="D1231" t="inlineStr">
        <is>
          <t>Stephen Doso</t>
        </is>
      </c>
      <c r="E1231" t="inlineStr">
        <is>
          <t>OdooBot</t>
        </is>
      </c>
      <c r="F1231" s="5" t="n">
        <v>46154.70721064815</v>
      </c>
      <c r="H1231" t="inlineStr">
        <is>
          <t>PCGH789 - Valency MSMO EHS audit</t>
        </is>
      </c>
      <c r="I1231" t="n">
        <v>8</v>
      </c>
      <c r="J1231" t="inlineStr">
        <is>
          <t>PCGH789 - Site Assessment (2) (Valency International DMCC)</t>
        </is>
      </c>
      <c r="K1231" t="inlineStr">
        <is>
          <t>1st quarterly visit (2)</t>
        </is>
      </c>
      <c r="L1231" t="b">
        <v>1</v>
      </c>
      <c r="M1231" t="inlineStr">
        <is>
          <t>Billed at a Fixed price</t>
        </is>
      </c>
      <c r="N1231" s="6">
        <f>IF(B1231="","",IF(ISNUMBER(B1231),TEXT(B1231,"YYYY-MM"),LEFT(B1231,7)))</f>
        <v/>
      </c>
    </row>
    <row r="1232">
      <c r="A1232" t="inlineStr">
        <is>
          <t>Louis Defo</t>
        </is>
      </c>
      <c r="B1232" s="4" t="n">
        <v>46122</v>
      </c>
      <c r="C1232" t="inlineStr">
        <is>
          <t>/</t>
        </is>
      </c>
      <c r="D1232" t="inlineStr">
        <is>
          <t>Louis Defo</t>
        </is>
      </c>
      <c r="E1232" t="inlineStr">
        <is>
          <t>OdooBot</t>
        </is>
      </c>
      <c r="F1232" s="5" t="n">
        <v>46154.70721064815</v>
      </c>
      <c r="H1232" t="inlineStr">
        <is>
          <t>PCGH774 -Evaluation Deep-Dive Action Plans by Socfin Group</t>
        </is>
      </c>
      <c r="I1232" t="n">
        <v>8</v>
      </c>
      <c r="J1232" t="inlineStr">
        <is>
          <t>PCGH774 - Project Management (2) (Socfinco FR SA)</t>
        </is>
      </c>
      <c r="L1232" t="b">
        <v>1</v>
      </c>
      <c r="M1232" t="inlineStr">
        <is>
          <t>Billed at a Fixed price</t>
        </is>
      </c>
      <c r="N1232" s="6">
        <f>IF(B1232="","",IF(ISNUMBER(B1232),TEXT(B1232,"YYYY-MM"),LEFT(B1232,7)))</f>
        <v/>
      </c>
    </row>
    <row r="1233">
      <c r="A1233" t="inlineStr">
        <is>
          <t>Kwadwo Baniako Nti</t>
        </is>
      </c>
      <c r="B1233" s="4" t="n">
        <v>46122</v>
      </c>
      <c r="C1233" t="inlineStr">
        <is>
          <t>/</t>
        </is>
      </c>
      <c r="D1233" t="inlineStr">
        <is>
          <t>Kwadwo Baniako Nti</t>
        </is>
      </c>
      <c r="E1233" t="inlineStr">
        <is>
          <t>OdooBot</t>
        </is>
      </c>
      <c r="F1233" s="5" t="n">
        <v>46154.70721064815</v>
      </c>
      <c r="H1233" t="inlineStr">
        <is>
          <t>PCGH762 - GVL HCSA Restoration Project</t>
        </is>
      </c>
      <c r="I1233" t="n">
        <v>8</v>
      </c>
      <c r="J1233" t="inlineStr">
        <is>
          <t>PCGH762 - Baseline Socio-Economic &amp; Environmental Surveys (Golden Veroleum Liberia)</t>
        </is>
      </c>
      <c r="K1233" t="inlineStr">
        <is>
          <t>Baseline Socio-Economic &amp; Environmental Surveys</t>
        </is>
      </c>
      <c r="L1233" t="b">
        <v>1</v>
      </c>
      <c r="M1233" t="inlineStr">
        <is>
          <t>Billed at a Fixed price</t>
        </is>
      </c>
      <c r="N1233" s="6">
        <f>IF(B1233="","",IF(ISNUMBER(B1233),TEXT(B1233,"YYYY-MM"),LEFT(B1233,7)))</f>
        <v/>
      </c>
    </row>
    <row r="1234">
      <c r="A1234" t="inlineStr">
        <is>
          <t>Clement Obeng-Manu</t>
        </is>
      </c>
      <c r="B1234" s="4" t="n">
        <v>46122</v>
      </c>
      <c r="C1234" t="inlineStr">
        <is>
          <t>/</t>
        </is>
      </c>
      <c r="D1234" t="inlineStr">
        <is>
          <t>Ekow Nyamekye Tawiah</t>
        </is>
      </c>
      <c r="E1234" t="inlineStr">
        <is>
          <t>OdooBot</t>
        </is>
      </c>
      <c r="F1234" s="5" t="n">
        <v>46154.70721064815</v>
      </c>
      <c r="H1234" t="inlineStr">
        <is>
          <t>PCGH776 - Deforestation Risk-Assessment Cashew-Coast</t>
        </is>
      </c>
      <c r="I1234" t="n">
        <v>8</v>
      </c>
      <c r="J1234" t="inlineStr">
        <is>
          <t>PCGH776 - Groundthruthing and Verification (3) (Cashew Coast Products Inc)</t>
        </is>
      </c>
      <c r="K1234" t="inlineStr">
        <is>
          <t>Land cover classification, ground truthing and accuracy assessment</t>
        </is>
      </c>
      <c r="L1234" t="b">
        <v>1</v>
      </c>
      <c r="M1234" t="inlineStr">
        <is>
          <t>Billed at a Fixed price</t>
        </is>
      </c>
      <c r="N1234" s="6">
        <f>IF(B1234="","",IF(ISNUMBER(B1234),TEXT(B1234,"YYYY-MM"),LEFT(B1234,7)))</f>
        <v/>
      </c>
    </row>
    <row r="1235">
      <c r="A1235" t="inlineStr">
        <is>
          <t>Kingsley Fitz-Gerald Severine</t>
        </is>
      </c>
      <c r="B1235" s="4" t="n">
        <v>46122</v>
      </c>
      <c r="C1235" t="inlineStr">
        <is>
          <t>/</t>
        </is>
      </c>
      <c r="D1235" t="inlineStr">
        <is>
          <t>Kingsley Fitz-Gerald Severine</t>
        </is>
      </c>
      <c r="E1235" t="inlineStr">
        <is>
          <t>OdooBot</t>
        </is>
      </c>
      <c r="F1235" s="5" t="n">
        <v>46154.70721064815</v>
      </c>
      <c r="H1235" t="inlineStr">
        <is>
          <t>PCGH789 - Valency MSMO EHS audit</t>
        </is>
      </c>
      <c r="I1235" t="n">
        <v>8</v>
      </c>
      <c r="J1235" t="inlineStr">
        <is>
          <t>PCGH789 - Site Assessment (3) (Valency International DMCC)</t>
        </is>
      </c>
      <c r="K1235" t="inlineStr">
        <is>
          <t>1st quarterly visit (3)</t>
        </is>
      </c>
      <c r="L1235" t="b">
        <v>1</v>
      </c>
      <c r="M1235" t="inlineStr">
        <is>
          <t>Billed at a Fixed price</t>
        </is>
      </c>
      <c r="N1235" s="6">
        <f>IF(B1235="","",IF(ISNUMBER(B1235),TEXT(B1235,"YYYY-MM"),LEFT(B1235,7)))</f>
        <v/>
      </c>
    </row>
    <row r="1236">
      <c r="A1236" t="inlineStr">
        <is>
          <t>Abel Ansu</t>
        </is>
      </c>
      <c r="B1236" s="4" t="n">
        <v>46122</v>
      </c>
      <c r="C1236" t="inlineStr">
        <is>
          <t>Visited MTS site at Adiepena and supplied materials to Asumura RSC</t>
        </is>
      </c>
      <c r="D1236" t="inlineStr">
        <is>
          <t>Abel Ansu</t>
        </is>
      </c>
      <c r="E1236" t="inlineStr">
        <is>
          <t>OdooBot</t>
        </is>
      </c>
      <c r="F1236" s="5" t="n">
        <v>46154.70721064815</v>
      </c>
      <c r="H1236" t="inlineStr">
        <is>
          <t>Internal</t>
        </is>
      </c>
      <c r="I1236" t="n">
        <v>8</v>
      </c>
      <c r="K1236" t="inlineStr">
        <is>
          <t>Field monitoring</t>
        </is>
      </c>
      <c r="L1236" t="b">
        <v>0</v>
      </c>
      <c r="M1236" t="inlineStr">
        <is>
          <t>Non-Billable</t>
        </is>
      </c>
      <c r="N1236" s="6">
        <f>IF(B1236="","",IF(ISNUMBER(B1236),TEXT(B1236,"YYYY-MM"),LEFT(B1236,7)))</f>
        <v/>
      </c>
    </row>
    <row r="1237">
      <c r="A1237" t="inlineStr">
        <is>
          <t>Daleba Bernard Kpenahi Raymond</t>
        </is>
      </c>
      <c r="B1237" s="4" t="n">
        <v>46122</v>
      </c>
      <c r="C1237" t="inlineStr">
        <is>
          <t xml:space="preserve">Attend MINETE and IDH meeting on Carbone Credit, Carbone market, PSE </t>
        </is>
      </c>
      <c r="D1237" t="inlineStr">
        <is>
          <t>Daleba Bernard Kpenahi Raymond</t>
        </is>
      </c>
      <c r="E1237" t="inlineStr">
        <is>
          <t>OdooBot</t>
        </is>
      </c>
      <c r="F1237" s="5" t="n">
        <v>46154.70721064815</v>
      </c>
      <c r="H1237" t="inlineStr">
        <is>
          <t>Non-Billable Tasks</t>
        </is>
      </c>
      <c r="I1237" t="n">
        <v>0</v>
      </c>
      <c r="K1237" t="inlineStr">
        <is>
          <t>Professional development and Knowledge sharing(training,global knowledge calls,exchange weeks)</t>
        </is>
      </c>
      <c r="L1237" t="b">
        <v>0</v>
      </c>
      <c r="M1237" t="inlineStr">
        <is>
          <t>Non-Billable</t>
        </is>
      </c>
      <c r="N1237" s="6">
        <f>IF(B1237="","",IF(ISNUMBER(B1237),TEXT(B1237,"YYYY-MM"),LEFT(B1237,7)))</f>
        <v/>
      </c>
    </row>
    <row r="1238">
      <c r="A1238" t="inlineStr">
        <is>
          <t>Daleba Bernard Kpenahi Raymond</t>
        </is>
      </c>
      <c r="B1238" s="4" t="n">
        <v>46122</v>
      </c>
      <c r="C1238" t="inlineStr">
        <is>
          <t>/</t>
        </is>
      </c>
      <c r="D1238" t="inlineStr">
        <is>
          <t>Daleba Bernard Kpenahi Raymond</t>
        </is>
      </c>
      <c r="E1238" t="inlineStr">
        <is>
          <t>OdooBot</t>
        </is>
      </c>
      <c r="F1238" s="5" t="n">
        <v>46154.70721064815</v>
      </c>
      <c r="H1238" t="inlineStr">
        <is>
          <t>Non-Billable Tasks</t>
        </is>
      </c>
      <c r="I1238" t="n">
        <v>0</v>
      </c>
      <c r="K1238" t="inlineStr">
        <is>
          <t>Public Holiday</t>
        </is>
      </c>
      <c r="L1238" t="b">
        <v>0</v>
      </c>
      <c r="M1238" t="inlineStr">
        <is>
          <t>Non-Billable</t>
        </is>
      </c>
      <c r="N1238" s="6">
        <f>IF(B1238="","",IF(ISNUMBER(B1238),TEXT(B1238,"YYYY-MM"),LEFT(B1238,7)))</f>
        <v/>
      </c>
    </row>
    <row r="1239">
      <c r="A1239" t="inlineStr">
        <is>
          <t>Mawuse Agblobi</t>
        </is>
      </c>
      <c r="B1239" s="4" t="n">
        <v>46121</v>
      </c>
      <c r="C1239" t="inlineStr">
        <is>
          <t>Time Off (1/1)</t>
        </is>
      </c>
      <c r="D1239" t="inlineStr">
        <is>
          <t>Adwoa Fremah Ntosour-Amponsem</t>
        </is>
      </c>
      <c r="E1239" t="inlineStr">
        <is>
          <t>Mawuse Agblobi</t>
        </is>
      </c>
      <c r="F1239" s="5" t="n">
        <v>46174.89971064815</v>
      </c>
      <c r="H1239" t="inlineStr">
        <is>
          <t>Internal</t>
        </is>
      </c>
      <c r="I1239" t="n">
        <v>8</v>
      </c>
      <c r="K1239" t="inlineStr">
        <is>
          <t>Time Off</t>
        </is>
      </c>
      <c r="L1239" t="b">
        <v>0</v>
      </c>
      <c r="M1239" t="inlineStr">
        <is>
          <t>Non-Billable</t>
        </is>
      </c>
      <c r="N1239" s="6">
        <f>IF(B1239="","",IF(ISNUMBER(B1239),TEXT(B1239,"YYYY-MM"),LEFT(B1239,7)))</f>
        <v/>
      </c>
    </row>
    <row r="1240">
      <c r="A1240" t="inlineStr">
        <is>
          <t>Ekow Nyamekye Tawiah</t>
        </is>
      </c>
      <c r="B1240" s="4" t="n">
        <v>46121</v>
      </c>
      <c r="C1240" t="inlineStr">
        <is>
          <t>Deforestation Risk Analysis</t>
        </is>
      </c>
      <c r="D1240" t="inlineStr">
        <is>
          <t>Joseph Isaiah Mensah</t>
        </is>
      </c>
      <c r="E1240" t="inlineStr">
        <is>
          <t>Ekow Nyamekye Tawiah</t>
        </is>
      </c>
      <c r="F1240" s="5" t="n">
        <v>46162.87993055556</v>
      </c>
      <c r="H1240" t="inlineStr">
        <is>
          <t>PCGH778 - General Support</t>
        </is>
      </c>
      <c r="I1240" t="n">
        <v>4</v>
      </c>
      <c r="J1240" t="inlineStr">
        <is>
          <t>PCGH778 - Support to Other Workstreams (3) (Proforest Limited(PCUK GBP))</t>
        </is>
      </c>
      <c r="L1240" t="b">
        <v>1</v>
      </c>
      <c r="M1240" t="inlineStr">
        <is>
          <t>Billed at a Fixed price</t>
        </is>
      </c>
      <c r="N1240" s="6">
        <f>IF(B1240="","",IF(ISNUMBER(B1240),TEXT(B1240,"YYYY-MM"),LEFT(B1240,7)))</f>
        <v/>
      </c>
    </row>
    <row r="1241">
      <c r="A1241" t="inlineStr">
        <is>
          <t>Joseph Isaiah Mensah</t>
        </is>
      </c>
      <c r="B1241" s="4" t="n">
        <v>46121</v>
      </c>
      <c r="C1241" t="inlineStr">
        <is>
          <t>/</t>
        </is>
      </c>
      <c r="D1241" t="inlineStr">
        <is>
          <t>Jacqueline Nyakutse Afua</t>
        </is>
      </c>
      <c r="E1241" t="inlineStr">
        <is>
          <t>Joseph Isaiah Mensah</t>
        </is>
      </c>
      <c r="F1241" s="5" t="n">
        <v>46162.77878472222</v>
      </c>
      <c r="H1241" t="inlineStr">
        <is>
          <t>PCGH774 -Evaluation Deep-Dive Action Plans by Socfin Group</t>
        </is>
      </c>
      <c r="I1241" t="n">
        <v>8</v>
      </c>
      <c r="J1241" t="inlineStr">
        <is>
          <t>PCGH774 - Field Verification (2) (Socfinco FR SA)</t>
        </is>
      </c>
      <c r="K1241" t="inlineStr">
        <is>
          <t>[Cameroon, Socapalm （Dibombari + Edéa + Mbongo + Mbambou） Report review] - Field verification/observation/community and stakeholder engagement</t>
        </is>
      </c>
      <c r="L1241" t="b">
        <v>1</v>
      </c>
      <c r="M1241" t="inlineStr">
        <is>
          <t>Billed at a Fixed price</t>
        </is>
      </c>
      <c r="N1241" s="6">
        <f>IF(B1241="","",IF(ISNUMBER(B1241),TEXT(B1241,"YYYY-MM"),LEFT(B1241,7)))</f>
        <v/>
      </c>
    </row>
    <row r="1242">
      <c r="A1242" t="inlineStr">
        <is>
          <t>James Parker Mckeown</t>
        </is>
      </c>
      <c r="B1242" s="4" t="n">
        <v>46121</v>
      </c>
      <c r="C1242" t="inlineStr">
        <is>
          <t>Finalizing options for Y2 budget cut</t>
        </is>
      </c>
      <c r="D1242" t="inlineStr">
        <is>
          <t>James Parker Mckeown</t>
        </is>
      </c>
      <c r="E1242" t="inlineStr">
        <is>
          <t>James Parker Mckeown</t>
        </is>
      </c>
      <c r="F1242" s="5" t="n">
        <v>46162.76806712963</v>
      </c>
      <c r="G1242" t="inlineStr">
        <is>
          <t>Output 4</t>
        </is>
      </c>
      <c r="H1242" t="inlineStr">
        <is>
          <t>P23AC00C00 - FGMC</t>
        </is>
      </c>
      <c r="I1242" t="n">
        <v>3</v>
      </c>
      <c r="K1242" t="inlineStr">
        <is>
          <t>P23AC03A00 - Project Management</t>
        </is>
      </c>
      <c r="L1242" t="b">
        <v>0</v>
      </c>
      <c r="M1242" t="inlineStr">
        <is>
          <t>Non-Billable</t>
        </is>
      </c>
      <c r="N1242" s="6">
        <f>IF(B1242="","",IF(ISNUMBER(B1242),TEXT(B1242,"YYYY-MM"),LEFT(B1242,7)))</f>
        <v/>
      </c>
    </row>
    <row r="1243">
      <c r="A1243" t="inlineStr">
        <is>
          <t>James Parker Mckeown</t>
        </is>
      </c>
      <c r="B1243" s="4" t="n">
        <v>46121</v>
      </c>
      <c r="C1243" t="inlineStr">
        <is>
          <t>PFAFR BRIDGE: Weekly Catch-up</t>
        </is>
      </c>
      <c r="D1243" t="inlineStr">
        <is>
          <t>James Parker Mckeown</t>
        </is>
      </c>
      <c r="E1243" t="inlineStr">
        <is>
          <t>James Parker Mckeown</t>
        </is>
      </c>
      <c r="F1243" s="5" t="n">
        <v>46162.76712962963</v>
      </c>
      <c r="G1243" t="inlineStr">
        <is>
          <t>Output 4</t>
        </is>
      </c>
      <c r="H1243" t="inlineStr">
        <is>
          <t>P23AC00C00 - FGMC</t>
        </is>
      </c>
      <c r="I1243" t="n">
        <v>2</v>
      </c>
      <c r="K1243" t="inlineStr">
        <is>
          <t>P23AC03A00 - Project Management</t>
        </is>
      </c>
      <c r="L1243" t="b">
        <v>0</v>
      </c>
      <c r="M1243" t="inlineStr">
        <is>
          <t>Non-Billable</t>
        </is>
      </c>
      <c r="N1243" s="6">
        <f>IF(B1243="","",IF(ISNUMBER(B1243),TEXT(B1243,"YYYY-MM"),LEFT(B1243,7)))</f>
        <v/>
      </c>
    </row>
    <row r="1244">
      <c r="A1244" t="inlineStr">
        <is>
          <t>James Parker Mckeown</t>
        </is>
      </c>
      <c r="B1244" s="4" t="n">
        <v>46121</v>
      </c>
      <c r="C1244" t="inlineStr">
        <is>
          <t>/</t>
        </is>
      </c>
      <c r="D1244" t="inlineStr">
        <is>
          <t>James Parker Mckeown</t>
        </is>
      </c>
      <c r="E1244" t="inlineStr">
        <is>
          <t>James Parker Mckeown</t>
        </is>
      </c>
      <c r="F1244" s="5" t="n">
        <v>46162.76370370371</v>
      </c>
      <c r="H1244" t="inlineStr">
        <is>
          <t>Non-Billable Tasks</t>
        </is>
      </c>
      <c r="I1244" t="n">
        <v>3</v>
      </c>
      <c r="K1244" t="inlineStr">
        <is>
          <t>Business Development and Networking</t>
        </is>
      </c>
      <c r="L1244" t="b">
        <v>0</v>
      </c>
      <c r="M1244" t="inlineStr">
        <is>
          <t>Non-Billable</t>
        </is>
      </c>
      <c r="N1244" s="6">
        <f>IF(B1244="","",IF(ISNUMBER(B1244),TEXT(B1244,"YYYY-MM"),LEFT(B1244,7)))</f>
        <v/>
      </c>
    </row>
    <row r="1245">
      <c r="A1245" t="inlineStr">
        <is>
          <t>Patricia Offei</t>
        </is>
      </c>
      <c r="B1245" s="4" t="n">
        <v>46121</v>
      </c>
      <c r="C1245" t="inlineStr">
        <is>
          <t>/</t>
        </is>
      </c>
      <c r="D1245" t="inlineStr">
        <is>
          <t>Patricia Offei</t>
        </is>
      </c>
      <c r="E1245" t="inlineStr">
        <is>
          <t>Patricia Offei</t>
        </is>
      </c>
      <c r="F1245" s="5" t="n">
        <v>46162.59627314815</v>
      </c>
      <c r="H1245" t="inlineStr">
        <is>
          <t>PCGH774 -Evaluation Deep-Dive Action Plans by Socfin Group</t>
        </is>
      </c>
      <c r="I1245" t="n">
        <v>8</v>
      </c>
      <c r="J1245" t="inlineStr">
        <is>
          <t>PCGH774 - Project Management (2) (Socfinco FR SA)</t>
        </is>
      </c>
      <c r="L1245" t="b">
        <v>1</v>
      </c>
      <c r="M1245" t="inlineStr">
        <is>
          <t>Billed at a Fixed price</t>
        </is>
      </c>
      <c r="N1245" s="6">
        <f>IF(B1245="","",IF(ISNUMBER(B1245),TEXT(B1245,"YYYY-MM"),LEFT(B1245,7)))</f>
        <v/>
      </c>
    </row>
    <row r="1246">
      <c r="A1246" t="inlineStr">
        <is>
          <t>Augustus Asamoah</t>
        </is>
      </c>
      <c r="B1246" s="4" t="n">
        <v>46121</v>
      </c>
      <c r="C1246" t="inlineStr">
        <is>
          <t>/</t>
        </is>
      </c>
      <c r="D1246" t="inlineStr">
        <is>
          <t>Augustus Asamoah</t>
        </is>
      </c>
      <c r="E1246" t="inlineStr">
        <is>
          <t>Augustus Asamoah</t>
        </is>
      </c>
      <c r="F1246" s="5" t="n">
        <v>46156.66984953704</v>
      </c>
      <c r="H1246" t="inlineStr">
        <is>
          <t>P13NC00A00 - WALMART II</t>
        </is>
      </c>
      <c r="I1246" t="n">
        <v>3</v>
      </c>
      <c r="K1246" t="inlineStr">
        <is>
          <t>Programme Personnel and Management</t>
        </is>
      </c>
      <c r="L1246" t="b">
        <v>0</v>
      </c>
      <c r="M1246" t="inlineStr">
        <is>
          <t>Non-Billable</t>
        </is>
      </c>
      <c r="N1246" s="6">
        <f>IF(B1246="","",IF(ISNUMBER(B1246),TEXT(B1246,"YYYY-MM"),LEFT(B1246,7)))</f>
        <v/>
      </c>
    </row>
    <row r="1247">
      <c r="A1247" t="inlineStr">
        <is>
          <t>Augustus Asamoah</t>
        </is>
      </c>
      <c r="B1247" s="4" t="n">
        <v>46121</v>
      </c>
      <c r="C1247" t="inlineStr">
        <is>
          <t>/</t>
        </is>
      </c>
      <c r="D1247" t="inlineStr">
        <is>
          <t>Augustus Asamoah</t>
        </is>
      </c>
      <c r="E1247" t="inlineStr">
        <is>
          <t>Augustus Asamoah</t>
        </is>
      </c>
      <c r="F1247" s="5" t="n">
        <v>46156.66990740741</v>
      </c>
      <c r="H1247" t="inlineStr">
        <is>
          <t>P13PC00A00 - Private Sector Companies</t>
        </is>
      </c>
      <c r="I1247" t="n">
        <v>2</v>
      </c>
      <c r="L1247" t="b">
        <v>0</v>
      </c>
      <c r="M1247" t="inlineStr">
        <is>
          <t>Non-Billable</t>
        </is>
      </c>
      <c r="N1247" s="6">
        <f>IF(B1247="","",IF(ISNUMBER(B1247),TEXT(B1247,"YYYY-MM"),LEFT(B1247,7)))</f>
        <v/>
      </c>
    </row>
    <row r="1248">
      <c r="A1248" t="inlineStr">
        <is>
          <t>Augustus Asamoah</t>
        </is>
      </c>
      <c r="B1248" s="4" t="n">
        <v>46121</v>
      </c>
      <c r="C1248" t="inlineStr">
        <is>
          <t>/</t>
        </is>
      </c>
      <c r="D1248" t="inlineStr">
        <is>
          <t>Augustus Asamoah</t>
        </is>
      </c>
      <c r="E1248" t="inlineStr">
        <is>
          <t>Augustus Asamoah</t>
        </is>
      </c>
      <c r="F1248" s="5" t="n">
        <v>46156.66993055555</v>
      </c>
      <c r="H1248" t="inlineStr">
        <is>
          <t>P13QC00A00 - EFI Programme</t>
        </is>
      </c>
      <c r="I1248" t="n">
        <v>3</v>
      </c>
      <c r="L1248" t="b">
        <v>0</v>
      </c>
      <c r="M1248" t="inlineStr">
        <is>
          <t>Non-Billable</t>
        </is>
      </c>
      <c r="N1248" s="6">
        <f>IF(B1248="","",IF(ISNUMBER(B1248),TEXT(B1248,"YYYY-MM"),LEFT(B1248,7)))</f>
        <v/>
      </c>
    </row>
    <row r="1249">
      <c r="A1249" t="inlineStr">
        <is>
          <t>Helena Tetteh</t>
        </is>
      </c>
      <c r="B1249" s="4" t="n">
        <v>46121</v>
      </c>
      <c r="C1249" t="inlineStr">
        <is>
          <t>/</t>
        </is>
      </c>
      <c r="D1249" t="inlineStr">
        <is>
          <t xml:space="preserve">Helena Tetteh </t>
        </is>
      </c>
      <c r="E1249" t="inlineStr">
        <is>
          <t>OdooBot</t>
        </is>
      </c>
      <c r="F1249" s="5" t="n">
        <v>46154.70721064815</v>
      </c>
      <c r="H1249" t="inlineStr">
        <is>
          <t>P23AC00C00 - FGMC</t>
        </is>
      </c>
      <c r="I1249" t="n">
        <v>8</v>
      </c>
      <c r="L1249" t="b">
        <v>0</v>
      </c>
      <c r="M1249" t="inlineStr">
        <is>
          <t>Non-Billable</t>
        </is>
      </c>
      <c r="N1249" s="6">
        <f>IF(B1249="","",IF(ISNUMBER(B1249),TEXT(B1249,"YYYY-MM"),LEFT(B1249,7)))</f>
        <v/>
      </c>
    </row>
    <row r="1250">
      <c r="A1250" t="inlineStr">
        <is>
          <t>Afua Serwah Akoto Prempeh</t>
        </is>
      </c>
      <c r="B1250" s="4" t="n">
        <v>46121</v>
      </c>
      <c r="C1250" t="inlineStr">
        <is>
          <t>/</t>
        </is>
      </c>
      <c r="D1250" t="inlineStr">
        <is>
          <t>Afua Serwah Akoto Prempeh</t>
        </is>
      </c>
      <c r="E1250" t="inlineStr">
        <is>
          <t>OdooBot</t>
        </is>
      </c>
      <c r="F1250" s="5" t="n">
        <v>46154.70721064815</v>
      </c>
      <c r="H1250" t="inlineStr">
        <is>
          <t>Non-Billable Tasks</t>
        </is>
      </c>
      <c r="I1250" t="n">
        <v>8</v>
      </c>
      <c r="L1250" t="b">
        <v>0</v>
      </c>
      <c r="M1250" t="inlineStr">
        <is>
          <t>Non-Billable</t>
        </is>
      </c>
      <c r="N1250" s="6">
        <f>IF(B1250="","",IF(ISNUMBER(B1250),TEXT(B1250,"YYYY-MM"),LEFT(B1250,7)))</f>
        <v/>
      </c>
    </row>
    <row r="1251">
      <c r="A1251" t="inlineStr">
        <is>
          <t>Stephen Doso</t>
        </is>
      </c>
      <c r="B1251" s="4" t="n">
        <v>46121</v>
      </c>
      <c r="C1251" t="inlineStr">
        <is>
          <t>/</t>
        </is>
      </c>
      <c r="D1251" t="inlineStr">
        <is>
          <t>Stephen Doso</t>
        </is>
      </c>
      <c r="E1251" t="inlineStr">
        <is>
          <t>OdooBot</t>
        </is>
      </c>
      <c r="F1251" s="5" t="n">
        <v>46154.70721064815</v>
      </c>
      <c r="H1251" t="inlineStr">
        <is>
          <t>PCGH789 - Valency MSMO EHS audit</t>
        </is>
      </c>
      <c r="I1251" t="n">
        <v>8</v>
      </c>
      <c r="J1251" t="inlineStr">
        <is>
          <t>PCGH789 - Site Assessment (2) (Valency International DMCC)</t>
        </is>
      </c>
      <c r="K1251" t="inlineStr">
        <is>
          <t>1st quarterly visit (2)</t>
        </is>
      </c>
      <c r="L1251" t="b">
        <v>1</v>
      </c>
      <c r="M1251" t="inlineStr">
        <is>
          <t>Billed at a Fixed price</t>
        </is>
      </c>
      <c r="N1251" s="6">
        <f>IF(B1251="","",IF(ISNUMBER(B1251),TEXT(B1251,"YYYY-MM"),LEFT(B1251,7)))</f>
        <v/>
      </c>
    </row>
    <row r="1252">
      <c r="A1252" t="inlineStr">
        <is>
          <t>Louis Defo</t>
        </is>
      </c>
      <c r="B1252" s="4" t="n">
        <v>46121</v>
      </c>
      <c r="C1252" t="inlineStr">
        <is>
          <t>/</t>
        </is>
      </c>
      <c r="D1252" t="inlineStr">
        <is>
          <t>Louis Defo</t>
        </is>
      </c>
      <c r="E1252" t="inlineStr">
        <is>
          <t>OdooBot</t>
        </is>
      </c>
      <c r="F1252" s="5" t="n">
        <v>46154.70721064815</v>
      </c>
      <c r="H1252" t="inlineStr">
        <is>
          <t>PCGH774 -Evaluation Deep-Dive Action Plans by Socfin Group</t>
        </is>
      </c>
      <c r="I1252" t="n">
        <v>8</v>
      </c>
      <c r="J1252" t="inlineStr">
        <is>
          <t>PCGH774 - Project Management (2) (Socfinco FR SA)</t>
        </is>
      </c>
      <c r="L1252" t="b">
        <v>1</v>
      </c>
      <c r="M1252" t="inlineStr">
        <is>
          <t>Billed at a Fixed price</t>
        </is>
      </c>
      <c r="N1252" s="6">
        <f>IF(B1252="","",IF(ISNUMBER(B1252),TEXT(B1252,"YYYY-MM"),LEFT(B1252,7)))</f>
        <v/>
      </c>
    </row>
    <row r="1253">
      <c r="A1253" t="inlineStr">
        <is>
          <t>Kwadwo Baniako Nti</t>
        </is>
      </c>
      <c r="B1253" s="4" t="n">
        <v>46121</v>
      </c>
      <c r="C1253" t="inlineStr">
        <is>
          <t>/</t>
        </is>
      </c>
      <c r="D1253" t="inlineStr">
        <is>
          <t>Kwadwo Baniako Nti</t>
        </is>
      </c>
      <c r="E1253" t="inlineStr">
        <is>
          <t>OdooBot</t>
        </is>
      </c>
      <c r="F1253" s="5" t="n">
        <v>46154.70721064815</v>
      </c>
      <c r="H1253" t="inlineStr">
        <is>
          <t>PCGH762 - GVL HCSA Restoration Project</t>
        </is>
      </c>
      <c r="I1253" t="n">
        <v>8</v>
      </c>
      <c r="J1253" t="inlineStr">
        <is>
          <t>PCGH762 - Baseline Socio-Economic &amp; Environmental Surveys (Golden Veroleum Liberia)</t>
        </is>
      </c>
      <c r="K1253" t="inlineStr">
        <is>
          <t>Baseline Socio-Economic &amp; Environmental Surveys</t>
        </is>
      </c>
      <c r="L1253" t="b">
        <v>1</v>
      </c>
      <c r="M1253" t="inlineStr">
        <is>
          <t>Billed at a Fixed price</t>
        </is>
      </c>
      <c r="N1253" s="6">
        <f>IF(B1253="","",IF(ISNUMBER(B1253),TEXT(B1253,"YYYY-MM"),LEFT(B1253,7)))</f>
        <v/>
      </c>
    </row>
    <row r="1254">
      <c r="A1254" t="inlineStr">
        <is>
          <t>Clement Obeng-Manu</t>
        </is>
      </c>
      <c r="B1254" s="4" t="n">
        <v>46121</v>
      </c>
      <c r="C1254" t="inlineStr">
        <is>
          <t>/</t>
        </is>
      </c>
      <c r="D1254" t="inlineStr">
        <is>
          <t>Ekow Nyamekye Tawiah</t>
        </is>
      </c>
      <c r="E1254" t="inlineStr">
        <is>
          <t>OdooBot</t>
        </is>
      </c>
      <c r="F1254" s="5" t="n">
        <v>46154.70721064815</v>
      </c>
      <c r="H1254" t="inlineStr">
        <is>
          <t>PCGH776 - Deforestation Risk-Assessment Cashew-Coast</t>
        </is>
      </c>
      <c r="I1254" t="n">
        <v>8</v>
      </c>
      <c r="J1254" t="inlineStr">
        <is>
          <t>PCGH776 - Groundthruthing and Verification (3) (Cashew Coast Products Inc)</t>
        </is>
      </c>
      <c r="K1254" t="inlineStr">
        <is>
          <t>Land cover classification, ground truthing and accuracy assessment</t>
        </is>
      </c>
      <c r="L1254" t="b">
        <v>1</v>
      </c>
      <c r="M1254" t="inlineStr">
        <is>
          <t>Billed at a Fixed price</t>
        </is>
      </c>
      <c r="N1254" s="6">
        <f>IF(B1254="","",IF(ISNUMBER(B1254),TEXT(B1254,"YYYY-MM"),LEFT(B1254,7)))</f>
        <v/>
      </c>
    </row>
    <row r="1255">
      <c r="A1255" t="inlineStr">
        <is>
          <t>Kingsley Fitz-Gerald Severine</t>
        </is>
      </c>
      <c r="B1255" s="4" t="n">
        <v>46121</v>
      </c>
      <c r="C1255" t="inlineStr">
        <is>
          <t>/</t>
        </is>
      </c>
      <c r="D1255" t="inlineStr">
        <is>
          <t>Kingsley Fitz-Gerald Severine</t>
        </is>
      </c>
      <c r="E1255" t="inlineStr">
        <is>
          <t>OdooBot</t>
        </is>
      </c>
      <c r="F1255" s="5" t="n">
        <v>46154.70721064815</v>
      </c>
      <c r="H1255" t="inlineStr">
        <is>
          <t>PCGH789 - Valency MSMO EHS audit</t>
        </is>
      </c>
      <c r="I1255" t="n">
        <v>8</v>
      </c>
      <c r="J1255" t="inlineStr">
        <is>
          <t>PCGH789 - Site Assessment (3) (Valency International DMCC)</t>
        </is>
      </c>
      <c r="K1255" t="inlineStr">
        <is>
          <t>1st quarterly visit (3)</t>
        </is>
      </c>
      <c r="L1255" t="b">
        <v>1</v>
      </c>
      <c r="M1255" t="inlineStr">
        <is>
          <t>Billed at a Fixed price</t>
        </is>
      </c>
      <c r="N1255" s="6">
        <f>IF(B1255="","",IF(ISNUMBER(B1255),TEXT(B1255,"YYYY-MM"),LEFT(B1255,7)))</f>
        <v/>
      </c>
    </row>
    <row r="1256">
      <c r="A1256" t="inlineStr">
        <is>
          <t>Abel Ansu</t>
        </is>
      </c>
      <c r="B1256" s="4" t="n">
        <v>46121</v>
      </c>
      <c r="C1256" t="inlineStr">
        <is>
          <t>Visited CRMCs at Assaman and Camp</t>
        </is>
      </c>
      <c r="D1256" t="inlineStr">
        <is>
          <t>Abel Ansu</t>
        </is>
      </c>
      <c r="E1256" t="inlineStr">
        <is>
          <t>OdooBot</t>
        </is>
      </c>
      <c r="F1256" s="5" t="n">
        <v>46154.70721064815</v>
      </c>
      <c r="H1256" t="inlineStr">
        <is>
          <t>Internal</t>
        </is>
      </c>
      <c r="I1256" t="n">
        <v>8</v>
      </c>
      <c r="K1256" t="inlineStr">
        <is>
          <t>Field monitoring</t>
        </is>
      </c>
      <c r="L1256" t="b">
        <v>0</v>
      </c>
      <c r="M1256" t="inlineStr">
        <is>
          <t>Non-Billable</t>
        </is>
      </c>
      <c r="N1256" s="6">
        <f>IF(B1256="","",IF(ISNUMBER(B1256),TEXT(B1256,"YYYY-MM"),LEFT(B1256,7)))</f>
        <v/>
      </c>
    </row>
    <row r="1257">
      <c r="A1257" t="inlineStr">
        <is>
          <t>Daleba Bernard Kpenahi Raymond</t>
        </is>
      </c>
      <c r="B1257" s="4" t="n">
        <v>46121</v>
      </c>
      <c r="C1257" t="inlineStr">
        <is>
          <t>/</t>
        </is>
      </c>
      <c r="D1257" t="inlineStr">
        <is>
          <t>Daleba Bernard Kpenahi Raymond</t>
        </is>
      </c>
      <c r="E1257" t="inlineStr">
        <is>
          <t>OdooBot</t>
        </is>
      </c>
      <c r="F1257" s="5" t="n">
        <v>46154.70721064815</v>
      </c>
      <c r="H1257" t="inlineStr">
        <is>
          <t>Non-Billable Tasks</t>
        </is>
      </c>
      <c r="I1257" t="n">
        <v>8</v>
      </c>
      <c r="K1257" t="inlineStr">
        <is>
          <t>Public Holiday</t>
        </is>
      </c>
      <c r="L1257" t="b">
        <v>0</v>
      </c>
      <c r="M1257" t="inlineStr">
        <is>
          <t>Non-Billable</t>
        </is>
      </c>
      <c r="N1257" s="6">
        <f>IF(B1257="","",IF(ISNUMBER(B1257),TEXT(B1257,"YYYY-MM"),LEFT(B1257,7)))</f>
        <v/>
      </c>
    </row>
    <row r="1258">
      <c r="A1258" t="inlineStr">
        <is>
          <t>Mawuse Agblobi</t>
        </is>
      </c>
      <c r="B1258" s="4" t="n">
        <v>46121</v>
      </c>
      <c r="C1258" t="inlineStr">
        <is>
          <t>Time Off (1/1)</t>
        </is>
      </c>
      <c r="D1258" t="inlineStr">
        <is>
          <t>Frederick Antwi</t>
        </is>
      </c>
      <c r="E1258" t="inlineStr">
        <is>
          <t>OdooBot</t>
        </is>
      </c>
      <c r="F1258" s="5" t="n">
        <v>46154.70721064815</v>
      </c>
      <c r="H1258" t="inlineStr">
        <is>
          <t>Internal</t>
        </is>
      </c>
      <c r="I1258" t="n">
        <v>8</v>
      </c>
      <c r="K1258" t="inlineStr">
        <is>
          <t>Time Off</t>
        </is>
      </c>
      <c r="L1258" t="b">
        <v>0</v>
      </c>
      <c r="M1258" t="inlineStr">
        <is>
          <t>Non-Billable</t>
        </is>
      </c>
      <c r="N1258" s="6">
        <f>IF(B1258="","",IF(ISNUMBER(B1258),TEXT(B1258,"YYYY-MM"),LEFT(B1258,7)))</f>
        <v/>
      </c>
    </row>
    <row r="1259">
      <c r="A1259" t="inlineStr">
        <is>
          <t>Ekow Nyamekye Tawiah</t>
        </is>
      </c>
      <c r="B1259" s="4" t="n">
        <v>46120</v>
      </c>
      <c r="C1259" t="inlineStr">
        <is>
          <t>Deforestation Risk Analysis</t>
        </is>
      </c>
      <c r="D1259" t="inlineStr">
        <is>
          <t>Joseph Isaiah Mensah</t>
        </is>
      </c>
      <c r="E1259" t="inlineStr">
        <is>
          <t>Ekow Nyamekye Tawiah</t>
        </is>
      </c>
      <c r="F1259" s="5" t="n">
        <v>46162.87996527777</v>
      </c>
      <c r="H1259" t="inlineStr">
        <is>
          <t>PCGH778 - General Support</t>
        </is>
      </c>
      <c r="I1259" t="n">
        <v>4</v>
      </c>
      <c r="J1259" t="inlineStr">
        <is>
          <t>PCGH778 - Support to Other Workstreams (3) (Proforest Limited(PCUK GBP))</t>
        </is>
      </c>
      <c r="L1259" t="b">
        <v>1</v>
      </c>
      <c r="M1259" t="inlineStr">
        <is>
          <t>Billed at a Fixed price</t>
        </is>
      </c>
      <c r="N1259" s="6">
        <f>IF(B1259="","",IF(ISNUMBER(B1259),TEXT(B1259,"YYYY-MM"),LEFT(B1259,7)))</f>
        <v/>
      </c>
    </row>
    <row r="1260">
      <c r="A1260" t="inlineStr">
        <is>
          <t>Joseph Isaiah Mensah</t>
        </is>
      </c>
      <c r="B1260" s="4" t="n">
        <v>46120</v>
      </c>
      <c r="C1260" t="inlineStr">
        <is>
          <t>/</t>
        </is>
      </c>
      <c r="D1260" t="inlineStr">
        <is>
          <t>Jacqueline Nyakutse Afua</t>
        </is>
      </c>
      <c r="E1260" t="inlineStr">
        <is>
          <t>Joseph Isaiah Mensah</t>
        </is>
      </c>
      <c r="F1260" s="5" t="n">
        <v>46162.77873842593</v>
      </c>
      <c r="H1260" t="inlineStr">
        <is>
          <t>PCGH774 -Evaluation Deep-Dive Action Plans by Socfin Group</t>
        </is>
      </c>
      <c r="I1260" t="n">
        <v>8</v>
      </c>
      <c r="J1260" t="inlineStr">
        <is>
          <t>PCGH774 - Field Verification (2) (Socfinco FR SA)</t>
        </is>
      </c>
      <c r="K1260" t="inlineStr">
        <is>
          <t>[Cameroon, Socapalm （Dibombari + Edéa + Mbongo + Mbambou） Report review] - Field verification/observation/community and stakeholder engagement</t>
        </is>
      </c>
      <c r="L1260" t="b">
        <v>1</v>
      </c>
      <c r="M1260" t="inlineStr">
        <is>
          <t>Billed at a Fixed price</t>
        </is>
      </c>
      <c r="N1260" s="6">
        <f>IF(B1260="","",IF(ISNUMBER(B1260),TEXT(B1260,"YYYY-MM"),LEFT(B1260,7)))</f>
        <v/>
      </c>
    </row>
    <row r="1261">
      <c r="A1261" t="inlineStr">
        <is>
          <t>James Parker Mckeown</t>
        </is>
      </c>
      <c r="B1261" s="4" t="n">
        <v>46120</v>
      </c>
      <c r="C1261" t="inlineStr">
        <is>
          <t>Expense return</t>
        </is>
      </c>
      <c r="D1261" t="inlineStr">
        <is>
          <t>James Parker Mckeown</t>
        </is>
      </c>
      <c r="E1261" t="inlineStr">
        <is>
          <t>James Parker Mckeown</t>
        </is>
      </c>
      <c r="F1261" s="5" t="n">
        <v>46162.76643518519</v>
      </c>
      <c r="H1261" t="inlineStr">
        <is>
          <t>PCGH762 - GVL HCSA Restoration Project</t>
        </is>
      </c>
      <c r="I1261" t="n">
        <v>3</v>
      </c>
      <c r="J1261" t="inlineStr">
        <is>
          <t>PCGH762 - Development and Implementation of MEL Framework (Golden Veroleum Liberia)</t>
        </is>
      </c>
      <c r="L1261" t="b">
        <v>1</v>
      </c>
      <c r="M1261" t="inlineStr">
        <is>
          <t>Billed at a Fixed price</t>
        </is>
      </c>
      <c r="N1261" s="6">
        <f>IF(B1261="","",IF(ISNUMBER(B1261),TEXT(B1261,"YYYY-MM"),LEFT(B1261,7)))</f>
        <v/>
      </c>
    </row>
    <row r="1262">
      <c r="A1262" t="inlineStr">
        <is>
          <t>James Parker Mckeown</t>
        </is>
      </c>
      <c r="B1262" s="4" t="n">
        <v>46120</v>
      </c>
      <c r="C1262" t="inlineStr">
        <is>
          <t>Travel back to Ghana</t>
        </is>
      </c>
      <c r="D1262" t="inlineStr">
        <is>
          <t>James Parker Mckeown</t>
        </is>
      </c>
      <c r="E1262" t="inlineStr">
        <is>
          <t>James Parker Mckeown</t>
        </is>
      </c>
      <c r="F1262" s="5" t="n">
        <v>46162.76568287037</v>
      </c>
      <c r="G1262" t="inlineStr">
        <is>
          <t>Implementation of the Management Plan</t>
        </is>
      </c>
      <c r="H1262" t="inlineStr">
        <is>
          <t>PCGH762 - GVL HCSA Restoration Project</t>
        </is>
      </c>
      <c r="I1262" t="n">
        <v>5</v>
      </c>
      <c r="J1262" t="inlineStr">
        <is>
          <t>PCGH762 - Implementation of the Management Plan (Golden Veroleum Liberia)</t>
        </is>
      </c>
      <c r="K1262" t="inlineStr">
        <is>
          <t>Implementation of the Management Plan</t>
        </is>
      </c>
      <c r="L1262" t="b">
        <v>1</v>
      </c>
      <c r="M1262" t="inlineStr">
        <is>
          <t>Billed at a Fixed price</t>
        </is>
      </c>
      <c r="N1262" s="6">
        <f>IF(B1262="","",IF(ISNUMBER(B1262),TEXT(B1262,"YYYY-MM"),LEFT(B1262,7)))</f>
        <v/>
      </c>
    </row>
    <row r="1263">
      <c r="A1263" t="inlineStr">
        <is>
          <t>James Parker Mckeown</t>
        </is>
      </c>
      <c r="B1263" s="4" t="n">
        <v>46120</v>
      </c>
      <c r="C1263" t="inlineStr">
        <is>
          <t xml:space="preserve">finalizing EU CSO's concept note </t>
        </is>
      </c>
      <c r="D1263" t="inlineStr">
        <is>
          <t>James Parker Mckeown</t>
        </is>
      </c>
      <c r="E1263" t="inlineStr">
        <is>
          <t>James Parker Mckeown</t>
        </is>
      </c>
      <c r="F1263" s="5" t="n">
        <v>46162.76375</v>
      </c>
      <c r="H1263" t="inlineStr">
        <is>
          <t>Non-Billable Tasks</t>
        </is>
      </c>
      <c r="I1263" t="n">
        <v>0</v>
      </c>
      <c r="K1263" t="inlineStr">
        <is>
          <t>Business Development and Networking</t>
        </is>
      </c>
      <c r="L1263" t="b">
        <v>0</v>
      </c>
      <c r="M1263" t="inlineStr">
        <is>
          <t>Non-Billable</t>
        </is>
      </c>
      <c r="N1263" s="6">
        <f>IF(B1263="","",IF(ISNUMBER(B1263),TEXT(B1263,"YYYY-MM"),LEFT(B1263,7)))</f>
        <v/>
      </c>
    </row>
    <row r="1264">
      <c r="A1264" t="inlineStr">
        <is>
          <t>Patricia Offei</t>
        </is>
      </c>
      <c r="B1264" s="4" t="n">
        <v>46120</v>
      </c>
      <c r="C1264" t="inlineStr">
        <is>
          <t>/</t>
        </is>
      </c>
      <c r="D1264" t="inlineStr">
        <is>
          <t>Patricia Offei</t>
        </is>
      </c>
      <c r="E1264" t="inlineStr">
        <is>
          <t>Patricia Offei</t>
        </is>
      </c>
      <c r="F1264" s="5" t="n">
        <v>46162.59619212963</v>
      </c>
      <c r="H1264" t="inlineStr">
        <is>
          <t>PCGH774 -Evaluation Deep-Dive Action Plans by Socfin Group</t>
        </is>
      </c>
      <c r="I1264" t="n">
        <v>8</v>
      </c>
      <c r="J1264" t="inlineStr">
        <is>
          <t>PCGH774 - Project Management (2) (Socfinco FR SA)</t>
        </is>
      </c>
      <c r="L1264" t="b">
        <v>1</v>
      </c>
      <c r="M1264" t="inlineStr">
        <is>
          <t>Billed at a Fixed price</t>
        </is>
      </c>
      <c r="N1264" s="6">
        <f>IF(B1264="","",IF(ISNUMBER(B1264),TEXT(B1264,"YYYY-MM"),LEFT(B1264,7)))</f>
        <v/>
      </c>
    </row>
    <row r="1265">
      <c r="A1265" t="inlineStr">
        <is>
          <t>Frederick Antwi</t>
        </is>
      </c>
      <c r="B1265" s="4" t="n">
        <v>46120</v>
      </c>
      <c r="C1265" t="inlineStr">
        <is>
          <t>/</t>
        </is>
      </c>
      <c r="D1265" t="inlineStr">
        <is>
          <t>Frederick Antwi</t>
        </is>
      </c>
      <c r="E1265" t="inlineStr">
        <is>
          <t>Frederick Antwi</t>
        </is>
      </c>
      <c r="F1265" s="5" t="n">
        <v>46160.63185185185</v>
      </c>
      <c r="H1265" t="inlineStr">
        <is>
          <t>P13QC00A00 - EFI Programme</t>
        </is>
      </c>
      <c r="I1265" t="n">
        <v>4</v>
      </c>
      <c r="L1265" t="b">
        <v>0</v>
      </c>
      <c r="M1265" t="inlineStr">
        <is>
          <t>Non-Billable</t>
        </is>
      </c>
      <c r="N1265" s="6">
        <f>IF(B1265="","",IF(ISNUMBER(B1265),TEXT(B1265,"YYYY-MM"),LEFT(B1265,7)))</f>
        <v/>
      </c>
    </row>
    <row r="1266">
      <c r="A1266" t="inlineStr">
        <is>
          <t>Frederick Antwi</t>
        </is>
      </c>
      <c r="B1266" s="4" t="n">
        <v>46120</v>
      </c>
      <c r="C1266" t="inlineStr">
        <is>
          <t>/</t>
        </is>
      </c>
      <c r="D1266" t="inlineStr">
        <is>
          <t>Frederick Antwi</t>
        </is>
      </c>
      <c r="E1266" t="inlineStr">
        <is>
          <t>Frederick Antwi</t>
        </is>
      </c>
      <c r="F1266" s="5" t="n">
        <v>46160.63182870371</v>
      </c>
      <c r="H1266" t="inlineStr">
        <is>
          <t>P13PC00A00 - Private Sector Companies</t>
        </is>
      </c>
      <c r="I1266" t="n">
        <v>4</v>
      </c>
      <c r="L1266" t="b">
        <v>0</v>
      </c>
      <c r="M1266" t="inlineStr">
        <is>
          <t>Non-Billable</t>
        </is>
      </c>
      <c r="N1266" s="6">
        <f>IF(B1266="","",IF(ISNUMBER(B1266),TEXT(B1266,"YYYY-MM"),LEFT(B1266,7)))</f>
        <v/>
      </c>
    </row>
    <row r="1267">
      <c r="A1267" t="inlineStr">
        <is>
          <t>Augustus Asamoah</t>
        </is>
      </c>
      <c r="B1267" s="4" t="n">
        <v>46120</v>
      </c>
      <c r="C1267" t="inlineStr">
        <is>
          <t>/</t>
        </is>
      </c>
      <c r="D1267" t="inlineStr">
        <is>
          <t>Augustus Asamoah</t>
        </is>
      </c>
      <c r="E1267" t="inlineStr">
        <is>
          <t>Augustus Asamoah</t>
        </is>
      </c>
      <c r="F1267" s="5" t="n">
        <v>46156.66945601852</v>
      </c>
      <c r="H1267" t="inlineStr">
        <is>
          <t>P13NC00A00 - WALMART II</t>
        </is>
      </c>
      <c r="I1267" t="n">
        <v>2</v>
      </c>
      <c r="K1267" t="inlineStr">
        <is>
          <t>Programme Personnel and Management</t>
        </is>
      </c>
      <c r="L1267" t="b">
        <v>0</v>
      </c>
      <c r="M1267" t="inlineStr">
        <is>
          <t>Non-Billable</t>
        </is>
      </c>
      <c r="N1267" s="6">
        <f>IF(B1267="","",IF(ISNUMBER(B1267),TEXT(B1267,"YYYY-MM"),LEFT(B1267,7)))</f>
        <v/>
      </c>
    </row>
    <row r="1268">
      <c r="A1268" t="inlineStr">
        <is>
          <t>Augustus Asamoah</t>
        </is>
      </c>
      <c r="B1268" s="4" t="n">
        <v>46120</v>
      </c>
      <c r="C1268" t="inlineStr">
        <is>
          <t>/</t>
        </is>
      </c>
      <c r="D1268" t="inlineStr">
        <is>
          <t>Augustus Asamoah</t>
        </is>
      </c>
      <c r="E1268" t="inlineStr">
        <is>
          <t>Augustus Asamoah</t>
        </is>
      </c>
      <c r="F1268" s="5" t="n">
        <v>46156.66935185185</v>
      </c>
      <c r="H1268" t="inlineStr">
        <is>
          <t>PCGH784</t>
        </is>
      </c>
      <c r="I1268" t="n">
        <v>2</v>
      </c>
      <c r="J1268" t="inlineStr">
        <is>
          <t>PCGH784 - Desk Study (3) (Okeosisi Jonathan)</t>
        </is>
      </c>
      <c r="L1268" t="b">
        <v>1</v>
      </c>
      <c r="M1268" t="inlineStr">
        <is>
          <t>Billed at a Fixed price</t>
        </is>
      </c>
      <c r="N1268" s="6">
        <f>IF(B1268="","",IF(ISNUMBER(B1268),TEXT(B1268,"YYYY-MM"),LEFT(B1268,7)))</f>
        <v/>
      </c>
    </row>
    <row r="1269">
      <c r="A1269" t="inlineStr">
        <is>
          <t>Augustus Asamoah</t>
        </is>
      </c>
      <c r="B1269" s="4" t="n">
        <v>46120</v>
      </c>
      <c r="C1269" t="inlineStr">
        <is>
          <t>/</t>
        </is>
      </c>
      <c r="D1269" t="inlineStr">
        <is>
          <t>Augustus Asamoah</t>
        </is>
      </c>
      <c r="E1269" t="inlineStr">
        <is>
          <t>Augustus Asamoah</t>
        </is>
      </c>
      <c r="F1269" s="5" t="n">
        <v>46156.66928240741</v>
      </c>
      <c r="H1269" t="inlineStr">
        <is>
          <t>P13PC00A00 - Private Sector Companies</t>
        </is>
      </c>
      <c r="I1269" t="n">
        <v>4</v>
      </c>
      <c r="L1269" t="b">
        <v>0</v>
      </c>
      <c r="M1269" t="inlineStr">
        <is>
          <t>Non-Billable</t>
        </is>
      </c>
      <c r="N1269" s="6">
        <f>IF(B1269="","",IF(ISNUMBER(B1269),TEXT(B1269,"YYYY-MM"),LEFT(B1269,7)))</f>
        <v/>
      </c>
    </row>
    <row r="1270">
      <c r="A1270" t="inlineStr">
        <is>
          <t>Helena Tetteh</t>
        </is>
      </c>
      <c r="B1270" s="4" t="n">
        <v>46120</v>
      </c>
      <c r="C1270" t="inlineStr">
        <is>
          <t>, Global RSP call - April 2026</t>
        </is>
      </c>
      <c r="D1270" t="inlineStr">
        <is>
          <t xml:space="preserve">Helena Tetteh </t>
        </is>
      </c>
      <c r="E1270" t="inlineStr">
        <is>
          <t>OdooBot</t>
        </is>
      </c>
      <c r="F1270" s="5" t="n">
        <v>46154.70721064815</v>
      </c>
      <c r="H1270" t="inlineStr">
        <is>
          <t>Non-Billable Tasks</t>
        </is>
      </c>
      <c r="I1270" t="n">
        <v>1.5</v>
      </c>
      <c r="K1270" t="inlineStr">
        <is>
          <t>Professional development and Knowledge sharing(training,global knowledge calls,exchange weeks)</t>
        </is>
      </c>
      <c r="L1270" t="b">
        <v>0</v>
      </c>
      <c r="M1270" t="inlineStr">
        <is>
          <t>Non-Billable</t>
        </is>
      </c>
      <c r="N1270" s="6">
        <f>IF(B1270="","",IF(ISNUMBER(B1270),TEXT(B1270,"YYYY-MM"),LEFT(B1270,7)))</f>
        <v/>
      </c>
    </row>
    <row r="1271">
      <c r="A1271" t="inlineStr">
        <is>
          <t>Helena Tetteh</t>
        </is>
      </c>
      <c r="B1271" s="4" t="n">
        <v>46120</v>
      </c>
      <c r="C1271" t="inlineStr">
        <is>
          <t>FGMC bridge weekly catch up</t>
        </is>
      </c>
      <c r="D1271" t="inlineStr">
        <is>
          <t xml:space="preserve">Helena Tetteh </t>
        </is>
      </c>
      <c r="E1271" t="inlineStr">
        <is>
          <t>OdooBot</t>
        </is>
      </c>
      <c r="F1271" s="5" t="n">
        <v>46154.70721064815</v>
      </c>
      <c r="H1271" t="inlineStr">
        <is>
          <t>P23AC00C00 - FGMC</t>
        </is>
      </c>
      <c r="I1271" t="n">
        <v>6.5</v>
      </c>
      <c r="L1271" t="b">
        <v>0</v>
      </c>
      <c r="M1271" t="inlineStr">
        <is>
          <t>Non-Billable</t>
        </is>
      </c>
      <c r="N1271" s="6">
        <f>IF(B1271="","",IF(ISNUMBER(B1271),TEXT(B1271,"YYYY-MM"),LEFT(B1271,7)))</f>
        <v/>
      </c>
    </row>
    <row r="1272">
      <c r="A1272" t="inlineStr">
        <is>
          <t>Afua Serwah Akoto Prempeh</t>
        </is>
      </c>
      <c r="B1272" s="4" t="n">
        <v>46120</v>
      </c>
      <c r="C1272" t="inlineStr">
        <is>
          <t>/</t>
        </is>
      </c>
      <c r="D1272" t="inlineStr">
        <is>
          <t>Afua Serwah Akoto Prempeh</t>
        </is>
      </c>
      <c r="E1272" t="inlineStr">
        <is>
          <t>OdooBot</t>
        </is>
      </c>
      <c r="F1272" s="5" t="n">
        <v>46154.70721064815</v>
      </c>
      <c r="H1272" t="inlineStr">
        <is>
          <t>Non-Billable Tasks</t>
        </is>
      </c>
      <c r="I1272" t="n">
        <v>8</v>
      </c>
      <c r="L1272" t="b">
        <v>0</v>
      </c>
      <c r="M1272" t="inlineStr">
        <is>
          <t>Non-Billable</t>
        </is>
      </c>
      <c r="N1272" s="6">
        <f>IF(B1272="","",IF(ISNUMBER(B1272),TEXT(B1272,"YYYY-MM"),LEFT(B1272,7)))</f>
        <v/>
      </c>
    </row>
    <row r="1273">
      <c r="A1273" t="inlineStr">
        <is>
          <t>Stephen Doso</t>
        </is>
      </c>
      <c r="B1273" s="4" t="n">
        <v>46120</v>
      </c>
      <c r="C1273" t="inlineStr">
        <is>
          <t>/</t>
        </is>
      </c>
      <c r="D1273" t="inlineStr">
        <is>
          <t>Stephen Doso</t>
        </is>
      </c>
      <c r="E1273" t="inlineStr">
        <is>
          <t>OdooBot</t>
        </is>
      </c>
      <c r="F1273" s="5" t="n">
        <v>46154.70721064815</v>
      </c>
      <c r="H1273" t="inlineStr">
        <is>
          <t>PCGH789 - Valency MSMO EHS audit</t>
        </is>
      </c>
      <c r="I1273" t="n">
        <v>8</v>
      </c>
      <c r="J1273" t="inlineStr">
        <is>
          <t>PCGH789 - Desk Study (2) (Valency International DMCC)</t>
        </is>
      </c>
      <c r="K1273" t="inlineStr">
        <is>
          <t>Desktop Study &amp; Assessment Framework Dev't (2)</t>
        </is>
      </c>
      <c r="L1273" t="b">
        <v>1</v>
      </c>
      <c r="M1273" t="inlineStr">
        <is>
          <t>Billed at a Fixed price</t>
        </is>
      </c>
      <c r="N1273" s="6">
        <f>IF(B1273="","",IF(ISNUMBER(B1273),TEXT(B1273,"YYYY-MM"),LEFT(B1273,7)))</f>
        <v/>
      </c>
    </row>
    <row r="1274">
      <c r="A1274" t="inlineStr">
        <is>
          <t>Louis Defo</t>
        </is>
      </c>
      <c r="B1274" s="4" t="n">
        <v>46120</v>
      </c>
      <c r="C1274" t="inlineStr">
        <is>
          <t>/</t>
        </is>
      </c>
      <c r="D1274" t="inlineStr">
        <is>
          <t>Louis Defo</t>
        </is>
      </c>
      <c r="E1274" t="inlineStr">
        <is>
          <t>OdooBot</t>
        </is>
      </c>
      <c r="F1274" s="5" t="n">
        <v>46154.70721064815</v>
      </c>
      <c r="H1274" t="inlineStr">
        <is>
          <t>PCGH774 -Evaluation Deep-Dive Action Plans by Socfin Group</t>
        </is>
      </c>
      <c r="I1274" t="n">
        <v>8</v>
      </c>
      <c r="J1274" t="inlineStr">
        <is>
          <t>PCGH774 - Project Management (2) (Socfinco FR SA)</t>
        </is>
      </c>
      <c r="L1274" t="b">
        <v>1</v>
      </c>
      <c r="M1274" t="inlineStr">
        <is>
          <t>Billed at a Fixed price</t>
        </is>
      </c>
      <c r="N1274" s="6">
        <f>IF(B1274="","",IF(ISNUMBER(B1274),TEXT(B1274,"YYYY-MM"),LEFT(B1274,7)))</f>
        <v/>
      </c>
    </row>
    <row r="1275">
      <c r="A1275" t="inlineStr">
        <is>
          <t>Clement Obeng-Manu</t>
        </is>
      </c>
      <c r="B1275" s="4" t="n">
        <v>46120</v>
      </c>
      <c r="C1275" t="inlineStr">
        <is>
          <t>/</t>
        </is>
      </c>
      <c r="D1275" t="inlineStr">
        <is>
          <t>Ekow Nyamekye Tawiah</t>
        </is>
      </c>
      <c r="E1275" t="inlineStr">
        <is>
          <t>OdooBot</t>
        </is>
      </c>
      <c r="F1275" s="5" t="n">
        <v>46154.70721064815</v>
      </c>
      <c r="H1275" t="inlineStr">
        <is>
          <t>PCGH776 - Deforestation Risk-Assessment Cashew-Coast</t>
        </is>
      </c>
      <c r="I1275" t="n">
        <v>8</v>
      </c>
      <c r="J1275" t="inlineStr">
        <is>
          <t>PCGH776 - Groundthruthing and Verification (3) (Cashew Coast Products Inc)</t>
        </is>
      </c>
      <c r="K1275" t="inlineStr">
        <is>
          <t>Land cover classification, ground truthing and accuracy assessment</t>
        </is>
      </c>
      <c r="L1275" t="b">
        <v>1</v>
      </c>
      <c r="M1275" t="inlineStr">
        <is>
          <t>Billed at a Fixed price</t>
        </is>
      </c>
      <c r="N1275" s="6">
        <f>IF(B1275="","",IF(ISNUMBER(B1275),TEXT(B1275,"YYYY-MM"),LEFT(B1275,7)))</f>
        <v/>
      </c>
    </row>
    <row r="1276">
      <c r="A1276" t="inlineStr">
        <is>
          <t>Kingsley Fitz-Gerald Severine</t>
        </is>
      </c>
      <c r="B1276" s="4" t="n">
        <v>46120</v>
      </c>
      <c r="C1276" t="inlineStr">
        <is>
          <t>/</t>
        </is>
      </c>
      <c r="D1276" t="inlineStr">
        <is>
          <t>Kingsley Fitz-Gerald Severine</t>
        </is>
      </c>
      <c r="E1276" t="inlineStr">
        <is>
          <t>OdooBot</t>
        </is>
      </c>
      <c r="F1276" s="5" t="n">
        <v>46154.70721064815</v>
      </c>
      <c r="H1276" t="inlineStr">
        <is>
          <t>PCGH789 - Valency MSMO EHS audit</t>
        </is>
      </c>
      <c r="I1276" t="n">
        <v>4</v>
      </c>
      <c r="J1276" t="inlineStr">
        <is>
          <t>PCGH789 - Desk Study (3) (Valency International DMCC)</t>
        </is>
      </c>
      <c r="K1276" t="inlineStr">
        <is>
          <t>Desktop Study &amp; Assessment Framework Dev't (3)</t>
        </is>
      </c>
      <c r="L1276" t="b">
        <v>1</v>
      </c>
      <c r="M1276" t="inlineStr">
        <is>
          <t>Billed at a Fixed price</t>
        </is>
      </c>
      <c r="N1276" s="6">
        <f>IF(B1276="","",IF(ISNUMBER(B1276),TEXT(B1276,"YYYY-MM"),LEFT(B1276,7)))</f>
        <v/>
      </c>
    </row>
    <row r="1277">
      <c r="A1277" t="inlineStr">
        <is>
          <t>Kingsley Fitz-Gerald Severine</t>
        </is>
      </c>
      <c r="B1277" s="4" t="n">
        <v>46120</v>
      </c>
      <c r="C1277" t="inlineStr">
        <is>
          <t>/</t>
        </is>
      </c>
      <c r="D1277" t="inlineStr">
        <is>
          <t>Kingsley Fitz-Gerald Severine</t>
        </is>
      </c>
      <c r="E1277" t="inlineStr">
        <is>
          <t>OdooBot</t>
        </is>
      </c>
      <c r="F1277" s="5" t="n">
        <v>46154.70721064815</v>
      </c>
      <c r="H1277" t="inlineStr">
        <is>
          <t>PCGH789 - Valency MSMO EHS audit</t>
        </is>
      </c>
      <c r="I1277" t="n">
        <v>4</v>
      </c>
      <c r="J1277" t="inlineStr">
        <is>
          <t>PCGH789 - Site Assessment (3) (Valency International DMCC)</t>
        </is>
      </c>
      <c r="K1277" t="inlineStr">
        <is>
          <t>1st quarterly visit (3)</t>
        </is>
      </c>
      <c r="L1277" t="b">
        <v>1</v>
      </c>
      <c r="M1277" t="inlineStr">
        <is>
          <t>Billed at a Fixed price</t>
        </is>
      </c>
      <c r="N1277" s="6">
        <f>IF(B1277="","",IF(ISNUMBER(B1277),TEXT(B1277,"YYYY-MM"),LEFT(B1277,7)))</f>
        <v/>
      </c>
    </row>
    <row r="1278">
      <c r="A1278" t="inlineStr">
        <is>
          <t>Abel Ansu</t>
        </is>
      </c>
      <c r="B1278" s="4" t="n">
        <v>46120</v>
      </c>
      <c r="C1278" t="inlineStr">
        <is>
          <t>Visited shops in Goaso and Tepa to review proforma invoices for tricycle motorbikes</t>
        </is>
      </c>
      <c r="D1278" t="inlineStr">
        <is>
          <t>Abel Ansu</t>
        </is>
      </c>
      <c r="E1278" t="inlineStr">
        <is>
          <t>OdooBot</t>
        </is>
      </c>
      <c r="F1278" s="5" t="n">
        <v>46154.70721064815</v>
      </c>
      <c r="H1278" t="inlineStr">
        <is>
          <t>Internal</t>
        </is>
      </c>
      <c r="I1278" t="n">
        <v>8</v>
      </c>
      <c r="K1278" t="inlineStr">
        <is>
          <t>Review of Proforma invoices</t>
        </is>
      </c>
      <c r="L1278" t="b">
        <v>0</v>
      </c>
      <c r="M1278" t="inlineStr">
        <is>
          <t>Non-Billable</t>
        </is>
      </c>
      <c r="N1278" s="6">
        <f>IF(B1278="","",IF(ISNUMBER(B1278),TEXT(B1278,"YYYY-MM"),LEFT(B1278,7)))</f>
        <v/>
      </c>
    </row>
    <row r="1279">
      <c r="A1279" t="inlineStr">
        <is>
          <t>Daleba Bernard Kpenahi Raymond</t>
        </is>
      </c>
      <c r="B1279" s="4" t="n">
        <v>46120</v>
      </c>
      <c r="C1279" t="inlineStr">
        <is>
          <t>/</t>
        </is>
      </c>
      <c r="D1279" t="inlineStr">
        <is>
          <t>Daleba Bernard Kpenahi Raymond</t>
        </is>
      </c>
      <c r="E1279" t="inlineStr">
        <is>
          <t>OdooBot</t>
        </is>
      </c>
      <c r="F1279" s="5" t="n">
        <v>46154.70721064815</v>
      </c>
      <c r="H1279" t="inlineStr">
        <is>
          <t>Non-Billable Tasks</t>
        </is>
      </c>
      <c r="I1279" t="n">
        <v>8</v>
      </c>
      <c r="K1279" t="inlineStr">
        <is>
          <t>Public Holiday</t>
        </is>
      </c>
      <c r="L1279" t="b">
        <v>0</v>
      </c>
      <c r="M1279" t="inlineStr">
        <is>
          <t>Non-Billable</t>
        </is>
      </c>
      <c r="N1279" s="6">
        <f>IF(B1279="","",IF(ISNUMBER(B1279),TEXT(B1279,"YYYY-MM"),LEFT(B1279,7)))</f>
        <v/>
      </c>
    </row>
    <row r="1280">
      <c r="A1280" t="inlineStr">
        <is>
          <t>Kwadwo Baniako Nti</t>
        </is>
      </c>
      <c r="B1280" s="4" t="n">
        <v>46120</v>
      </c>
      <c r="C1280" t="inlineStr">
        <is>
          <t>/</t>
        </is>
      </c>
      <c r="D1280" t="inlineStr">
        <is>
          <t>Kwadwo Baniako Nti</t>
        </is>
      </c>
      <c r="E1280" t="inlineStr">
        <is>
          <t>OdooBot</t>
        </is>
      </c>
      <c r="F1280" s="5" t="n">
        <v>46154.70721064815</v>
      </c>
      <c r="H1280" t="inlineStr">
        <is>
          <t>PCGH762 - GVL HCSA Restoration Project</t>
        </is>
      </c>
      <c r="I1280" t="n">
        <v>8</v>
      </c>
      <c r="J1280" t="inlineStr">
        <is>
          <t>PCGH762 - Baseline Socio-Economic &amp; Environmental Surveys (Golden Veroleum Liberia)</t>
        </is>
      </c>
      <c r="K1280" t="inlineStr">
        <is>
          <t>Baseline Socio-Economic &amp; Environmental Surveys</t>
        </is>
      </c>
      <c r="L1280" t="b">
        <v>1</v>
      </c>
      <c r="M1280" t="inlineStr">
        <is>
          <t>Billed at a Fixed price</t>
        </is>
      </c>
      <c r="N1280" s="6">
        <f>IF(B1280="","",IF(ISNUMBER(B1280),TEXT(B1280,"YYYY-MM"),LEFT(B1280,7)))</f>
        <v/>
      </c>
    </row>
    <row r="1281">
      <c r="A1281" t="inlineStr">
        <is>
          <t>Ekow Nyamekye Tawiah</t>
        </is>
      </c>
      <c r="B1281" s="4" t="n">
        <v>46119</v>
      </c>
      <c r="C1281" t="inlineStr">
        <is>
          <t>Deforestation Risk Analysis</t>
        </is>
      </c>
      <c r="D1281" t="inlineStr">
        <is>
          <t>Joseph Isaiah Mensah</t>
        </is>
      </c>
      <c r="E1281" t="inlineStr">
        <is>
          <t>Ekow Nyamekye Tawiah</t>
        </is>
      </c>
      <c r="F1281" s="5" t="n">
        <v>46162.86746527778</v>
      </c>
      <c r="H1281" t="inlineStr">
        <is>
          <t>PCGH778 - General Support</t>
        </is>
      </c>
      <c r="I1281" t="n">
        <v>4</v>
      </c>
      <c r="J1281" t="inlineStr">
        <is>
          <t>PCGH778 - Support to Other Workstreams (3) (Proforest Limited(PCUK GBP))</t>
        </is>
      </c>
      <c r="L1281" t="b">
        <v>1</v>
      </c>
      <c r="M1281" t="inlineStr">
        <is>
          <t>Billed at a Fixed price</t>
        </is>
      </c>
      <c r="N1281" s="6">
        <f>IF(B1281="","",IF(ISNUMBER(B1281),TEXT(B1281,"YYYY-MM"),LEFT(B1281,7)))</f>
        <v/>
      </c>
    </row>
    <row r="1282">
      <c r="A1282" t="inlineStr">
        <is>
          <t>Joseph Isaiah Mensah</t>
        </is>
      </c>
      <c r="B1282" s="4" t="n">
        <v>46119</v>
      </c>
      <c r="C1282" t="inlineStr">
        <is>
          <t>/</t>
        </is>
      </c>
      <c r="D1282" t="inlineStr">
        <is>
          <t>Jacqueline Nyakutse Afua</t>
        </is>
      </c>
      <c r="E1282" t="inlineStr">
        <is>
          <t>Joseph Isaiah Mensah</t>
        </is>
      </c>
      <c r="F1282" s="5" t="n">
        <v>46162.76371527778</v>
      </c>
      <c r="H1282" t="inlineStr">
        <is>
          <t>PCGH774 -Evaluation Deep-Dive Action Plans by Socfin Group</t>
        </is>
      </c>
      <c r="I1282" t="n">
        <v>8</v>
      </c>
      <c r="J1282" t="inlineStr">
        <is>
          <t>PCGH774 - Field Verification (2) (Socfinco FR SA)</t>
        </is>
      </c>
      <c r="K1282" t="inlineStr">
        <is>
          <t>[Cameroon, Socapalm （Dibombari + Edéa + Mbongo + Mbambou） Report review] - Field verification/observation/community and stakeholder engagement</t>
        </is>
      </c>
      <c r="L1282" t="b">
        <v>1</v>
      </c>
      <c r="M1282" t="inlineStr">
        <is>
          <t>Billed at a Fixed price</t>
        </is>
      </c>
      <c r="N1282" s="6">
        <f>IF(B1282="","",IF(ISNUMBER(B1282),TEXT(B1282,"YYYY-MM"),LEFT(B1282,7)))</f>
        <v/>
      </c>
    </row>
    <row r="1283">
      <c r="A1283" t="inlineStr">
        <is>
          <t>James Parker Mckeown</t>
        </is>
      </c>
      <c r="B1283" s="4" t="n">
        <v>46119</v>
      </c>
      <c r="C1283" t="inlineStr">
        <is>
          <t>/</t>
        </is>
      </c>
      <c r="D1283" t="inlineStr">
        <is>
          <t>James Parker Mckeown</t>
        </is>
      </c>
      <c r="E1283" t="inlineStr">
        <is>
          <t>James Parker Mckeown</t>
        </is>
      </c>
      <c r="F1283" s="5" t="n">
        <v>46162.7599537037</v>
      </c>
      <c r="H1283" t="inlineStr">
        <is>
          <t>PCGH762 - GVL HCSA Restoration Project</t>
        </is>
      </c>
      <c r="I1283" t="n">
        <v>8</v>
      </c>
      <c r="J1283" t="inlineStr">
        <is>
          <t>PCGH762 - Development or Updating of the Management Plan (Golden Veroleum Liberia)</t>
        </is>
      </c>
      <c r="K1283" t="inlineStr">
        <is>
          <t>Development or Updating of the Management Plan</t>
        </is>
      </c>
      <c r="L1283" t="b">
        <v>1</v>
      </c>
      <c r="M1283" t="inlineStr">
        <is>
          <t>Billed at a Fixed price</t>
        </is>
      </c>
      <c r="N1283" s="6">
        <f>IF(B1283="","",IF(ISNUMBER(B1283),TEXT(B1283,"YYYY-MM"),LEFT(B1283,7)))</f>
        <v/>
      </c>
    </row>
    <row r="1284">
      <c r="A1284" t="inlineStr">
        <is>
          <t>Patricia Offei</t>
        </is>
      </c>
      <c r="B1284" s="4" t="n">
        <v>46119</v>
      </c>
      <c r="C1284" t="inlineStr">
        <is>
          <t>/</t>
        </is>
      </c>
      <c r="D1284" t="inlineStr">
        <is>
          <t>Patricia Offei</t>
        </is>
      </c>
      <c r="E1284" t="inlineStr">
        <is>
          <t>Patricia Offei</t>
        </is>
      </c>
      <c r="F1284" s="5" t="n">
        <v>46162.59618055556</v>
      </c>
      <c r="H1284" t="inlineStr">
        <is>
          <t>PCGH774 -Evaluation Deep-Dive Action Plans by Socfin Group</t>
        </is>
      </c>
      <c r="I1284" t="n">
        <v>8</v>
      </c>
      <c r="J1284" t="inlineStr">
        <is>
          <t>PCGH774 - Project Management (2) (Socfinco FR SA)</t>
        </is>
      </c>
      <c r="L1284" t="b">
        <v>1</v>
      </c>
      <c r="M1284" t="inlineStr">
        <is>
          <t>Billed at a Fixed price</t>
        </is>
      </c>
      <c r="N1284" s="6">
        <f>IF(B1284="","",IF(ISNUMBER(B1284),TEXT(B1284,"YYYY-MM"),LEFT(B1284,7)))</f>
        <v/>
      </c>
    </row>
    <row r="1285">
      <c r="A1285" t="inlineStr">
        <is>
          <t>Frederick Antwi</t>
        </is>
      </c>
      <c r="B1285" s="4" t="n">
        <v>46119</v>
      </c>
      <c r="C1285" t="inlineStr">
        <is>
          <t>/</t>
        </is>
      </c>
      <c r="D1285" t="inlineStr">
        <is>
          <t>Frederick Antwi</t>
        </is>
      </c>
      <c r="E1285" t="inlineStr">
        <is>
          <t>Frederick Antwi</t>
        </is>
      </c>
      <c r="F1285" s="5" t="n">
        <v>46160.63143518518</v>
      </c>
      <c r="H1285" t="inlineStr">
        <is>
          <t>P13PC00A00 - Private Sector Companies</t>
        </is>
      </c>
      <c r="I1285" t="n">
        <v>8</v>
      </c>
      <c r="L1285" t="b">
        <v>0</v>
      </c>
      <c r="M1285" t="inlineStr">
        <is>
          <t>Non-Billable</t>
        </is>
      </c>
      <c r="N1285" s="6">
        <f>IF(B1285="","",IF(ISNUMBER(B1285),TEXT(B1285,"YYYY-MM"),LEFT(B1285,7)))</f>
        <v/>
      </c>
    </row>
    <row r="1286">
      <c r="A1286" t="inlineStr">
        <is>
          <t>Augustus Asamoah</t>
        </is>
      </c>
      <c r="B1286" s="4" t="n">
        <v>46119</v>
      </c>
      <c r="C1286" t="inlineStr">
        <is>
          <t>/</t>
        </is>
      </c>
      <c r="D1286" t="inlineStr">
        <is>
          <t>Augustus Asamoah</t>
        </is>
      </c>
      <c r="E1286" t="inlineStr">
        <is>
          <t>Augustus Asamoah</t>
        </is>
      </c>
      <c r="F1286" s="5" t="n">
        <v>46156.6683449074</v>
      </c>
      <c r="H1286" t="inlineStr">
        <is>
          <t>PCGH784</t>
        </is>
      </c>
      <c r="I1286" t="n">
        <v>2</v>
      </c>
      <c r="J1286" t="inlineStr">
        <is>
          <t>PCGH784 - Desk Study (3) (Okeosisi Jonathan)</t>
        </is>
      </c>
      <c r="L1286" t="b">
        <v>1</v>
      </c>
      <c r="M1286" t="inlineStr">
        <is>
          <t>Billed at a Fixed price</t>
        </is>
      </c>
      <c r="N1286" s="6">
        <f>IF(B1286="","",IF(ISNUMBER(B1286),TEXT(B1286,"YYYY-MM"),LEFT(B1286,7)))</f>
        <v/>
      </c>
    </row>
    <row r="1287">
      <c r="A1287" t="inlineStr">
        <is>
          <t>Augustus Asamoah</t>
        </is>
      </c>
      <c r="B1287" s="4" t="n">
        <v>46119</v>
      </c>
      <c r="C1287" t="inlineStr">
        <is>
          <t>/</t>
        </is>
      </c>
      <c r="D1287" t="inlineStr">
        <is>
          <t>Augustus Asamoah</t>
        </is>
      </c>
      <c r="E1287" t="inlineStr">
        <is>
          <t>Augustus Asamoah</t>
        </is>
      </c>
      <c r="F1287" s="5" t="n">
        <v>46156.66818287037</v>
      </c>
      <c r="H1287" t="inlineStr">
        <is>
          <t>P13NC00A00 - WALMART II</t>
        </is>
      </c>
      <c r="I1287" t="n">
        <v>4</v>
      </c>
      <c r="K1287" t="inlineStr">
        <is>
          <t>Programme Personnel and Management</t>
        </is>
      </c>
      <c r="L1287" t="b">
        <v>0</v>
      </c>
      <c r="M1287" t="inlineStr">
        <is>
          <t>Non-Billable</t>
        </is>
      </c>
      <c r="N1287" s="6">
        <f>IF(B1287="","",IF(ISNUMBER(B1287),TEXT(B1287,"YYYY-MM"),LEFT(B1287,7)))</f>
        <v/>
      </c>
    </row>
    <row r="1288">
      <c r="A1288" t="inlineStr">
        <is>
          <t>Augustus Asamoah</t>
        </is>
      </c>
      <c r="B1288" s="4" t="n">
        <v>46119</v>
      </c>
      <c r="C1288" t="inlineStr">
        <is>
          <t>/</t>
        </is>
      </c>
      <c r="D1288" t="inlineStr">
        <is>
          <t>Augustus Asamoah</t>
        </is>
      </c>
      <c r="E1288" t="inlineStr">
        <is>
          <t>Augustus Asamoah</t>
        </is>
      </c>
      <c r="F1288" s="5" t="n">
        <v>46156.66325231481</v>
      </c>
      <c r="H1288" t="inlineStr">
        <is>
          <t>P13QC00A00 - EFI Programme</t>
        </is>
      </c>
      <c r="I1288" t="n">
        <v>2</v>
      </c>
      <c r="L1288" t="b">
        <v>0</v>
      </c>
      <c r="M1288" t="inlineStr">
        <is>
          <t>Non-Billable</t>
        </is>
      </c>
      <c r="N1288" s="6">
        <f>IF(B1288="","",IF(ISNUMBER(B1288),TEXT(B1288,"YYYY-MM"),LEFT(B1288,7)))</f>
        <v/>
      </c>
    </row>
    <row r="1289">
      <c r="A1289" t="inlineStr">
        <is>
          <t>Augustus Asamoah</t>
        </is>
      </c>
      <c r="B1289" s="4" t="n">
        <v>46119</v>
      </c>
      <c r="C1289" t="inlineStr">
        <is>
          <t>/</t>
        </is>
      </c>
      <c r="D1289" t="inlineStr">
        <is>
          <t>Augustus Asamoah</t>
        </is>
      </c>
      <c r="E1289" t="inlineStr">
        <is>
          <t>Augustus Asamoah</t>
        </is>
      </c>
      <c r="F1289" s="5" t="n">
        <v>46156.66829861111</v>
      </c>
      <c r="H1289" t="inlineStr">
        <is>
          <t>Non-Billable Tasks</t>
        </is>
      </c>
      <c r="I1289" t="n">
        <v>0</v>
      </c>
      <c r="L1289" t="b">
        <v>0</v>
      </c>
      <c r="M1289" t="inlineStr">
        <is>
          <t>Non-Billable</t>
        </is>
      </c>
      <c r="N1289" s="6">
        <f>IF(B1289="","",IF(ISNUMBER(B1289),TEXT(B1289,"YYYY-MM"),LEFT(B1289,7)))</f>
        <v/>
      </c>
    </row>
    <row r="1290">
      <c r="A1290" t="inlineStr">
        <is>
          <t>Helena Tetteh</t>
        </is>
      </c>
      <c r="B1290" s="4" t="n">
        <v>46119</v>
      </c>
      <c r="C1290" t="inlineStr">
        <is>
          <t>Concept note development (Livelihoods &amp; Smallholder Africa approach), writeup for comms technical corner (Why gender inclusion is important in our work</t>
        </is>
      </c>
      <c r="D1290" t="inlineStr">
        <is>
          <t xml:space="preserve">Helena Tetteh </t>
        </is>
      </c>
      <c r="E1290" t="inlineStr">
        <is>
          <t>OdooBot</t>
        </is>
      </c>
      <c r="F1290" s="5" t="n">
        <v>46154.70721064815</v>
      </c>
      <c r="H1290" t="inlineStr">
        <is>
          <t>Non-Billable Tasks</t>
        </is>
      </c>
      <c r="I1290" t="n">
        <v>8</v>
      </c>
      <c r="K1290" t="inlineStr">
        <is>
          <t>Professional development and Knowledge sharing(training,global knowledge calls,exchange weeks)</t>
        </is>
      </c>
      <c r="L1290" t="b">
        <v>0</v>
      </c>
      <c r="M1290" t="inlineStr">
        <is>
          <t>Non-Billable</t>
        </is>
      </c>
      <c r="N1290" s="6">
        <f>IF(B1290="","",IF(ISNUMBER(B1290),TEXT(B1290,"YYYY-MM"),LEFT(B1290,7)))</f>
        <v/>
      </c>
    </row>
    <row r="1291">
      <c r="A1291" t="inlineStr">
        <is>
          <t>Afua Serwah Akoto Prempeh</t>
        </is>
      </c>
      <c r="B1291" s="4" t="n">
        <v>46119</v>
      </c>
      <c r="C1291" t="inlineStr">
        <is>
          <t>/</t>
        </is>
      </c>
      <c r="D1291" t="inlineStr">
        <is>
          <t>Afua Serwah Akoto Prempeh</t>
        </is>
      </c>
      <c r="E1291" t="inlineStr">
        <is>
          <t>OdooBot</t>
        </is>
      </c>
      <c r="F1291" s="5" t="n">
        <v>46154.70721064815</v>
      </c>
      <c r="H1291" t="inlineStr">
        <is>
          <t>Non-Billable Tasks</t>
        </is>
      </c>
      <c r="I1291" t="n">
        <v>4</v>
      </c>
      <c r="K1291" t="inlineStr">
        <is>
          <t>Professional development and Knowledge sharing(training,global knowledge calls,exchange weeks)</t>
        </is>
      </c>
      <c r="L1291" t="b">
        <v>0</v>
      </c>
      <c r="M1291" t="inlineStr">
        <is>
          <t>Non-Billable</t>
        </is>
      </c>
      <c r="N1291" s="6">
        <f>IF(B1291="","",IF(ISNUMBER(B1291),TEXT(B1291,"YYYY-MM"),LEFT(B1291,7)))</f>
        <v/>
      </c>
    </row>
    <row r="1292">
      <c r="A1292" t="inlineStr">
        <is>
          <t>Afua Serwah Akoto Prempeh</t>
        </is>
      </c>
      <c r="B1292" s="4" t="n">
        <v>46119</v>
      </c>
      <c r="C1292" t="inlineStr">
        <is>
          <t>/</t>
        </is>
      </c>
      <c r="D1292" t="inlineStr">
        <is>
          <t>Afua Serwah Akoto Prempeh</t>
        </is>
      </c>
      <c r="E1292" t="inlineStr">
        <is>
          <t>OdooBot</t>
        </is>
      </c>
      <c r="F1292" s="5" t="n">
        <v>46154.70721064815</v>
      </c>
      <c r="H1292" t="inlineStr">
        <is>
          <t>Non-Billable Tasks</t>
        </is>
      </c>
      <c r="I1292" t="n">
        <v>4</v>
      </c>
      <c r="L1292" t="b">
        <v>0</v>
      </c>
      <c r="M1292" t="inlineStr">
        <is>
          <t>Non-Billable</t>
        </is>
      </c>
      <c r="N1292" s="6">
        <f>IF(B1292="","",IF(ISNUMBER(B1292),TEXT(B1292,"YYYY-MM"),LEFT(B1292,7)))</f>
        <v/>
      </c>
    </row>
    <row r="1293">
      <c r="A1293" t="inlineStr">
        <is>
          <t>Stephen Doso</t>
        </is>
      </c>
      <c r="B1293" s="4" t="n">
        <v>46119</v>
      </c>
      <c r="C1293" t="inlineStr">
        <is>
          <t>/</t>
        </is>
      </c>
      <c r="D1293" t="inlineStr">
        <is>
          <t>Stephen Doso</t>
        </is>
      </c>
      <c r="E1293" t="inlineStr">
        <is>
          <t>OdooBot</t>
        </is>
      </c>
      <c r="F1293" s="5" t="n">
        <v>46154.70721064815</v>
      </c>
      <c r="H1293" t="inlineStr">
        <is>
          <t>PCGH789 - Valency MSMO EHS audit</t>
        </is>
      </c>
      <c r="I1293" t="n">
        <v>4</v>
      </c>
      <c r="J1293" t="inlineStr">
        <is>
          <t>PCGH789 - Desk Study (2) (Valency International DMCC)</t>
        </is>
      </c>
      <c r="K1293" t="inlineStr">
        <is>
          <t>Desktop Study &amp; Assessment Framework Dev't (2)</t>
        </is>
      </c>
      <c r="L1293" t="b">
        <v>1</v>
      </c>
      <c r="M1293" t="inlineStr">
        <is>
          <t>Billed at a Fixed price</t>
        </is>
      </c>
      <c r="N1293" s="6">
        <f>IF(B1293="","",IF(ISNUMBER(B1293),TEXT(B1293,"YYYY-MM"),LEFT(B1293,7)))</f>
        <v/>
      </c>
    </row>
    <row r="1294">
      <c r="A1294" t="inlineStr">
        <is>
          <t>Stephen Doso</t>
        </is>
      </c>
      <c r="B1294" s="4" t="n">
        <v>46119</v>
      </c>
      <c r="C1294" t="inlineStr">
        <is>
          <t>/</t>
        </is>
      </c>
      <c r="D1294" t="inlineStr">
        <is>
          <t>Stephen Doso</t>
        </is>
      </c>
      <c r="E1294" t="inlineStr">
        <is>
          <t>OdooBot</t>
        </is>
      </c>
      <c r="F1294" s="5" t="n">
        <v>46154.70721064815</v>
      </c>
      <c r="H1294" t="inlineStr">
        <is>
          <t>PCGH789 - Valency MSMO EHS audit</t>
        </is>
      </c>
      <c r="I1294" t="n">
        <v>4</v>
      </c>
      <c r="J1294" t="inlineStr">
        <is>
          <t>PCGH789 - Kick-Off Meeting (Valency International DMCC)</t>
        </is>
      </c>
      <c r="K1294" t="inlineStr">
        <is>
          <t>Inception / Kick off (2)</t>
        </is>
      </c>
      <c r="L1294" t="b">
        <v>1</v>
      </c>
      <c r="M1294" t="inlineStr">
        <is>
          <t>Billed at a Fixed price</t>
        </is>
      </c>
      <c r="N1294" s="6">
        <f>IF(B1294="","",IF(ISNUMBER(B1294),TEXT(B1294,"YYYY-MM"),LEFT(B1294,7)))</f>
        <v/>
      </c>
    </row>
    <row r="1295">
      <c r="A1295" t="inlineStr">
        <is>
          <t>Louis Defo</t>
        </is>
      </c>
      <c r="B1295" s="4" t="n">
        <v>46119</v>
      </c>
      <c r="C1295" t="inlineStr">
        <is>
          <t>/</t>
        </is>
      </c>
      <c r="D1295" t="inlineStr">
        <is>
          <t>Louis Defo</t>
        </is>
      </c>
      <c r="E1295" t="inlineStr">
        <is>
          <t>OdooBot</t>
        </is>
      </c>
      <c r="F1295" s="5" t="n">
        <v>46154.70721064815</v>
      </c>
      <c r="H1295" t="inlineStr">
        <is>
          <t>PCGH774 -Evaluation Deep-Dive Action Plans by Socfin Group</t>
        </is>
      </c>
      <c r="I1295" t="n">
        <v>8</v>
      </c>
      <c r="J1295" t="inlineStr">
        <is>
          <t>PCGH774 - Project Management (2) (Socfinco FR SA)</t>
        </is>
      </c>
      <c r="L1295" t="b">
        <v>1</v>
      </c>
      <c r="M1295" t="inlineStr">
        <is>
          <t>Billed at a Fixed price</t>
        </is>
      </c>
      <c r="N1295" s="6">
        <f>IF(B1295="","",IF(ISNUMBER(B1295),TEXT(B1295,"YYYY-MM"),LEFT(B1295,7)))</f>
        <v/>
      </c>
    </row>
    <row r="1296">
      <c r="A1296" t="inlineStr">
        <is>
          <t>Clement Obeng-Manu</t>
        </is>
      </c>
      <c r="B1296" s="4" t="n">
        <v>46119</v>
      </c>
      <c r="C1296" t="inlineStr">
        <is>
          <t>/</t>
        </is>
      </c>
      <c r="D1296" t="inlineStr">
        <is>
          <t>Ekow Nyamekye Tawiah</t>
        </is>
      </c>
      <c r="E1296" t="inlineStr">
        <is>
          <t>OdooBot</t>
        </is>
      </c>
      <c r="F1296" s="5" t="n">
        <v>46154.70721064815</v>
      </c>
      <c r="H1296" t="inlineStr">
        <is>
          <t>PCGH776 - Deforestation Risk-Assessment Cashew-Coast</t>
        </is>
      </c>
      <c r="I1296" t="n">
        <v>8</v>
      </c>
      <c r="J1296" t="inlineStr">
        <is>
          <t>PCGH776 - Data collection and review (3) (Cashew Coast Products Inc)</t>
        </is>
      </c>
      <c r="K1296" t="inlineStr">
        <is>
          <t>Data review, compilation and integration</t>
        </is>
      </c>
      <c r="L1296" t="b">
        <v>1</v>
      </c>
      <c r="M1296" t="inlineStr">
        <is>
          <t>Billed at a Fixed price</t>
        </is>
      </c>
      <c r="N1296" s="6">
        <f>IF(B1296="","",IF(ISNUMBER(B1296),TEXT(B1296,"YYYY-MM"),LEFT(B1296,7)))</f>
        <v/>
      </c>
    </row>
    <row r="1297">
      <c r="A1297" t="inlineStr">
        <is>
          <t>Kingsley Fitz-Gerald Severine</t>
        </is>
      </c>
      <c r="B1297" s="4" t="n">
        <v>46119</v>
      </c>
      <c r="C1297" t="inlineStr">
        <is>
          <t>/</t>
        </is>
      </c>
      <c r="D1297" t="inlineStr">
        <is>
          <t>Kingsley Fitz-Gerald Severine</t>
        </is>
      </c>
      <c r="E1297" t="inlineStr">
        <is>
          <t>OdooBot</t>
        </is>
      </c>
      <c r="F1297" s="5" t="n">
        <v>46154.70721064815</v>
      </c>
      <c r="H1297" t="inlineStr">
        <is>
          <t>PCGH789 - Valency MSMO EHS audit</t>
        </is>
      </c>
      <c r="I1297" t="n">
        <v>6</v>
      </c>
      <c r="J1297" t="inlineStr">
        <is>
          <t>PCGH789 - Desk Study (3) (Valency International DMCC)</t>
        </is>
      </c>
      <c r="K1297" t="inlineStr">
        <is>
          <t>Desktop Study &amp; Assessment Framework Dev't (3)</t>
        </is>
      </c>
      <c r="L1297" t="b">
        <v>1</v>
      </c>
      <c r="M1297" t="inlineStr">
        <is>
          <t>Billed at a Fixed price</t>
        </is>
      </c>
      <c r="N1297" s="6">
        <f>IF(B1297="","",IF(ISNUMBER(B1297),TEXT(B1297,"YYYY-MM"),LEFT(B1297,7)))</f>
        <v/>
      </c>
    </row>
    <row r="1298">
      <c r="A1298" t="inlineStr">
        <is>
          <t>Kingsley Fitz-Gerald Severine</t>
        </is>
      </c>
      <c r="B1298" s="4" t="n">
        <v>46119</v>
      </c>
      <c r="C1298" t="inlineStr">
        <is>
          <t>/</t>
        </is>
      </c>
      <c r="D1298" t="inlineStr">
        <is>
          <t>Kingsley Fitz-Gerald Severine</t>
        </is>
      </c>
      <c r="E1298" t="inlineStr">
        <is>
          <t>OdooBot</t>
        </is>
      </c>
      <c r="F1298" s="5" t="n">
        <v>46154.70721064815</v>
      </c>
      <c r="H1298" t="inlineStr">
        <is>
          <t>PCGH789 - Valency MSMO EHS audit</t>
        </is>
      </c>
      <c r="I1298" t="n">
        <v>2</v>
      </c>
      <c r="J1298" t="inlineStr">
        <is>
          <t>PCGH789 - Kick-Off Meeting (Valency International DMCC)</t>
        </is>
      </c>
      <c r="K1298" t="inlineStr">
        <is>
          <t>Inception / Kick off (3)</t>
        </is>
      </c>
      <c r="L1298" t="b">
        <v>1</v>
      </c>
      <c r="M1298" t="inlineStr">
        <is>
          <t>Billed at a Fixed price</t>
        </is>
      </c>
      <c r="N1298" s="6">
        <f>IF(B1298="","",IF(ISNUMBER(B1298),TEXT(B1298,"YYYY-MM"),LEFT(B1298,7)))</f>
        <v/>
      </c>
    </row>
    <row r="1299">
      <c r="A1299" t="inlineStr">
        <is>
          <t>Abel Ansu</t>
        </is>
      </c>
      <c r="B1299" s="4" t="n">
        <v>46119</v>
      </c>
      <c r="C1299" t="inlineStr">
        <is>
          <t>Visited CRMCs at Koforidua and Tokurom</t>
        </is>
      </c>
      <c r="D1299" t="inlineStr">
        <is>
          <t>Abel Ansu</t>
        </is>
      </c>
      <c r="E1299" t="inlineStr">
        <is>
          <t>OdooBot</t>
        </is>
      </c>
      <c r="F1299" s="5" t="n">
        <v>46154.70721064815</v>
      </c>
      <c r="H1299" t="inlineStr">
        <is>
          <t>Internal</t>
        </is>
      </c>
      <c r="I1299" t="n">
        <v>8</v>
      </c>
      <c r="L1299" t="b">
        <v>0</v>
      </c>
      <c r="M1299" t="inlineStr">
        <is>
          <t>Non-Billable</t>
        </is>
      </c>
      <c r="N1299" s="6">
        <f>IF(B1299="","",IF(ISNUMBER(B1299),TEXT(B1299,"YYYY-MM"),LEFT(B1299,7)))</f>
        <v/>
      </c>
    </row>
    <row r="1300">
      <c r="A1300" t="inlineStr">
        <is>
          <t>Daleba Bernard Kpenahi Raymond</t>
        </is>
      </c>
      <c r="B1300" s="4" t="n">
        <v>46119</v>
      </c>
      <c r="C1300" t="inlineStr">
        <is>
          <t>/</t>
        </is>
      </c>
      <c r="D1300" t="inlineStr">
        <is>
          <t>Daleba Bernard Kpenahi Raymond</t>
        </is>
      </c>
      <c r="E1300" t="inlineStr">
        <is>
          <t>OdooBot</t>
        </is>
      </c>
      <c r="F1300" s="5" t="n">
        <v>46154.70721064815</v>
      </c>
      <c r="H1300" t="inlineStr">
        <is>
          <t>Non-Billable Tasks</t>
        </is>
      </c>
      <c r="I1300" t="n">
        <v>8</v>
      </c>
      <c r="K1300" t="inlineStr">
        <is>
          <t>Professional development and Knowledge sharing(training,global knowledge calls,exchange weeks)</t>
        </is>
      </c>
      <c r="L1300" t="b">
        <v>0</v>
      </c>
      <c r="M1300" t="inlineStr">
        <is>
          <t>Non-Billable</t>
        </is>
      </c>
      <c r="N1300" s="6">
        <f>IF(B1300="","",IF(ISNUMBER(B1300),TEXT(B1300,"YYYY-MM"),LEFT(B1300,7)))</f>
        <v/>
      </c>
    </row>
    <row r="1301">
      <c r="A1301" t="inlineStr">
        <is>
          <t>Kwadwo Baniako Nti</t>
        </is>
      </c>
      <c r="B1301" s="4" t="n">
        <v>46119</v>
      </c>
      <c r="C1301" t="inlineStr">
        <is>
          <t>/</t>
        </is>
      </c>
      <c r="D1301" t="inlineStr">
        <is>
          <t>Kwadwo Baniako Nti</t>
        </is>
      </c>
      <c r="E1301" t="inlineStr">
        <is>
          <t>OdooBot</t>
        </is>
      </c>
      <c r="F1301" s="5" t="n">
        <v>46154.70721064815</v>
      </c>
      <c r="H1301" t="inlineStr">
        <is>
          <t>PCGH762 - GVL HCSA Restoration Project</t>
        </is>
      </c>
      <c r="I1301" t="n">
        <v>8</v>
      </c>
      <c r="J1301" t="inlineStr">
        <is>
          <t>PCGH762 - Baseline Socio-Economic &amp; Environmental Surveys (Golden Veroleum Liberia)</t>
        </is>
      </c>
      <c r="K1301" t="inlineStr">
        <is>
          <t>Baseline Socio-Economic &amp; Environmental Surveys</t>
        </is>
      </c>
      <c r="L1301" t="b">
        <v>1</v>
      </c>
      <c r="M1301" t="inlineStr">
        <is>
          <t>Billed at a Fixed price</t>
        </is>
      </c>
      <c r="N1301" s="6">
        <f>IF(B1301="","",IF(ISNUMBER(B1301),TEXT(B1301,"YYYY-MM"),LEFT(B1301,7)))</f>
        <v/>
      </c>
    </row>
    <row r="1302">
      <c r="A1302" t="inlineStr">
        <is>
          <t>Ekow Nyamekye Tawiah</t>
        </is>
      </c>
      <c r="B1302" s="4" t="n">
        <v>46118</v>
      </c>
      <c r="C1302" t="inlineStr">
        <is>
          <t>Easter Monday</t>
        </is>
      </c>
      <c r="D1302" t="inlineStr">
        <is>
          <t>Joseph Isaiah Mensah</t>
        </is>
      </c>
      <c r="E1302" t="inlineStr">
        <is>
          <t>Ekow Nyamekye Tawiah</t>
        </is>
      </c>
      <c r="F1302" s="5" t="n">
        <v>46162.82741898148</v>
      </c>
      <c r="H1302" t="inlineStr">
        <is>
          <t>Non-Billable Tasks</t>
        </is>
      </c>
      <c r="I1302" t="n">
        <v>4</v>
      </c>
      <c r="K1302" t="inlineStr">
        <is>
          <t>Public Holiday</t>
        </is>
      </c>
      <c r="L1302" t="b">
        <v>0</v>
      </c>
      <c r="M1302" t="inlineStr">
        <is>
          <t>Non-Billable</t>
        </is>
      </c>
      <c r="N1302" s="6">
        <f>IF(B1302="","",IF(ISNUMBER(B1302),TEXT(B1302,"YYYY-MM"),LEFT(B1302,7)))</f>
        <v/>
      </c>
    </row>
    <row r="1303">
      <c r="A1303" t="inlineStr">
        <is>
          <t>Joseph Isaiah Mensah</t>
        </is>
      </c>
      <c r="B1303" s="4" t="n">
        <v>46118</v>
      </c>
      <c r="C1303" t="inlineStr">
        <is>
          <t>/</t>
        </is>
      </c>
      <c r="D1303" t="inlineStr">
        <is>
          <t>Jacqueline Nyakutse Afua</t>
        </is>
      </c>
      <c r="E1303" t="inlineStr">
        <is>
          <t>Joseph Isaiah Mensah</t>
        </is>
      </c>
      <c r="F1303" s="5" t="n">
        <v>46162.76324074074</v>
      </c>
      <c r="H1303" t="inlineStr">
        <is>
          <t>PCGH774 -Evaluation Deep-Dive Action Plans by Socfin Group</t>
        </is>
      </c>
      <c r="I1303" t="n">
        <v>8</v>
      </c>
      <c r="J1303" t="inlineStr">
        <is>
          <t>PCGH774 - Field Verification (2) (Socfinco FR SA)</t>
        </is>
      </c>
      <c r="K1303" t="inlineStr">
        <is>
          <t>[Cameroon, Socapalm （Dibombari + Edéa + Mbongo + Mbambou） Report review] - Field verification/observation/community and stakeholder engagement</t>
        </is>
      </c>
      <c r="L1303" t="b">
        <v>1</v>
      </c>
      <c r="M1303" t="inlineStr">
        <is>
          <t>Billed at a Fixed price</t>
        </is>
      </c>
      <c r="N1303" s="6">
        <f>IF(B1303="","",IF(ISNUMBER(B1303),TEXT(B1303,"YYYY-MM"),LEFT(B1303,7)))</f>
        <v/>
      </c>
    </row>
    <row r="1304">
      <c r="A1304" t="inlineStr">
        <is>
          <t>James Parker Mckeown</t>
        </is>
      </c>
      <c r="B1304" s="4" t="n">
        <v>46118</v>
      </c>
      <c r="C1304" t="inlineStr">
        <is>
          <t>/</t>
        </is>
      </c>
      <c r="D1304" t="inlineStr">
        <is>
          <t>James Parker Mckeown</t>
        </is>
      </c>
      <c r="E1304" t="inlineStr">
        <is>
          <t>James Parker Mckeown</t>
        </is>
      </c>
      <c r="F1304" s="5" t="n">
        <v>46162.75990740741</v>
      </c>
      <c r="H1304" t="inlineStr">
        <is>
          <t>PCGH762 - GVL HCSA Restoration Project</t>
        </is>
      </c>
      <c r="I1304" t="n">
        <v>-8</v>
      </c>
      <c r="K1304" t="inlineStr">
        <is>
          <t>Development or Updating of the Management Plan</t>
        </is>
      </c>
      <c r="L1304" t="b">
        <v>1</v>
      </c>
      <c r="M1304" t="inlineStr">
        <is>
          <t>Non-Billable</t>
        </is>
      </c>
      <c r="N1304" s="6">
        <f>IF(B1304="","",IF(ISNUMBER(B1304),TEXT(B1304,"YYYY-MM"),LEFT(B1304,7)))</f>
        <v/>
      </c>
    </row>
    <row r="1305">
      <c r="A1305" t="inlineStr">
        <is>
          <t>James Parker Mckeown</t>
        </is>
      </c>
      <c r="B1305" s="4" t="n">
        <v>46118</v>
      </c>
      <c r="C1305" t="inlineStr">
        <is>
          <t xml:space="preserve">engagement with key stakeholders </t>
        </is>
      </c>
      <c r="D1305" t="inlineStr">
        <is>
          <t>James Parker Mckeown</t>
        </is>
      </c>
      <c r="E1305" t="inlineStr">
        <is>
          <t>James Parker Mckeown</t>
        </is>
      </c>
      <c r="F1305" s="5" t="n">
        <v>46162.75981481482</v>
      </c>
      <c r="H1305" t="inlineStr">
        <is>
          <t>PCGH762 - GVL HCSA Restoration Project</t>
        </is>
      </c>
      <c r="I1305" t="n">
        <v>8</v>
      </c>
      <c r="K1305" t="inlineStr">
        <is>
          <t>Development or Updating of the Management Plan</t>
        </is>
      </c>
      <c r="L1305" t="b">
        <v>1</v>
      </c>
      <c r="M1305" t="inlineStr">
        <is>
          <t>Non-Billable</t>
        </is>
      </c>
      <c r="N1305" s="6">
        <f>IF(B1305="","",IF(ISNUMBER(B1305),TEXT(B1305,"YYYY-MM"),LEFT(B1305,7)))</f>
        <v/>
      </c>
    </row>
    <row r="1306">
      <c r="A1306" t="inlineStr">
        <is>
          <t>James Parker Mckeown</t>
        </is>
      </c>
      <c r="B1306" s="4" t="n">
        <v>46118</v>
      </c>
      <c r="C1306" t="inlineStr">
        <is>
          <t>/</t>
        </is>
      </c>
      <c r="D1306" t="inlineStr">
        <is>
          <t>James Parker Mckeown</t>
        </is>
      </c>
      <c r="E1306" t="inlineStr">
        <is>
          <t>James Parker Mckeown</t>
        </is>
      </c>
      <c r="F1306" s="5" t="n">
        <v>46162.75921296296</v>
      </c>
      <c r="H1306" t="inlineStr">
        <is>
          <t>PCGH762 - GVL HCSA Restoration Project</t>
        </is>
      </c>
      <c r="I1306" t="n">
        <v>8</v>
      </c>
      <c r="K1306" t="inlineStr">
        <is>
          <t>Development or Updating of the Management Plan</t>
        </is>
      </c>
      <c r="L1306" t="b">
        <v>1</v>
      </c>
      <c r="M1306" t="inlineStr">
        <is>
          <t>Non-Billable</t>
        </is>
      </c>
      <c r="N1306" s="6">
        <f>IF(B1306="","",IF(ISNUMBER(B1306),TEXT(B1306,"YYYY-MM"),LEFT(B1306,7)))</f>
        <v/>
      </c>
    </row>
    <row r="1307">
      <c r="A1307" t="inlineStr">
        <is>
          <t>Patricia Offei</t>
        </is>
      </c>
      <c r="B1307" s="4" t="n">
        <v>46118</v>
      </c>
      <c r="C1307" t="inlineStr">
        <is>
          <t>Socapalm FW</t>
        </is>
      </c>
      <c r="D1307" t="inlineStr">
        <is>
          <t>Patricia Offei</t>
        </is>
      </c>
      <c r="E1307" t="inlineStr">
        <is>
          <t>Patricia Offei</t>
        </is>
      </c>
      <c r="F1307" s="5" t="n">
        <v>46162.59604166666</v>
      </c>
      <c r="H1307" t="inlineStr">
        <is>
          <t>PCGH774 -Evaluation Deep-Dive Action Plans by Socfin Group</t>
        </is>
      </c>
      <c r="I1307" t="n">
        <v>8</v>
      </c>
      <c r="J1307" t="inlineStr">
        <is>
          <t>PCGH774 - Field Verification (2) (Socfinco FR SA)</t>
        </is>
      </c>
      <c r="L1307" t="b">
        <v>1</v>
      </c>
      <c r="M1307" t="inlineStr">
        <is>
          <t>Billed at a Fixed price</t>
        </is>
      </c>
      <c r="N1307" s="6">
        <f>IF(B1307="","",IF(ISNUMBER(B1307),TEXT(B1307,"YYYY-MM"),LEFT(B1307,7)))</f>
        <v/>
      </c>
    </row>
    <row r="1308">
      <c r="A1308" t="inlineStr">
        <is>
          <t>Frederick Antwi</t>
        </is>
      </c>
      <c r="B1308" s="4" t="n">
        <v>46118</v>
      </c>
      <c r="C1308" t="inlineStr">
        <is>
          <t>/</t>
        </is>
      </c>
      <c r="D1308" t="inlineStr">
        <is>
          <t>Frederick Antwi</t>
        </is>
      </c>
      <c r="E1308" t="inlineStr">
        <is>
          <t>Frederick Antwi</t>
        </is>
      </c>
      <c r="F1308" s="5" t="n">
        <v>46160.63224537037</v>
      </c>
      <c r="H1308" t="inlineStr">
        <is>
          <t>PCGH768</t>
        </is>
      </c>
      <c r="I1308" t="n">
        <v>0</v>
      </c>
      <c r="L1308" t="b">
        <v>1</v>
      </c>
      <c r="M1308" t="inlineStr">
        <is>
          <t>Non-Billable</t>
        </is>
      </c>
      <c r="N1308" s="6">
        <f>IF(B1308="","",IF(ISNUMBER(B1308),TEXT(B1308,"YYYY-MM"),LEFT(B1308,7)))</f>
        <v/>
      </c>
    </row>
    <row r="1309">
      <c r="A1309" t="inlineStr">
        <is>
          <t>Frederick Antwi</t>
        </is>
      </c>
      <c r="B1309" s="4" t="n">
        <v>46118</v>
      </c>
      <c r="C1309" t="inlineStr">
        <is>
          <t>/</t>
        </is>
      </c>
      <c r="D1309" t="inlineStr">
        <is>
          <t>Frederick Antwi</t>
        </is>
      </c>
      <c r="E1309" t="inlineStr">
        <is>
          <t>Frederick Antwi</t>
        </is>
      </c>
      <c r="F1309" s="5" t="n">
        <v>46160.63130787037</v>
      </c>
      <c r="H1309" t="inlineStr">
        <is>
          <t>P13QC00A00 - EFI Programme</t>
        </is>
      </c>
      <c r="I1309" t="n">
        <v>8</v>
      </c>
      <c r="L1309" t="b">
        <v>0</v>
      </c>
      <c r="M1309" t="inlineStr">
        <is>
          <t>Non-Billable</t>
        </is>
      </c>
      <c r="N1309" s="6">
        <f>IF(B1309="","",IF(ISNUMBER(B1309),TEXT(B1309,"YYYY-MM"),LEFT(B1309,7)))</f>
        <v/>
      </c>
    </row>
    <row r="1310">
      <c r="A1310" t="inlineStr">
        <is>
          <t>Frederick Antwi</t>
        </is>
      </c>
      <c r="B1310" s="4" t="n">
        <v>46118</v>
      </c>
      <c r="C1310" t="inlineStr">
        <is>
          <t>/</t>
        </is>
      </c>
      <c r="D1310" t="inlineStr">
        <is>
          <t>Frederick Antwi</t>
        </is>
      </c>
      <c r="E1310" t="inlineStr">
        <is>
          <t>Frederick Antwi</t>
        </is>
      </c>
      <c r="F1310" s="5" t="n">
        <v>46160.63092592593</v>
      </c>
      <c r="H1310" t="inlineStr">
        <is>
          <t>P13PC00A00 - Private Sector Companies</t>
        </is>
      </c>
      <c r="I1310" t="n">
        <v>0</v>
      </c>
      <c r="L1310" t="b">
        <v>0</v>
      </c>
      <c r="M1310" t="inlineStr">
        <is>
          <t>Non-Billable</t>
        </is>
      </c>
      <c r="N1310" s="6">
        <f>IF(B1310="","",IF(ISNUMBER(B1310),TEXT(B1310,"YYYY-MM"),LEFT(B1310,7)))</f>
        <v/>
      </c>
    </row>
    <row r="1311">
      <c r="A1311" t="inlineStr">
        <is>
          <t>Augustus Asamoah</t>
        </is>
      </c>
      <c r="B1311" s="4" t="n">
        <v>46118</v>
      </c>
      <c r="C1311" t="inlineStr">
        <is>
          <t>/</t>
        </is>
      </c>
      <c r="D1311" t="inlineStr">
        <is>
          <t>Augustus Asamoah</t>
        </is>
      </c>
      <c r="E1311" t="inlineStr">
        <is>
          <t>Augustus Asamoah</t>
        </is>
      </c>
      <c r="F1311" s="5" t="n">
        <v>46156.66915509259</v>
      </c>
      <c r="H1311" t="inlineStr">
        <is>
          <t>P13PC00A00 - Private Sector Companies</t>
        </is>
      </c>
      <c r="I1311" t="n">
        <v>0</v>
      </c>
      <c r="L1311" t="b">
        <v>0</v>
      </c>
      <c r="M1311" t="inlineStr">
        <is>
          <t>Non-Billable</t>
        </is>
      </c>
      <c r="N1311" s="6">
        <f>IF(B1311="","",IF(ISNUMBER(B1311),TEXT(B1311,"YYYY-MM"),LEFT(B1311,7)))</f>
        <v/>
      </c>
    </row>
    <row r="1312">
      <c r="A1312" t="inlineStr">
        <is>
          <t>Augustus Asamoah</t>
        </is>
      </c>
      <c r="B1312" s="4" t="n">
        <v>46118</v>
      </c>
      <c r="C1312" t="inlineStr">
        <is>
          <t>/</t>
        </is>
      </c>
      <c r="D1312" t="inlineStr">
        <is>
          <t>Augustus Asamoah</t>
        </is>
      </c>
      <c r="E1312" t="inlineStr">
        <is>
          <t>Augustus Asamoah</t>
        </is>
      </c>
      <c r="F1312" s="5" t="n">
        <v>46156.66863425926</v>
      </c>
      <c r="H1312" t="inlineStr">
        <is>
          <t>P13NC00A00 - WALMART II</t>
        </is>
      </c>
      <c r="I1312" t="n">
        <v>0</v>
      </c>
      <c r="L1312" t="b">
        <v>0</v>
      </c>
      <c r="M1312" t="inlineStr">
        <is>
          <t>Non-Billable</t>
        </is>
      </c>
      <c r="N1312" s="6">
        <f>IF(B1312="","",IF(ISNUMBER(B1312),TEXT(B1312,"YYYY-MM"),LEFT(B1312,7)))</f>
        <v/>
      </c>
    </row>
    <row r="1313">
      <c r="A1313" t="inlineStr">
        <is>
          <t>Augustus Asamoah</t>
        </is>
      </c>
      <c r="B1313" s="4" t="n">
        <v>46118</v>
      </c>
      <c r="C1313" t="inlineStr">
        <is>
          <t>/</t>
        </is>
      </c>
      <c r="D1313" t="inlineStr">
        <is>
          <t>Augustus Asamoah</t>
        </is>
      </c>
      <c r="E1313" t="inlineStr">
        <is>
          <t>Augustus Asamoah</t>
        </is>
      </c>
      <c r="F1313" s="5" t="n">
        <v>46156.66358796296</v>
      </c>
      <c r="H1313" t="inlineStr">
        <is>
          <t>P13NC00A00 - WALMART II</t>
        </is>
      </c>
      <c r="I1313" t="n">
        <v>0</v>
      </c>
      <c r="K1313" t="inlineStr">
        <is>
          <t>Programme Personnel and Management</t>
        </is>
      </c>
      <c r="L1313" t="b">
        <v>0</v>
      </c>
      <c r="M1313" t="inlineStr">
        <is>
          <t>Non-Billable</t>
        </is>
      </c>
      <c r="N1313" s="6">
        <f>IF(B1313="","",IF(ISNUMBER(B1313),TEXT(B1313,"YYYY-MM"),LEFT(B1313,7)))</f>
        <v/>
      </c>
    </row>
    <row r="1314">
      <c r="A1314" t="inlineStr">
        <is>
          <t>Augustus Asamoah</t>
        </is>
      </c>
      <c r="B1314" s="4" t="n">
        <v>46118</v>
      </c>
      <c r="C1314" t="inlineStr">
        <is>
          <t>/</t>
        </is>
      </c>
      <c r="D1314" t="inlineStr">
        <is>
          <t>Augustus Asamoah</t>
        </is>
      </c>
      <c r="E1314" t="inlineStr">
        <is>
          <t>Augustus Asamoah</t>
        </is>
      </c>
      <c r="F1314" s="5" t="n">
        <v>46156.66314814815</v>
      </c>
      <c r="H1314" t="inlineStr">
        <is>
          <t>P13QC00A00 - EFI Programme</t>
        </is>
      </c>
      <c r="I1314" t="n">
        <v>0</v>
      </c>
      <c r="L1314" t="b">
        <v>0</v>
      </c>
      <c r="M1314" t="inlineStr">
        <is>
          <t>Non-Billable</t>
        </is>
      </c>
      <c r="N1314" s="6">
        <f>IF(B1314="","",IF(ISNUMBER(B1314),TEXT(B1314,"YYYY-MM"),LEFT(B1314,7)))</f>
        <v/>
      </c>
    </row>
    <row r="1315">
      <c r="A1315" t="inlineStr">
        <is>
          <t>Augustus Asamoah</t>
        </is>
      </c>
      <c r="B1315" s="4" t="n">
        <v>46118</v>
      </c>
      <c r="C1315" t="inlineStr">
        <is>
          <t>Field Data Processing</t>
        </is>
      </c>
      <c r="D1315" t="inlineStr">
        <is>
          <t>Augustus Asamoah</t>
        </is>
      </c>
      <c r="E1315" t="inlineStr">
        <is>
          <t>Augustus Asamoah</t>
        </is>
      </c>
      <c r="F1315" s="5" t="n">
        <v>46156.66277777778</v>
      </c>
      <c r="H1315" t="inlineStr">
        <is>
          <t>PCGH784</t>
        </is>
      </c>
      <c r="I1315" t="n">
        <v>0</v>
      </c>
      <c r="J1315" t="inlineStr">
        <is>
          <t>PCGH784 - Desk Study (3) (Okeosisi Jonathan)</t>
        </is>
      </c>
      <c r="L1315" t="b">
        <v>1</v>
      </c>
      <c r="M1315" t="inlineStr">
        <is>
          <t>Billed at a Fixed price</t>
        </is>
      </c>
      <c r="N1315" s="6">
        <f>IF(B1315="","",IF(ISNUMBER(B1315),TEXT(B1315,"YYYY-MM"),LEFT(B1315,7)))</f>
        <v/>
      </c>
    </row>
    <row r="1316">
      <c r="A1316" t="inlineStr">
        <is>
          <t>Augustus Asamoah</t>
        </is>
      </c>
      <c r="B1316" s="4" t="n">
        <v>46118</v>
      </c>
      <c r="C1316" t="inlineStr">
        <is>
          <t>/</t>
        </is>
      </c>
      <c r="D1316" t="inlineStr">
        <is>
          <t>Augustus Asamoah</t>
        </is>
      </c>
      <c r="E1316" t="inlineStr">
        <is>
          <t>Augustus Asamoah</t>
        </is>
      </c>
      <c r="F1316" s="5" t="n">
        <v>46156.66233796296</v>
      </c>
      <c r="H1316" t="inlineStr">
        <is>
          <t>Non-Billable Tasks</t>
        </is>
      </c>
      <c r="I1316" t="n">
        <v>0</v>
      </c>
      <c r="L1316" t="b">
        <v>0</v>
      </c>
      <c r="M1316" t="inlineStr">
        <is>
          <t>Non-Billable</t>
        </is>
      </c>
      <c r="N1316" s="6">
        <f>IF(B1316="","",IF(ISNUMBER(B1316),TEXT(B1316,"YYYY-MM"),LEFT(B1316,7)))</f>
        <v/>
      </c>
    </row>
    <row r="1317">
      <c r="A1317" t="inlineStr">
        <is>
          <t>Augustus Asamoah</t>
        </is>
      </c>
      <c r="B1317" s="4" t="n">
        <v>46118</v>
      </c>
      <c r="C1317" t="inlineStr">
        <is>
          <t>Public Holiday</t>
        </is>
      </c>
      <c r="D1317" t="inlineStr">
        <is>
          <t>Augustus Asamoah</t>
        </is>
      </c>
      <c r="E1317" t="inlineStr">
        <is>
          <t>Augustus Asamoah</t>
        </is>
      </c>
      <c r="F1317" s="5" t="n">
        <v>46156.66228009259</v>
      </c>
      <c r="H1317" t="inlineStr">
        <is>
          <t>Non-Billable Tasks</t>
        </is>
      </c>
      <c r="I1317" t="n">
        <v>8</v>
      </c>
      <c r="L1317" t="b">
        <v>0</v>
      </c>
      <c r="M1317" t="inlineStr">
        <is>
          <t>Non-Billable</t>
        </is>
      </c>
      <c r="N1317" s="6">
        <f>IF(B1317="","",IF(ISNUMBER(B1317),TEXT(B1317,"YYYY-MM"),LEFT(B1317,7)))</f>
        <v/>
      </c>
    </row>
    <row r="1318">
      <c r="A1318" t="inlineStr">
        <is>
          <t>Helena Tetteh</t>
        </is>
      </c>
      <c r="B1318" s="4" t="n">
        <v>46118</v>
      </c>
      <c r="C1318" t="inlineStr">
        <is>
          <t>/</t>
        </is>
      </c>
      <c r="D1318" t="inlineStr">
        <is>
          <t xml:space="preserve">Helena Tetteh </t>
        </is>
      </c>
      <c r="E1318" t="inlineStr">
        <is>
          <t>OdooBot</t>
        </is>
      </c>
      <c r="F1318" s="5" t="n">
        <v>46154.70721064815</v>
      </c>
      <c r="H1318" t="inlineStr">
        <is>
          <t>P23AC00C00 - FGMC</t>
        </is>
      </c>
      <c r="I1318" t="n">
        <v>5.5</v>
      </c>
      <c r="L1318" t="b">
        <v>0</v>
      </c>
      <c r="M1318" t="inlineStr">
        <is>
          <t>Non-Billable</t>
        </is>
      </c>
      <c r="N1318" s="6">
        <f>IF(B1318="","",IF(ISNUMBER(B1318),TEXT(B1318,"YYYY-MM"),LEFT(B1318,7)))</f>
        <v/>
      </c>
    </row>
    <row r="1319">
      <c r="A1319" t="inlineStr">
        <is>
          <t>Helena Tetteh</t>
        </is>
      </c>
      <c r="B1319" s="4" t="n">
        <v>46118</v>
      </c>
      <c r="C1319" t="inlineStr">
        <is>
          <t>mentoring (call with ABe), Sust. Livelihoods PFAFR check-in, Call with Eben_2026 utilization forecast alignment</t>
        </is>
      </c>
      <c r="D1319" t="inlineStr">
        <is>
          <t xml:space="preserve">Helena Tetteh </t>
        </is>
      </c>
      <c r="E1319" t="inlineStr">
        <is>
          <t>OdooBot</t>
        </is>
      </c>
      <c r="F1319" s="5" t="n">
        <v>46154.70721064815</v>
      </c>
      <c r="H1319" t="inlineStr">
        <is>
          <t>Non-Billable Tasks</t>
        </is>
      </c>
      <c r="I1319" t="n">
        <v>2.5</v>
      </c>
      <c r="K1319" t="inlineStr">
        <is>
          <t>Professional development and Knowledge sharing(training,global knowledge calls,exchange weeks)</t>
        </is>
      </c>
      <c r="L1319" t="b">
        <v>0</v>
      </c>
      <c r="M1319" t="inlineStr">
        <is>
          <t>Non-Billable</t>
        </is>
      </c>
      <c r="N1319" s="6">
        <f>IF(B1319="","",IF(ISNUMBER(B1319),TEXT(B1319,"YYYY-MM"),LEFT(B1319,7)))</f>
        <v/>
      </c>
    </row>
    <row r="1320">
      <c r="A1320" t="inlineStr">
        <is>
          <t>Afua Serwah Akoto Prempeh</t>
        </is>
      </c>
      <c r="B1320" s="4" t="n">
        <v>46118</v>
      </c>
      <c r="C1320" t="inlineStr">
        <is>
          <t>/</t>
        </is>
      </c>
      <c r="D1320" t="inlineStr">
        <is>
          <t>Afua Serwah Akoto Prempeh</t>
        </is>
      </c>
      <c r="E1320" t="inlineStr">
        <is>
          <t>OdooBot</t>
        </is>
      </c>
      <c r="F1320" s="5" t="n">
        <v>46154.70721064815</v>
      </c>
      <c r="H1320" t="inlineStr">
        <is>
          <t>Non-Billable Tasks</t>
        </is>
      </c>
      <c r="I1320" t="n">
        <v>8</v>
      </c>
      <c r="K1320" t="inlineStr">
        <is>
          <t>Public Holiday</t>
        </is>
      </c>
      <c r="L1320" t="b">
        <v>0</v>
      </c>
      <c r="M1320" t="inlineStr">
        <is>
          <t>Non-Billable</t>
        </is>
      </c>
      <c r="N1320" s="6">
        <f>IF(B1320="","",IF(ISNUMBER(B1320),TEXT(B1320,"YYYY-MM"),LEFT(B1320,7)))</f>
        <v/>
      </c>
    </row>
    <row r="1321">
      <c r="A1321" t="inlineStr">
        <is>
          <t>Stephen Doso</t>
        </is>
      </c>
      <c r="B1321" s="4" t="n">
        <v>46118</v>
      </c>
      <c r="C1321" t="inlineStr">
        <is>
          <t>Easter</t>
        </is>
      </c>
      <c r="D1321" t="inlineStr">
        <is>
          <t>Stephen Doso</t>
        </is>
      </c>
      <c r="E1321" t="inlineStr">
        <is>
          <t>OdooBot</t>
        </is>
      </c>
      <c r="F1321" s="5" t="n">
        <v>46154.70721064815</v>
      </c>
      <c r="H1321" t="inlineStr">
        <is>
          <t>Internal</t>
        </is>
      </c>
      <c r="I1321" t="n">
        <v>8</v>
      </c>
      <c r="K1321" t="inlineStr">
        <is>
          <t>Public Holiday</t>
        </is>
      </c>
      <c r="L1321" t="b">
        <v>0</v>
      </c>
      <c r="M1321" t="inlineStr">
        <is>
          <t>Non-Billable</t>
        </is>
      </c>
      <c r="N1321" s="6">
        <f>IF(B1321="","",IF(ISNUMBER(B1321),TEXT(B1321,"YYYY-MM"),LEFT(B1321,7)))</f>
        <v/>
      </c>
    </row>
    <row r="1322">
      <c r="A1322" t="inlineStr">
        <is>
          <t>Louis Defo</t>
        </is>
      </c>
      <c r="B1322" s="4" t="n">
        <v>46118</v>
      </c>
      <c r="C1322" t="inlineStr">
        <is>
          <t>/</t>
        </is>
      </c>
      <c r="D1322" t="inlineStr">
        <is>
          <t>Louis Defo</t>
        </is>
      </c>
      <c r="E1322" t="inlineStr">
        <is>
          <t>OdooBot</t>
        </is>
      </c>
      <c r="F1322" s="5" t="n">
        <v>46154.70721064815</v>
      </c>
      <c r="H1322" t="inlineStr">
        <is>
          <t>PCGH774 -Evaluation Deep-Dive Action Plans by Socfin Group</t>
        </is>
      </c>
      <c r="I1322" t="n">
        <v>8</v>
      </c>
      <c r="J1322" t="inlineStr">
        <is>
          <t>PCGH774 - Project Management (2) (Socfinco FR SA)</t>
        </is>
      </c>
      <c r="L1322" t="b">
        <v>1</v>
      </c>
      <c r="M1322" t="inlineStr">
        <is>
          <t>Billed at a Fixed price</t>
        </is>
      </c>
      <c r="N1322" s="6">
        <f>IF(B1322="","",IF(ISNUMBER(B1322),TEXT(B1322,"YYYY-MM"),LEFT(B1322,7)))</f>
        <v/>
      </c>
    </row>
    <row r="1323">
      <c r="A1323" t="inlineStr">
        <is>
          <t>Clement Obeng-Manu</t>
        </is>
      </c>
      <c r="B1323" s="4" t="n">
        <v>46118</v>
      </c>
      <c r="C1323" t="inlineStr">
        <is>
          <t>/</t>
        </is>
      </c>
      <c r="D1323" t="inlineStr">
        <is>
          <t>Ekow Nyamekye Tawiah</t>
        </is>
      </c>
      <c r="E1323" t="inlineStr">
        <is>
          <t>OdooBot</t>
        </is>
      </c>
      <c r="F1323" s="5" t="n">
        <v>46154.70721064815</v>
      </c>
      <c r="H1323" t="inlineStr">
        <is>
          <t>PCGH776 - Deforestation Risk-Assessment Cashew-Coast</t>
        </is>
      </c>
      <c r="I1323" t="n">
        <v>0</v>
      </c>
      <c r="J1323" t="inlineStr">
        <is>
          <t>PCGH776 - Groundthruthing and Verification (3) (Cashew Coast Products Inc)</t>
        </is>
      </c>
      <c r="K1323" t="inlineStr">
        <is>
          <t>Land cover classification, ground truthing and accuracy assessment</t>
        </is>
      </c>
      <c r="L1323" t="b">
        <v>1</v>
      </c>
      <c r="M1323" t="inlineStr">
        <is>
          <t>Billed at a Fixed price</t>
        </is>
      </c>
      <c r="N1323" s="6">
        <f>IF(B1323="","",IF(ISNUMBER(B1323),TEXT(B1323,"YYYY-MM"),LEFT(B1323,7)))</f>
        <v/>
      </c>
    </row>
    <row r="1324">
      <c r="A1324" t="inlineStr">
        <is>
          <t>Clement Obeng-Manu</t>
        </is>
      </c>
      <c r="B1324" s="4" t="n">
        <v>46118</v>
      </c>
      <c r="C1324" t="inlineStr">
        <is>
          <t>/</t>
        </is>
      </c>
      <c r="D1324" t="inlineStr">
        <is>
          <t>Ekow Nyamekye Tawiah</t>
        </is>
      </c>
      <c r="E1324" t="inlineStr">
        <is>
          <t>OdooBot</t>
        </is>
      </c>
      <c r="F1324" s="5" t="n">
        <v>46154.70721064815</v>
      </c>
      <c r="H1324" t="inlineStr">
        <is>
          <t>PCGH776 - Deforestation Risk-Assessment Cashew-Coast</t>
        </is>
      </c>
      <c r="I1324" t="n">
        <v>8</v>
      </c>
      <c r="J1324" t="inlineStr">
        <is>
          <t>PCGH776 - Data collection and review (3) (Cashew Coast Products Inc)</t>
        </is>
      </c>
      <c r="K1324" t="inlineStr">
        <is>
          <t>Data review, compilation and integration</t>
        </is>
      </c>
      <c r="L1324" t="b">
        <v>1</v>
      </c>
      <c r="M1324" t="inlineStr">
        <is>
          <t>Billed at a Fixed price</t>
        </is>
      </c>
      <c r="N1324" s="6">
        <f>IF(B1324="","",IF(ISNUMBER(B1324),TEXT(B1324,"YYYY-MM"),LEFT(B1324,7)))</f>
        <v/>
      </c>
    </row>
    <row r="1325">
      <c r="A1325" t="inlineStr">
        <is>
          <t>Kingsley Fitz-Gerald Severine</t>
        </is>
      </c>
      <c r="B1325" s="4" t="n">
        <v>46118</v>
      </c>
      <c r="C1325" t="inlineStr">
        <is>
          <t>/</t>
        </is>
      </c>
      <c r="D1325" t="inlineStr">
        <is>
          <t>Kingsley Fitz-Gerald Severine</t>
        </is>
      </c>
      <c r="E1325" t="inlineStr">
        <is>
          <t>OdooBot</t>
        </is>
      </c>
      <c r="F1325" s="5" t="n">
        <v>46154.70721064815</v>
      </c>
      <c r="H1325" t="inlineStr">
        <is>
          <t>Non-Billable Tasks</t>
        </is>
      </c>
      <c r="I1325" t="n">
        <v>8</v>
      </c>
      <c r="K1325" t="inlineStr">
        <is>
          <t>Public Holiday</t>
        </is>
      </c>
      <c r="L1325" t="b">
        <v>0</v>
      </c>
      <c r="M1325" t="inlineStr">
        <is>
          <t>Non-Billable</t>
        </is>
      </c>
      <c r="N1325" s="6">
        <f>IF(B1325="","",IF(ISNUMBER(B1325),TEXT(B1325,"YYYY-MM"),LEFT(B1325,7)))</f>
        <v/>
      </c>
    </row>
    <row r="1326">
      <c r="A1326" t="inlineStr">
        <is>
          <t>Abel Ansu</t>
        </is>
      </c>
      <c r="B1326" s="4" t="n">
        <v>46118</v>
      </c>
      <c r="C1326" t="inlineStr">
        <is>
          <t>/</t>
        </is>
      </c>
      <c r="D1326" t="inlineStr">
        <is>
          <t>Abel Ansu</t>
        </is>
      </c>
      <c r="E1326" t="inlineStr">
        <is>
          <t>OdooBot</t>
        </is>
      </c>
      <c r="F1326" s="5" t="n">
        <v>46154.70721064815</v>
      </c>
      <c r="H1326" t="inlineStr">
        <is>
          <t>Internal</t>
        </is>
      </c>
      <c r="I1326" t="n">
        <v>-10</v>
      </c>
      <c r="K1326" t="inlineStr">
        <is>
          <t>Public Holiday</t>
        </is>
      </c>
      <c r="L1326" t="b">
        <v>0</v>
      </c>
      <c r="M1326" t="inlineStr">
        <is>
          <t>Non-Billable</t>
        </is>
      </c>
      <c r="N1326" s="6">
        <f>IF(B1326="","",IF(ISNUMBER(B1326),TEXT(B1326,"YYYY-MM"),LEFT(B1326,7)))</f>
        <v/>
      </c>
    </row>
    <row r="1327">
      <c r="A1327" t="inlineStr">
        <is>
          <t>Abel Ansu</t>
        </is>
      </c>
      <c r="B1327" s="4" t="n">
        <v>46118</v>
      </c>
      <c r="C1327" t="inlineStr">
        <is>
          <t>/</t>
        </is>
      </c>
      <c r="D1327" t="inlineStr">
        <is>
          <t>Abel Ansu</t>
        </is>
      </c>
      <c r="E1327" t="inlineStr">
        <is>
          <t>OdooBot</t>
        </is>
      </c>
      <c r="F1327" s="5" t="n">
        <v>46154.70721064815</v>
      </c>
      <c r="H1327" t="inlineStr">
        <is>
          <t>Internal</t>
        </is>
      </c>
      <c r="I1327" t="n">
        <v>2</v>
      </c>
      <c r="K1327" t="inlineStr">
        <is>
          <t>Public Holiday</t>
        </is>
      </c>
      <c r="L1327" t="b">
        <v>0</v>
      </c>
      <c r="M1327" t="inlineStr">
        <is>
          <t>Non-Billable</t>
        </is>
      </c>
      <c r="N1327" s="6">
        <f>IF(B1327="","",IF(ISNUMBER(B1327),TEXT(B1327,"YYYY-MM"),LEFT(B1327,7)))</f>
        <v/>
      </c>
    </row>
    <row r="1328">
      <c r="A1328" t="inlineStr">
        <is>
          <t>Abel Ansu</t>
        </is>
      </c>
      <c r="B1328" s="4" t="n">
        <v>46118</v>
      </c>
      <c r="C1328" t="inlineStr">
        <is>
          <t>Easter Monday</t>
        </is>
      </c>
      <c r="D1328" t="inlineStr">
        <is>
          <t>Abel Ansu</t>
        </is>
      </c>
      <c r="E1328" t="inlineStr">
        <is>
          <t>OdooBot</t>
        </is>
      </c>
      <c r="F1328" s="5" t="n">
        <v>46154.70721064815</v>
      </c>
      <c r="H1328" t="inlineStr">
        <is>
          <t>Internal</t>
        </is>
      </c>
      <c r="I1328" t="n">
        <v>8</v>
      </c>
      <c r="K1328" t="inlineStr">
        <is>
          <t>Public Holiday</t>
        </is>
      </c>
      <c r="L1328" t="b">
        <v>0</v>
      </c>
      <c r="M1328" t="inlineStr">
        <is>
          <t>Non-Billable</t>
        </is>
      </c>
      <c r="N1328" s="6">
        <f>IF(B1328="","",IF(ISNUMBER(B1328),TEXT(B1328,"YYYY-MM"),LEFT(B1328,7)))</f>
        <v/>
      </c>
    </row>
    <row r="1329">
      <c r="A1329" t="inlineStr">
        <is>
          <t>Daleba Bernard Kpenahi Raymond</t>
        </is>
      </c>
      <c r="B1329" s="4" t="n">
        <v>46118</v>
      </c>
      <c r="C1329" t="inlineStr">
        <is>
          <t>/</t>
        </is>
      </c>
      <c r="D1329" t="inlineStr">
        <is>
          <t>Daleba Bernard Kpenahi Raymond</t>
        </is>
      </c>
      <c r="E1329" t="inlineStr">
        <is>
          <t>OdooBot</t>
        </is>
      </c>
      <c r="F1329" s="5" t="n">
        <v>46154.70721064815</v>
      </c>
      <c r="H1329" t="inlineStr">
        <is>
          <t>Non-Billable Tasks</t>
        </is>
      </c>
      <c r="I1329" t="n">
        <v>8</v>
      </c>
      <c r="K1329" t="inlineStr">
        <is>
          <t>Public Holiday</t>
        </is>
      </c>
      <c r="L1329" t="b">
        <v>0</v>
      </c>
      <c r="M1329" t="inlineStr">
        <is>
          <t>Non-Billable</t>
        </is>
      </c>
      <c r="N1329" s="6">
        <f>IF(B1329="","",IF(ISNUMBER(B1329),TEXT(B1329,"YYYY-MM"),LEFT(B1329,7)))</f>
        <v/>
      </c>
    </row>
    <row r="1330">
      <c r="A1330" t="inlineStr">
        <is>
          <t>Kwadwo Baniako Nti</t>
        </is>
      </c>
      <c r="B1330" s="4" t="n">
        <v>46118</v>
      </c>
      <c r="C1330" t="inlineStr">
        <is>
          <t>/</t>
        </is>
      </c>
      <c r="D1330" t="inlineStr">
        <is>
          <t>Kwadwo Baniako Nti</t>
        </is>
      </c>
      <c r="E1330" t="inlineStr">
        <is>
          <t>OdooBot</t>
        </is>
      </c>
      <c r="F1330" s="5" t="n">
        <v>46154.70721064815</v>
      </c>
      <c r="H1330" t="inlineStr">
        <is>
          <t>PCGH762 - GVL HCSA Restoration Project</t>
        </is>
      </c>
      <c r="I1330" t="n">
        <v>8</v>
      </c>
      <c r="J1330" t="inlineStr">
        <is>
          <t>PCGH762 - Baseline Socio-Economic &amp; Environmental Surveys (Golden Veroleum Liberia)</t>
        </is>
      </c>
      <c r="K1330" t="inlineStr">
        <is>
          <t>Baseline Socio-Economic &amp; Environmental Surveys</t>
        </is>
      </c>
      <c r="L1330" t="b">
        <v>1</v>
      </c>
      <c r="M1330" t="inlineStr">
        <is>
          <t>Billed at a Fixed price</t>
        </is>
      </c>
      <c r="N1330" s="6">
        <f>IF(B1330="","",IF(ISNUMBER(B1330),TEXT(B1330,"YYYY-MM"),LEFT(B1330,7)))</f>
        <v/>
      </c>
    </row>
    <row r="1331">
      <c r="A1331" t="inlineStr">
        <is>
          <t>Abel Ansu</t>
        </is>
      </c>
      <c r="B1331" s="4" t="n">
        <v>46118</v>
      </c>
      <c r="C1331" t="inlineStr">
        <is>
          <t>Easter Monday</t>
        </is>
      </c>
      <c r="D1331" t="inlineStr">
        <is>
          <t>Abel Ansu</t>
        </is>
      </c>
      <c r="E1331" t="inlineStr">
        <is>
          <t>OdooBot</t>
        </is>
      </c>
      <c r="F1331" s="5" t="n">
        <v>46154.70721064815</v>
      </c>
      <c r="H1331" t="inlineStr">
        <is>
          <t>Internal</t>
        </is>
      </c>
      <c r="I1331" t="n">
        <v>8</v>
      </c>
      <c r="K1331" t="inlineStr">
        <is>
          <t>Public Holiday</t>
        </is>
      </c>
      <c r="L1331" t="b">
        <v>0</v>
      </c>
      <c r="M1331" t="inlineStr">
        <is>
          <t>Non-Billable</t>
        </is>
      </c>
      <c r="N1331" s="6">
        <f>IF(B1331="","",IF(ISNUMBER(B1331),TEXT(B1331,"YYYY-MM"),LEFT(B1331,7)))</f>
        <v/>
      </c>
    </row>
    <row r="1332">
      <c r="A1332" t="inlineStr">
        <is>
          <t>Ekow Nyamekye Tawiah</t>
        </is>
      </c>
      <c r="B1332" s="4" t="n">
        <v>46115</v>
      </c>
      <c r="C1332" t="inlineStr">
        <is>
          <t>/</t>
        </is>
      </c>
      <c r="D1332" t="inlineStr">
        <is>
          <t>Joseph Isaiah Mensah</t>
        </is>
      </c>
      <c r="E1332" t="inlineStr">
        <is>
          <t>Ekow Nyamekye Tawiah</t>
        </is>
      </c>
      <c r="F1332" s="5" t="n">
        <v>46162.82697916667</v>
      </c>
      <c r="H1332" t="inlineStr">
        <is>
          <t>Non-Billable Tasks</t>
        </is>
      </c>
      <c r="I1332" t="n">
        <v>4</v>
      </c>
      <c r="K1332" t="inlineStr">
        <is>
          <t>Public Holiday</t>
        </is>
      </c>
      <c r="L1332" t="b">
        <v>0</v>
      </c>
      <c r="M1332" t="inlineStr">
        <is>
          <t>Non-Billable</t>
        </is>
      </c>
      <c r="N1332" s="6">
        <f>IF(B1332="","",IF(ISNUMBER(B1332),TEXT(B1332,"YYYY-MM"),LEFT(B1332,7)))</f>
        <v/>
      </c>
    </row>
    <row r="1333">
      <c r="A1333" t="inlineStr">
        <is>
          <t>Joseph Isaiah Mensah</t>
        </is>
      </c>
      <c r="B1333" s="4" t="n">
        <v>46115</v>
      </c>
      <c r="C1333" t="inlineStr">
        <is>
          <t>/</t>
        </is>
      </c>
      <c r="D1333" t="inlineStr">
        <is>
          <t>Jacqueline Nyakutse Afua</t>
        </is>
      </c>
      <c r="E1333" t="inlineStr">
        <is>
          <t>Joseph Isaiah Mensah</t>
        </is>
      </c>
      <c r="F1333" s="5" t="n">
        <v>46162.78373842593</v>
      </c>
      <c r="H1333" t="inlineStr">
        <is>
          <t>PCGH774 -Evaluation Deep-Dive Action Plans by Socfin Group</t>
        </is>
      </c>
      <c r="I1333" t="n">
        <v>8</v>
      </c>
      <c r="J1333" t="inlineStr">
        <is>
          <t>PCGH774 - Review of operational documents (Socfinco FR SA)</t>
        </is>
      </c>
      <c r="K1333" t="inlineStr">
        <is>
          <t>[Cameroon, Socapalm （Dibombari + Edéa + Mbongo + Mbambou） Report review] - Review of operational documents</t>
        </is>
      </c>
      <c r="L1333" t="b">
        <v>1</v>
      </c>
      <c r="M1333" t="inlineStr">
        <is>
          <t>Billed at a Fixed price</t>
        </is>
      </c>
      <c r="N1333" s="6">
        <f>IF(B1333="","",IF(ISNUMBER(B1333),TEXT(B1333,"YYYY-MM"),LEFT(B1333,7)))</f>
        <v/>
      </c>
    </row>
    <row r="1334">
      <c r="A1334" t="inlineStr">
        <is>
          <t>James Parker Mckeown</t>
        </is>
      </c>
      <c r="B1334" s="4" t="n">
        <v>46115</v>
      </c>
      <c r="C1334" t="inlineStr">
        <is>
          <t>/</t>
        </is>
      </c>
      <c r="D1334" t="inlineStr">
        <is>
          <t>James Parker Mckeown</t>
        </is>
      </c>
      <c r="E1334" t="inlineStr">
        <is>
          <t>James Parker Mckeown</t>
        </is>
      </c>
      <c r="F1334" s="5" t="n">
        <v>46162.75774305555</v>
      </c>
      <c r="H1334" t="inlineStr">
        <is>
          <t>PCGH762 - GVL HCSA Restoration Project</t>
        </is>
      </c>
      <c r="I1334" t="n">
        <v>8</v>
      </c>
      <c r="J1334" t="inlineStr">
        <is>
          <t>PCGH762 - Baseline Socio-Economic &amp; Environmental Surveys (Golden Veroleum Liberia)</t>
        </is>
      </c>
      <c r="K1334" t="inlineStr">
        <is>
          <t>Baseline Socio-Economic &amp; Environmental Surveys</t>
        </is>
      </c>
      <c r="L1334" t="b">
        <v>1</v>
      </c>
      <c r="M1334" t="inlineStr">
        <is>
          <t>Billed at a Fixed price</t>
        </is>
      </c>
      <c r="N1334" s="6">
        <f>IF(B1334="","",IF(ISNUMBER(B1334),TEXT(B1334,"YYYY-MM"),LEFT(B1334,7)))</f>
        <v/>
      </c>
    </row>
    <row r="1335">
      <c r="A1335" t="inlineStr">
        <is>
          <t>Frederick Antwi</t>
        </is>
      </c>
      <c r="B1335" s="4" t="n">
        <v>46115</v>
      </c>
      <c r="C1335" t="inlineStr">
        <is>
          <t>/</t>
        </is>
      </c>
      <c r="D1335" t="inlineStr">
        <is>
          <t>Frederick Antwi</t>
        </is>
      </c>
      <c r="E1335" t="inlineStr">
        <is>
          <t>Frederick Antwi</t>
        </is>
      </c>
      <c r="F1335" s="5" t="n">
        <v>46160.6303587963</v>
      </c>
      <c r="H1335" t="inlineStr">
        <is>
          <t>P13PC00A00 - Private Sector Companies</t>
        </is>
      </c>
      <c r="I1335" t="n">
        <v>8</v>
      </c>
      <c r="L1335" t="b">
        <v>0</v>
      </c>
      <c r="M1335" t="inlineStr">
        <is>
          <t>Non-Billable</t>
        </is>
      </c>
      <c r="N1335" s="6">
        <f>IF(B1335="","",IF(ISNUMBER(B1335),TEXT(B1335,"YYYY-MM"),LEFT(B1335,7)))</f>
        <v/>
      </c>
    </row>
    <row r="1336">
      <c r="A1336" t="inlineStr">
        <is>
          <t>Augustus Asamoah</t>
        </is>
      </c>
      <c r="B1336" s="4" t="n">
        <v>46115</v>
      </c>
      <c r="C1336" t="inlineStr">
        <is>
          <t>/</t>
        </is>
      </c>
      <c r="D1336" t="inlineStr">
        <is>
          <t>Augustus Asamoah</t>
        </is>
      </c>
      <c r="E1336" t="inlineStr">
        <is>
          <t>Augustus Asamoah</t>
        </is>
      </c>
      <c r="F1336" s="5" t="n">
        <v>46156.66172453704</v>
      </c>
      <c r="H1336" t="inlineStr">
        <is>
          <t>Non-Billable Tasks</t>
        </is>
      </c>
      <c r="I1336" t="n">
        <v>8</v>
      </c>
      <c r="L1336" t="b">
        <v>0</v>
      </c>
      <c r="M1336" t="inlineStr">
        <is>
          <t>Non-Billable</t>
        </is>
      </c>
      <c r="N1336" s="6">
        <f>IF(B1336="","",IF(ISNUMBER(B1336),TEXT(B1336,"YYYY-MM"),LEFT(B1336,7)))</f>
        <v/>
      </c>
    </row>
    <row r="1337">
      <c r="A1337" t="inlineStr">
        <is>
          <t>Helena Tetteh</t>
        </is>
      </c>
      <c r="B1337" s="4" t="n">
        <v>46115</v>
      </c>
      <c r="C1337" t="inlineStr">
        <is>
          <t>/</t>
        </is>
      </c>
      <c r="D1337" t="inlineStr">
        <is>
          <t xml:space="preserve">Helena Tetteh </t>
        </is>
      </c>
      <c r="E1337" t="inlineStr">
        <is>
          <t>OdooBot</t>
        </is>
      </c>
      <c r="F1337" s="5" t="n">
        <v>46154.70721064815</v>
      </c>
      <c r="G1337" t="inlineStr">
        <is>
          <t>Output 2.3</t>
        </is>
      </c>
      <c r="H1337" t="inlineStr">
        <is>
          <t>P23AC00C00 - FGMC</t>
        </is>
      </c>
      <c r="I1337" t="n">
        <v>8</v>
      </c>
      <c r="K1337" t="inlineStr">
        <is>
          <t>P23AC22A00 - Output Two (Elevating Local Solutions - West Africa)</t>
        </is>
      </c>
      <c r="L1337" t="b">
        <v>0</v>
      </c>
      <c r="M1337" t="inlineStr">
        <is>
          <t>Non-Billable</t>
        </is>
      </c>
      <c r="N1337" s="6">
        <f>IF(B1337="","",IF(ISNUMBER(B1337),TEXT(B1337,"YYYY-MM"),LEFT(B1337,7)))</f>
        <v/>
      </c>
    </row>
    <row r="1338">
      <c r="A1338" t="inlineStr">
        <is>
          <t>Afua Serwah Akoto Prempeh</t>
        </is>
      </c>
      <c r="B1338" s="4" t="n">
        <v>46115</v>
      </c>
      <c r="C1338" t="inlineStr">
        <is>
          <t>/</t>
        </is>
      </c>
      <c r="D1338" t="inlineStr">
        <is>
          <t>Afua Serwah Akoto Prempeh</t>
        </is>
      </c>
      <c r="E1338" t="inlineStr">
        <is>
          <t>OdooBot</t>
        </is>
      </c>
      <c r="F1338" s="5" t="n">
        <v>46154.70721064815</v>
      </c>
      <c r="H1338" t="inlineStr">
        <is>
          <t>Non-Billable Tasks</t>
        </is>
      </c>
      <c r="I1338" t="n">
        <v>8</v>
      </c>
      <c r="K1338" t="inlineStr">
        <is>
          <t>Public Holiday</t>
        </is>
      </c>
      <c r="L1338" t="b">
        <v>0</v>
      </c>
      <c r="M1338" t="inlineStr">
        <is>
          <t>Non-Billable</t>
        </is>
      </c>
      <c r="N1338" s="6">
        <f>IF(B1338="","",IF(ISNUMBER(B1338),TEXT(B1338,"YYYY-MM"),LEFT(B1338,7)))</f>
        <v/>
      </c>
    </row>
    <row r="1339">
      <c r="A1339" t="inlineStr">
        <is>
          <t>Stephen Doso</t>
        </is>
      </c>
      <c r="B1339" s="4" t="n">
        <v>46115</v>
      </c>
      <c r="C1339" t="inlineStr">
        <is>
          <t>/</t>
        </is>
      </c>
      <c r="D1339" t="inlineStr">
        <is>
          <t>Stephen Doso</t>
        </is>
      </c>
      <c r="E1339" t="inlineStr">
        <is>
          <t>OdooBot</t>
        </is>
      </c>
      <c r="F1339" s="5" t="n">
        <v>46154.70721064815</v>
      </c>
      <c r="H1339" t="inlineStr">
        <is>
          <t>Internal</t>
        </is>
      </c>
      <c r="I1339" t="n">
        <v>8</v>
      </c>
      <c r="K1339" t="inlineStr">
        <is>
          <t>Public Holiday</t>
        </is>
      </c>
      <c r="L1339" t="b">
        <v>0</v>
      </c>
      <c r="M1339" t="inlineStr">
        <is>
          <t>Non-Billable</t>
        </is>
      </c>
      <c r="N1339" s="6">
        <f>IF(B1339="","",IF(ISNUMBER(B1339),TEXT(B1339,"YYYY-MM"),LEFT(B1339,7)))</f>
        <v/>
      </c>
    </row>
    <row r="1340">
      <c r="A1340" t="inlineStr">
        <is>
          <t>Louis Defo</t>
        </is>
      </c>
      <c r="B1340" s="4" t="n">
        <v>46115</v>
      </c>
      <c r="C1340" t="inlineStr">
        <is>
          <t>/</t>
        </is>
      </c>
      <c r="D1340" t="inlineStr">
        <is>
          <t>Louis Defo</t>
        </is>
      </c>
      <c r="E1340" t="inlineStr">
        <is>
          <t>OdooBot</t>
        </is>
      </c>
      <c r="F1340" s="5" t="n">
        <v>46154.70721064815</v>
      </c>
      <c r="H1340" t="inlineStr">
        <is>
          <t>PCGH774 -Evaluation Deep-Dive Action Plans by Socfin Group</t>
        </is>
      </c>
      <c r="I1340" t="n">
        <v>8</v>
      </c>
      <c r="J1340" t="inlineStr">
        <is>
          <t>PCGH774 - Project Management (2) (Socfinco FR SA)</t>
        </is>
      </c>
      <c r="L1340" t="b">
        <v>1</v>
      </c>
      <c r="M1340" t="inlineStr">
        <is>
          <t>Billed at a Fixed price</t>
        </is>
      </c>
      <c r="N1340" s="6">
        <f>IF(B1340="","",IF(ISNUMBER(B1340),TEXT(B1340,"YYYY-MM"),LEFT(B1340,7)))</f>
        <v/>
      </c>
    </row>
    <row r="1341">
      <c r="A1341" t="inlineStr">
        <is>
          <t>Kingsley Fitz-Gerald Severine</t>
        </is>
      </c>
      <c r="B1341" s="4" t="n">
        <v>46115</v>
      </c>
      <c r="C1341" t="inlineStr">
        <is>
          <t xml:space="preserve">Good Friday
</t>
        </is>
      </c>
      <c r="D1341" t="inlineStr">
        <is>
          <t>Kingsley Fitz-Gerald Severine</t>
        </is>
      </c>
      <c r="E1341" t="inlineStr">
        <is>
          <t>OdooBot</t>
        </is>
      </c>
      <c r="F1341" s="5" t="n">
        <v>46154.70721064815</v>
      </c>
      <c r="H1341" t="inlineStr">
        <is>
          <t>Non-Billable Tasks</t>
        </is>
      </c>
      <c r="I1341" t="n">
        <v>8</v>
      </c>
      <c r="K1341" t="inlineStr">
        <is>
          <t>Public Holiday</t>
        </is>
      </c>
      <c r="L1341" t="b">
        <v>0</v>
      </c>
      <c r="M1341" t="inlineStr">
        <is>
          <t>Non-Billable</t>
        </is>
      </c>
      <c r="N1341" s="6">
        <f>IF(B1341="","",IF(ISNUMBER(B1341),TEXT(B1341,"YYYY-MM"),LEFT(B1341,7)))</f>
        <v/>
      </c>
    </row>
    <row r="1342">
      <c r="A1342" t="inlineStr">
        <is>
          <t>Kwadwo Baniako Nti</t>
        </is>
      </c>
      <c r="B1342" s="4" t="n">
        <v>46115</v>
      </c>
      <c r="C1342" t="inlineStr">
        <is>
          <t>/</t>
        </is>
      </c>
      <c r="D1342" t="inlineStr">
        <is>
          <t>Kwadwo Baniako Nti</t>
        </is>
      </c>
      <c r="E1342" t="inlineStr">
        <is>
          <t>OdooBot</t>
        </is>
      </c>
      <c r="F1342" s="5" t="n">
        <v>46154.70721064815</v>
      </c>
      <c r="H1342" t="inlineStr">
        <is>
          <t>PCGH762 - GVL HCSA Restoration Project</t>
        </is>
      </c>
      <c r="I1342" t="n">
        <v>8</v>
      </c>
      <c r="J1342" t="inlineStr">
        <is>
          <t>PCGH762 - Baseline Socio-Economic &amp; Environmental Surveys (Golden Veroleum Liberia)</t>
        </is>
      </c>
      <c r="K1342" t="inlineStr">
        <is>
          <t>Baseline Socio-Economic &amp; Environmental Surveys</t>
        </is>
      </c>
      <c r="L1342" t="b">
        <v>1</v>
      </c>
      <c r="M1342" t="inlineStr">
        <is>
          <t>Billed at a Fixed price</t>
        </is>
      </c>
      <c r="N1342" s="6">
        <f>IF(B1342="","",IF(ISNUMBER(B1342),TEXT(B1342,"YYYY-MM"),LEFT(B1342,7)))</f>
        <v/>
      </c>
    </row>
    <row r="1343">
      <c r="A1343" t="inlineStr">
        <is>
          <t>Abel Ansu</t>
        </is>
      </c>
      <c r="B1343" s="4" t="n">
        <v>46115</v>
      </c>
      <c r="C1343" t="inlineStr">
        <is>
          <t>Easter Friday</t>
        </is>
      </c>
      <c r="D1343" t="inlineStr">
        <is>
          <t>Abel Ansu</t>
        </is>
      </c>
      <c r="E1343" t="inlineStr">
        <is>
          <t>OdooBot</t>
        </is>
      </c>
      <c r="F1343" s="5" t="n">
        <v>46154.70721064815</v>
      </c>
      <c r="H1343" t="inlineStr">
        <is>
          <t>Internal</t>
        </is>
      </c>
      <c r="I1343" t="n">
        <v>8</v>
      </c>
      <c r="K1343" t="inlineStr">
        <is>
          <t>Public Holiday</t>
        </is>
      </c>
      <c r="L1343" t="b">
        <v>0</v>
      </c>
      <c r="M1343" t="inlineStr">
        <is>
          <t>Non-Billable</t>
        </is>
      </c>
      <c r="N1343" s="6">
        <f>IF(B1343="","",IF(ISNUMBER(B1343),TEXT(B1343,"YYYY-MM"),LEFT(B1343,7)))</f>
        <v/>
      </c>
    </row>
    <row r="1344">
      <c r="A1344" t="inlineStr">
        <is>
          <t>Clement Obeng-Manu</t>
        </is>
      </c>
      <c r="B1344" s="4" t="n">
        <v>46115</v>
      </c>
      <c r="C1344" t="inlineStr">
        <is>
          <t>/</t>
        </is>
      </c>
      <c r="D1344" t="inlineStr">
        <is>
          <t>Ekow Nyamekye Tawiah</t>
        </is>
      </c>
      <c r="E1344" t="inlineStr">
        <is>
          <t>OdooBot</t>
        </is>
      </c>
      <c r="F1344" s="5" t="n">
        <v>46154.70721064815</v>
      </c>
      <c r="G1344" t="inlineStr">
        <is>
          <t>Land cover classification, ground truthing and accuracy assessment</t>
        </is>
      </c>
      <c r="H1344" t="inlineStr">
        <is>
          <t>PCGH776 - Deforestation Risk-Assessment Cashew-Coast</t>
        </is>
      </c>
      <c r="I1344" t="n">
        <v>8</v>
      </c>
      <c r="J1344" t="inlineStr">
        <is>
          <t>PCGH776 - Groundthruthing and Verification (3) (Cashew Coast Products Inc)</t>
        </is>
      </c>
      <c r="K1344" t="inlineStr">
        <is>
          <t>Land cover classification, ground truthing and accuracy assessment</t>
        </is>
      </c>
      <c r="L1344" t="b">
        <v>1</v>
      </c>
      <c r="M1344" t="inlineStr">
        <is>
          <t>Billed at a Fixed price</t>
        </is>
      </c>
      <c r="N1344" s="6">
        <f>IF(B1344="","",IF(ISNUMBER(B1344),TEXT(B1344,"YYYY-MM"),LEFT(B1344,7)))</f>
        <v/>
      </c>
    </row>
    <row r="1345">
      <c r="A1345" t="inlineStr">
        <is>
          <t>Daleba Bernard Kpenahi Raymond</t>
        </is>
      </c>
      <c r="B1345" s="4" t="n">
        <v>46115</v>
      </c>
      <c r="C1345" t="inlineStr">
        <is>
          <t>/</t>
        </is>
      </c>
      <c r="D1345" t="inlineStr">
        <is>
          <t>Daleba Bernard Kpenahi Raymond</t>
        </is>
      </c>
      <c r="E1345" t="inlineStr">
        <is>
          <t>OdooBot</t>
        </is>
      </c>
      <c r="F1345" s="5" t="n">
        <v>46154.70721064815</v>
      </c>
      <c r="H1345" t="inlineStr">
        <is>
          <t>PCGH776 - Deforestation Risk-Assessment Cashew-Coast</t>
        </is>
      </c>
      <c r="I1345" t="n">
        <v>8</v>
      </c>
      <c r="J1345" t="inlineStr">
        <is>
          <t>PCGH776 - Data collection and review (3) (Cashew Coast Products Inc)</t>
        </is>
      </c>
      <c r="L1345" t="b">
        <v>1</v>
      </c>
      <c r="M1345" t="inlineStr">
        <is>
          <t>Billed at a Fixed price</t>
        </is>
      </c>
      <c r="N1345" s="6">
        <f>IF(B1345="","",IF(ISNUMBER(B1345),TEXT(B1345,"YYYY-MM"),LEFT(B1345,7)))</f>
        <v/>
      </c>
    </row>
    <row r="1346">
      <c r="A1346" t="inlineStr">
        <is>
          <t>Ekow Nyamekye Tawiah</t>
        </is>
      </c>
      <c r="B1346" s="4" t="n">
        <v>46114</v>
      </c>
      <c r="C1346" t="inlineStr">
        <is>
          <t>Deforestation Risk Analysis</t>
        </is>
      </c>
      <c r="D1346" t="inlineStr">
        <is>
          <t>Joseph Isaiah Mensah</t>
        </is>
      </c>
      <c r="E1346" t="inlineStr">
        <is>
          <t>Ekow Nyamekye Tawiah</t>
        </is>
      </c>
      <c r="F1346" s="5" t="n">
        <v>46162.87998842593</v>
      </c>
      <c r="H1346" t="inlineStr">
        <is>
          <t>PCGH778 - General Support</t>
        </is>
      </c>
      <c r="I1346" t="n">
        <v>4</v>
      </c>
      <c r="J1346" t="inlineStr">
        <is>
          <t>PCGH778 - Support to Other Workstreams (3) (Proforest Limited(PCUK GBP))</t>
        </is>
      </c>
      <c r="L1346" t="b">
        <v>1</v>
      </c>
      <c r="M1346" t="inlineStr">
        <is>
          <t>Billed at a Fixed price</t>
        </is>
      </c>
      <c r="N1346" s="6">
        <f>IF(B1346="","",IF(ISNUMBER(B1346),TEXT(B1346,"YYYY-MM"),LEFT(B1346,7)))</f>
        <v/>
      </c>
    </row>
    <row r="1347">
      <c r="A1347" t="inlineStr">
        <is>
          <t>Joseph Isaiah Mensah</t>
        </is>
      </c>
      <c r="B1347" s="4" t="n">
        <v>46114</v>
      </c>
      <c r="C1347" t="inlineStr">
        <is>
          <t>/</t>
        </is>
      </c>
      <c r="D1347" t="inlineStr">
        <is>
          <t>Jacqueline Nyakutse Afua</t>
        </is>
      </c>
      <c r="E1347" t="inlineStr">
        <is>
          <t>Joseph Isaiah Mensah</t>
        </is>
      </c>
      <c r="F1347" s="5" t="n">
        <v>46162.7605787037</v>
      </c>
      <c r="G1347" t="inlineStr">
        <is>
          <t>Desk Study (3)</t>
        </is>
      </c>
      <c r="H1347" t="inlineStr">
        <is>
          <t>PCGH786 - Impact Level Baseline assessment for FGMC</t>
        </is>
      </c>
      <c r="I1347" t="n">
        <v>1</v>
      </c>
      <c r="J1347" t="inlineStr">
        <is>
          <t>PCGH786 - Desk Study (3) (NIRAS Group (UK) Ltd)</t>
        </is>
      </c>
      <c r="K1347" t="inlineStr">
        <is>
          <t>Desk Study</t>
        </is>
      </c>
      <c r="L1347" t="b">
        <v>1</v>
      </c>
      <c r="M1347" t="inlineStr">
        <is>
          <t>Billed at a Fixed price</t>
        </is>
      </c>
      <c r="N1347" s="6">
        <f>IF(B1347="","",IF(ISNUMBER(B1347),TEXT(B1347,"YYYY-MM"),LEFT(B1347,7)))</f>
        <v/>
      </c>
    </row>
    <row r="1348">
      <c r="A1348" t="inlineStr">
        <is>
          <t>Joseph Isaiah Mensah</t>
        </is>
      </c>
      <c r="B1348" s="4" t="n">
        <v>46114</v>
      </c>
      <c r="C1348" t="inlineStr">
        <is>
          <t>meeting with photographer</t>
        </is>
      </c>
      <c r="D1348" t="inlineStr">
        <is>
          <t>Jacqueline Nyakutse Afua</t>
        </is>
      </c>
      <c r="E1348" t="inlineStr">
        <is>
          <t>Joseph Isaiah Mensah</t>
        </is>
      </c>
      <c r="F1348" s="5" t="n">
        <v>46162.75965277778</v>
      </c>
      <c r="H1348" t="inlineStr">
        <is>
          <t>PCGH780 - Nigeria</t>
        </is>
      </c>
      <c r="I1348" t="n">
        <v>1</v>
      </c>
      <c r="J1348" t="inlineStr">
        <is>
          <t>PCGH780 - Tree Planting Project (2) (Proforest Limited(PCUK GBP))</t>
        </is>
      </c>
      <c r="L1348" t="b">
        <v>1</v>
      </c>
      <c r="M1348" t="inlineStr">
        <is>
          <t>Billed at a Fixed price</t>
        </is>
      </c>
      <c r="N1348" s="6">
        <f>IF(B1348="","",IF(ISNUMBER(B1348),TEXT(B1348,"YYYY-MM"),LEFT(B1348,7)))</f>
        <v/>
      </c>
    </row>
    <row r="1349">
      <c r="A1349" t="inlineStr">
        <is>
          <t>Joseph Isaiah Mensah</t>
        </is>
      </c>
      <c r="B1349" s="4" t="n">
        <v>46114</v>
      </c>
      <c r="C1349" t="inlineStr">
        <is>
          <t>odoo training</t>
        </is>
      </c>
      <c r="D1349" t="inlineStr">
        <is>
          <t>Jacqueline Nyakutse Afua</t>
        </is>
      </c>
      <c r="E1349" t="inlineStr">
        <is>
          <t>Joseph Isaiah Mensah</t>
        </is>
      </c>
      <c r="F1349" s="5" t="n">
        <v>46162.76041666666</v>
      </c>
      <c r="H1349" t="inlineStr">
        <is>
          <t>Non-Billable Tasks</t>
        </is>
      </c>
      <c r="I1349" t="n">
        <v>4</v>
      </c>
      <c r="K1349" t="inlineStr">
        <is>
          <t>Professional development and Knowledge sharing(training,global knowledge calls,exchange weeks)</t>
        </is>
      </c>
      <c r="L1349" t="b">
        <v>0</v>
      </c>
      <c r="M1349" t="inlineStr">
        <is>
          <t>Non-Billable</t>
        </is>
      </c>
      <c r="N1349" s="6">
        <f>IF(B1349="","",IF(ISNUMBER(B1349),TEXT(B1349,"YYYY-MM"),LEFT(B1349,7)))</f>
        <v/>
      </c>
    </row>
    <row r="1350">
      <c r="A1350" t="inlineStr">
        <is>
          <t>James Parker Mckeown</t>
        </is>
      </c>
      <c r="B1350" s="4" t="n">
        <v>46114</v>
      </c>
      <c r="C1350" t="inlineStr">
        <is>
          <t>/</t>
        </is>
      </c>
      <c r="D1350" t="inlineStr">
        <is>
          <t>James Parker Mckeown</t>
        </is>
      </c>
      <c r="E1350" t="inlineStr">
        <is>
          <t>James Parker Mckeown</t>
        </is>
      </c>
      <c r="F1350" s="5" t="n">
        <v>46162.75762731482</v>
      </c>
      <c r="H1350" t="inlineStr">
        <is>
          <t>PCGH762 - GVL HCSA Restoration Project</t>
        </is>
      </c>
      <c r="I1350" t="n">
        <v>8</v>
      </c>
      <c r="J1350" t="inlineStr">
        <is>
          <t>PCGH762 - Baseline Socio-Economic &amp; Environmental Surveys (Golden Veroleum Liberia)</t>
        </is>
      </c>
      <c r="K1350" t="inlineStr">
        <is>
          <t>Baseline Socio-Economic &amp; Environmental Surveys</t>
        </is>
      </c>
      <c r="L1350" t="b">
        <v>1</v>
      </c>
      <c r="M1350" t="inlineStr">
        <is>
          <t>Billed at a Fixed price</t>
        </is>
      </c>
      <c r="N1350" s="6">
        <f>IF(B1350="","",IF(ISNUMBER(B1350),TEXT(B1350,"YYYY-MM"),LEFT(B1350,7)))</f>
        <v/>
      </c>
    </row>
    <row r="1351">
      <c r="A1351" t="inlineStr">
        <is>
          <t>Joseph Isaiah Mensah</t>
        </is>
      </c>
      <c r="B1351" s="4" t="n">
        <v>46114</v>
      </c>
      <c r="C1351" t="inlineStr">
        <is>
          <t>quarterly meeting</t>
        </is>
      </c>
      <c r="D1351" t="inlineStr">
        <is>
          <t>Jacqueline Nyakutse Afua</t>
        </is>
      </c>
      <c r="E1351" t="inlineStr">
        <is>
          <t>Joseph Isaiah Mensah</t>
        </is>
      </c>
      <c r="F1351" s="5" t="n">
        <v>46162.75671296296</v>
      </c>
      <c r="H1351" t="inlineStr">
        <is>
          <t>P23AC00C00 - FGMC</t>
        </is>
      </c>
      <c r="I1351" t="n">
        <v>2</v>
      </c>
      <c r="L1351" t="b">
        <v>0</v>
      </c>
      <c r="M1351" t="inlineStr">
        <is>
          <t>Non-Billable</t>
        </is>
      </c>
      <c r="N1351" s="6">
        <f>IF(B1351="","",IF(ISNUMBER(B1351),TEXT(B1351,"YYYY-MM"),LEFT(B1351,7)))</f>
        <v/>
      </c>
    </row>
    <row r="1352">
      <c r="A1352" t="inlineStr">
        <is>
          <t>Frederick Antwi</t>
        </is>
      </c>
      <c r="B1352" s="4" t="n">
        <v>46114</v>
      </c>
      <c r="C1352" t="inlineStr">
        <is>
          <t>/</t>
        </is>
      </c>
      <c r="D1352" t="inlineStr">
        <is>
          <t>Frederick Antwi</t>
        </is>
      </c>
      <c r="E1352" t="inlineStr">
        <is>
          <t>Frederick Antwi</t>
        </is>
      </c>
      <c r="F1352" s="5" t="n">
        <v>46160.63032407407</v>
      </c>
      <c r="H1352" t="inlineStr">
        <is>
          <t>P13PC00A00 - Private Sector Companies</t>
        </is>
      </c>
      <c r="I1352" t="n">
        <v>8</v>
      </c>
      <c r="L1352" t="b">
        <v>0</v>
      </c>
      <c r="M1352" t="inlineStr">
        <is>
          <t>Non-Billable</t>
        </is>
      </c>
      <c r="N1352" s="6">
        <f>IF(B1352="","",IF(ISNUMBER(B1352),TEXT(B1352,"YYYY-MM"),LEFT(B1352,7)))</f>
        <v/>
      </c>
    </row>
    <row r="1353">
      <c r="A1353" t="inlineStr">
        <is>
          <t>Augustus Asamoah</t>
        </is>
      </c>
      <c r="B1353" s="4" t="n">
        <v>46114</v>
      </c>
      <c r="C1353" t="inlineStr">
        <is>
          <t>/</t>
        </is>
      </c>
      <c r="D1353" t="inlineStr">
        <is>
          <t>Augustus Asamoah</t>
        </is>
      </c>
      <c r="E1353" t="inlineStr">
        <is>
          <t>Augustus Asamoah</t>
        </is>
      </c>
      <c r="F1353" s="5" t="n">
        <v>46156.66104166667</v>
      </c>
      <c r="H1353" t="inlineStr">
        <is>
          <t>P13PC00A00 - Private Sector Companies</t>
        </is>
      </c>
      <c r="I1353" t="n">
        <v>2</v>
      </c>
      <c r="L1353" t="b">
        <v>0</v>
      </c>
      <c r="M1353" t="inlineStr">
        <is>
          <t>Non-Billable</t>
        </is>
      </c>
      <c r="N1353" s="6">
        <f>IF(B1353="","",IF(ISNUMBER(B1353),TEXT(B1353,"YYYY-MM"),LEFT(B1353,7)))</f>
        <v/>
      </c>
    </row>
    <row r="1354">
      <c r="A1354" t="inlineStr">
        <is>
          <t>Augustus Asamoah</t>
        </is>
      </c>
      <c r="B1354" s="4" t="n">
        <v>46114</v>
      </c>
      <c r="C1354" t="inlineStr">
        <is>
          <t>/</t>
        </is>
      </c>
      <c r="D1354" t="inlineStr">
        <is>
          <t>Augustus Asamoah</t>
        </is>
      </c>
      <c r="E1354" t="inlineStr">
        <is>
          <t>Augustus Asamoah</t>
        </is>
      </c>
      <c r="F1354" s="5" t="n">
        <v>46156.66103009259</v>
      </c>
      <c r="H1354" t="inlineStr">
        <is>
          <t>P13QC00A00 - EFI Programme</t>
        </is>
      </c>
      <c r="I1354" t="n">
        <v>2</v>
      </c>
      <c r="L1354" t="b">
        <v>0</v>
      </c>
      <c r="M1354" t="inlineStr">
        <is>
          <t>Non-Billable</t>
        </is>
      </c>
      <c r="N1354" s="6">
        <f>IF(B1354="","",IF(ISNUMBER(B1354),TEXT(B1354,"YYYY-MM"),LEFT(B1354,7)))</f>
        <v/>
      </c>
    </row>
    <row r="1355">
      <c r="A1355" t="inlineStr">
        <is>
          <t>Augustus Asamoah</t>
        </is>
      </c>
      <c r="B1355" s="4" t="n">
        <v>46114</v>
      </c>
      <c r="C1355" t="inlineStr">
        <is>
          <t>/</t>
        </is>
      </c>
      <c r="D1355" t="inlineStr">
        <is>
          <t>Augustus Asamoah</t>
        </is>
      </c>
      <c r="E1355" t="inlineStr">
        <is>
          <t>Augustus Asamoah</t>
        </is>
      </c>
      <c r="F1355" s="5" t="n">
        <v>46156.66097222222</v>
      </c>
      <c r="H1355" t="inlineStr">
        <is>
          <t>PCGH784</t>
        </is>
      </c>
      <c r="I1355" t="n">
        <v>4</v>
      </c>
      <c r="J1355" t="inlineStr">
        <is>
          <t>PCGH784 - Desk Study (3) (Okeosisi Jonathan)</t>
        </is>
      </c>
      <c r="L1355" t="b">
        <v>1</v>
      </c>
      <c r="M1355" t="inlineStr">
        <is>
          <t>Billed at a Fixed price</t>
        </is>
      </c>
      <c r="N1355" s="6">
        <f>IF(B1355="","",IF(ISNUMBER(B1355),TEXT(B1355,"YYYY-MM"),LEFT(B1355,7)))</f>
        <v/>
      </c>
    </row>
    <row r="1356">
      <c r="A1356" t="inlineStr">
        <is>
          <t>Helena Tetteh</t>
        </is>
      </c>
      <c r="B1356" s="4" t="n">
        <v>46114</v>
      </c>
      <c r="C1356" t="inlineStr">
        <is>
          <t>/</t>
        </is>
      </c>
      <c r="D1356" t="inlineStr">
        <is>
          <t xml:space="preserve">Helena Tetteh </t>
        </is>
      </c>
      <c r="E1356" t="inlineStr">
        <is>
          <t>OdooBot</t>
        </is>
      </c>
      <c r="F1356" s="5" t="n">
        <v>46154.70721064815</v>
      </c>
      <c r="G1356" t="inlineStr">
        <is>
          <t>Output 2.3</t>
        </is>
      </c>
      <c r="H1356" t="inlineStr">
        <is>
          <t>P23AC00C00 - FGMC</t>
        </is>
      </c>
      <c r="I1356" t="n">
        <v>8</v>
      </c>
      <c r="K1356" t="inlineStr">
        <is>
          <t>P23AC22A00 - Output Two (Elevating Local Solutions - West Africa)</t>
        </is>
      </c>
      <c r="L1356" t="b">
        <v>0</v>
      </c>
      <c r="M1356" t="inlineStr">
        <is>
          <t>Non-Billable</t>
        </is>
      </c>
      <c r="N1356" s="6">
        <f>IF(B1356="","",IF(ISNUMBER(B1356),TEXT(B1356,"YYYY-MM"),LEFT(B1356,7)))</f>
        <v/>
      </c>
    </row>
    <row r="1357">
      <c r="A1357" t="inlineStr">
        <is>
          <t>Stephen Doso</t>
        </is>
      </c>
      <c r="B1357" s="4" t="n">
        <v>46114</v>
      </c>
      <c r="C1357" t="inlineStr">
        <is>
          <t>/</t>
        </is>
      </c>
      <c r="D1357" t="inlineStr">
        <is>
          <t>Stephen Doso</t>
        </is>
      </c>
      <c r="E1357" t="inlineStr">
        <is>
          <t>OdooBot</t>
        </is>
      </c>
      <c r="F1357" s="5" t="n">
        <v>46154.70721064815</v>
      </c>
      <c r="H1357" t="inlineStr">
        <is>
          <t>PCGH789 - Valency MSMO EHS audit</t>
        </is>
      </c>
      <c r="I1357" t="n">
        <v>2</v>
      </c>
      <c r="J1357" t="inlineStr">
        <is>
          <t>PCGH789 - Desk Study (2) (Valency International DMCC)</t>
        </is>
      </c>
      <c r="K1357" t="inlineStr">
        <is>
          <t>Desktop Study &amp; Assessment Framework Dev't (2)</t>
        </is>
      </c>
      <c r="L1357" t="b">
        <v>1</v>
      </c>
      <c r="M1357" t="inlineStr">
        <is>
          <t>Billed at a Fixed price</t>
        </is>
      </c>
      <c r="N1357" s="6">
        <f>IF(B1357="","",IF(ISNUMBER(B1357),TEXT(B1357,"YYYY-MM"),LEFT(B1357,7)))</f>
        <v/>
      </c>
    </row>
    <row r="1358">
      <c r="A1358" t="inlineStr">
        <is>
          <t>Stephen Doso</t>
        </is>
      </c>
      <c r="B1358" s="4" t="n">
        <v>46114</v>
      </c>
      <c r="C1358" t="inlineStr">
        <is>
          <t>/</t>
        </is>
      </c>
      <c r="D1358" t="inlineStr">
        <is>
          <t>Stephen Doso</t>
        </is>
      </c>
      <c r="E1358" t="inlineStr">
        <is>
          <t>OdooBot</t>
        </is>
      </c>
      <c r="F1358" s="5" t="n">
        <v>46154.70721064815</v>
      </c>
      <c r="H1358" t="inlineStr">
        <is>
          <t>Non-Billable Tasks</t>
        </is>
      </c>
      <c r="I1358" t="n">
        <v>3</v>
      </c>
      <c r="K1358" t="inlineStr">
        <is>
          <t>Professional development and Knowledge sharing(training,global knowledge calls,exchange weeks)</t>
        </is>
      </c>
      <c r="L1358" t="b">
        <v>0</v>
      </c>
      <c r="M1358" t="inlineStr">
        <is>
          <t>Non-Billable</t>
        </is>
      </c>
      <c r="N1358" s="6">
        <f>IF(B1358="","",IF(ISNUMBER(B1358),TEXT(B1358,"YYYY-MM"),LEFT(B1358,7)))</f>
        <v/>
      </c>
    </row>
    <row r="1359">
      <c r="A1359" t="inlineStr">
        <is>
          <t>Afua Serwah Akoto Prempeh</t>
        </is>
      </c>
      <c r="B1359" s="4" t="n">
        <v>46114</v>
      </c>
      <c r="C1359" t="inlineStr">
        <is>
          <t>/</t>
        </is>
      </c>
      <c r="D1359" t="inlineStr">
        <is>
          <t>Afua Serwah Akoto Prempeh</t>
        </is>
      </c>
      <c r="E1359" t="inlineStr">
        <is>
          <t>OdooBot</t>
        </is>
      </c>
      <c r="F1359" s="5" t="n">
        <v>46154.70721064815</v>
      </c>
      <c r="H1359" t="inlineStr">
        <is>
          <t>Non-Billable Tasks</t>
        </is>
      </c>
      <c r="I1359" t="n">
        <v>2</v>
      </c>
      <c r="K1359" t="inlineStr">
        <is>
          <t>Professional development and Knowledge sharing(training,global knowledge calls,exchange weeks)</t>
        </is>
      </c>
      <c r="L1359" t="b">
        <v>0</v>
      </c>
      <c r="M1359" t="inlineStr">
        <is>
          <t>Non-Billable</t>
        </is>
      </c>
      <c r="N1359" s="6">
        <f>IF(B1359="","",IF(ISNUMBER(B1359),TEXT(B1359,"YYYY-MM"),LEFT(B1359,7)))</f>
        <v/>
      </c>
    </row>
    <row r="1360">
      <c r="A1360" t="inlineStr">
        <is>
          <t>Afua Serwah Akoto Prempeh</t>
        </is>
      </c>
      <c r="B1360" s="4" t="n">
        <v>46114</v>
      </c>
      <c r="C1360" t="inlineStr">
        <is>
          <t>/</t>
        </is>
      </c>
      <c r="D1360" t="inlineStr">
        <is>
          <t>Afua Serwah Akoto Prempeh</t>
        </is>
      </c>
      <c r="E1360" t="inlineStr">
        <is>
          <t>OdooBot</t>
        </is>
      </c>
      <c r="F1360" s="5" t="n">
        <v>46154.70721064815</v>
      </c>
      <c r="H1360" t="inlineStr">
        <is>
          <t>Non-Billable Tasks</t>
        </is>
      </c>
      <c r="I1360" t="n">
        <v>6</v>
      </c>
      <c r="L1360" t="b">
        <v>0</v>
      </c>
      <c r="M1360" t="inlineStr">
        <is>
          <t>Non-Billable</t>
        </is>
      </c>
      <c r="N1360" s="6">
        <f>IF(B1360="","",IF(ISNUMBER(B1360),TEXT(B1360,"YYYY-MM"),LEFT(B1360,7)))</f>
        <v/>
      </c>
    </row>
    <row r="1361">
      <c r="A1361" t="inlineStr">
        <is>
          <t>Stephen Doso</t>
        </is>
      </c>
      <c r="B1361" s="4" t="n">
        <v>46114</v>
      </c>
      <c r="C1361" t="inlineStr">
        <is>
          <t>/</t>
        </is>
      </c>
      <c r="D1361" t="inlineStr">
        <is>
          <t>Stephen Doso</t>
        </is>
      </c>
      <c r="E1361" t="inlineStr">
        <is>
          <t>OdooBot</t>
        </is>
      </c>
      <c r="F1361" s="5" t="n">
        <v>46154.70721064815</v>
      </c>
      <c r="H1361" t="inlineStr">
        <is>
          <t>PCGH762 - GVL HCSA Restoration Project</t>
        </is>
      </c>
      <c r="I1361" t="n">
        <v>2</v>
      </c>
      <c r="J1361" t="inlineStr">
        <is>
          <t>PCGH763 - Desk study (Due diligence) (Jopafram Nigeria Limited)</t>
        </is>
      </c>
      <c r="K1361" t="inlineStr">
        <is>
          <t>Fundraising and proposal development</t>
        </is>
      </c>
      <c r="L1361" t="b">
        <v>1</v>
      </c>
      <c r="M1361" t="inlineStr">
        <is>
          <t>Billed at a Fixed price</t>
        </is>
      </c>
      <c r="N1361" s="6">
        <f>IF(B1361="","",IF(ISNUMBER(B1361),TEXT(B1361,"YYYY-MM"),LEFT(B1361,7)))</f>
        <v/>
      </c>
    </row>
    <row r="1362">
      <c r="A1362" t="inlineStr">
        <is>
          <t>Stephen Doso</t>
        </is>
      </c>
      <c r="B1362" s="4" t="n">
        <v>46114</v>
      </c>
      <c r="C1362" t="inlineStr">
        <is>
          <t>Monitoring effectiveness pilot call</t>
        </is>
      </c>
      <c r="D1362" t="inlineStr">
        <is>
          <t>Stephen Doso</t>
        </is>
      </c>
      <c r="E1362" t="inlineStr">
        <is>
          <t>OdooBot</t>
        </is>
      </c>
      <c r="F1362" s="5" t="n">
        <v>46154.70721064815</v>
      </c>
      <c r="H1362" t="inlineStr">
        <is>
          <t>Global Internal Projects (GIPs)</t>
        </is>
      </c>
      <c r="I1362" t="n">
        <v>1</v>
      </c>
      <c r="K1362" t="inlineStr">
        <is>
          <t>PEOPLE: HRDD (Monitoring Impact)</t>
        </is>
      </c>
      <c r="L1362" t="b">
        <v>1</v>
      </c>
      <c r="M1362" t="inlineStr">
        <is>
          <t>Non-Billable</t>
        </is>
      </c>
      <c r="N1362" s="6">
        <f>IF(B1362="","",IF(ISNUMBER(B1362),TEXT(B1362,"YYYY-MM"),LEFT(B1362,7)))</f>
        <v/>
      </c>
    </row>
    <row r="1363">
      <c r="A1363" t="inlineStr">
        <is>
          <t>Stephen Doso</t>
        </is>
      </c>
      <c r="B1363" s="4" t="n">
        <v>46114</v>
      </c>
      <c r="C1363" t="inlineStr">
        <is>
          <t>SL training meeting</t>
        </is>
      </c>
      <c r="D1363" t="inlineStr">
        <is>
          <t>Stephen Doso</t>
        </is>
      </c>
      <c r="E1363" t="inlineStr">
        <is>
          <t>OdooBot</t>
        </is>
      </c>
      <c r="F1363" s="5" t="n">
        <v>46154.70721064815</v>
      </c>
      <c r="H1363" t="inlineStr">
        <is>
          <t>Non-Billable Tasks</t>
        </is>
      </c>
      <c r="I1363" t="n">
        <v>2</v>
      </c>
      <c r="K1363" t="inlineStr">
        <is>
          <t>Portfolio Team Management</t>
        </is>
      </c>
      <c r="L1363" t="b">
        <v>0</v>
      </c>
      <c r="M1363" t="inlineStr">
        <is>
          <t>Non-Billable</t>
        </is>
      </c>
      <c r="N1363" s="6">
        <f>IF(B1363="","",IF(ISNUMBER(B1363),TEXT(B1363,"YYYY-MM"),LEFT(B1363,7)))</f>
        <v/>
      </c>
    </row>
    <row r="1364">
      <c r="A1364" t="inlineStr">
        <is>
          <t>Louis Defo</t>
        </is>
      </c>
      <c r="B1364" s="4" t="n">
        <v>46114</v>
      </c>
      <c r="C1364" t="inlineStr">
        <is>
          <t>/</t>
        </is>
      </c>
      <c r="D1364" t="inlineStr">
        <is>
          <t>Louis Defo</t>
        </is>
      </c>
      <c r="E1364" t="inlineStr">
        <is>
          <t>OdooBot</t>
        </is>
      </c>
      <c r="F1364" s="5" t="n">
        <v>46154.70721064815</v>
      </c>
      <c r="H1364" t="inlineStr">
        <is>
          <t>PCGH774 -Evaluation Deep-Dive Action Plans by Socfin Group</t>
        </is>
      </c>
      <c r="I1364" t="n">
        <v>8</v>
      </c>
      <c r="J1364" t="inlineStr">
        <is>
          <t>PCGH774 - Project Management (2) (Socfinco FR SA)</t>
        </is>
      </c>
      <c r="L1364" t="b">
        <v>1</v>
      </c>
      <c r="M1364" t="inlineStr">
        <is>
          <t>Billed at a Fixed price</t>
        </is>
      </c>
      <c r="N1364" s="6">
        <f>IF(B1364="","",IF(ISNUMBER(B1364),TEXT(B1364,"YYYY-MM"),LEFT(B1364,7)))</f>
        <v/>
      </c>
    </row>
    <row r="1365">
      <c r="A1365" t="inlineStr">
        <is>
          <t>Kingsley Fitz-Gerald Severine</t>
        </is>
      </c>
      <c r="B1365" s="4" t="n">
        <v>46114</v>
      </c>
      <c r="C1365" t="inlineStr">
        <is>
          <t>/</t>
        </is>
      </c>
      <c r="D1365" t="inlineStr">
        <is>
          <t>Kingsley Fitz-Gerald Severine</t>
        </is>
      </c>
      <c r="E1365" t="inlineStr">
        <is>
          <t>OdooBot</t>
        </is>
      </c>
      <c r="F1365" s="5" t="n">
        <v>46154.70721064815</v>
      </c>
      <c r="G1365" t="inlineStr">
        <is>
          <t>BOA: FIELDWORK (3)</t>
        </is>
      </c>
      <c r="H1365" t="inlineStr">
        <is>
          <t>PCGH788 - CDC Boa &amp; Mondoni CV-HCS Scoping</t>
        </is>
      </c>
      <c r="I1365" t="n">
        <v>8</v>
      </c>
      <c r="J1365" t="inlineStr">
        <is>
          <t>PCGH788 - Field work  (3) (CAMEROON DEVELOPMENT CORPORATION (CDC))</t>
        </is>
      </c>
      <c r="K1365" t="inlineStr">
        <is>
          <t>Community consultations</t>
        </is>
      </c>
      <c r="L1365" t="b">
        <v>1</v>
      </c>
      <c r="M1365" t="inlineStr">
        <is>
          <t>Billed at a Fixed price</t>
        </is>
      </c>
      <c r="N1365" s="6">
        <f>IF(B1365="","",IF(ISNUMBER(B1365),TEXT(B1365,"YYYY-MM"),LEFT(B1365,7)))</f>
        <v/>
      </c>
    </row>
    <row r="1366">
      <c r="A1366" t="inlineStr">
        <is>
          <t>Kingsley Fitz-Gerald Severine</t>
        </is>
      </c>
      <c r="B1366" s="4" t="n">
        <v>46114</v>
      </c>
      <c r="C1366" t="inlineStr">
        <is>
          <t>/</t>
        </is>
      </c>
      <c r="D1366" t="inlineStr">
        <is>
          <t>Kingsley Fitz-Gerald Severine</t>
        </is>
      </c>
      <c r="E1366" t="inlineStr">
        <is>
          <t>OdooBot</t>
        </is>
      </c>
      <c r="F1366" s="5" t="n">
        <v>46154.70721064815</v>
      </c>
      <c r="G1366" t="inlineStr">
        <is>
          <t>MONDONI: FIELDWORK (3)</t>
        </is>
      </c>
      <c r="H1366" t="inlineStr">
        <is>
          <t>PCGH788 - CDC Boa &amp; Mondoni CV-HCS Scoping</t>
        </is>
      </c>
      <c r="I1366" t="n">
        <v>0</v>
      </c>
      <c r="J1366" t="inlineStr">
        <is>
          <t>PCGH788 - Field work  (3) (CAMEROON DEVELOPMENT CORPORATION (CDC))</t>
        </is>
      </c>
      <c r="K1366" t="inlineStr">
        <is>
          <t>Community consultations</t>
        </is>
      </c>
      <c r="L1366" t="b">
        <v>1</v>
      </c>
      <c r="M1366" t="inlineStr">
        <is>
          <t>Billed at a Fixed price</t>
        </is>
      </c>
      <c r="N1366" s="6">
        <f>IF(B1366="","",IF(ISNUMBER(B1366),TEXT(B1366,"YYYY-MM"),LEFT(B1366,7)))</f>
        <v/>
      </c>
    </row>
    <row r="1367">
      <c r="A1367" t="inlineStr">
        <is>
          <t>Kwadwo Baniako Nti</t>
        </is>
      </c>
      <c r="B1367" s="4" t="n">
        <v>46114</v>
      </c>
      <c r="C1367" t="inlineStr">
        <is>
          <t>/</t>
        </is>
      </c>
      <c r="D1367" t="inlineStr">
        <is>
          <t>Kwadwo Baniako Nti</t>
        </is>
      </c>
      <c r="E1367" t="inlineStr">
        <is>
          <t>OdooBot</t>
        </is>
      </c>
      <c r="F1367" s="5" t="n">
        <v>46154.70721064815</v>
      </c>
      <c r="H1367" t="inlineStr">
        <is>
          <t>PCGH762 - GVL HCSA Restoration Project</t>
        </is>
      </c>
      <c r="I1367" t="n">
        <v>8</v>
      </c>
      <c r="J1367" t="inlineStr">
        <is>
          <t>PCGH762 - Baseline Socio-Economic &amp; Environmental Surveys (Golden Veroleum Liberia)</t>
        </is>
      </c>
      <c r="K1367" t="inlineStr">
        <is>
          <t>Baseline Socio-Economic &amp; Environmental Surveys</t>
        </is>
      </c>
      <c r="L1367" t="b">
        <v>1</v>
      </c>
      <c r="M1367" t="inlineStr">
        <is>
          <t>Billed at a Fixed price</t>
        </is>
      </c>
      <c r="N1367" s="6">
        <f>IF(B1367="","",IF(ISNUMBER(B1367),TEXT(B1367,"YYYY-MM"),LEFT(B1367,7)))</f>
        <v/>
      </c>
    </row>
    <row r="1368">
      <c r="A1368" t="inlineStr">
        <is>
          <t>Abel Ansu</t>
        </is>
      </c>
      <c r="B1368" s="4" t="n">
        <v>46114</v>
      </c>
      <c r="C1368" t="inlineStr">
        <is>
          <t>Visited the Abonyere forest to monitor the ongoing MTS in the forest</t>
        </is>
      </c>
      <c r="D1368" t="inlineStr">
        <is>
          <t>Abel Ansu</t>
        </is>
      </c>
      <c r="E1368" t="inlineStr">
        <is>
          <t>OdooBot</t>
        </is>
      </c>
      <c r="F1368" s="5" t="n">
        <v>46154.70721064815</v>
      </c>
      <c r="H1368" t="inlineStr">
        <is>
          <t>Internal</t>
        </is>
      </c>
      <c r="I1368" t="n">
        <v>8</v>
      </c>
      <c r="K1368" t="inlineStr">
        <is>
          <t>Field monitoring</t>
        </is>
      </c>
      <c r="L1368" t="b">
        <v>0</v>
      </c>
      <c r="M1368" t="inlineStr">
        <is>
          <t>Non-Billable</t>
        </is>
      </c>
      <c r="N1368" s="6">
        <f>IF(B1368="","",IF(ISNUMBER(B1368),TEXT(B1368,"YYYY-MM"),LEFT(B1368,7)))</f>
        <v/>
      </c>
    </row>
    <row r="1369">
      <c r="A1369" t="inlineStr">
        <is>
          <t>Clement Obeng-Manu</t>
        </is>
      </c>
      <c r="B1369" s="4" t="n">
        <v>46114</v>
      </c>
      <c r="C1369" t="inlineStr">
        <is>
          <t>/</t>
        </is>
      </c>
      <c r="D1369" t="inlineStr">
        <is>
          <t>Ekow Nyamekye Tawiah</t>
        </is>
      </c>
      <c r="E1369" t="inlineStr">
        <is>
          <t>OdooBot</t>
        </is>
      </c>
      <c r="F1369" s="5" t="n">
        <v>46154.70721064815</v>
      </c>
      <c r="G1369" t="inlineStr">
        <is>
          <t>Land cover classification, ground truthing and accuracy assessment</t>
        </is>
      </c>
      <c r="H1369" t="inlineStr">
        <is>
          <t>PCGH776 - Deforestation Risk-Assessment Cashew-Coast</t>
        </is>
      </c>
      <c r="I1369" t="n">
        <v>8</v>
      </c>
      <c r="J1369" t="inlineStr">
        <is>
          <t>PCGH776 - Groundthruthing and Verification (3) (Cashew Coast Products Inc)</t>
        </is>
      </c>
      <c r="K1369" t="inlineStr">
        <is>
          <t>Land cover classification, ground truthing and accuracy assessment</t>
        </is>
      </c>
      <c r="L1369" t="b">
        <v>1</v>
      </c>
      <c r="M1369" t="inlineStr">
        <is>
          <t>Billed at a Fixed price</t>
        </is>
      </c>
      <c r="N1369" s="6">
        <f>IF(B1369="","",IF(ISNUMBER(B1369),TEXT(B1369,"YYYY-MM"),LEFT(B1369,7)))</f>
        <v/>
      </c>
    </row>
    <row r="1370">
      <c r="A1370" t="inlineStr">
        <is>
          <t>Daleba Bernard Kpenahi Raymond</t>
        </is>
      </c>
      <c r="B1370" s="4" t="n">
        <v>46114</v>
      </c>
      <c r="C1370" t="inlineStr">
        <is>
          <t>/</t>
        </is>
      </c>
      <c r="D1370" t="inlineStr">
        <is>
          <t>Daleba Bernard Kpenahi Raymond</t>
        </is>
      </c>
      <c r="E1370" t="inlineStr">
        <is>
          <t>OdooBot</t>
        </is>
      </c>
      <c r="F1370" s="5" t="n">
        <v>46154.70721064815</v>
      </c>
      <c r="H1370" t="inlineStr">
        <is>
          <t>PCGH776 - Deforestation Risk-Assessment Cashew-Coast</t>
        </is>
      </c>
      <c r="I1370" t="n">
        <v>8</v>
      </c>
      <c r="J1370" t="inlineStr">
        <is>
          <t>PCGH776 - Data collection and review (3) (Cashew Coast Products Inc)</t>
        </is>
      </c>
      <c r="L1370" t="b">
        <v>1</v>
      </c>
      <c r="M1370" t="inlineStr">
        <is>
          <t>Billed at a Fixed price</t>
        </is>
      </c>
      <c r="N1370" s="6">
        <f>IF(B1370="","",IF(ISNUMBER(B1370),TEXT(B1370,"YYYY-MM"),LEFT(B1370,7)))</f>
        <v/>
      </c>
    </row>
    <row r="1371">
      <c r="A1371" t="inlineStr">
        <is>
          <t>Ekow Nyamekye Tawiah</t>
        </is>
      </c>
      <c r="B1371" s="4" t="n">
        <v>46113</v>
      </c>
      <c r="C1371" t="inlineStr">
        <is>
          <t>Deforestation Risk Analysis</t>
        </is>
      </c>
      <c r="D1371" t="inlineStr">
        <is>
          <t>Joseph Isaiah Mensah</t>
        </is>
      </c>
      <c r="E1371" t="inlineStr">
        <is>
          <t>Ekow Nyamekye Tawiah</t>
        </is>
      </c>
      <c r="F1371" s="5" t="n">
        <v>46162.86790509259</v>
      </c>
      <c r="H1371" t="inlineStr">
        <is>
          <t>PCGH778 - General Support</t>
        </is>
      </c>
      <c r="I1371" t="n">
        <v>4</v>
      </c>
      <c r="J1371" t="inlineStr">
        <is>
          <t>PCGH778 - Support to Other Workstreams (3) (Proforest Limited(PCUK GBP))</t>
        </is>
      </c>
      <c r="L1371" t="b">
        <v>1</v>
      </c>
      <c r="M1371" t="inlineStr">
        <is>
          <t>Billed at a Fixed price</t>
        </is>
      </c>
      <c r="N1371" s="6">
        <f>IF(B1371="","",IF(ISNUMBER(B1371),TEXT(B1371,"YYYY-MM"),LEFT(B1371,7)))</f>
        <v/>
      </c>
    </row>
    <row r="1372">
      <c r="A1372" t="inlineStr">
        <is>
          <t>Joseph Isaiah Mensah</t>
        </is>
      </c>
      <c r="B1372" s="4" t="n">
        <v>46113</v>
      </c>
      <c r="C1372" t="inlineStr">
        <is>
          <t>/</t>
        </is>
      </c>
      <c r="D1372" t="inlineStr">
        <is>
          <t>Jacqueline Nyakutse Afua</t>
        </is>
      </c>
      <c r="E1372" t="inlineStr">
        <is>
          <t>Joseph Isaiah Mensah</t>
        </is>
      </c>
      <c r="F1372" s="5" t="n">
        <v>46162.77449074074</v>
      </c>
      <c r="H1372" t="inlineStr">
        <is>
          <t>PCGH774 -Evaluation Deep-Dive Action Plans by Socfin Group</t>
        </is>
      </c>
      <c r="I1372" t="n">
        <v>8</v>
      </c>
      <c r="J1372" t="inlineStr">
        <is>
          <t>PCGH774 - Review of operational documents (Socfinco FR SA)</t>
        </is>
      </c>
      <c r="K1372" t="inlineStr">
        <is>
          <t>[Cameroon, Socapalm （Dibombari + Edéa + Mbongo + Mbambou） Report review] - Review of operational documents</t>
        </is>
      </c>
      <c r="L1372" t="b">
        <v>1</v>
      </c>
      <c r="M1372" t="inlineStr">
        <is>
          <t>Billed at a Fixed price</t>
        </is>
      </c>
      <c r="N1372" s="6">
        <f>IF(B1372="","",IF(ISNUMBER(B1372),TEXT(B1372,"YYYY-MM"),LEFT(B1372,7)))</f>
        <v/>
      </c>
    </row>
    <row r="1373">
      <c r="A1373" t="inlineStr">
        <is>
          <t>James Parker Mckeown</t>
        </is>
      </c>
      <c r="B1373" s="4" t="n">
        <v>46113</v>
      </c>
      <c r="C1373" t="inlineStr">
        <is>
          <t>/</t>
        </is>
      </c>
      <c r="D1373" t="inlineStr">
        <is>
          <t>James Parker Mckeown</t>
        </is>
      </c>
      <c r="E1373" t="inlineStr">
        <is>
          <t>James Parker Mckeown</t>
        </is>
      </c>
      <c r="F1373" s="5" t="n">
        <v>46162.75756944445</v>
      </c>
      <c r="H1373" t="inlineStr">
        <is>
          <t>PCGH762 - GVL HCSA Restoration Project</t>
        </is>
      </c>
      <c r="I1373" t="n">
        <v>8</v>
      </c>
      <c r="J1373" t="inlineStr">
        <is>
          <t>PCGH762 - Baseline Socio-Economic &amp; Environmental Surveys (Golden Veroleum Liberia)</t>
        </is>
      </c>
      <c r="K1373" t="inlineStr">
        <is>
          <t>Baseline Socio-Economic &amp; Environmental Surveys</t>
        </is>
      </c>
      <c r="L1373" t="b">
        <v>1</v>
      </c>
      <c r="M1373" t="inlineStr">
        <is>
          <t>Billed at a Fixed price</t>
        </is>
      </c>
      <c r="N1373" s="6">
        <f>IF(B1373="","",IF(ISNUMBER(B1373),TEXT(B1373,"YYYY-MM"),LEFT(B1373,7)))</f>
        <v/>
      </c>
    </row>
    <row r="1374">
      <c r="A1374" t="inlineStr">
        <is>
          <t>Kingsley Fitz-Gerald Severine</t>
        </is>
      </c>
      <c r="B1374" s="4" t="n">
        <v>46113</v>
      </c>
      <c r="C1374" t="inlineStr">
        <is>
          <t>/</t>
        </is>
      </c>
      <c r="D1374" t="inlineStr">
        <is>
          <t>Kingsley Fitz-Gerald Severine</t>
        </is>
      </c>
      <c r="E1374" t="inlineStr">
        <is>
          <t>Kingsley Fitz-Gerald Severine</t>
        </is>
      </c>
      <c r="F1374" s="5" t="n">
        <v>46162.55288194444</v>
      </c>
      <c r="H1374" t="inlineStr">
        <is>
          <t>PCGH789 - Valency MSMO EHS audit</t>
        </is>
      </c>
      <c r="I1374" t="n">
        <v>0</v>
      </c>
      <c r="J1374" t="inlineStr">
        <is>
          <t>PCGH789 - Reporting (3) (Valency International DMCC)</t>
        </is>
      </c>
      <c r="K1374" t="inlineStr">
        <is>
          <t>Final Reporting (3)</t>
        </is>
      </c>
      <c r="L1374" t="b">
        <v>1</v>
      </c>
      <c r="M1374" t="inlineStr">
        <is>
          <t>Billed at a Fixed price</t>
        </is>
      </c>
      <c r="N1374" s="6">
        <f>IF(B1374="","",IF(ISNUMBER(B1374),TEXT(B1374,"YYYY-MM"),LEFT(B1374,7)))</f>
        <v/>
      </c>
    </row>
    <row r="1375">
      <c r="A1375" t="inlineStr">
        <is>
          <t>Frederick Antwi</t>
        </is>
      </c>
      <c r="B1375" s="4" t="n">
        <v>46113</v>
      </c>
      <c r="C1375" t="inlineStr">
        <is>
          <t>/</t>
        </is>
      </c>
      <c r="D1375" t="inlineStr">
        <is>
          <t>Frederick Antwi</t>
        </is>
      </c>
      <c r="E1375" t="inlineStr">
        <is>
          <t>Frederick Antwi</t>
        </is>
      </c>
      <c r="F1375" s="5" t="n">
        <v>46160.62971064815</v>
      </c>
      <c r="H1375" t="inlineStr">
        <is>
          <t>P13PC00A00 - Private Sector Companies</t>
        </is>
      </c>
      <c r="I1375" t="n">
        <v>7</v>
      </c>
      <c r="L1375" t="b">
        <v>0</v>
      </c>
      <c r="M1375" t="inlineStr">
        <is>
          <t>Non-Billable</t>
        </is>
      </c>
      <c r="N1375" s="6">
        <f>IF(B1375="","",IF(ISNUMBER(B1375),TEXT(B1375,"YYYY-MM"),LEFT(B1375,7)))</f>
        <v/>
      </c>
    </row>
    <row r="1376">
      <c r="A1376" t="inlineStr">
        <is>
          <t>Frederick Antwi</t>
        </is>
      </c>
      <c r="B1376" s="4" t="n">
        <v>46113</v>
      </c>
      <c r="C1376" t="inlineStr">
        <is>
          <t>/</t>
        </is>
      </c>
      <c r="D1376" t="inlineStr">
        <is>
          <t>Frederick Antwi</t>
        </is>
      </c>
      <c r="E1376" t="inlineStr">
        <is>
          <t>Frederick Antwi</t>
        </is>
      </c>
      <c r="F1376" s="5" t="n">
        <v>46160.62961805556</v>
      </c>
      <c r="H1376" t="inlineStr">
        <is>
          <t>PCGH768</t>
        </is>
      </c>
      <c r="I1376" t="n">
        <v>1</v>
      </c>
      <c r="L1376" t="b">
        <v>1</v>
      </c>
      <c r="M1376" t="inlineStr">
        <is>
          <t>Non-Billable</t>
        </is>
      </c>
      <c r="N1376" s="6">
        <f>IF(B1376="","",IF(ISNUMBER(B1376),TEXT(B1376,"YYYY-MM"),LEFT(B1376,7)))</f>
        <v/>
      </c>
    </row>
    <row r="1377">
      <c r="A1377" t="inlineStr">
        <is>
          <t>Augustus Asamoah</t>
        </is>
      </c>
      <c r="B1377" s="4" t="n">
        <v>46113</v>
      </c>
      <c r="C1377" t="inlineStr">
        <is>
          <t>/</t>
        </is>
      </c>
      <c r="D1377" t="inlineStr">
        <is>
          <t>Augustus Asamoah</t>
        </is>
      </c>
      <c r="E1377" t="inlineStr">
        <is>
          <t>Augustus Asamoah</t>
        </is>
      </c>
      <c r="F1377" s="5" t="n">
        <v>46156.6604050926</v>
      </c>
      <c r="H1377" t="inlineStr">
        <is>
          <t>P13PC00A00 - Private Sector Companies</t>
        </is>
      </c>
      <c r="I1377" t="n">
        <v>4</v>
      </c>
      <c r="L1377" t="b">
        <v>0</v>
      </c>
      <c r="M1377" t="inlineStr">
        <is>
          <t>Non-Billable</t>
        </is>
      </c>
      <c r="N1377" s="6">
        <f>IF(B1377="","",IF(ISNUMBER(B1377),TEXT(B1377,"YYYY-MM"),LEFT(B1377,7)))</f>
        <v/>
      </c>
    </row>
    <row r="1378">
      <c r="A1378" t="inlineStr">
        <is>
          <t>Augustus Asamoah</t>
        </is>
      </c>
      <c r="B1378" s="4" t="n">
        <v>46113</v>
      </c>
      <c r="C1378" t="inlineStr">
        <is>
          <t>/</t>
        </is>
      </c>
      <c r="D1378" t="inlineStr">
        <is>
          <t>Augustus Asamoah</t>
        </is>
      </c>
      <c r="E1378" t="inlineStr">
        <is>
          <t>Augustus Asamoah</t>
        </is>
      </c>
      <c r="F1378" s="5" t="n">
        <v>46156.66039351852</v>
      </c>
      <c r="H1378" t="inlineStr">
        <is>
          <t>P13NC00A00 - WALMART II</t>
        </is>
      </c>
      <c r="I1378" t="n">
        <v>4</v>
      </c>
      <c r="L1378" t="b">
        <v>0</v>
      </c>
      <c r="M1378" t="inlineStr">
        <is>
          <t>Non-Billable</t>
        </is>
      </c>
      <c r="N1378" s="6">
        <f>IF(B1378="","",IF(ISNUMBER(B1378),TEXT(B1378,"YYYY-MM"),LEFT(B1378,7)))</f>
        <v/>
      </c>
    </row>
    <row r="1379">
      <c r="A1379" t="inlineStr">
        <is>
          <t>Helena Tetteh</t>
        </is>
      </c>
      <c r="B1379" s="4" t="n">
        <v>46113</v>
      </c>
      <c r="C1379" t="inlineStr">
        <is>
          <t>/</t>
        </is>
      </c>
      <c r="D1379" t="inlineStr">
        <is>
          <t xml:space="preserve">Helena Tetteh </t>
        </is>
      </c>
      <c r="E1379" t="inlineStr">
        <is>
          <t>OdooBot</t>
        </is>
      </c>
      <c r="F1379" s="5" t="n">
        <v>46154.70721064815</v>
      </c>
      <c r="G1379" t="inlineStr">
        <is>
          <t>Output 2.3</t>
        </is>
      </c>
      <c r="H1379" t="inlineStr">
        <is>
          <t>P23AC00C00 - FGMC</t>
        </is>
      </c>
      <c r="I1379" t="n">
        <v>8</v>
      </c>
      <c r="K1379" t="inlineStr">
        <is>
          <t>P23AC22A00 - Output Two (Elevating Local Solutions - West Africa)</t>
        </is>
      </c>
      <c r="L1379" t="b">
        <v>0</v>
      </c>
      <c r="M1379" t="inlineStr">
        <is>
          <t>Non-Billable</t>
        </is>
      </c>
      <c r="N1379" s="6">
        <f>IF(B1379="","",IF(ISNUMBER(B1379),TEXT(B1379,"YYYY-MM"),LEFT(B1379,7)))</f>
        <v/>
      </c>
    </row>
    <row r="1380">
      <c r="A1380" t="inlineStr">
        <is>
          <t>Stephen Doso</t>
        </is>
      </c>
      <c r="B1380" s="4" t="n">
        <v>46113</v>
      </c>
      <c r="C1380" t="inlineStr">
        <is>
          <t>/</t>
        </is>
      </c>
      <c r="D1380" t="inlineStr">
        <is>
          <t>Stephen Doso</t>
        </is>
      </c>
      <c r="E1380" t="inlineStr">
        <is>
          <t>OdooBot</t>
        </is>
      </c>
      <c r="F1380" s="5" t="n">
        <v>46154.70721064815</v>
      </c>
      <c r="H1380" t="inlineStr">
        <is>
          <t>Non-Billable Tasks</t>
        </is>
      </c>
      <c r="I1380" t="n">
        <v>1</v>
      </c>
      <c r="K1380" t="inlineStr">
        <is>
          <t>Line Management</t>
        </is>
      </c>
      <c r="L1380" t="b">
        <v>0</v>
      </c>
      <c r="M1380" t="inlineStr">
        <is>
          <t>Non-Billable</t>
        </is>
      </c>
      <c r="N1380" s="6">
        <f>IF(B1380="","",IF(ISNUMBER(B1380),TEXT(B1380,"YYYY-MM"),LEFT(B1380,7)))</f>
        <v/>
      </c>
    </row>
    <row r="1381">
      <c r="A1381" t="inlineStr">
        <is>
          <t>Stephen Doso</t>
        </is>
      </c>
      <c r="B1381" s="4" t="n">
        <v>46113</v>
      </c>
      <c r="C1381" t="inlineStr">
        <is>
          <t>/</t>
        </is>
      </c>
      <c r="D1381" t="inlineStr">
        <is>
          <t>Stephen Doso</t>
        </is>
      </c>
      <c r="E1381" t="inlineStr">
        <is>
          <t>OdooBot</t>
        </is>
      </c>
      <c r="F1381" s="5" t="n">
        <v>46154.70721064815</v>
      </c>
      <c r="H1381" t="inlineStr">
        <is>
          <t>Non-Billable Tasks</t>
        </is>
      </c>
      <c r="I1381" t="n">
        <v>1</v>
      </c>
      <c r="K1381" t="inlineStr">
        <is>
          <t>Internal Focal points and workstreams</t>
        </is>
      </c>
      <c r="L1381" t="b">
        <v>0</v>
      </c>
      <c r="M1381" t="inlineStr">
        <is>
          <t>Non-Billable</t>
        </is>
      </c>
      <c r="N1381" s="6">
        <f>IF(B1381="","",IF(ISNUMBER(B1381),TEXT(B1381,"YYYY-MM"),LEFT(B1381,7)))</f>
        <v/>
      </c>
    </row>
    <row r="1382">
      <c r="A1382" t="inlineStr">
        <is>
          <t>Stephen Doso</t>
        </is>
      </c>
      <c r="B1382" s="4" t="n">
        <v>46113</v>
      </c>
      <c r="C1382" t="inlineStr">
        <is>
          <t>/</t>
        </is>
      </c>
      <c r="D1382" t="inlineStr">
        <is>
          <t>Stephen Doso</t>
        </is>
      </c>
      <c r="E1382" t="inlineStr">
        <is>
          <t>OdooBot</t>
        </is>
      </c>
      <c r="F1382" s="5" t="n">
        <v>46154.70721064815</v>
      </c>
      <c r="H1382" t="inlineStr">
        <is>
          <t>PCGH789 - Valency MSMO EHS audit</t>
        </is>
      </c>
      <c r="I1382" t="n">
        <v>4</v>
      </c>
      <c r="J1382" t="inlineStr">
        <is>
          <t>PCGH789 - Desk Study (2) (Valency International DMCC)</t>
        </is>
      </c>
      <c r="K1382" t="inlineStr">
        <is>
          <t>Desktop Study &amp; Assessment Framework Dev't (2)</t>
        </is>
      </c>
      <c r="L1382" t="b">
        <v>1</v>
      </c>
      <c r="M1382" t="inlineStr">
        <is>
          <t>Billed at a Fixed price</t>
        </is>
      </c>
      <c r="N1382" s="6">
        <f>IF(B1382="","",IF(ISNUMBER(B1382),TEXT(B1382,"YYYY-MM"),LEFT(B1382,7)))</f>
        <v/>
      </c>
    </row>
    <row r="1383">
      <c r="A1383" t="inlineStr">
        <is>
          <t>Afua Serwah Akoto Prempeh</t>
        </is>
      </c>
      <c r="B1383" s="4" t="n">
        <v>46113</v>
      </c>
      <c r="C1383" t="inlineStr">
        <is>
          <t>/</t>
        </is>
      </c>
      <c r="D1383" t="inlineStr">
        <is>
          <t>Afua Serwah Akoto Prempeh</t>
        </is>
      </c>
      <c r="E1383" t="inlineStr">
        <is>
          <t>OdooBot</t>
        </is>
      </c>
      <c r="F1383" s="5" t="n">
        <v>46154.70721064815</v>
      </c>
      <c r="H1383" t="inlineStr">
        <is>
          <t>Non-Billable Tasks</t>
        </is>
      </c>
      <c r="I1383" t="n">
        <v>0</v>
      </c>
      <c r="K1383" t="inlineStr">
        <is>
          <t>Public Holiday</t>
        </is>
      </c>
      <c r="L1383" t="b">
        <v>0</v>
      </c>
      <c r="M1383" t="inlineStr">
        <is>
          <t>Non-Billable</t>
        </is>
      </c>
      <c r="N1383" s="6">
        <f>IF(B1383="","",IF(ISNUMBER(B1383),TEXT(B1383,"YYYY-MM"),LEFT(B1383,7)))</f>
        <v/>
      </c>
    </row>
    <row r="1384">
      <c r="A1384" t="inlineStr">
        <is>
          <t>Afua Serwah Akoto Prempeh</t>
        </is>
      </c>
      <c r="B1384" s="4" t="n">
        <v>46113</v>
      </c>
      <c r="C1384" t="inlineStr">
        <is>
          <t>/</t>
        </is>
      </c>
      <c r="D1384" t="inlineStr">
        <is>
          <t>Afua Serwah Akoto Prempeh</t>
        </is>
      </c>
      <c r="E1384" t="inlineStr">
        <is>
          <t>OdooBot</t>
        </is>
      </c>
      <c r="F1384" s="5" t="n">
        <v>46154.70721064815</v>
      </c>
      <c r="H1384" t="inlineStr">
        <is>
          <t>Non-Billable Tasks</t>
        </is>
      </c>
      <c r="I1384" t="n">
        <v>2</v>
      </c>
      <c r="K1384" t="inlineStr">
        <is>
          <t>Professional development and Knowledge sharing(training,global knowledge calls,exchange weeks)</t>
        </is>
      </c>
      <c r="L1384" t="b">
        <v>0</v>
      </c>
      <c r="M1384" t="inlineStr">
        <is>
          <t>Non-Billable</t>
        </is>
      </c>
      <c r="N1384" s="6">
        <f>IF(B1384="","",IF(ISNUMBER(B1384),TEXT(B1384,"YYYY-MM"),LEFT(B1384,7)))</f>
        <v/>
      </c>
    </row>
    <row r="1385">
      <c r="A1385" t="inlineStr">
        <is>
          <t>Afua Serwah Akoto Prempeh</t>
        </is>
      </c>
      <c r="B1385" s="4" t="n">
        <v>46113</v>
      </c>
      <c r="C1385" t="inlineStr">
        <is>
          <t>/</t>
        </is>
      </c>
      <c r="D1385" t="inlineStr">
        <is>
          <t>Afua Serwah Akoto Prempeh</t>
        </is>
      </c>
      <c r="E1385" t="inlineStr">
        <is>
          <t>OdooBot</t>
        </is>
      </c>
      <c r="F1385" s="5" t="n">
        <v>46154.70721064815</v>
      </c>
      <c r="H1385" t="inlineStr">
        <is>
          <t>Non-Billable Tasks</t>
        </is>
      </c>
      <c r="I1385" t="n">
        <v>2</v>
      </c>
      <c r="L1385" t="b">
        <v>0</v>
      </c>
      <c r="M1385" t="inlineStr">
        <is>
          <t>Non-Billable</t>
        </is>
      </c>
      <c r="N1385" s="6">
        <f>IF(B1385="","",IF(ISNUMBER(B1385),TEXT(B1385,"YYYY-MM"),LEFT(B1385,7)))</f>
        <v/>
      </c>
    </row>
    <row r="1386">
      <c r="A1386" t="inlineStr">
        <is>
          <t>Afua Serwah Akoto Prempeh</t>
        </is>
      </c>
      <c r="B1386" s="4" t="n">
        <v>46113</v>
      </c>
      <c r="C1386" t="inlineStr">
        <is>
          <t xml:space="preserve">As part of BIP Implementation, mapped existing MSIs in RSP for Ghana and draft for selected West and Central African Countries </t>
        </is>
      </c>
      <c r="D1386" t="inlineStr">
        <is>
          <t>Afua Serwah Akoto Prempeh</t>
        </is>
      </c>
      <c r="E1386" t="inlineStr">
        <is>
          <t>OdooBot</t>
        </is>
      </c>
      <c r="F1386" s="5" t="n">
        <v>46154.70721064815</v>
      </c>
      <c r="H1386" t="inlineStr">
        <is>
          <t>Non-Billable Tasks</t>
        </is>
      </c>
      <c r="I1386" t="n">
        <v>4</v>
      </c>
      <c r="K1386" t="inlineStr">
        <is>
          <t>BIP MSI Mapping Exercise</t>
        </is>
      </c>
      <c r="L1386" t="b">
        <v>0</v>
      </c>
      <c r="M1386" t="inlineStr">
        <is>
          <t>Non-Billable</t>
        </is>
      </c>
      <c r="N1386" s="6">
        <f>IF(B1386="","",IF(ISNUMBER(B1386),TEXT(B1386,"YYYY-MM"),LEFT(B1386,7)))</f>
        <v/>
      </c>
    </row>
    <row r="1387">
      <c r="A1387" t="inlineStr">
        <is>
          <t>Louis Defo</t>
        </is>
      </c>
      <c r="B1387" s="4" t="n">
        <v>46113</v>
      </c>
      <c r="C1387" t="inlineStr">
        <is>
          <t>/</t>
        </is>
      </c>
      <c r="D1387" t="inlineStr">
        <is>
          <t>Louis Defo</t>
        </is>
      </c>
      <c r="E1387" t="inlineStr">
        <is>
          <t>OdooBot</t>
        </is>
      </c>
      <c r="F1387" s="5" t="n">
        <v>46154.70721064815</v>
      </c>
      <c r="H1387" t="inlineStr">
        <is>
          <t>P23AC00C00 - FGMC</t>
        </is>
      </c>
      <c r="I1387" t="n">
        <v>8</v>
      </c>
      <c r="L1387" t="b">
        <v>0</v>
      </c>
      <c r="M1387" t="inlineStr">
        <is>
          <t>Non-Billable</t>
        </is>
      </c>
      <c r="N1387" s="6">
        <f>IF(B1387="","",IF(ISNUMBER(B1387),TEXT(B1387,"YYYY-MM"),LEFT(B1387,7)))</f>
        <v/>
      </c>
    </row>
    <row r="1388">
      <c r="A1388" t="inlineStr">
        <is>
          <t>Stephen Doso</t>
        </is>
      </c>
      <c r="B1388" s="4" t="n">
        <v>46113</v>
      </c>
      <c r="C1388" t="inlineStr">
        <is>
          <t>/</t>
        </is>
      </c>
      <c r="D1388" t="inlineStr">
        <is>
          <t>Stephen Doso</t>
        </is>
      </c>
      <c r="E1388" t="inlineStr">
        <is>
          <t>OdooBot</t>
        </is>
      </c>
      <c r="F1388" s="5" t="n">
        <v>46154.70721064815</v>
      </c>
      <c r="H1388" t="inlineStr">
        <is>
          <t>Non-Billable Tasks</t>
        </is>
      </c>
      <c r="I1388" t="n">
        <v>2</v>
      </c>
      <c r="K1388" t="inlineStr">
        <is>
          <t>Portfolio Team Management</t>
        </is>
      </c>
      <c r="L1388" t="b">
        <v>0</v>
      </c>
      <c r="M1388" t="inlineStr">
        <is>
          <t>Non-Billable</t>
        </is>
      </c>
      <c r="N1388" s="6">
        <f>IF(B1388="","",IF(ISNUMBER(B1388),TEXT(B1388,"YYYY-MM"),LEFT(B1388,7)))</f>
        <v/>
      </c>
    </row>
    <row r="1389">
      <c r="A1389" t="inlineStr">
        <is>
          <t>Stephen Doso</t>
        </is>
      </c>
      <c r="B1389" s="4" t="n">
        <v>46113</v>
      </c>
      <c r="C1389" t="inlineStr">
        <is>
          <t>/</t>
        </is>
      </c>
      <c r="D1389" t="inlineStr">
        <is>
          <t>Stephen Doso</t>
        </is>
      </c>
      <c r="E1389" t="inlineStr">
        <is>
          <t>OdooBot</t>
        </is>
      </c>
      <c r="F1389" s="5" t="n">
        <v>46154.70721064815</v>
      </c>
      <c r="H1389" t="inlineStr">
        <is>
          <t>PCGH762 - GVL HCSA Restoration Project</t>
        </is>
      </c>
      <c r="I1389" t="n">
        <v>4</v>
      </c>
      <c r="J1389" t="inlineStr">
        <is>
          <t>PCGH763 - Desk study (Due diligence) (Jopafram Nigeria Limited)</t>
        </is>
      </c>
      <c r="K1389" t="inlineStr">
        <is>
          <t>Fundraising and proposal development</t>
        </is>
      </c>
      <c r="L1389" t="b">
        <v>1</v>
      </c>
      <c r="M1389" t="inlineStr">
        <is>
          <t>Billed at a Fixed price</t>
        </is>
      </c>
      <c r="N1389" s="6">
        <f>IF(B1389="","",IF(ISNUMBER(B1389),TEXT(B1389,"YYYY-MM"),LEFT(B1389,7)))</f>
        <v/>
      </c>
    </row>
    <row r="1390">
      <c r="A1390" t="inlineStr">
        <is>
          <t>Louis Defo</t>
        </is>
      </c>
      <c r="B1390" s="4" t="n">
        <v>46113</v>
      </c>
      <c r="C1390" t="inlineStr">
        <is>
          <t>/</t>
        </is>
      </c>
      <c r="D1390" t="inlineStr">
        <is>
          <t>Louis Defo</t>
        </is>
      </c>
      <c r="E1390" t="inlineStr">
        <is>
          <t>OdooBot</t>
        </is>
      </c>
      <c r="F1390" s="5" t="n">
        <v>46154.70721064815</v>
      </c>
      <c r="H1390" t="inlineStr">
        <is>
          <t>PCGH774 -Evaluation Deep-Dive Action Plans by Socfin Group</t>
        </is>
      </c>
      <c r="I1390" t="n">
        <v>8</v>
      </c>
      <c r="J1390" t="inlineStr">
        <is>
          <t>PCGH774 - Project Management (2) (Socfinco FR SA)</t>
        </is>
      </c>
      <c r="L1390" t="b">
        <v>1</v>
      </c>
      <c r="M1390" t="inlineStr">
        <is>
          <t>Billed at a Fixed price</t>
        </is>
      </c>
      <c r="N1390" s="6">
        <f>IF(B1390="","",IF(ISNUMBER(B1390),TEXT(B1390,"YYYY-MM"),LEFT(B1390,7)))</f>
        <v/>
      </c>
    </row>
    <row r="1391">
      <c r="A1391" t="inlineStr">
        <is>
          <t>Kingsley Fitz-Gerald Severine</t>
        </is>
      </c>
      <c r="B1391" s="4" t="n">
        <v>46113</v>
      </c>
      <c r="C1391" t="inlineStr">
        <is>
          <t>/</t>
        </is>
      </c>
      <c r="D1391" t="inlineStr">
        <is>
          <t>Kingsley Fitz-Gerald Severine</t>
        </is>
      </c>
      <c r="E1391" t="inlineStr">
        <is>
          <t>OdooBot</t>
        </is>
      </c>
      <c r="F1391" s="5" t="n">
        <v>46154.70721064815</v>
      </c>
      <c r="G1391" t="inlineStr">
        <is>
          <t>MONDONI: FIELDWORK (3)</t>
        </is>
      </c>
      <c r="H1391" t="inlineStr">
        <is>
          <t>PCGH788 - CDC Boa &amp; Mondoni CV-HCS Scoping</t>
        </is>
      </c>
      <c r="I1391" t="n">
        <v>8</v>
      </c>
      <c r="J1391" t="inlineStr">
        <is>
          <t>PCGH788 - Field work  (3) (CAMEROON DEVELOPMENT CORPORATION (CDC))</t>
        </is>
      </c>
      <c r="K1391" t="inlineStr">
        <is>
          <t>Community consultations</t>
        </is>
      </c>
      <c r="L1391" t="b">
        <v>1</v>
      </c>
      <c r="M1391" t="inlineStr">
        <is>
          <t>Billed at a Fixed price</t>
        </is>
      </c>
      <c r="N1391" s="6">
        <f>IF(B1391="","",IF(ISNUMBER(B1391),TEXT(B1391,"YYYY-MM"),LEFT(B1391,7)))</f>
        <v/>
      </c>
    </row>
    <row r="1392">
      <c r="A1392" t="inlineStr">
        <is>
          <t>Kwadwo Baniako Nti</t>
        </is>
      </c>
      <c r="B1392" s="4" t="n">
        <v>46113</v>
      </c>
      <c r="C1392" t="inlineStr">
        <is>
          <t>/</t>
        </is>
      </c>
      <c r="D1392" t="inlineStr">
        <is>
          <t>Kwadwo Baniako Nti</t>
        </is>
      </c>
      <c r="E1392" t="inlineStr">
        <is>
          <t>OdooBot</t>
        </is>
      </c>
      <c r="F1392" s="5" t="n">
        <v>46154.70721064815</v>
      </c>
      <c r="H1392" t="inlineStr">
        <is>
          <t>PCGH762 - GVL HCSA Restoration Project</t>
        </is>
      </c>
      <c r="I1392" t="n">
        <v>8</v>
      </c>
      <c r="J1392" t="inlineStr">
        <is>
          <t>PCGH762 - Baseline Socio-Economic &amp; Environmental Surveys (Golden Veroleum Liberia)</t>
        </is>
      </c>
      <c r="K1392" t="inlineStr">
        <is>
          <t>Baseline Socio-Economic &amp; Environmental Surveys</t>
        </is>
      </c>
      <c r="L1392" t="b">
        <v>1</v>
      </c>
      <c r="M1392" t="inlineStr">
        <is>
          <t>Billed at a Fixed price</t>
        </is>
      </c>
      <c r="N1392" s="6">
        <f>IF(B1392="","",IF(ISNUMBER(B1392),TEXT(B1392,"YYYY-MM"),LEFT(B1392,7)))</f>
        <v/>
      </c>
    </row>
    <row r="1393">
      <c r="A1393" t="inlineStr">
        <is>
          <t>Abel Ansu</t>
        </is>
      </c>
      <c r="B1393" s="4" t="n">
        <v>46113</v>
      </c>
      <c r="C1393" t="inlineStr">
        <is>
          <t>Had meetings to assess activities of the workplan in the first quarter</t>
        </is>
      </c>
      <c r="D1393" t="inlineStr">
        <is>
          <t>Abel Ansu</t>
        </is>
      </c>
      <c r="E1393" t="inlineStr">
        <is>
          <t>OdooBot</t>
        </is>
      </c>
      <c r="F1393" s="5" t="n">
        <v>46154.70721064815</v>
      </c>
      <c r="H1393" t="inlineStr">
        <is>
          <t>Internal</t>
        </is>
      </c>
      <c r="I1393" t="n">
        <v>8</v>
      </c>
      <c r="K1393" t="inlineStr">
        <is>
          <t>Meeting on workplan</t>
        </is>
      </c>
      <c r="L1393" t="b">
        <v>0</v>
      </c>
      <c r="M1393" t="inlineStr">
        <is>
          <t>Non-Billable</t>
        </is>
      </c>
      <c r="N1393" s="6">
        <f>IF(B1393="","",IF(ISNUMBER(B1393),TEXT(B1393,"YYYY-MM"),LEFT(B1393,7)))</f>
        <v/>
      </c>
    </row>
    <row r="1394">
      <c r="A1394" t="inlineStr">
        <is>
          <t>Clement Obeng-Manu</t>
        </is>
      </c>
      <c r="B1394" s="4" t="n">
        <v>46113</v>
      </c>
      <c r="C1394" t="inlineStr">
        <is>
          <t>/</t>
        </is>
      </c>
      <c r="D1394" t="inlineStr">
        <is>
          <t>Ekow Nyamekye Tawiah</t>
        </is>
      </c>
      <c r="E1394" t="inlineStr">
        <is>
          <t>OdooBot</t>
        </is>
      </c>
      <c r="F1394" s="5" t="n">
        <v>46154.70721064815</v>
      </c>
      <c r="G1394" t="inlineStr">
        <is>
          <t>Land cover classification, ground truthing and accuracy assessment</t>
        </is>
      </c>
      <c r="H1394" t="inlineStr">
        <is>
          <t>PCGH776 - Deforestation Risk-Assessment Cashew-Coast</t>
        </is>
      </c>
      <c r="I1394" t="n">
        <v>8</v>
      </c>
      <c r="J1394" t="inlineStr">
        <is>
          <t>PCGH776 - Groundthruthing and Verification (3) (Cashew Coast Products Inc)</t>
        </is>
      </c>
      <c r="K1394" t="inlineStr">
        <is>
          <t>Land cover classification, ground truthing and accuracy assessment</t>
        </is>
      </c>
      <c r="L1394" t="b">
        <v>1</v>
      </c>
      <c r="M1394" t="inlineStr">
        <is>
          <t>Billed at a Fixed price</t>
        </is>
      </c>
      <c r="N1394" s="6">
        <f>IF(B1394="","",IF(ISNUMBER(B1394),TEXT(B1394,"YYYY-MM"),LEFT(B1394,7)))</f>
        <v/>
      </c>
    </row>
    <row r="1395">
      <c r="A1395" t="inlineStr">
        <is>
          <t>Daleba Bernard Kpenahi Raymond</t>
        </is>
      </c>
      <c r="B1395" s="4" t="n">
        <v>46113</v>
      </c>
      <c r="C1395" t="inlineStr">
        <is>
          <t>/</t>
        </is>
      </c>
      <c r="D1395" t="inlineStr">
        <is>
          <t>Daleba Bernard Kpenahi Raymond</t>
        </is>
      </c>
      <c r="E1395" t="inlineStr">
        <is>
          <t>OdooBot</t>
        </is>
      </c>
      <c r="F1395" s="5" t="n">
        <v>46154.70721064815</v>
      </c>
      <c r="H1395" t="inlineStr">
        <is>
          <t>PCGH776 - Deforestation Risk-Assessment Cashew-Coast</t>
        </is>
      </c>
      <c r="I1395" t="n">
        <v>8</v>
      </c>
      <c r="J1395" t="inlineStr">
        <is>
          <t>PCGH776 - Data collection and review (3) (Cashew Coast Products Inc)</t>
        </is>
      </c>
      <c r="L1395" t="b">
        <v>1</v>
      </c>
      <c r="M1395" t="inlineStr">
        <is>
          <t>Billed at a Fixed price</t>
        </is>
      </c>
      <c r="N1395" s="6">
        <f>IF(B1395="","",IF(ISNUMBER(B1395),TEXT(B1395,"YYYY-MM"),LEFT(B1395,7)))</f>
        <v/>
      </c>
    </row>
    <row r="1396">
      <c r="A1396" t="inlineStr">
        <is>
          <t>Ekow Nyamekye Tawiah</t>
        </is>
      </c>
      <c r="B1396" s="4" t="n">
        <v>46112</v>
      </c>
      <c r="C1396" t="inlineStr">
        <is>
          <t>Deforestation Risk Analysis</t>
        </is>
      </c>
      <c r="D1396" t="inlineStr">
        <is>
          <t>Joseph Isaiah Mensah</t>
        </is>
      </c>
      <c r="E1396" t="inlineStr">
        <is>
          <t>Ekow Nyamekye Tawiah</t>
        </is>
      </c>
      <c r="F1396" s="5" t="n">
        <v>46162.88002314815</v>
      </c>
      <c r="H1396" t="inlineStr">
        <is>
          <t>PCGH778 - General Support</t>
        </is>
      </c>
      <c r="I1396" t="n">
        <v>4</v>
      </c>
      <c r="J1396" t="inlineStr">
        <is>
          <t>PCGH778 - Support to Other Workstreams (3) (Proforest Limited(PCUK GBP))</t>
        </is>
      </c>
      <c r="L1396" t="b">
        <v>1</v>
      </c>
      <c r="M1396" t="inlineStr">
        <is>
          <t>Billed at a Fixed price</t>
        </is>
      </c>
      <c r="N1396" s="6">
        <f>IF(B1396="","",IF(ISNUMBER(B1396),TEXT(B1396,"YYYY-MM"),LEFT(B1396,7)))</f>
        <v/>
      </c>
    </row>
    <row r="1397">
      <c r="A1397" t="inlineStr">
        <is>
          <t>James Parker Mckeown</t>
        </is>
      </c>
      <c r="B1397" s="4" t="n">
        <v>46112</v>
      </c>
      <c r="C1397" t="inlineStr">
        <is>
          <t xml:space="preserve">Socioeconomic baseline data collection </t>
        </is>
      </c>
      <c r="D1397" t="inlineStr">
        <is>
          <t>James Parker Mckeown</t>
        </is>
      </c>
      <c r="E1397" t="inlineStr">
        <is>
          <t>James Parker Mckeown</t>
        </is>
      </c>
      <c r="F1397" s="5" t="n">
        <v>46162.75703703704</v>
      </c>
      <c r="H1397" t="inlineStr">
        <is>
          <t>PCGH762 - GVL HCSA Restoration Project</t>
        </is>
      </c>
      <c r="I1397" t="n">
        <v>4</v>
      </c>
      <c r="K1397" t="inlineStr">
        <is>
          <t>Baseline Socio-Economic &amp; Environmental Surveys</t>
        </is>
      </c>
      <c r="L1397" t="b">
        <v>1</v>
      </c>
      <c r="M1397" t="inlineStr">
        <is>
          <t>Non-Billable</t>
        </is>
      </c>
      <c r="N1397" s="6">
        <f>IF(B1397="","",IF(ISNUMBER(B1397),TEXT(B1397,"YYYY-MM"),LEFT(B1397,7)))</f>
        <v/>
      </c>
    </row>
    <row r="1398">
      <c r="A1398" t="inlineStr">
        <is>
          <t>James Parker Mckeown</t>
        </is>
      </c>
      <c r="B1398" s="4" t="n">
        <v>46112</v>
      </c>
      <c r="C1398" t="inlineStr">
        <is>
          <t>/</t>
        </is>
      </c>
      <c r="D1398" t="inlineStr">
        <is>
          <t>James Parker Mckeown</t>
        </is>
      </c>
      <c r="E1398" t="inlineStr">
        <is>
          <t>James Parker Mckeown</t>
        </is>
      </c>
      <c r="F1398" s="5" t="n">
        <v>46162.75635416667</v>
      </c>
      <c r="H1398" t="inlineStr">
        <is>
          <t>PCGH762 - GVL HCSA Restoration Project</t>
        </is>
      </c>
      <c r="I1398" t="n">
        <v>4</v>
      </c>
      <c r="J1398" t="inlineStr">
        <is>
          <t>PCGH762 - Training and Capacity Building (Golden Veroleum Liberia)</t>
        </is>
      </c>
      <c r="K1398" t="inlineStr">
        <is>
          <t>Training and Capacity Building</t>
        </is>
      </c>
      <c r="L1398" t="b">
        <v>1</v>
      </c>
      <c r="M1398" t="inlineStr">
        <is>
          <t>Billed at a Fixed price</t>
        </is>
      </c>
      <c r="N1398" s="6">
        <f>IF(B1398="","",IF(ISNUMBER(B1398),TEXT(B1398,"YYYY-MM"),LEFT(B1398,7)))</f>
        <v/>
      </c>
    </row>
    <row r="1399">
      <c r="A1399" t="inlineStr">
        <is>
          <t>Joseph Isaiah Mensah</t>
        </is>
      </c>
      <c r="B1399" s="4" t="n">
        <v>46112</v>
      </c>
      <c r="C1399" t="inlineStr">
        <is>
          <t>visit to various agencies</t>
        </is>
      </c>
      <c r="D1399" t="inlineStr">
        <is>
          <t>Jacqueline Nyakutse Afua</t>
        </is>
      </c>
      <c r="E1399" t="inlineStr">
        <is>
          <t>Joseph Isaiah Mensah</t>
        </is>
      </c>
      <c r="F1399" s="5" t="n">
        <v>46162.75333333333</v>
      </c>
      <c r="H1399" t="inlineStr">
        <is>
          <t>PCGH786 - Impact Level Baseline assessment for FGMC</t>
        </is>
      </c>
      <c r="I1399" t="n">
        <v>8</v>
      </c>
      <c r="L1399" t="b">
        <v>1</v>
      </c>
      <c r="M1399" t="inlineStr">
        <is>
          <t>Non-Billable</t>
        </is>
      </c>
      <c r="N1399" s="6">
        <f>IF(B1399="","",IF(ISNUMBER(B1399),TEXT(B1399,"YYYY-MM"),LEFT(B1399,7)))</f>
        <v/>
      </c>
    </row>
    <row r="1400">
      <c r="A1400" t="inlineStr">
        <is>
          <t>Frederick Antwi</t>
        </is>
      </c>
      <c r="B1400" s="4" t="n">
        <v>46112</v>
      </c>
      <c r="C1400" t="inlineStr">
        <is>
          <t>/</t>
        </is>
      </c>
      <c r="D1400" t="inlineStr">
        <is>
          <t>Frederick Antwi</t>
        </is>
      </c>
      <c r="E1400" t="inlineStr">
        <is>
          <t>Frederick Antwi</t>
        </is>
      </c>
      <c r="F1400" s="5" t="n">
        <v>46160.62903935185</v>
      </c>
      <c r="H1400" t="inlineStr">
        <is>
          <t>P13NC00A00 - WALMART II</t>
        </is>
      </c>
      <c r="I1400" t="n">
        <v>8</v>
      </c>
      <c r="L1400" t="b">
        <v>0</v>
      </c>
      <c r="M1400" t="inlineStr">
        <is>
          <t>Non-Billable</t>
        </is>
      </c>
      <c r="N1400" s="6">
        <f>IF(B1400="","",IF(ISNUMBER(B1400),TEXT(B1400,"YYYY-MM"),LEFT(B1400,7)))</f>
        <v/>
      </c>
    </row>
    <row r="1401">
      <c r="A1401" t="inlineStr">
        <is>
          <t>Augustus Asamoah</t>
        </is>
      </c>
      <c r="B1401" s="4" t="n">
        <v>46112</v>
      </c>
      <c r="C1401" t="inlineStr">
        <is>
          <t>/</t>
        </is>
      </c>
      <c r="D1401" t="inlineStr">
        <is>
          <t>Augustus Asamoah</t>
        </is>
      </c>
      <c r="E1401" t="inlineStr">
        <is>
          <t>Augustus Asamoah</t>
        </is>
      </c>
      <c r="F1401" s="5" t="n">
        <v>46156.65943287037</v>
      </c>
      <c r="H1401" t="inlineStr">
        <is>
          <t>P13PC00A00 - Private Sector Companies</t>
        </is>
      </c>
      <c r="I1401" t="n">
        <v>2</v>
      </c>
      <c r="L1401" t="b">
        <v>0</v>
      </c>
      <c r="M1401" t="inlineStr">
        <is>
          <t>Non-Billable</t>
        </is>
      </c>
      <c r="N1401" s="6">
        <f>IF(B1401="","",IF(ISNUMBER(B1401),TEXT(B1401,"YYYY-MM"),LEFT(B1401,7)))</f>
        <v/>
      </c>
    </row>
    <row r="1402">
      <c r="A1402" t="inlineStr">
        <is>
          <t>Augustus Asamoah</t>
        </is>
      </c>
      <c r="B1402" s="4" t="n">
        <v>46112</v>
      </c>
      <c r="C1402" t="inlineStr">
        <is>
          <t>/</t>
        </is>
      </c>
      <c r="D1402" t="inlineStr">
        <is>
          <t>Augustus Asamoah</t>
        </is>
      </c>
      <c r="E1402" t="inlineStr">
        <is>
          <t>Augustus Asamoah</t>
        </is>
      </c>
      <c r="F1402" s="5" t="n">
        <v>46156.6594212963</v>
      </c>
      <c r="H1402" t="inlineStr">
        <is>
          <t>P13NC00A00 - WALMART II</t>
        </is>
      </c>
      <c r="I1402" t="n">
        <v>2</v>
      </c>
      <c r="L1402" t="b">
        <v>0</v>
      </c>
      <c r="M1402" t="inlineStr">
        <is>
          <t>Non-Billable</t>
        </is>
      </c>
      <c r="N1402" s="6">
        <f>IF(B1402="","",IF(ISNUMBER(B1402),TEXT(B1402,"YYYY-MM"),LEFT(B1402,7)))</f>
        <v/>
      </c>
    </row>
    <row r="1403">
      <c r="A1403" t="inlineStr">
        <is>
          <t>Augustus Asamoah</t>
        </is>
      </c>
      <c r="B1403" s="4" t="n">
        <v>46112</v>
      </c>
      <c r="C1403" t="inlineStr">
        <is>
          <t>/</t>
        </is>
      </c>
      <c r="D1403" t="inlineStr">
        <is>
          <t>Augustus Asamoah</t>
        </is>
      </c>
      <c r="E1403" t="inlineStr">
        <is>
          <t>Augustus Asamoah</t>
        </is>
      </c>
      <c r="F1403" s="5" t="n">
        <v>46156.65928240741</v>
      </c>
      <c r="H1403" t="inlineStr">
        <is>
          <t>P13QC00A00 - EFI Programme</t>
        </is>
      </c>
      <c r="I1403" t="n">
        <v>4</v>
      </c>
      <c r="L1403" t="b">
        <v>0</v>
      </c>
      <c r="M1403" t="inlineStr">
        <is>
          <t>Non-Billable</t>
        </is>
      </c>
      <c r="N1403" s="6">
        <f>IF(B1403="","",IF(ISNUMBER(B1403),TEXT(B1403,"YYYY-MM"),LEFT(B1403,7)))</f>
        <v/>
      </c>
    </row>
    <row r="1404">
      <c r="A1404" t="inlineStr">
        <is>
          <t>Helena Tetteh</t>
        </is>
      </c>
      <c r="B1404" s="4" t="n">
        <v>46112</v>
      </c>
      <c r="C1404" t="inlineStr">
        <is>
          <t>/</t>
        </is>
      </c>
      <c r="D1404" t="inlineStr">
        <is>
          <t xml:space="preserve">Helena Tetteh </t>
        </is>
      </c>
      <c r="E1404" t="inlineStr">
        <is>
          <t>OdooBot</t>
        </is>
      </c>
      <c r="F1404" s="5" t="n">
        <v>46154.70721064815</v>
      </c>
      <c r="G1404" t="inlineStr">
        <is>
          <t>Output 2.3</t>
        </is>
      </c>
      <c r="H1404" t="inlineStr">
        <is>
          <t>P23AC00C00 - FGMC</t>
        </is>
      </c>
      <c r="I1404" t="n">
        <v>8</v>
      </c>
      <c r="K1404" t="inlineStr">
        <is>
          <t>P23AC22A00 - Output Two (Elevating Local Solutions - West Africa)</t>
        </is>
      </c>
      <c r="L1404" t="b">
        <v>0</v>
      </c>
      <c r="M1404" t="inlineStr">
        <is>
          <t>Non-Billable</t>
        </is>
      </c>
      <c r="N1404" s="6">
        <f>IF(B1404="","",IF(ISNUMBER(B1404),TEXT(B1404,"YYYY-MM"),LEFT(B1404,7)))</f>
        <v/>
      </c>
    </row>
    <row r="1405">
      <c r="A1405" t="inlineStr">
        <is>
          <t>Afua Serwah Akoto Prempeh</t>
        </is>
      </c>
      <c r="B1405" s="4" t="n">
        <v>46112</v>
      </c>
      <c r="C1405" t="inlineStr">
        <is>
          <t>/</t>
        </is>
      </c>
      <c r="D1405" t="inlineStr">
        <is>
          <t>Afua Serwah Akoto Prempeh</t>
        </is>
      </c>
      <c r="E1405" t="inlineStr">
        <is>
          <t>OdooBot</t>
        </is>
      </c>
      <c r="F1405" s="5" t="n">
        <v>46154.70721064815</v>
      </c>
      <c r="H1405" t="inlineStr">
        <is>
          <t>Non-Billable Tasks</t>
        </is>
      </c>
      <c r="I1405" t="n">
        <v>6</v>
      </c>
      <c r="K1405" t="inlineStr">
        <is>
          <t>Administrative Tasks</t>
        </is>
      </c>
      <c r="L1405" t="b">
        <v>0</v>
      </c>
      <c r="M1405" t="inlineStr">
        <is>
          <t>Non-Billable</t>
        </is>
      </c>
      <c r="N1405" s="6">
        <f>IF(B1405="","",IF(ISNUMBER(B1405),TEXT(B1405,"YYYY-MM"),LEFT(B1405,7)))</f>
        <v/>
      </c>
    </row>
    <row r="1406">
      <c r="A1406" t="inlineStr">
        <is>
          <t>Afua Serwah Akoto Prempeh</t>
        </is>
      </c>
      <c r="B1406" s="4" t="n">
        <v>46112</v>
      </c>
      <c r="C1406" t="inlineStr">
        <is>
          <t>/</t>
        </is>
      </c>
      <c r="D1406" t="inlineStr">
        <is>
          <t>Afua Serwah Akoto Prempeh</t>
        </is>
      </c>
      <c r="E1406" t="inlineStr">
        <is>
          <t>OdooBot</t>
        </is>
      </c>
      <c r="F1406" s="5" t="n">
        <v>46154.70721064815</v>
      </c>
      <c r="H1406" t="inlineStr">
        <is>
          <t>P23AC00C00 - FGMC</t>
        </is>
      </c>
      <c r="I1406" t="n">
        <v>2</v>
      </c>
      <c r="L1406" t="b">
        <v>0</v>
      </c>
      <c r="M1406" t="inlineStr">
        <is>
          <t>Non-Billable</t>
        </is>
      </c>
      <c r="N1406" s="6">
        <f>IF(B1406="","",IF(ISNUMBER(B1406),TEXT(B1406,"YYYY-MM"),LEFT(B1406,7)))</f>
        <v/>
      </c>
    </row>
    <row r="1407">
      <c r="A1407" t="inlineStr">
        <is>
          <t>Stephen Doso</t>
        </is>
      </c>
      <c r="B1407" s="4" t="n">
        <v>46112</v>
      </c>
      <c r="C1407" t="inlineStr">
        <is>
          <t>/</t>
        </is>
      </c>
      <c r="D1407" t="inlineStr">
        <is>
          <t>Stephen Doso</t>
        </is>
      </c>
      <c r="E1407" t="inlineStr">
        <is>
          <t>OdooBot</t>
        </is>
      </c>
      <c r="F1407" s="5" t="n">
        <v>46154.70721064815</v>
      </c>
      <c r="G1407" t="inlineStr">
        <is>
          <t>MONDONI: FIELDWORK (2)</t>
        </is>
      </c>
      <c r="H1407" t="inlineStr">
        <is>
          <t>PCGH788 - CDC Boa &amp; Mondoni CV-HCS Scoping</t>
        </is>
      </c>
      <c r="I1407" t="n">
        <v>8</v>
      </c>
      <c r="J1407" t="inlineStr">
        <is>
          <t>PCGH788 - Field work  (2) (CAMEROON DEVELOPMENT CORPORATION (CDC))</t>
        </is>
      </c>
      <c r="K1407" t="inlineStr">
        <is>
          <t>Stakeholder consultations</t>
        </is>
      </c>
      <c r="L1407" t="b">
        <v>1</v>
      </c>
      <c r="M1407" t="inlineStr">
        <is>
          <t>Billed at a Fixed price</t>
        </is>
      </c>
      <c r="N1407" s="6">
        <f>IF(B1407="","",IF(ISNUMBER(B1407),TEXT(B1407,"YYYY-MM"),LEFT(B1407,7)))</f>
        <v/>
      </c>
    </row>
    <row r="1408">
      <c r="A1408" t="inlineStr">
        <is>
          <t>Louis Defo</t>
        </is>
      </c>
      <c r="B1408" s="4" t="n">
        <v>46112</v>
      </c>
      <c r="C1408" t="inlineStr">
        <is>
          <t>/</t>
        </is>
      </c>
      <c r="D1408" t="inlineStr">
        <is>
          <t>Louis Defo</t>
        </is>
      </c>
      <c r="E1408" t="inlineStr">
        <is>
          <t>OdooBot</t>
        </is>
      </c>
      <c r="F1408" s="5" t="n">
        <v>46154.70721064815</v>
      </c>
      <c r="H1408" t="inlineStr">
        <is>
          <t>P23AC00C00 - FGMC</t>
        </is>
      </c>
      <c r="I1408" t="n">
        <v>8</v>
      </c>
      <c r="L1408" t="b">
        <v>0</v>
      </c>
      <c r="M1408" t="inlineStr">
        <is>
          <t>Non-Billable</t>
        </is>
      </c>
      <c r="N1408" s="6">
        <f>IF(B1408="","",IF(ISNUMBER(B1408),TEXT(B1408,"YYYY-MM"),LEFT(B1408,7)))</f>
        <v/>
      </c>
    </row>
    <row r="1409">
      <c r="A1409" t="inlineStr">
        <is>
          <t>Kingsley Fitz-Gerald Severine</t>
        </is>
      </c>
      <c r="B1409" s="4" t="n">
        <v>46112</v>
      </c>
      <c r="C1409" t="inlineStr">
        <is>
          <t>/</t>
        </is>
      </c>
      <c r="D1409" t="inlineStr">
        <is>
          <t>Kingsley Fitz-Gerald Severine</t>
        </is>
      </c>
      <c r="E1409" t="inlineStr">
        <is>
          <t>OdooBot</t>
        </is>
      </c>
      <c r="F1409" s="5" t="n">
        <v>46154.70721064815</v>
      </c>
      <c r="G1409" t="inlineStr">
        <is>
          <t>BOA: FIELDWORK (3)</t>
        </is>
      </c>
      <c r="H1409" t="inlineStr">
        <is>
          <t>PCGH788 - CDC Boa &amp; Mondoni CV-HCS Scoping</t>
        </is>
      </c>
      <c r="I1409" t="n">
        <v>8</v>
      </c>
      <c r="J1409" t="inlineStr">
        <is>
          <t>PCGH788 - Field work  (3) (CAMEROON DEVELOPMENT CORPORATION (CDC))</t>
        </is>
      </c>
      <c r="K1409" t="inlineStr">
        <is>
          <t>Community consultations</t>
        </is>
      </c>
      <c r="L1409" t="b">
        <v>1</v>
      </c>
      <c r="M1409" t="inlineStr">
        <is>
          <t>Billed at a Fixed price</t>
        </is>
      </c>
      <c r="N1409" s="6">
        <f>IF(B1409="","",IF(ISNUMBER(B1409),TEXT(B1409,"YYYY-MM"),LEFT(B1409,7)))</f>
        <v/>
      </c>
    </row>
    <row r="1410">
      <c r="A1410" t="inlineStr">
        <is>
          <t>Kingsley Fitz-Gerald Severine</t>
        </is>
      </c>
      <c r="B1410" s="4" t="n">
        <v>46112</v>
      </c>
      <c r="C1410" t="inlineStr">
        <is>
          <t>/</t>
        </is>
      </c>
      <c r="D1410" t="inlineStr">
        <is>
          <t>Kingsley Fitz-Gerald Severine</t>
        </is>
      </c>
      <c r="E1410" t="inlineStr">
        <is>
          <t>OdooBot</t>
        </is>
      </c>
      <c r="F1410" s="5" t="n">
        <v>46154.70721064815</v>
      </c>
      <c r="G1410" t="inlineStr">
        <is>
          <t>MONDONI: FIELDWORK (3)</t>
        </is>
      </c>
      <c r="H1410" t="inlineStr">
        <is>
          <t>PCGH788 - CDC Boa &amp; Mondoni CV-HCS Scoping</t>
        </is>
      </c>
      <c r="I1410" t="n">
        <v>0</v>
      </c>
      <c r="J1410" t="inlineStr">
        <is>
          <t>PCGH788 - Field work  (3) (CAMEROON DEVELOPMENT CORPORATION (CDC))</t>
        </is>
      </c>
      <c r="K1410" t="inlineStr">
        <is>
          <t>Community consultations</t>
        </is>
      </c>
      <c r="L1410" t="b">
        <v>1</v>
      </c>
      <c r="M1410" t="inlineStr">
        <is>
          <t>Billed at a Fixed price</t>
        </is>
      </c>
      <c r="N1410" s="6">
        <f>IF(B1410="","",IF(ISNUMBER(B1410),TEXT(B1410,"YYYY-MM"),LEFT(B1410,7)))</f>
        <v/>
      </c>
    </row>
    <row r="1411">
      <c r="A1411" t="inlineStr">
        <is>
          <t>Kwadwo Baniako Nti</t>
        </is>
      </c>
      <c r="B1411" s="4" t="n">
        <v>46112</v>
      </c>
      <c r="C1411" t="inlineStr">
        <is>
          <t>/</t>
        </is>
      </c>
      <c r="D1411" t="inlineStr">
        <is>
          <t>Kwadwo Baniako Nti</t>
        </is>
      </c>
      <c r="E1411" t="inlineStr">
        <is>
          <t>OdooBot</t>
        </is>
      </c>
      <c r="F1411" s="5" t="n">
        <v>46154.70721064815</v>
      </c>
      <c r="H1411" t="inlineStr">
        <is>
          <t>PCGH762 - GVL HCSA Restoration Project</t>
        </is>
      </c>
      <c r="I1411" t="n">
        <v>8</v>
      </c>
      <c r="J1411" t="inlineStr">
        <is>
          <t>PCGH762 - Baseline Socio-Economic &amp; Environmental Surveys (Golden Veroleum Liberia)</t>
        </is>
      </c>
      <c r="K1411" t="inlineStr">
        <is>
          <t>Baseline Socio-Economic &amp; Environmental Surveys</t>
        </is>
      </c>
      <c r="L1411" t="b">
        <v>1</v>
      </c>
      <c r="M1411" t="inlineStr">
        <is>
          <t>Billed at a Fixed price</t>
        </is>
      </c>
      <c r="N1411" s="6">
        <f>IF(B1411="","",IF(ISNUMBER(B1411),TEXT(B1411,"YYYY-MM"),LEFT(B1411,7)))</f>
        <v/>
      </c>
    </row>
    <row r="1412">
      <c r="A1412" t="inlineStr">
        <is>
          <t>Abel Ansu</t>
        </is>
      </c>
      <c r="B1412" s="4" t="n">
        <v>46112</v>
      </c>
      <c r="C1412" t="inlineStr">
        <is>
          <t>Compiled the list of farmers who have registered for MTS in four communities in the Bia Tano forest reserve</t>
        </is>
      </c>
      <c r="D1412" t="inlineStr">
        <is>
          <t>Abel Ansu</t>
        </is>
      </c>
      <c r="E1412" t="inlineStr">
        <is>
          <t>OdooBot</t>
        </is>
      </c>
      <c r="F1412" s="5" t="n">
        <v>46154.70721064815</v>
      </c>
      <c r="H1412" t="inlineStr">
        <is>
          <t>Internal</t>
        </is>
      </c>
      <c r="I1412" t="n">
        <v>8</v>
      </c>
      <c r="L1412" t="b">
        <v>0</v>
      </c>
      <c r="M1412" t="inlineStr">
        <is>
          <t>Non-Billable</t>
        </is>
      </c>
      <c r="N1412" s="6">
        <f>IF(B1412="","",IF(ISNUMBER(B1412),TEXT(B1412,"YYYY-MM"),LEFT(B1412,7)))</f>
        <v/>
      </c>
    </row>
    <row r="1413">
      <c r="A1413" t="inlineStr">
        <is>
          <t>Clement Obeng-Manu</t>
        </is>
      </c>
      <c r="B1413" s="4" t="n">
        <v>46112</v>
      </c>
      <c r="C1413" t="inlineStr">
        <is>
          <t>/</t>
        </is>
      </c>
      <c r="D1413" t="inlineStr">
        <is>
          <t>Ekow Nyamekye Tawiah</t>
        </is>
      </c>
      <c r="E1413" t="inlineStr">
        <is>
          <t>OdooBot</t>
        </is>
      </c>
      <c r="F1413" s="5" t="n">
        <v>46154.70721064815</v>
      </c>
      <c r="G1413" t="inlineStr">
        <is>
          <t>Land cover classification, ground truthing and accuracy assessment</t>
        </is>
      </c>
      <c r="H1413" t="inlineStr">
        <is>
          <t>PCGH776 - Deforestation Risk-Assessment Cashew-Coast</t>
        </is>
      </c>
      <c r="I1413" t="n">
        <v>8</v>
      </c>
      <c r="J1413" t="inlineStr">
        <is>
          <t>PCGH776 - Groundthruthing and Verification (3) (Cashew Coast Products Inc)</t>
        </is>
      </c>
      <c r="K1413" t="inlineStr">
        <is>
          <t>Land cover classification, ground truthing and accuracy assessment</t>
        </is>
      </c>
      <c r="L1413" t="b">
        <v>1</v>
      </c>
      <c r="M1413" t="inlineStr">
        <is>
          <t>Billed at a Fixed price</t>
        </is>
      </c>
      <c r="N1413" s="6">
        <f>IF(B1413="","",IF(ISNUMBER(B1413),TEXT(B1413,"YYYY-MM"),LEFT(B1413,7)))</f>
        <v/>
      </c>
    </row>
    <row r="1414">
      <c r="A1414" t="inlineStr">
        <is>
          <t>Helena Tetteh</t>
        </is>
      </c>
      <c r="B1414" s="4" t="n">
        <v>46112</v>
      </c>
      <c r="C1414" t="inlineStr">
        <is>
          <t>/</t>
        </is>
      </c>
      <c r="D1414" t="inlineStr">
        <is>
          <t xml:space="preserve">Helena Tetteh </t>
        </is>
      </c>
      <c r="E1414" t="inlineStr">
        <is>
          <t>Helena Tetteh</t>
        </is>
      </c>
      <c r="F1414" s="5" t="n">
        <v>46195.49158564815</v>
      </c>
      <c r="H1414" t="inlineStr">
        <is>
          <t>Non-Billable Tasks</t>
        </is>
      </c>
      <c r="I1414" t="n">
        <v>1992.75</v>
      </c>
      <c r="K1414" t="inlineStr">
        <is>
          <t>Portfolio Team Management</t>
        </is>
      </c>
      <c r="L1414" t="b">
        <v>0</v>
      </c>
      <c r="M1414" t="inlineStr">
        <is>
          <t>Non-Billable</t>
        </is>
      </c>
      <c r="N1414" s="6">
        <f>IF(B1414="","",IF(ISNUMBER(B1414),TEXT(B1414,"YYYY-MM"),LEFT(B1414,7)))</f>
        <v/>
      </c>
    </row>
    <row r="1415">
      <c r="A1415" t="inlineStr">
        <is>
          <t>Daleba Bernard Kpenahi Raymond</t>
        </is>
      </c>
      <c r="B1415" s="4" t="n">
        <v>46112</v>
      </c>
      <c r="C1415" t="inlineStr">
        <is>
          <t>/</t>
        </is>
      </c>
      <c r="D1415" t="inlineStr">
        <is>
          <t>Daleba Bernard Kpenahi Raymond</t>
        </is>
      </c>
      <c r="E1415" t="inlineStr">
        <is>
          <t>OdooBot</t>
        </is>
      </c>
      <c r="F1415" s="5" t="n">
        <v>46154.70721064815</v>
      </c>
      <c r="H1415" t="inlineStr">
        <is>
          <t>PCGH776 - Deforestation Risk-Assessment Cashew-Coast</t>
        </is>
      </c>
      <c r="I1415" t="n">
        <v>8</v>
      </c>
      <c r="J1415" t="inlineStr">
        <is>
          <t>PCGH776 - Data collection and review (3) (Cashew Coast Products Inc)</t>
        </is>
      </c>
      <c r="L1415" t="b">
        <v>1</v>
      </c>
      <c r="M1415" t="inlineStr">
        <is>
          <t>Billed at a Fixed price</t>
        </is>
      </c>
      <c r="N1415" s="6">
        <f>IF(B1415="","",IF(ISNUMBER(B1415),TEXT(B1415,"YYYY-MM"),LEFT(B1415,7)))</f>
        <v/>
      </c>
    </row>
    <row r="1416">
      <c r="A1416" t="inlineStr">
        <is>
          <t>Ekow Nyamekye Tawiah</t>
        </is>
      </c>
      <c r="B1416" s="4" t="n">
        <v>46111</v>
      </c>
      <c r="C1416" t="inlineStr">
        <is>
          <t>Deforestation Risk Analysis</t>
        </is>
      </c>
      <c r="D1416" t="inlineStr">
        <is>
          <t>Joseph Isaiah Mensah</t>
        </is>
      </c>
      <c r="E1416" t="inlineStr">
        <is>
          <t>Ekow Nyamekye Tawiah</t>
        </is>
      </c>
      <c r="F1416" s="5" t="n">
        <v>46162.88005787037</v>
      </c>
      <c r="H1416" t="inlineStr">
        <is>
          <t>PCGH778 - General Support</t>
        </is>
      </c>
      <c r="I1416" t="n">
        <v>4</v>
      </c>
      <c r="J1416" t="inlineStr">
        <is>
          <t>PCGH778 - Support to Other Workstreams (3) (Proforest Limited(PCUK GBP))</t>
        </is>
      </c>
      <c r="L1416" t="b">
        <v>1</v>
      </c>
      <c r="M1416" t="inlineStr">
        <is>
          <t>Billed at a Fixed price</t>
        </is>
      </c>
      <c r="N1416" s="6">
        <f>IF(B1416="","",IF(ISNUMBER(B1416),TEXT(B1416,"YYYY-MM"),LEFT(B1416,7)))</f>
        <v/>
      </c>
    </row>
    <row r="1417">
      <c r="A1417" t="inlineStr">
        <is>
          <t>Ekow Nyamekye Tawiah</t>
        </is>
      </c>
      <c r="B1417" s="4" t="n">
        <v>46111</v>
      </c>
      <c r="C1417" t="inlineStr">
        <is>
          <t>Good Friday</t>
        </is>
      </c>
      <c r="D1417" t="inlineStr">
        <is>
          <t>Joseph Isaiah Mensah</t>
        </is>
      </c>
      <c r="E1417" t="inlineStr">
        <is>
          <t>Ekow Nyamekye Tawiah</t>
        </is>
      </c>
      <c r="F1417" s="5" t="n">
        <v>46162.8269212963</v>
      </c>
      <c r="H1417" t="inlineStr">
        <is>
          <t>Non-Billable Tasks</t>
        </is>
      </c>
      <c r="I1417" t="n">
        <v>0</v>
      </c>
      <c r="K1417" t="inlineStr">
        <is>
          <t>Public Holiday</t>
        </is>
      </c>
      <c r="L1417" t="b">
        <v>0</v>
      </c>
      <c r="M1417" t="inlineStr">
        <is>
          <t>Non-Billable</t>
        </is>
      </c>
      <c r="N1417" s="6">
        <f>IF(B1417="","",IF(ISNUMBER(B1417),TEXT(B1417,"YYYY-MM"),LEFT(B1417,7)))</f>
        <v/>
      </c>
    </row>
    <row r="1418">
      <c r="A1418" t="inlineStr">
        <is>
          <t>Joseph Isaiah Mensah</t>
        </is>
      </c>
      <c r="B1418" s="4" t="n">
        <v>46111</v>
      </c>
      <c r="C1418" t="inlineStr">
        <is>
          <t>check-in with Celine</t>
        </is>
      </c>
      <c r="D1418" t="inlineStr">
        <is>
          <t>Jacqueline Nyakutse Afua</t>
        </is>
      </c>
      <c r="E1418" t="inlineStr">
        <is>
          <t>Joseph Isaiah Mensah</t>
        </is>
      </c>
      <c r="F1418" s="5" t="n">
        <v>46162.75056712963</v>
      </c>
      <c r="H1418" t="inlineStr">
        <is>
          <t>PCGH774 -Evaluation Deep-Dive Action Plans by Socfin Group</t>
        </is>
      </c>
      <c r="I1418" t="n">
        <v>2</v>
      </c>
      <c r="J1418" t="inlineStr">
        <is>
          <t>PCGH774 - Project Management (2) (Socfinco FR SA)</t>
        </is>
      </c>
      <c r="L1418" t="b">
        <v>1</v>
      </c>
      <c r="M1418" t="inlineStr">
        <is>
          <t>Billed at a Fixed price</t>
        </is>
      </c>
      <c r="N1418" s="6">
        <f>IF(B1418="","",IF(ISNUMBER(B1418),TEXT(B1418,"YYYY-MM"),LEFT(B1418,7)))</f>
        <v/>
      </c>
    </row>
    <row r="1419">
      <c r="A1419" t="inlineStr">
        <is>
          <t>Joseph Isaiah Mensah</t>
        </is>
      </c>
      <c r="B1419" s="4" t="n">
        <v>46111</v>
      </c>
      <c r="C1419" t="inlineStr">
        <is>
          <t>PFAFR ToCs and Outcome Indicators Check-in</t>
        </is>
      </c>
      <c r="D1419" t="inlineStr">
        <is>
          <t>Jacqueline Nyakutse Afua</t>
        </is>
      </c>
      <c r="E1419" t="inlineStr">
        <is>
          <t>Joseph Isaiah Mensah</t>
        </is>
      </c>
      <c r="F1419" s="5" t="n">
        <v>46162.74789351852</v>
      </c>
      <c r="H1419" t="inlineStr">
        <is>
          <t>PCGH778 - General Support</t>
        </is>
      </c>
      <c r="I1419" t="n">
        <v>1</v>
      </c>
      <c r="J1419" t="inlineStr">
        <is>
          <t>PCGH778 - Support to Other Workstreams (3) (Proforest Limited(PCUK GBP))</t>
        </is>
      </c>
      <c r="L1419" t="b">
        <v>1</v>
      </c>
      <c r="M1419" t="inlineStr">
        <is>
          <t>Billed at a Fixed price</t>
        </is>
      </c>
      <c r="N1419" s="6">
        <f>IF(B1419="","",IF(ISNUMBER(B1419),TEXT(B1419,"YYYY-MM"),LEFT(B1419,7)))</f>
        <v/>
      </c>
    </row>
    <row r="1420">
      <c r="A1420" t="inlineStr">
        <is>
          <t>Joseph Isaiah Mensah</t>
        </is>
      </c>
      <c r="B1420" s="4" t="n">
        <v>46111</v>
      </c>
      <c r="C1420" t="inlineStr">
        <is>
          <t>validation workshop catch-up</t>
        </is>
      </c>
      <c r="D1420" t="inlineStr">
        <is>
          <t>Jacqueline Nyakutse Afua</t>
        </is>
      </c>
      <c r="E1420" t="inlineStr">
        <is>
          <t>Joseph Isaiah Mensah</t>
        </is>
      </c>
      <c r="F1420" s="5" t="n">
        <v>46162.75065972222</v>
      </c>
      <c r="H1420" t="inlineStr">
        <is>
          <t>PCGH780 - Nigeria</t>
        </is>
      </c>
      <c r="I1420" t="n">
        <v>3</v>
      </c>
      <c r="J1420" t="inlineStr">
        <is>
          <t>PCGH780 - Tree Planting Project (2) (Proforest Limited(PCUK GBP))</t>
        </is>
      </c>
      <c r="L1420" t="b">
        <v>1</v>
      </c>
      <c r="M1420" t="inlineStr">
        <is>
          <t>Billed at a Fixed price</t>
        </is>
      </c>
      <c r="N1420" s="6">
        <f>IF(B1420="","",IF(ISNUMBER(B1420),TEXT(B1420,"YYYY-MM"),LEFT(B1420,7)))</f>
        <v/>
      </c>
    </row>
    <row r="1421">
      <c r="A1421" t="inlineStr">
        <is>
          <t>Joseph Isaiah Mensah</t>
        </is>
      </c>
      <c r="B1421" s="4" t="n">
        <v>46111</v>
      </c>
      <c r="C1421" t="inlineStr">
        <is>
          <t>/</t>
        </is>
      </c>
      <c r="D1421" t="inlineStr">
        <is>
          <t>Jacqueline Nyakutse Afua</t>
        </is>
      </c>
      <c r="E1421" t="inlineStr">
        <is>
          <t>Joseph Isaiah Mensah</t>
        </is>
      </c>
      <c r="F1421" s="5" t="n">
        <v>46162.7462962963</v>
      </c>
      <c r="G1421" t="inlineStr">
        <is>
          <t>Output 4</t>
        </is>
      </c>
      <c r="H1421" t="inlineStr">
        <is>
          <t>P23AC00C00 - FGMC</t>
        </is>
      </c>
      <c r="I1421" t="n">
        <v>2</v>
      </c>
      <c r="K1421" t="inlineStr">
        <is>
          <t>P23AC03A00 - Project Management</t>
        </is>
      </c>
      <c r="L1421" t="b">
        <v>0</v>
      </c>
      <c r="M1421" t="inlineStr">
        <is>
          <t>Non-Billable</t>
        </is>
      </c>
      <c r="N1421" s="6">
        <f>IF(B1421="","",IF(ISNUMBER(B1421),TEXT(B1421,"YYYY-MM"),LEFT(B1421,7)))</f>
        <v/>
      </c>
    </row>
    <row r="1422">
      <c r="A1422" t="inlineStr">
        <is>
          <t>James Parker Mckeown</t>
        </is>
      </c>
      <c r="B1422" s="4" t="n">
        <v>46111</v>
      </c>
      <c r="C1422" t="inlineStr">
        <is>
          <t xml:space="preserve">Travel to Sinoe from Monrovia </t>
        </is>
      </c>
      <c r="D1422" t="inlineStr">
        <is>
          <t>James Parker Mckeown</t>
        </is>
      </c>
      <c r="E1422" t="inlineStr">
        <is>
          <t>James Parker Mckeown</t>
        </is>
      </c>
      <c r="F1422" s="5" t="n">
        <v>46162.71746527778</v>
      </c>
      <c r="H1422" t="inlineStr">
        <is>
          <t>PCGH762 - GVL HCSA Restoration Project</t>
        </is>
      </c>
      <c r="I1422" t="n">
        <v>8</v>
      </c>
      <c r="J1422" t="inlineStr">
        <is>
          <t>PCGH762 - Desk Review, Stakeholder Mapping &amp; Analysis and Engagement (Golden Veroleum Liberia)</t>
        </is>
      </c>
      <c r="L1422" t="b">
        <v>1</v>
      </c>
      <c r="M1422" t="inlineStr">
        <is>
          <t>Billed at a Fixed price</t>
        </is>
      </c>
      <c r="N1422" s="6">
        <f>IF(B1422="","",IF(ISNUMBER(B1422),TEXT(B1422,"YYYY-MM"),LEFT(B1422,7)))</f>
        <v/>
      </c>
    </row>
    <row r="1423">
      <c r="A1423" t="inlineStr">
        <is>
          <t>Frederick Antwi</t>
        </is>
      </c>
      <c r="B1423" s="4" t="n">
        <v>46111</v>
      </c>
      <c r="C1423" t="inlineStr">
        <is>
          <t>/</t>
        </is>
      </c>
      <c r="D1423" t="inlineStr">
        <is>
          <t>Frederick Antwi</t>
        </is>
      </c>
      <c r="E1423" t="inlineStr">
        <is>
          <t>Frederick Antwi</t>
        </is>
      </c>
      <c r="F1423" s="5" t="n">
        <v>46160.62945601852</v>
      </c>
      <c r="H1423" t="inlineStr">
        <is>
          <t>P13PC00A00 - Private Sector Companies</t>
        </is>
      </c>
      <c r="I1423" t="n">
        <v>0</v>
      </c>
      <c r="L1423" t="b">
        <v>0</v>
      </c>
      <c r="M1423" t="inlineStr">
        <is>
          <t>Non-Billable</t>
        </is>
      </c>
      <c r="N1423" s="6">
        <f>IF(B1423="","",IF(ISNUMBER(B1423),TEXT(B1423,"YYYY-MM"),LEFT(B1423,7)))</f>
        <v/>
      </c>
    </row>
    <row r="1424">
      <c r="A1424" t="inlineStr">
        <is>
          <t>Frederick Antwi</t>
        </is>
      </c>
      <c r="B1424" s="4" t="n">
        <v>46111</v>
      </c>
      <c r="C1424" t="inlineStr">
        <is>
          <t>/</t>
        </is>
      </c>
      <c r="D1424" t="inlineStr">
        <is>
          <t>Frederick Antwi</t>
        </is>
      </c>
      <c r="E1424" t="inlineStr">
        <is>
          <t>Frederick Antwi</t>
        </is>
      </c>
      <c r="F1424" s="5" t="n">
        <v>46160.62862268519</v>
      </c>
      <c r="H1424" t="inlineStr">
        <is>
          <t>P13NC00A00 - WALMART II</t>
        </is>
      </c>
      <c r="I1424" t="n">
        <v>7</v>
      </c>
      <c r="L1424" t="b">
        <v>0</v>
      </c>
      <c r="M1424" t="inlineStr">
        <is>
          <t>Non-Billable</t>
        </is>
      </c>
      <c r="N1424" s="6">
        <f>IF(B1424="","",IF(ISNUMBER(B1424),TEXT(B1424,"YYYY-MM"),LEFT(B1424,7)))</f>
        <v/>
      </c>
    </row>
    <row r="1425">
      <c r="A1425" t="inlineStr">
        <is>
          <t>Frederick Antwi</t>
        </is>
      </c>
      <c r="B1425" s="4" t="n">
        <v>46111</v>
      </c>
      <c r="C1425" t="inlineStr">
        <is>
          <t>/</t>
        </is>
      </c>
      <c r="D1425" t="inlineStr">
        <is>
          <t>Frederick Antwi</t>
        </is>
      </c>
      <c r="E1425" t="inlineStr">
        <is>
          <t>Frederick Antwi</t>
        </is>
      </c>
      <c r="F1425" s="5" t="n">
        <v>46160.62778935185</v>
      </c>
      <c r="H1425" t="inlineStr">
        <is>
          <t>PCGH768</t>
        </is>
      </c>
      <c r="I1425" t="n">
        <v>1</v>
      </c>
      <c r="L1425" t="b">
        <v>1</v>
      </c>
      <c r="M1425" t="inlineStr">
        <is>
          <t>Non-Billable</t>
        </is>
      </c>
      <c r="N1425" s="6">
        <f>IF(B1425="","",IF(ISNUMBER(B1425),TEXT(B1425,"YYYY-MM"),LEFT(B1425,7)))</f>
        <v/>
      </c>
    </row>
    <row r="1426">
      <c r="A1426" t="inlineStr">
        <is>
          <t>Augustus Asamoah</t>
        </is>
      </c>
      <c r="B1426" s="4" t="n">
        <v>46111</v>
      </c>
      <c r="C1426" t="inlineStr">
        <is>
          <t>Public Holiday - Good Friday</t>
        </is>
      </c>
      <c r="D1426" t="inlineStr">
        <is>
          <t>Augustus Asamoah</t>
        </is>
      </c>
      <c r="E1426" t="inlineStr">
        <is>
          <t>Augustus Asamoah</t>
        </is>
      </c>
      <c r="F1426" s="5" t="n">
        <v>46156.66159722222</v>
      </c>
      <c r="H1426" t="inlineStr">
        <is>
          <t>Non-Billable Tasks</t>
        </is>
      </c>
      <c r="I1426" t="n">
        <v>0</v>
      </c>
      <c r="L1426" t="b">
        <v>0</v>
      </c>
      <c r="M1426" t="inlineStr">
        <is>
          <t>Non-Billable</t>
        </is>
      </c>
      <c r="N1426" s="6">
        <f>IF(B1426="","",IF(ISNUMBER(B1426),TEXT(B1426,"YYYY-MM"),LEFT(B1426,7)))</f>
        <v/>
      </c>
    </row>
    <row r="1427">
      <c r="A1427" t="inlineStr">
        <is>
          <t>Augustus Asamoah</t>
        </is>
      </c>
      <c r="B1427" s="4" t="n">
        <v>46111</v>
      </c>
      <c r="C1427" t="inlineStr">
        <is>
          <t>Field data processing</t>
        </is>
      </c>
      <c r="D1427" t="inlineStr">
        <is>
          <t>Augustus Asamoah</t>
        </is>
      </c>
      <c r="E1427" t="inlineStr">
        <is>
          <t>Augustus Asamoah</t>
        </is>
      </c>
      <c r="F1427" s="5" t="n">
        <v>46156.66085648148</v>
      </c>
      <c r="H1427" t="inlineStr">
        <is>
          <t>PCGH784</t>
        </is>
      </c>
      <c r="I1427" t="n">
        <v>0</v>
      </c>
      <c r="J1427" t="inlineStr">
        <is>
          <t>PCGH784 - Desk Study (3) (Okeosisi Jonathan)</t>
        </is>
      </c>
      <c r="L1427" t="b">
        <v>1</v>
      </c>
      <c r="M1427" t="inlineStr">
        <is>
          <t>Billed at a Fixed price</t>
        </is>
      </c>
      <c r="N1427" s="6">
        <f>IF(B1427="","",IF(ISNUMBER(B1427),TEXT(B1427,"YYYY-MM"),LEFT(B1427,7)))</f>
        <v/>
      </c>
    </row>
    <row r="1428">
      <c r="A1428" t="inlineStr">
        <is>
          <t>Augustus Asamoah</t>
        </is>
      </c>
      <c r="B1428" s="4" t="n">
        <v>46111</v>
      </c>
      <c r="C1428" t="inlineStr">
        <is>
          <t>/</t>
        </is>
      </c>
      <c r="D1428" t="inlineStr">
        <is>
          <t>Augustus Asamoah</t>
        </is>
      </c>
      <c r="E1428" t="inlineStr">
        <is>
          <t>Augustus Asamoah</t>
        </is>
      </c>
      <c r="F1428" s="5" t="n">
        <v>46156.65909722223</v>
      </c>
      <c r="H1428" t="inlineStr">
        <is>
          <t>P13NC00A00 - WALMART II</t>
        </is>
      </c>
      <c r="I1428" t="n">
        <v>4</v>
      </c>
      <c r="L1428" t="b">
        <v>0</v>
      </c>
      <c r="M1428" t="inlineStr">
        <is>
          <t>Non-Billable</t>
        </is>
      </c>
      <c r="N1428" s="6">
        <f>IF(B1428="","",IF(ISNUMBER(B1428),TEXT(B1428,"YYYY-MM"),LEFT(B1428,7)))</f>
        <v/>
      </c>
    </row>
    <row r="1429">
      <c r="A1429" t="inlineStr">
        <is>
          <t>Augustus Asamoah</t>
        </is>
      </c>
      <c r="B1429" s="4" t="n">
        <v>46111</v>
      </c>
      <c r="C1429" t="inlineStr">
        <is>
          <t>/</t>
        </is>
      </c>
      <c r="D1429" t="inlineStr">
        <is>
          <t>Augustus Asamoah</t>
        </is>
      </c>
      <c r="E1429" t="inlineStr">
        <is>
          <t>Augustus Asamoah</t>
        </is>
      </c>
      <c r="F1429" s="5" t="n">
        <v>46156.65864583333</v>
      </c>
      <c r="H1429" t="inlineStr">
        <is>
          <t>P13QC00A00 - EFI Programme</t>
        </is>
      </c>
      <c r="I1429" t="n">
        <v>0</v>
      </c>
      <c r="L1429" t="b">
        <v>0</v>
      </c>
      <c r="M1429" t="inlineStr">
        <is>
          <t>Non-Billable</t>
        </is>
      </c>
      <c r="N1429" s="6">
        <f>IF(B1429="","",IF(ISNUMBER(B1429),TEXT(B1429,"YYYY-MM"),LEFT(B1429,7)))</f>
        <v/>
      </c>
    </row>
    <row r="1430">
      <c r="A1430" t="inlineStr">
        <is>
          <t>Augustus Asamoah</t>
        </is>
      </c>
      <c r="B1430" s="4" t="n">
        <v>46111</v>
      </c>
      <c r="C1430" t="inlineStr">
        <is>
          <t>/</t>
        </is>
      </c>
      <c r="D1430" t="inlineStr">
        <is>
          <t>Augustus Asamoah</t>
        </is>
      </c>
      <c r="E1430" t="inlineStr">
        <is>
          <t>Augustus Asamoah</t>
        </is>
      </c>
      <c r="F1430" s="5" t="n">
        <v>46156.65912037037</v>
      </c>
      <c r="H1430" t="inlineStr">
        <is>
          <t>P13PC00A00 - Private Sector Companies</t>
        </is>
      </c>
      <c r="I1430" t="n">
        <v>4</v>
      </c>
      <c r="L1430" t="b">
        <v>0</v>
      </c>
      <c r="M1430" t="inlineStr">
        <is>
          <t>Non-Billable</t>
        </is>
      </c>
      <c r="N1430" s="6">
        <f>IF(B1430="","",IF(ISNUMBER(B1430),TEXT(B1430,"YYYY-MM"),LEFT(B1430,7)))</f>
        <v/>
      </c>
    </row>
    <row r="1431">
      <c r="A1431" t="inlineStr">
        <is>
          <t>Helena Tetteh</t>
        </is>
      </c>
      <c r="B1431" s="4" t="n">
        <v>46111</v>
      </c>
      <c r="C1431" t="inlineStr">
        <is>
          <t>FGMC catch-up, 2 working session with TC on Ghana deliverables, update calls with TC, draft report review and finalization</t>
        </is>
      </c>
      <c r="D1431" t="inlineStr">
        <is>
          <t xml:space="preserve">Helena Tetteh </t>
        </is>
      </c>
      <c r="E1431" t="inlineStr">
        <is>
          <t>OdooBot</t>
        </is>
      </c>
      <c r="F1431" s="5" t="n">
        <v>46154.70721064815</v>
      </c>
      <c r="G1431" t="inlineStr">
        <is>
          <t>Output 2.3</t>
        </is>
      </c>
      <c r="H1431" t="inlineStr">
        <is>
          <t>P23AC00C00 - FGMC</t>
        </is>
      </c>
      <c r="I1431" t="n">
        <v>8</v>
      </c>
      <c r="K1431" t="inlineStr">
        <is>
          <t>P23AC22A00 - Output Two (Elevating Local Solutions - West Africa)</t>
        </is>
      </c>
      <c r="L1431" t="b">
        <v>0</v>
      </c>
      <c r="M1431" t="inlineStr">
        <is>
          <t>Non-Billable</t>
        </is>
      </c>
      <c r="N1431" s="6">
        <f>IF(B1431="","",IF(ISNUMBER(B1431),TEXT(B1431,"YYYY-MM"),LEFT(B1431,7)))</f>
        <v/>
      </c>
    </row>
    <row r="1432">
      <c r="A1432" t="inlineStr">
        <is>
          <t>Afua Serwah Akoto Prempeh</t>
        </is>
      </c>
      <c r="B1432" s="4" t="n">
        <v>46111</v>
      </c>
      <c r="C1432" t="inlineStr">
        <is>
          <t>/</t>
        </is>
      </c>
      <c r="D1432" t="inlineStr">
        <is>
          <t>Afua Serwah Akoto Prempeh</t>
        </is>
      </c>
      <c r="E1432" t="inlineStr">
        <is>
          <t>OdooBot</t>
        </is>
      </c>
      <c r="F1432" s="5" t="n">
        <v>46154.70721064815</v>
      </c>
      <c r="H1432" t="inlineStr">
        <is>
          <t>Non-Billable Tasks</t>
        </is>
      </c>
      <c r="I1432" t="n">
        <v>2</v>
      </c>
      <c r="K1432" t="inlineStr">
        <is>
          <t>Review of DfG Proposal and Correspondence</t>
        </is>
      </c>
      <c r="L1432" t="b">
        <v>0</v>
      </c>
      <c r="M1432" t="inlineStr">
        <is>
          <t>Non-Billable</t>
        </is>
      </c>
      <c r="N1432" s="6">
        <f>IF(B1432="","",IF(ISNUMBER(B1432),TEXT(B1432,"YYYY-MM"),LEFT(B1432,7)))</f>
        <v/>
      </c>
    </row>
    <row r="1433">
      <c r="A1433" t="inlineStr">
        <is>
          <t>Afua Serwah Akoto Prempeh</t>
        </is>
      </c>
      <c r="B1433" s="4" t="n">
        <v>46111</v>
      </c>
      <c r="C1433" t="inlineStr">
        <is>
          <t>/</t>
        </is>
      </c>
      <c r="D1433" t="inlineStr">
        <is>
          <t>Afua Serwah Akoto Prempeh</t>
        </is>
      </c>
      <c r="E1433" t="inlineStr">
        <is>
          <t>OdooBot</t>
        </is>
      </c>
      <c r="F1433" s="5" t="n">
        <v>46154.70721064815</v>
      </c>
      <c r="H1433" t="inlineStr">
        <is>
          <t>P23AC00C00 - FGMC</t>
        </is>
      </c>
      <c r="I1433" t="n">
        <v>2</v>
      </c>
      <c r="L1433" t="b">
        <v>0</v>
      </c>
      <c r="M1433" t="inlineStr">
        <is>
          <t>Non-Billable</t>
        </is>
      </c>
      <c r="N1433" s="6">
        <f>IF(B1433="","",IF(ISNUMBER(B1433),TEXT(B1433,"YYYY-MM"),LEFT(B1433,7)))</f>
        <v/>
      </c>
    </row>
    <row r="1434">
      <c r="A1434" t="inlineStr">
        <is>
          <t>Afua Serwah Akoto Prempeh</t>
        </is>
      </c>
      <c r="B1434" s="4" t="n">
        <v>46111</v>
      </c>
      <c r="C1434" t="inlineStr">
        <is>
          <t>/</t>
        </is>
      </c>
      <c r="D1434" t="inlineStr">
        <is>
          <t>Afua Serwah Akoto Prempeh</t>
        </is>
      </c>
      <c r="E1434" t="inlineStr">
        <is>
          <t>OdooBot</t>
        </is>
      </c>
      <c r="F1434" s="5" t="n">
        <v>46154.70721064815</v>
      </c>
      <c r="H1434" t="inlineStr">
        <is>
          <t>Non-Billable Tasks</t>
        </is>
      </c>
      <c r="I1434" t="n">
        <v>4</v>
      </c>
      <c r="K1434" t="inlineStr">
        <is>
          <t>Administrative Tasks</t>
        </is>
      </c>
      <c r="L1434" t="b">
        <v>0</v>
      </c>
      <c r="M1434" t="inlineStr">
        <is>
          <t>Non-Billable</t>
        </is>
      </c>
      <c r="N1434" s="6">
        <f>IF(B1434="","",IF(ISNUMBER(B1434),TEXT(B1434,"YYYY-MM"),LEFT(B1434,7)))</f>
        <v/>
      </c>
    </row>
    <row r="1435">
      <c r="A1435" t="inlineStr">
        <is>
          <t>Stephen Doso</t>
        </is>
      </c>
      <c r="B1435" s="4" t="n">
        <v>46111</v>
      </c>
      <c r="C1435" t="inlineStr">
        <is>
          <t>/</t>
        </is>
      </c>
      <c r="D1435" t="inlineStr">
        <is>
          <t>Stephen Doso</t>
        </is>
      </c>
      <c r="E1435" t="inlineStr">
        <is>
          <t>OdooBot</t>
        </is>
      </c>
      <c r="F1435" s="5" t="n">
        <v>46154.70721064815</v>
      </c>
      <c r="G1435" t="inlineStr">
        <is>
          <t>MONDONI: FIELDWORK (2)</t>
        </is>
      </c>
      <c r="H1435" t="inlineStr">
        <is>
          <t>PCGH788 - CDC Boa &amp; Mondoni CV-HCS Scoping</t>
        </is>
      </c>
      <c r="I1435" t="n">
        <v>8</v>
      </c>
      <c r="J1435" t="inlineStr">
        <is>
          <t>PCGH788 - Field work  (2) (CAMEROON DEVELOPMENT CORPORATION (CDC))</t>
        </is>
      </c>
      <c r="K1435" t="inlineStr">
        <is>
          <t>Stakeholder consultations</t>
        </is>
      </c>
      <c r="L1435" t="b">
        <v>1</v>
      </c>
      <c r="M1435" t="inlineStr">
        <is>
          <t>Billed at a Fixed price</t>
        </is>
      </c>
      <c r="N1435" s="6">
        <f>IF(B1435="","",IF(ISNUMBER(B1435),TEXT(B1435,"YYYY-MM"),LEFT(B1435,7)))</f>
        <v/>
      </c>
    </row>
    <row r="1436">
      <c r="A1436" t="inlineStr">
        <is>
          <t>Louis Defo</t>
        </is>
      </c>
      <c r="B1436" s="4" t="n">
        <v>46111</v>
      </c>
      <c r="C1436" t="inlineStr">
        <is>
          <t>/</t>
        </is>
      </c>
      <c r="D1436" t="inlineStr">
        <is>
          <t>Louis Defo</t>
        </is>
      </c>
      <c r="E1436" t="inlineStr">
        <is>
          <t>OdooBot</t>
        </is>
      </c>
      <c r="F1436" s="5" t="n">
        <v>46154.70721064815</v>
      </c>
      <c r="H1436" t="inlineStr">
        <is>
          <t>PCGH788 - CDC Boa &amp; Mondoni CV-HCS Scoping</t>
        </is>
      </c>
      <c r="I1436" t="n">
        <v>8</v>
      </c>
      <c r="J1436" t="inlineStr">
        <is>
          <t>PCGH788 - Desk Study (3) (CAMEROON DEVELOPMENT CORPORATION (CDC))</t>
        </is>
      </c>
      <c r="L1436" t="b">
        <v>1</v>
      </c>
      <c r="M1436" t="inlineStr">
        <is>
          <t>Billed at a Fixed price</t>
        </is>
      </c>
      <c r="N1436" s="6">
        <f>IF(B1436="","",IF(ISNUMBER(B1436),TEXT(B1436,"YYYY-MM"),LEFT(B1436,7)))</f>
        <v/>
      </c>
    </row>
    <row r="1437">
      <c r="A1437" t="inlineStr">
        <is>
          <t>Kingsley Fitz-Gerald Severine</t>
        </is>
      </c>
      <c r="B1437" s="4" t="n">
        <v>46111</v>
      </c>
      <c r="C1437" t="inlineStr">
        <is>
          <t>/</t>
        </is>
      </c>
      <c r="D1437" t="inlineStr">
        <is>
          <t>Kingsley Fitz-Gerald Severine</t>
        </is>
      </c>
      <c r="E1437" t="inlineStr">
        <is>
          <t>OdooBot</t>
        </is>
      </c>
      <c r="F1437" s="5" t="n">
        <v>46154.70721064815</v>
      </c>
      <c r="G1437" t="inlineStr">
        <is>
          <t>BOA: FIELDWORK (3)</t>
        </is>
      </c>
      <c r="H1437" t="inlineStr">
        <is>
          <t>PCGH788 - CDC Boa &amp; Mondoni CV-HCS Scoping</t>
        </is>
      </c>
      <c r="I1437" t="n">
        <v>8</v>
      </c>
      <c r="J1437" t="inlineStr">
        <is>
          <t>PCGH788 - Field work  (3) (CAMEROON DEVELOPMENT CORPORATION (CDC))</t>
        </is>
      </c>
      <c r="K1437" t="inlineStr">
        <is>
          <t>Stakeholder consultations</t>
        </is>
      </c>
      <c r="L1437" t="b">
        <v>1</v>
      </c>
      <c r="M1437" t="inlineStr">
        <is>
          <t>Billed at a Fixed price</t>
        </is>
      </c>
      <c r="N1437" s="6">
        <f>IF(B1437="","",IF(ISNUMBER(B1437),TEXT(B1437,"YYYY-MM"),LEFT(B1437,7)))</f>
        <v/>
      </c>
    </row>
    <row r="1438">
      <c r="A1438" t="inlineStr">
        <is>
          <t>Kwadwo Baniako Nti</t>
        </is>
      </c>
      <c r="B1438" s="4" t="n">
        <v>46111</v>
      </c>
      <c r="C1438" t="inlineStr">
        <is>
          <t>/</t>
        </is>
      </c>
      <c r="D1438" t="inlineStr">
        <is>
          <t>Kwadwo Baniako Nti</t>
        </is>
      </c>
      <c r="E1438" t="inlineStr">
        <is>
          <t>OdooBot</t>
        </is>
      </c>
      <c r="F1438" s="5" t="n">
        <v>46154.70721064815</v>
      </c>
      <c r="H1438" t="inlineStr">
        <is>
          <t>PCGH762 - GVL HCSA Restoration Project</t>
        </is>
      </c>
      <c r="I1438" t="n">
        <v>8</v>
      </c>
      <c r="J1438" t="inlineStr">
        <is>
          <t>PCGH762 - Baseline Socio-Economic &amp; Environmental Surveys (Golden Veroleum Liberia)</t>
        </is>
      </c>
      <c r="K1438" t="inlineStr">
        <is>
          <t>Baseline Socio-Economic &amp; Environmental Surveys</t>
        </is>
      </c>
      <c r="L1438" t="b">
        <v>1</v>
      </c>
      <c r="M1438" t="inlineStr">
        <is>
          <t>Billed at a Fixed price</t>
        </is>
      </c>
      <c r="N1438" s="6">
        <f>IF(B1438="","",IF(ISNUMBER(B1438),TEXT(B1438,"YYYY-MM"),LEFT(B1438,7)))</f>
        <v/>
      </c>
    </row>
    <row r="1439">
      <c r="A1439" t="inlineStr">
        <is>
          <t>Abel Ansu</t>
        </is>
      </c>
      <c r="B1439" s="4" t="n">
        <v>46111</v>
      </c>
      <c r="C1439" t="inlineStr">
        <is>
          <t>Visited the Abonyere forest to monitor on-going MTS in the forest</t>
        </is>
      </c>
      <c r="D1439" t="inlineStr">
        <is>
          <t>Abel Ansu</t>
        </is>
      </c>
      <c r="E1439" t="inlineStr">
        <is>
          <t>OdooBot</t>
        </is>
      </c>
      <c r="F1439" s="5" t="n">
        <v>46154.70721064815</v>
      </c>
      <c r="H1439" t="inlineStr">
        <is>
          <t>Internal</t>
        </is>
      </c>
      <c r="I1439" t="n">
        <v>0</v>
      </c>
      <c r="K1439" t="inlineStr">
        <is>
          <t>Field monitoring</t>
        </is>
      </c>
      <c r="L1439" t="b">
        <v>0</v>
      </c>
      <c r="M1439" t="inlineStr">
        <is>
          <t>Non-Billable</t>
        </is>
      </c>
      <c r="N1439" s="6">
        <f>IF(B1439="","",IF(ISNUMBER(B1439),TEXT(B1439,"YYYY-MM"),LEFT(B1439,7)))</f>
        <v/>
      </c>
    </row>
    <row r="1440">
      <c r="A1440" t="inlineStr">
        <is>
          <t>Abel Ansu</t>
        </is>
      </c>
      <c r="B1440" s="4" t="n">
        <v>46111</v>
      </c>
      <c r="C1440" t="inlineStr">
        <is>
          <t>Four nursery sites in the Asunafo-Asutifi landscape were visited to inspect how seedlings are faring and take records of number of available seedlings.</t>
        </is>
      </c>
      <c r="D1440" t="inlineStr">
        <is>
          <t>Abel Ansu</t>
        </is>
      </c>
      <c r="E1440" t="inlineStr">
        <is>
          <t>OdooBot</t>
        </is>
      </c>
      <c r="F1440" s="5" t="n">
        <v>46154.70721064815</v>
      </c>
      <c r="H1440" t="inlineStr">
        <is>
          <t>Internal</t>
        </is>
      </c>
      <c r="I1440" t="n">
        <v>8</v>
      </c>
      <c r="L1440" t="b">
        <v>0</v>
      </c>
      <c r="M1440" t="inlineStr">
        <is>
          <t>Non-Billable</t>
        </is>
      </c>
      <c r="N1440" s="6">
        <f>IF(B1440="","",IF(ISNUMBER(B1440),TEXT(B1440,"YYYY-MM"),LEFT(B1440,7)))</f>
        <v/>
      </c>
    </row>
    <row r="1441">
      <c r="A1441" t="inlineStr">
        <is>
          <t>Abel Ansu</t>
        </is>
      </c>
      <c r="B1441" s="4" t="n">
        <v>46111</v>
      </c>
      <c r="C1441" t="inlineStr">
        <is>
          <t>/</t>
        </is>
      </c>
      <c r="D1441" t="inlineStr">
        <is>
          <t>Abel Ansu</t>
        </is>
      </c>
      <c r="E1441" t="inlineStr">
        <is>
          <t>OdooBot</t>
        </is>
      </c>
      <c r="F1441" s="5" t="n">
        <v>46154.70721064815</v>
      </c>
      <c r="H1441" t="inlineStr">
        <is>
          <t>Internal</t>
        </is>
      </c>
      <c r="I1441" t="n">
        <v>0</v>
      </c>
      <c r="L1441" t="b">
        <v>0</v>
      </c>
      <c r="M1441" t="inlineStr">
        <is>
          <t>Non-Billable</t>
        </is>
      </c>
      <c r="N1441" s="6">
        <f>IF(B1441="","",IF(ISNUMBER(B1441),TEXT(B1441,"YYYY-MM"),LEFT(B1441,7)))</f>
        <v/>
      </c>
    </row>
    <row r="1442">
      <c r="A1442" t="inlineStr">
        <is>
          <t>Clement Obeng-Manu</t>
        </is>
      </c>
      <c r="B1442" s="4" t="n">
        <v>46111</v>
      </c>
      <c r="C1442" t="inlineStr">
        <is>
          <t>/</t>
        </is>
      </c>
      <c r="D1442" t="inlineStr">
        <is>
          <t>Ekow Nyamekye Tawiah</t>
        </is>
      </c>
      <c r="E1442" t="inlineStr">
        <is>
          <t>OdooBot</t>
        </is>
      </c>
      <c r="F1442" s="5" t="n">
        <v>46154.70721064815</v>
      </c>
      <c r="G1442" t="inlineStr">
        <is>
          <t>Land cover classification, ground truthing and accuracy assessment</t>
        </is>
      </c>
      <c r="H1442" t="inlineStr">
        <is>
          <t>PCGH776 - Deforestation Risk-Assessment Cashew-Coast</t>
        </is>
      </c>
      <c r="I1442" t="n">
        <v>8</v>
      </c>
      <c r="J1442" t="inlineStr">
        <is>
          <t>PCGH776 - Groundthruthing and Verification (3) (Cashew Coast Products Inc)</t>
        </is>
      </c>
      <c r="K1442" t="inlineStr">
        <is>
          <t>Land cover classification, ground truthing and accuracy assessment</t>
        </is>
      </c>
      <c r="L1442" t="b">
        <v>1</v>
      </c>
      <c r="M1442" t="inlineStr">
        <is>
          <t>Billed at a Fixed price</t>
        </is>
      </c>
      <c r="N1442" s="6">
        <f>IF(B1442="","",IF(ISNUMBER(B1442),TEXT(B1442,"YYYY-MM"),LEFT(B1442,7)))</f>
        <v/>
      </c>
    </row>
    <row r="1443">
      <c r="A1443" t="inlineStr">
        <is>
          <t>Daleba Bernard Kpenahi Raymond</t>
        </is>
      </c>
      <c r="B1443" s="4" t="n">
        <v>46111</v>
      </c>
      <c r="C1443" t="inlineStr">
        <is>
          <t>/</t>
        </is>
      </c>
      <c r="D1443" t="inlineStr">
        <is>
          <t>Daleba Bernard Kpenahi Raymond</t>
        </is>
      </c>
      <c r="E1443" t="inlineStr">
        <is>
          <t>OdooBot</t>
        </is>
      </c>
      <c r="F1443" s="5" t="n">
        <v>46154.70721064815</v>
      </c>
      <c r="H1443" t="inlineStr">
        <is>
          <t>PCGH776 - Deforestation Risk-Assessment Cashew-Coast</t>
        </is>
      </c>
      <c r="I1443" t="n">
        <v>8</v>
      </c>
      <c r="J1443" t="inlineStr">
        <is>
          <t>PCGH776 - Data collection and review (3) (Cashew Coast Products Inc)</t>
        </is>
      </c>
      <c r="L1443" t="b">
        <v>1</v>
      </c>
      <c r="M1443" t="inlineStr">
        <is>
          <t>Billed at a Fixed price</t>
        </is>
      </c>
      <c r="N1443" s="6">
        <f>IF(B1443="","",IF(ISNUMBER(B1443),TEXT(B1443,"YYYY-MM"),LEFT(B1443,7)))</f>
        <v/>
      </c>
    </row>
    <row r="1444">
      <c r="A1444" t="inlineStr">
        <is>
          <t>Mawuse Agblobi</t>
        </is>
      </c>
      <c r="B1444" s="4" t="n">
        <v>46108</v>
      </c>
      <c r="C1444" t="inlineStr">
        <is>
          <t>Time Off (1/1)</t>
        </is>
      </c>
      <c r="D1444" t="inlineStr">
        <is>
          <t>Patricia Offei</t>
        </is>
      </c>
      <c r="E1444" t="inlineStr">
        <is>
          <t>Mawuse Agblobi</t>
        </is>
      </c>
      <c r="F1444" s="5" t="n">
        <v>46174.89965277778</v>
      </c>
      <c r="H1444" t="inlineStr">
        <is>
          <t>Internal</t>
        </is>
      </c>
      <c r="I1444" t="n">
        <v>8</v>
      </c>
      <c r="K1444" t="inlineStr">
        <is>
          <t>Time Off</t>
        </is>
      </c>
      <c r="L1444" t="b">
        <v>0</v>
      </c>
      <c r="M1444" t="inlineStr">
        <is>
          <t>Non-Billable</t>
        </is>
      </c>
      <c r="N1444" s="6">
        <f>IF(B1444="","",IF(ISNUMBER(B1444),TEXT(B1444,"YYYY-MM"),LEFT(B1444,7)))</f>
        <v/>
      </c>
    </row>
    <row r="1445">
      <c r="A1445" t="inlineStr">
        <is>
          <t>Ekow Nyamekye Tawiah</t>
        </is>
      </c>
      <c r="B1445" s="4" t="n">
        <v>46108</v>
      </c>
      <c r="C1445" t="inlineStr">
        <is>
          <t>/</t>
        </is>
      </c>
      <c r="D1445" t="inlineStr">
        <is>
          <t>Joseph Isaiah Mensah</t>
        </is>
      </c>
      <c r="E1445" t="inlineStr">
        <is>
          <t>Michael Anim</t>
        </is>
      </c>
      <c r="F1445" s="5" t="n">
        <v>46163.53202546296</v>
      </c>
      <c r="H1445" t="inlineStr">
        <is>
          <t>PCGH778 - General Support</t>
        </is>
      </c>
      <c r="I1445" t="n">
        <v>4</v>
      </c>
      <c r="J1445" t="inlineStr">
        <is>
          <t>PCGH778 - Support to Other Workstreams (3) (Proforest Limited(PCUK GBP))</t>
        </is>
      </c>
      <c r="L1445" t="b">
        <v>1</v>
      </c>
      <c r="M1445" t="inlineStr">
        <is>
          <t>Billed at a Fixed price</t>
        </is>
      </c>
      <c r="N1445" s="6">
        <f>IF(B1445="","",IF(ISNUMBER(B1445),TEXT(B1445,"YYYY-MM"),LEFT(B1445,7)))</f>
        <v/>
      </c>
    </row>
    <row r="1446">
      <c r="A1446" t="inlineStr">
        <is>
          <t>Joseph Isaiah Mensah</t>
        </is>
      </c>
      <c r="B1446" s="4" t="n">
        <v>46108</v>
      </c>
      <c r="C1446" t="inlineStr">
        <is>
          <t>catch-up: Validation</t>
        </is>
      </c>
      <c r="D1446" t="inlineStr">
        <is>
          <t>Jacqueline Nyakutse Afua</t>
        </is>
      </c>
      <c r="E1446" t="inlineStr">
        <is>
          <t>Joseph Isaiah Mensah</t>
        </is>
      </c>
      <c r="F1446" s="5" t="n">
        <v>46162.74145833333</v>
      </c>
      <c r="H1446" t="inlineStr">
        <is>
          <t>PCGH780 - Nigeria</t>
        </is>
      </c>
      <c r="I1446" t="n">
        <v>3</v>
      </c>
      <c r="J1446" t="inlineStr">
        <is>
          <t>PCGH780 - Tree Planting Project (2) (Proforest Limited(PCUK GBP))</t>
        </is>
      </c>
      <c r="L1446" t="b">
        <v>1</v>
      </c>
      <c r="M1446" t="inlineStr">
        <is>
          <t>Billed at a Fixed price</t>
        </is>
      </c>
      <c r="N1446" s="6">
        <f>IF(B1446="","",IF(ISNUMBER(B1446),TEXT(B1446,"YYYY-MM"),LEFT(B1446,7)))</f>
        <v/>
      </c>
    </row>
    <row r="1447">
      <c r="A1447" t="inlineStr">
        <is>
          <t>Joseph Isaiah Mensah</t>
        </is>
      </c>
      <c r="B1447" s="4" t="n">
        <v>46108</v>
      </c>
      <c r="C1447" t="inlineStr">
        <is>
          <t>EU proposal</t>
        </is>
      </c>
      <c r="D1447" t="inlineStr">
        <is>
          <t>Jacqueline Nyakutse Afua</t>
        </is>
      </c>
      <c r="E1447" t="inlineStr">
        <is>
          <t>Joseph Isaiah Mensah</t>
        </is>
      </c>
      <c r="F1447" s="5" t="n">
        <v>46162.74054398148</v>
      </c>
      <c r="H1447" t="inlineStr">
        <is>
          <t>Non-Billable Tasks</t>
        </is>
      </c>
      <c r="I1447" t="n">
        <v>6</v>
      </c>
      <c r="K1447" t="inlineStr">
        <is>
          <t>Business Development and Networking</t>
        </is>
      </c>
      <c r="L1447" t="b">
        <v>0</v>
      </c>
      <c r="M1447" t="inlineStr">
        <is>
          <t>Non-Billable</t>
        </is>
      </c>
      <c r="N1447" s="6">
        <f>IF(B1447="","",IF(ISNUMBER(B1447),TEXT(B1447,"YYYY-MM"),LEFT(B1447,7)))</f>
        <v/>
      </c>
    </row>
    <row r="1448">
      <c r="A1448" t="inlineStr">
        <is>
          <t>James Parker Mckeown</t>
        </is>
      </c>
      <c r="B1448" s="4" t="n">
        <v>46108</v>
      </c>
      <c r="C1448" t="inlineStr">
        <is>
          <t>/</t>
        </is>
      </c>
      <c r="D1448" t="inlineStr">
        <is>
          <t>James Parker Mckeown</t>
        </is>
      </c>
      <c r="E1448" t="inlineStr">
        <is>
          <t>James Parker Mckeown</t>
        </is>
      </c>
      <c r="F1448" s="5" t="n">
        <v>46162.71365740741</v>
      </c>
      <c r="G1448" t="inlineStr">
        <is>
          <t>Output 4</t>
        </is>
      </c>
      <c r="H1448" t="inlineStr">
        <is>
          <t>P23AC00C00 - FGMC</t>
        </is>
      </c>
      <c r="I1448" t="n">
        <v>3</v>
      </c>
      <c r="K1448" t="inlineStr">
        <is>
          <t>P23AC03A00 - Project Management</t>
        </is>
      </c>
      <c r="L1448" t="b">
        <v>0</v>
      </c>
      <c r="M1448" t="inlineStr">
        <is>
          <t>Non-Billable</t>
        </is>
      </c>
      <c r="N1448" s="6">
        <f>IF(B1448="","",IF(ISNUMBER(B1448),TEXT(B1448,"YYYY-MM"),LEFT(B1448,7)))</f>
        <v/>
      </c>
    </row>
    <row r="1449">
      <c r="A1449" t="inlineStr">
        <is>
          <t>James Parker Mckeown</t>
        </is>
      </c>
      <c r="B1449" s="4" t="n">
        <v>46108</v>
      </c>
      <c r="C1449" t="inlineStr">
        <is>
          <t>/</t>
        </is>
      </c>
      <c r="D1449" t="inlineStr">
        <is>
          <t>James Parker Mckeown</t>
        </is>
      </c>
      <c r="E1449" t="inlineStr">
        <is>
          <t>James Parker Mckeown</t>
        </is>
      </c>
      <c r="F1449" s="5" t="n">
        <v>46162.71041666667</v>
      </c>
      <c r="H1449" t="inlineStr">
        <is>
          <t>PCGH762 - GVL HCSA Restoration Project</t>
        </is>
      </c>
      <c r="I1449" t="n">
        <v>4</v>
      </c>
      <c r="J1449" t="inlineStr">
        <is>
          <t>PCGH762 - Baseline Socio-Economic &amp; Environmental Surveys (Golden Veroleum Liberia)</t>
        </is>
      </c>
      <c r="K1449" t="inlineStr">
        <is>
          <t>Baseline Socio-Economic &amp; Environmental Surveys</t>
        </is>
      </c>
      <c r="L1449" t="b">
        <v>1</v>
      </c>
      <c r="M1449" t="inlineStr">
        <is>
          <t>Billed at a Fixed price</t>
        </is>
      </c>
      <c r="N1449" s="6">
        <f>IF(B1449="","",IF(ISNUMBER(B1449),TEXT(B1449,"YYYY-MM"),LEFT(B1449,7)))</f>
        <v/>
      </c>
    </row>
    <row r="1450">
      <c r="A1450" t="inlineStr">
        <is>
          <t>Frederick Antwi</t>
        </is>
      </c>
      <c r="B1450" s="4" t="n">
        <v>46108</v>
      </c>
      <c r="C1450" t="inlineStr">
        <is>
          <t>/</t>
        </is>
      </c>
      <c r="D1450" t="inlineStr">
        <is>
          <t>Frederick Antwi</t>
        </is>
      </c>
      <c r="E1450" t="inlineStr">
        <is>
          <t>Frederick Antwi</t>
        </is>
      </c>
      <c r="F1450" s="5" t="n">
        <v>46160.62711805556</v>
      </c>
      <c r="H1450" t="inlineStr">
        <is>
          <t>P13PC00A00 - Private Sector Companies</t>
        </is>
      </c>
      <c r="I1450" t="n">
        <v>6</v>
      </c>
      <c r="L1450" t="b">
        <v>0</v>
      </c>
      <c r="M1450" t="inlineStr">
        <is>
          <t>Non-Billable</t>
        </is>
      </c>
      <c r="N1450" s="6">
        <f>IF(B1450="","",IF(ISNUMBER(B1450),TEXT(B1450,"YYYY-MM"),LEFT(B1450,7)))</f>
        <v/>
      </c>
    </row>
    <row r="1451">
      <c r="A1451" t="inlineStr">
        <is>
          <t>Frederick Antwi</t>
        </is>
      </c>
      <c r="B1451" s="4" t="n">
        <v>46108</v>
      </c>
      <c r="C1451" t="inlineStr">
        <is>
          <t>/</t>
        </is>
      </c>
      <c r="D1451" t="inlineStr">
        <is>
          <t>Frederick Antwi</t>
        </is>
      </c>
      <c r="E1451" t="inlineStr">
        <is>
          <t>Frederick Antwi</t>
        </is>
      </c>
      <c r="F1451" s="5" t="n">
        <v>46160.62685185186</v>
      </c>
      <c r="H1451" t="inlineStr">
        <is>
          <t>PCGH768</t>
        </is>
      </c>
      <c r="I1451" t="n">
        <v>2</v>
      </c>
      <c r="L1451" t="b">
        <v>1</v>
      </c>
      <c r="M1451" t="inlineStr">
        <is>
          <t>Non-Billable</t>
        </is>
      </c>
      <c r="N1451" s="6">
        <f>IF(B1451="","",IF(ISNUMBER(B1451),TEXT(B1451,"YYYY-MM"),LEFT(B1451,7)))</f>
        <v/>
      </c>
    </row>
    <row r="1452">
      <c r="A1452" t="inlineStr">
        <is>
          <t>Augustus Asamoah</t>
        </is>
      </c>
      <c r="B1452" s="4" t="n">
        <v>46108</v>
      </c>
      <c r="C1452" t="inlineStr">
        <is>
          <t>/</t>
        </is>
      </c>
      <c r="D1452" t="inlineStr">
        <is>
          <t>Augustus Asamoah</t>
        </is>
      </c>
      <c r="E1452" t="inlineStr">
        <is>
          <t>Augustus Asamoah</t>
        </is>
      </c>
      <c r="F1452" s="5" t="n">
        <v>46156.65741898148</v>
      </c>
      <c r="H1452" t="inlineStr">
        <is>
          <t>P13QC00A00 - EFI Programme</t>
        </is>
      </c>
      <c r="I1452" t="n">
        <v>2</v>
      </c>
      <c r="L1452" t="b">
        <v>0</v>
      </c>
      <c r="M1452" t="inlineStr">
        <is>
          <t>Non-Billable</t>
        </is>
      </c>
      <c r="N1452" s="6">
        <f>IF(B1452="","",IF(ISNUMBER(B1452),TEXT(B1452,"YYYY-MM"),LEFT(B1452,7)))</f>
        <v/>
      </c>
    </row>
    <row r="1453">
      <c r="A1453" t="inlineStr">
        <is>
          <t>Augustus Asamoah</t>
        </is>
      </c>
      <c r="B1453" s="4" t="n">
        <v>46108</v>
      </c>
      <c r="C1453" t="inlineStr">
        <is>
          <t>/</t>
        </is>
      </c>
      <c r="D1453" t="inlineStr">
        <is>
          <t>Augustus Asamoah</t>
        </is>
      </c>
      <c r="E1453" t="inlineStr">
        <is>
          <t>Augustus Asamoah</t>
        </is>
      </c>
      <c r="F1453" s="5" t="n">
        <v>46156.65739583333</v>
      </c>
      <c r="H1453" t="inlineStr">
        <is>
          <t>P13PC00A00 - Private Sector Companies</t>
        </is>
      </c>
      <c r="I1453" t="n">
        <v>3</v>
      </c>
      <c r="L1453" t="b">
        <v>0</v>
      </c>
      <c r="M1453" t="inlineStr">
        <is>
          <t>Non-Billable</t>
        </is>
      </c>
      <c r="N1453" s="6">
        <f>IF(B1453="","",IF(ISNUMBER(B1453),TEXT(B1453,"YYYY-MM"),LEFT(B1453,7)))</f>
        <v/>
      </c>
    </row>
    <row r="1454">
      <c r="A1454" t="inlineStr">
        <is>
          <t>Augustus Asamoah</t>
        </is>
      </c>
      <c r="B1454" s="4" t="n">
        <v>46108</v>
      </c>
      <c r="C1454" t="inlineStr">
        <is>
          <t>/</t>
        </is>
      </c>
      <c r="D1454" t="inlineStr">
        <is>
          <t>Augustus Asamoah</t>
        </is>
      </c>
      <c r="E1454" t="inlineStr">
        <is>
          <t>Augustus Asamoah</t>
        </is>
      </c>
      <c r="F1454" s="5" t="n">
        <v>46156.65737268519</v>
      </c>
      <c r="H1454" t="inlineStr">
        <is>
          <t>P13NC00A00 - WALMART II</t>
        </is>
      </c>
      <c r="I1454" t="n">
        <v>3</v>
      </c>
      <c r="L1454" t="b">
        <v>0</v>
      </c>
      <c r="M1454" t="inlineStr">
        <is>
          <t>Non-Billable</t>
        </is>
      </c>
      <c r="N1454" s="6">
        <f>IF(B1454="","",IF(ISNUMBER(B1454),TEXT(B1454,"YYYY-MM"),LEFT(B1454,7)))</f>
        <v/>
      </c>
    </row>
    <row r="1455">
      <c r="A1455" t="inlineStr">
        <is>
          <t>Afua Serwah Akoto Prempeh</t>
        </is>
      </c>
      <c r="B1455" s="4" t="n">
        <v>46108</v>
      </c>
      <c r="C1455" t="inlineStr">
        <is>
          <t>/</t>
        </is>
      </c>
      <c r="D1455" t="inlineStr">
        <is>
          <t>Afua Serwah Akoto Prempeh</t>
        </is>
      </c>
      <c r="E1455" t="inlineStr">
        <is>
          <t>OdooBot</t>
        </is>
      </c>
      <c r="F1455" s="5" t="n">
        <v>46154.70721064815</v>
      </c>
      <c r="H1455" t="inlineStr">
        <is>
          <t>P23AC00C00 - FGMC</t>
        </is>
      </c>
      <c r="I1455" t="n">
        <v>2</v>
      </c>
      <c r="L1455" t="b">
        <v>0</v>
      </c>
      <c r="M1455" t="inlineStr">
        <is>
          <t>Non-Billable</t>
        </is>
      </c>
      <c r="N1455" s="6">
        <f>IF(B1455="","",IF(ISNUMBER(B1455),TEXT(B1455,"YYYY-MM"),LEFT(B1455,7)))</f>
        <v/>
      </c>
    </row>
    <row r="1456">
      <c r="A1456" t="inlineStr">
        <is>
          <t>Afua Serwah Akoto Prempeh</t>
        </is>
      </c>
      <c r="B1456" s="4" t="n">
        <v>46108</v>
      </c>
      <c r="C1456" t="inlineStr">
        <is>
          <t>/</t>
        </is>
      </c>
      <c r="D1456" t="inlineStr">
        <is>
          <t>Afua Serwah Akoto Prempeh</t>
        </is>
      </c>
      <c r="E1456" t="inlineStr">
        <is>
          <t>OdooBot</t>
        </is>
      </c>
      <c r="F1456" s="5" t="n">
        <v>46154.70721064815</v>
      </c>
      <c r="H1456" t="inlineStr">
        <is>
          <t>Non-Billable Tasks</t>
        </is>
      </c>
      <c r="I1456" t="n">
        <v>4</v>
      </c>
      <c r="K1456" t="inlineStr">
        <is>
          <t>Administrative Tasks</t>
        </is>
      </c>
      <c r="L1456" t="b">
        <v>0</v>
      </c>
      <c r="M1456" t="inlineStr">
        <is>
          <t>Non-Billable</t>
        </is>
      </c>
      <c r="N1456" s="6">
        <f>IF(B1456="","",IF(ISNUMBER(B1456),TEXT(B1456,"YYYY-MM"),LEFT(B1456,7)))</f>
        <v/>
      </c>
    </row>
    <row r="1457">
      <c r="A1457" t="inlineStr">
        <is>
          <t>Afua Serwah Akoto Prempeh</t>
        </is>
      </c>
      <c r="B1457" s="4" t="n">
        <v>46108</v>
      </c>
      <c r="C1457" t="inlineStr">
        <is>
          <t>/</t>
        </is>
      </c>
      <c r="D1457" t="inlineStr">
        <is>
          <t>Afua Serwah Akoto Prempeh</t>
        </is>
      </c>
      <c r="E1457" t="inlineStr">
        <is>
          <t>OdooBot</t>
        </is>
      </c>
      <c r="F1457" s="5" t="n">
        <v>46154.70721064815</v>
      </c>
      <c r="H1457" t="inlineStr">
        <is>
          <t>Non-Billable Tasks</t>
        </is>
      </c>
      <c r="I1457" t="n">
        <v>2</v>
      </c>
      <c r="K1457" t="inlineStr">
        <is>
          <t>Review of DfG Proposal and Correspondence</t>
        </is>
      </c>
      <c r="L1457" t="b">
        <v>0</v>
      </c>
      <c r="M1457" t="inlineStr">
        <is>
          <t>Non-Billable</t>
        </is>
      </c>
      <c r="N1457" s="6">
        <f>IF(B1457="","",IF(ISNUMBER(B1457),TEXT(B1457,"YYYY-MM"),LEFT(B1457,7)))</f>
        <v/>
      </c>
    </row>
    <row r="1458">
      <c r="A1458" t="inlineStr">
        <is>
          <t>Stephen Doso</t>
        </is>
      </c>
      <c r="B1458" s="4" t="n">
        <v>46108</v>
      </c>
      <c r="C1458" t="inlineStr">
        <is>
          <t>/</t>
        </is>
      </c>
      <c r="D1458" t="inlineStr">
        <is>
          <t>Stephen Doso</t>
        </is>
      </c>
      <c r="E1458" t="inlineStr">
        <is>
          <t>OdooBot</t>
        </is>
      </c>
      <c r="F1458" s="5" t="n">
        <v>46154.70721064815</v>
      </c>
      <c r="G1458" t="inlineStr">
        <is>
          <t>BOA: FIELDWORK</t>
        </is>
      </c>
      <c r="H1458" t="inlineStr">
        <is>
          <t>PCGH788 - CDC Boa &amp; Mondoni CV-HCS Scoping</t>
        </is>
      </c>
      <c r="I1458" t="n">
        <v>8</v>
      </c>
      <c r="J1458" t="inlineStr">
        <is>
          <t>PCGH788 - Field work  (2) (CAMEROON DEVELOPMENT CORPORATION (CDC))</t>
        </is>
      </c>
      <c r="K1458" t="inlineStr">
        <is>
          <t>Community consultations</t>
        </is>
      </c>
      <c r="L1458" t="b">
        <v>1</v>
      </c>
      <c r="M1458" t="inlineStr">
        <is>
          <t>Billed at a Fixed price</t>
        </is>
      </c>
      <c r="N1458" s="6">
        <f>IF(B1458="","",IF(ISNUMBER(B1458),TEXT(B1458,"YYYY-MM"),LEFT(B1458,7)))</f>
        <v/>
      </c>
    </row>
    <row r="1459">
      <c r="A1459" t="inlineStr">
        <is>
          <t>Stephen Doso</t>
        </is>
      </c>
      <c r="B1459" s="4" t="n">
        <v>46108</v>
      </c>
      <c r="C1459" t="inlineStr">
        <is>
          <t>/</t>
        </is>
      </c>
      <c r="D1459" t="inlineStr">
        <is>
          <t>Stephen Doso</t>
        </is>
      </c>
      <c r="E1459" t="inlineStr">
        <is>
          <t>OdooBot</t>
        </is>
      </c>
      <c r="F1459" s="5" t="n">
        <v>46154.70721064815</v>
      </c>
      <c r="G1459" t="inlineStr">
        <is>
          <t>MONDONI: FIELDWORK (2)</t>
        </is>
      </c>
      <c r="H1459" t="inlineStr">
        <is>
          <t>PCGH788 - CDC Boa &amp; Mondoni CV-HCS Scoping</t>
        </is>
      </c>
      <c r="I1459" t="n">
        <v>0</v>
      </c>
      <c r="J1459" t="inlineStr">
        <is>
          <t>PCGH788 - Field work  (2) (CAMEROON DEVELOPMENT CORPORATION (CDC))</t>
        </is>
      </c>
      <c r="K1459" t="inlineStr">
        <is>
          <t>Stakeholder consultations</t>
        </is>
      </c>
      <c r="L1459" t="b">
        <v>1</v>
      </c>
      <c r="M1459" t="inlineStr">
        <is>
          <t>Billed at a Fixed price</t>
        </is>
      </c>
      <c r="N1459" s="6">
        <f>IF(B1459="","",IF(ISNUMBER(B1459),TEXT(B1459,"YYYY-MM"),LEFT(B1459,7)))</f>
        <v/>
      </c>
    </row>
    <row r="1460">
      <c r="A1460" t="inlineStr">
        <is>
          <t>Kingsley Fitz-Gerald Severine</t>
        </is>
      </c>
      <c r="B1460" s="4" t="n">
        <v>46108</v>
      </c>
      <c r="C1460" t="inlineStr">
        <is>
          <t>/</t>
        </is>
      </c>
      <c r="D1460" t="inlineStr">
        <is>
          <t>Kingsley Fitz-Gerald Severine</t>
        </is>
      </c>
      <c r="E1460" t="inlineStr">
        <is>
          <t>OdooBot</t>
        </is>
      </c>
      <c r="F1460" s="5" t="n">
        <v>46154.70721064815</v>
      </c>
      <c r="G1460" t="inlineStr">
        <is>
          <t>MONDONI: FIELDWORK (3)</t>
        </is>
      </c>
      <c r="H1460" t="inlineStr">
        <is>
          <t>PCGH788 - CDC Boa &amp; Mondoni CV-HCS Scoping</t>
        </is>
      </c>
      <c r="I1460" t="n">
        <v>8</v>
      </c>
      <c r="J1460" t="inlineStr">
        <is>
          <t>PCGH788 - Field work  (3) (CAMEROON DEVELOPMENT CORPORATION (CDC))</t>
        </is>
      </c>
      <c r="K1460" t="inlineStr">
        <is>
          <t>Stakeholder consultations</t>
        </is>
      </c>
      <c r="L1460" t="b">
        <v>1</v>
      </c>
      <c r="M1460" t="inlineStr">
        <is>
          <t>Billed at a Fixed price</t>
        </is>
      </c>
      <c r="N1460" s="6">
        <f>IF(B1460="","",IF(ISNUMBER(B1460),TEXT(B1460,"YYYY-MM"),LEFT(B1460,7)))</f>
        <v/>
      </c>
    </row>
    <row r="1461">
      <c r="A1461" t="inlineStr">
        <is>
          <t>Kwadwo Baniako Nti</t>
        </is>
      </c>
      <c r="B1461" s="4" t="n">
        <v>46108</v>
      </c>
      <c r="C1461" t="inlineStr">
        <is>
          <t>/</t>
        </is>
      </c>
      <c r="D1461" t="inlineStr">
        <is>
          <t>Kwadwo Baniako Nti</t>
        </is>
      </c>
      <c r="E1461" t="inlineStr">
        <is>
          <t>OdooBot</t>
        </is>
      </c>
      <c r="F1461" s="5" t="n">
        <v>46154.70721064815</v>
      </c>
      <c r="G1461" t="inlineStr">
        <is>
          <t>Development or Updating of the Management Plan</t>
        </is>
      </c>
      <c r="H1461" t="inlineStr">
        <is>
          <t>PCGH762 - GVL HCSA Restoration Project</t>
        </is>
      </c>
      <c r="I1461" t="n">
        <v>8</v>
      </c>
      <c r="J1461" t="inlineStr">
        <is>
          <t>PCGH762 - Development or Updating of the Management Plan (Golden Veroleum Liberia)</t>
        </is>
      </c>
      <c r="K1461" t="inlineStr">
        <is>
          <t>Development or Updating of the Management Plan</t>
        </is>
      </c>
      <c r="L1461" t="b">
        <v>1</v>
      </c>
      <c r="M1461" t="inlineStr">
        <is>
          <t>Billed at a Fixed price</t>
        </is>
      </c>
      <c r="N1461" s="6">
        <f>IF(B1461="","",IF(ISNUMBER(B1461),TEXT(B1461,"YYYY-MM"),LEFT(B1461,7)))</f>
        <v/>
      </c>
    </row>
    <row r="1462">
      <c r="A1462" t="inlineStr">
        <is>
          <t>Louis Defo</t>
        </is>
      </c>
      <c r="B1462" s="4" t="n">
        <v>46108</v>
      </c>
      <c r="C1462" t="inlineStr">
        <is>
          <t>/</t>
        </is>
      </c>
      <c r="D1462" t="inlineStr">
        <is>
          <t>Louis Defo</t>
        </is>
      </c>
      <c r="E1462" t="inlineStr">
        <is>
          <t>OdooBot</t>
        </is>
      </c>
      <c r="F1462" s="5" t="n">
        <v>46154.70721064815</v>
      </c>
      <c r="H1462" t="inlineStr">
        <is>
          <t>PCGH788 - CDC Boa &amp; Mondoni CV-HCS Scoping</t>
        </is>
      </c>
      <c r="I1462" t="n">
        <v>8</v>
      </c>
      <c r="J1462" t="inlineStr">
        <is>
          <t>PCGH788 - Desk Study (3) (CAMEROON DEVELOPMENT CORPORATION (CDC))</t>
        </is>
      </c>
      <c r="L1462" t="b">
        <v>1</v>
      </c>
      <c r="M1462" t="inlineStr">
        <is>
          <t>Billed at a Fixed price</t>
        </is>
      </c>
      <c r="N1462" s="6">
        <f>IF(B1462="","",IF(ISNUMBER(B1462),TEXT(B1462,"YYYY-MM"),LEFT(B1462,7)))</f>
        <v/>
      </c>
    </row>
    <row r="1463">
      <c r="A1463" t="inlineStr">
        <is>
          <t>Clement Obeng-Manu</t>
        </is>
      </c>
      <c r="B1463" s="4" t="n">
        <v>46108</v>
      </c>
      <c r="C1463" t="inlineStr">
        <is>
          <t>/</t>
        </is>
      </c>
      <c r="D1463" t="inlineStr">
        <is>
          <t>Ekow Nyamekye Tawiah</t>
        </is>
      </c>
      <c r="E1463" t="inlineStr">
        <is>
          <t>OdooBot</t>
        </is>
      </c>
      <c r="F1463" s="5" t="n">
        <v>46154.70721064815</v>
      </c>
      <c r="G1463" t="inlineStr">
        <is>
          <t>Land cover classification, ground truthing and accuracy assessment</t>
        </is>
      </c>
      <c r="H1463" t="inlineStr">
        <is>
          <t>PCGH776 - Deforestation Risk-Assessment Cashew-Coast</t>
        </is>
      </c>
      <c r="I1463" t="n">
        <v>8</v>
      </c>
      <c r="J1463" t="inlineStr">
        <is>
          <t>PCGH776 - Groundthruthing and Verification (3) (Cashew Coast Products Inc)</t>
        </is>
      </c>
      <c r="K1463" t="inlineStr">
        <is>
          <t>Land cover classification, ground truthing and accuracy assessment</t>
        </is>
      </c>
      <c r="L1463" t="b">
        <v>1</v>
      </c>
      <c r="M1463" t="inlineStr">
        <is>
          <t>Billed at a Fixed price</t>
        </is>
      </c>
      <c r="N1463" s="6">
        <f>IF(B1463="","",IF(ISNUMBER(B1463),TEXT(B1463,"YYYY-MM"),LEFT(B1463,7)))</f>
        <v/>
      </c>
    </row>
    <row r="1464">
      <c r="A1464" t="inlineStr">
        <is>
          <t>Helena Tetteh</t>
        </is>
      </c>
      <c r="B1464" s="4" t="n">
        <v>46108</v>
      </c>
      <c r="C1464" t="inlineStr">
        <is>
          <t>/</t>
        </is>
      </c>
      <c r="D1464" t="inlineStr">
        <is>
          <t xml:space="preserve">Helena Tetteh </t>
        </is>
      </c>
      <c r="E1464" t="inlineStr">
        <is>
          <t>OdooBot</t>
        </is>
      </c>
      <c r="F1464" s="5" t="n">
        <v>46154.70721064815</v>
      </c>
      <c r="H1464" t="inlineStr">
        <is>
          <t>Non-Billable Tasks</t>
        </is>
      </c>
      <c r="I1464" t="n">
        <v>8</v>
      </c>
      <c r="K1464" t="inlineStr">
        <is>
          <t>Internal Focal points and workstreams</t>
        </is>
      </c>
      <c r="L1464" t="b">
        <v>0</v>
      </c>
      <c r="M1464" t="inlineStr">
        <is>
          <t>Non-Billable</t>
        </is>
      </c>
      <c r="N1464" s="6">
        <f>IF(B1464="","",IF(ISNUMBER(B1464),TEXT(B1464,"YYYY-MM"),LEFT(B1464,7)))</f>
        <v/>
      </c>
    </row>
    <row r="1465">
      <c r="A1465" t="inlineStr">
        <is>
          <t>Helena Tetteh</t>
        </is>
      </c>
      <c r="B1465" s="4" t="n">
        <v>46108</v>
      </c>
      <c r="C1465" t="inlineStr">
        <is>
          <t>/</t>
        </is>
      </c>
      <c r="D1465" t="inlineStr">
        <is>
          <t xml:space="preserve">Helena Tetteh </t>
        </is>
      </c>
      <c r="E1465" t="inlineStr">
        <is>
          <t>OdooBot</t>
        </is>
      </c>
      <c r="F1465" s="5" t="n">
        <v>46154.70721064815</v>
      </c>
      <c r="G1465" t="inlineStr">
        <is>
          <t>Output 2.3</t>
        </is>
      </c>
      <c r="H1465" t="inlineStr">
        <is>
          <t>P23AC00C00 - FGMC</t>
        </is>
      </c>
      <c r="I1465" t="n">
        <v>0</v>
      </c>
      <c r="K1465" t="inlineStr">
        <is>
          <t>P23AC22A00 - Output Two (Elevating Local Solutions - West Africa)</t>
        </is>
      </c>
      <c r="L1465" t="b">
        <v>0</v>
      </c>
      <c r="M1465" t="inlineStr">
        <is>
          <t>Non-Billable</t>
        </is>
      </c>
      <c r="N1465" s="6">
        <f>IF(B1465="","",IF(ISNUMBER(B1465),TEXT(B1465,"YYYY-MM"),LEFT(B1465,7)))</f>
        <v/>
      </c>
    </row>
    <row r="1466">
      <c r="A1466" t="inlineStr">
        <is>
          <t>Daleba Bernard Kpenahi Raymond</t>
        </is>
      </c>
      <c r="B1466" s="4" t="n">
        <v>46108</v>
      </c>
      <c r="C1466" t="inlineStr">
        <is>
          <t>/</t>
        </is>
      </c>
      <c r="D1466" t="inlineStr">
        <is>
          <t>Daleba Bernard Kpenahi Raymond</t>
        </is>
      </c>
      <c r="E1466" t="inlineStr">
        <is>
          <t>OdooBot</t>
        </is>
      </c>
      <c r="F1466" s="5" t="n">
        <v>46154.70721064815</v>
      </c>
      <c r="H1466" t="inlineStr">
        <is>
          <t>PCGH776 - Deforestation Risk-Assessment Cashew-Coast</t>
        </is>
      </c>
      <c r="I1466" t="n">
        <v>8</v>
      </c>
      <c r="J1466" t="inlineStr">
        <is>
          <t>PCGH776 - Data collection and review (3) (Cashew Coast Products Inc)</t>
        </is>
      </c>
      <c r="L1466" t="b">
        <v>1</v>
      </c>
      <c r="M1466" t="inlineStr">
        <is>
          <t>Billed at a Fixed price</t>
        </is>
      </c>
      <c r="N1466" s="6">
        <f>IF(B1466="","",IF(ISNUMBER(B1466),TEXT(B1466,"YYYY-MM"),LEFT(B1466,7)))</f>
        <v/>
      </c>
    </row>
    <row r="1467">
      <c r="A1467" t="inlineStr">
        <is>
          <t>Mawuse Agblobi</t>
        </is>
      </c>
      <c r="B1467" s="4" t="n">
        <v>46107</v>
      </c>
      <c r="C1467" t="inlineStr">
        <is>
          <t>Time Off (2/2)</t>
        </is>
      </c>
      <c r="D1467" t="inlineStr">
        <is>
          <t>James Parker Mckeown</t>
        </is>
      </c>
      <c r="E1467" t="inlineStr">
        <is>
          <t>Mawuse Agblobi</t>
        </is>
      </c>
      <c r="F1467" s="5" t="n">
        <v>46174.89967592592</v>
      </c>
      <c r="H1467" t="inlineStr">
        <is>
          <t>Internal</t>
        </is>
      </c>
      <c r="I1467" t="n">
        <v>8</v>
      </c>
      <c r="K1467" t="inlineStr">
        <is>
          <t>Time Off</t>
        </is>
      </c>
      <c r="L1467" t="b">
        <v>0</v>
      </c>
      <c r="M1467" t="inlineStr">
        <is>
          <t>Non-Billable</t>
        </is>
      </c>
      <c r="N1467" s="6">
        <f>IF(B1467="","",IF(ISNUMBER(B1467),TEXT(B1467,"YYYY-MM"),LEFT(B1467,7)))</f>
        <v/>
      </c>
    </row>
    <row r="1468">
      <c r="A1468" t="inlineStr">
        <is>
          <t>Joseph Isaiah Mensah</t>
        </is>
      </c>
      <c r="B1468" s="4" t="n">
        <v>46107</v>
      </c>
      <c r="C1468" t="inlineStr">
        <is>
          <t>EU proposal</t>
        </is>
      </c>
      <c r="D1468" t="inlineStr">
        <is>
          <t>Jacqueline Nyakutse Afua</t>
        </is>
      </c>
      <c r="E1468" t="inlineStr">
        <is>
          <t>Joseph Isaiah Mensah</t>
        </is>
      </c>
      <c r="F1468" s="5" t="n">
        <v>46162.73960648148</v>
      </c>
      <c r="H1468" t="inlineStr">
        <is>
          <t>Non-Billable Tasks</t>
        </is>
      </c>
      <c r="I1468" t="n">
        <v>6</v>
      </c>
      <c r="K1468" t="inlineStr">
        <is>
          <t>Business Development and Networking</t>
        </is>
      </c>
      <c r="L1468" t="b">
        <v>0</v>
      </c>
      <c r="M1468" t="inlineStr">
        <is>
          <t>Non-Billable</t>
        </is>
      </c>
      <c r="N1468" s="6">
        <f>IF(B1468="","",IF(ISNUMBER(B1468),TEXT(B1468,"YYYY-MM"),LEFT(B1468,7)))</f>
        <v/>
      </c>
    </row>
    <row r="1469">
      <c r="A1469" t="inlineStr">
        <is>
          <t>Joseph Isaiah Mensah</t>
        </is>
      </c>
      <c r="B1469" s="4" t="n">
        <v>46107</v>
      </c>
      <c r="C1469" t="inlineStr">
        <is>
          <t>/Monthly catch-up</t>
        </is>
      </c>
      <c r="D1469" t="inlineStr">
        <is>
          <t>Jacqueline Nyakutse Afua</t>
        </is>
      </c>
      <c r="E1469" t="inlineStr">
        <is>
          <t>Joseph Isaiah Mensah</t>
        </is>
      </c>
      <c r="F1469" s="5" t="n">
        <v>46162.73989583334</v>
      </c>
      <c r="G1469" t="inlineStr">
        <is>
          <t>Output 4</t>
        </is>
      </c>
      <c r="H1469" t="inlineStr">
        <is>
          <t>P23AC00C00 - FGMC</t>
        </is>
      </c>
      <c r="I1469" t="n">
        <v>2</v>
      </c>
      <c r="K1469" t="inlineStr">
        <is>
          <t>P23AC03A00 - Project Management</t>
        </is>
      </c>
      <c r="L1469" t="b">
        <v>0</v>
      </c>
      <c r="M1469" t="inlineStr">
        <is>
          <t>Non-Billable</t>
        </is>
      </c>
      <c r="N1469" s="6">
        <f>IF(B1469="","",IF(ISNUMBER(B1469),TEXT(B1469,"YYYY-MM"),LEFT(B1469,7)))</f>
        <v/>
      </c>
    </row>
    <row r="1470">
      <c r="A1470" t="inlineStr">
        <is>
          <t>James Parker Mckeown</t>
        </is>
      </c>
      <c r="B1470" s="4" t="n">
        <v>46107</v>
      </c>
      <c r="C1470" t="inlineStr">
        <is>
          <t>PFAFR BRIDGE: Weekly Catch-up</t>
        </is>
      </c>
      <c r="D1470" t="inlineStr">
        <is>
          <t>James Parker Mckeown</t>
        </is>
      </c>
      <c r="E1470" t="inlineStr">
        <is>
          <t>James Parker Mckeown</t>
        </is>
      </c>
      <c r="F1470" s="5" t="n">
        <v>46162.71585648148</v>
      </c>
      <c r="G1470" t="inlineStr">
        <is>
          <t>Output 4</t>
        </is>
      </c>
      <c r="H1470" t="inlineStr">
        <is>
          <t>P23AC00C00 - FGMC</t>
        </is>
      </c>
      <c r="I1470" t="n">
        <v>2</v>
      </c>
      <c r="K1470" t="inlineStr">
        <is>
          <t>P23AC03A00 - Project Management</t>
        </is>
      </c>
      <c r="L1470" t="b">
        <v>0</v>
      </c>
      <c r="M1470" t="inlineStr">
        <is>
          <t>Non-Billable</t>
        </is>
      </c>
      <c r="N1470" s="6">
        <f>IF(B1470="","",IF(ISNUMBER(B1470),TEXT(B1470,"YYYY-MM"),LEFT(B1470,7)))</f>
        <v/>
      </c>
    </row>
    <row r="1471">
      <c r="A1471" t="inlineStr">
        <is>
          <t>James Parker Mckeown</t>
        </is>
      </c>
      <c r="B1471" s="4" t="n">
        <v>46107</v>
      </c>
      <c r="C1471" t="inlineStr">
        <is>
          <t>Preparation of options for FGMC budget cut</t>
        </is>
      </c>
      <c r="D1471" t="inlineStr">
        <is>
          <t>James Parker Mckeown</t>
        </is>
      </c>
      <c r="E1471" t="inlineStr">
        <is>
          <t>James Parker Mckeown</t>
        </is>
      </c>
      <c r="F1471" s="5" t="n">
        <v>46162.71337962963</v>
      </c>
      <c r="G1471" t="inlineStr">
        <is>
          <t>Output 4</t>
        </is>
      </c>
      <c r="H1471" t="inlineStr">
        <is>
          <t>P23AC00C00 - FGMC</t>
        </is>
      </c>
      <c r="I1471" t="n">
        <v>3</v>
      </c>
      <c r="K1471" t="inlineStr">
        <is>
          <t>P23AC03A00 - Project Management</t>
        </is>
      </c>
      <c r="L1471" t="b">
        <v>0</v>
      </c>
      <c r="M1471" t="inlineStr">
        <is>
          <t>Non-Billable</t>
        </is>
      </c>
      <c r="N1471" s="6">
        <f>IF(B1471="","",IF(ISNUMBER(B1471),TEXT(B1471,"YYYY-MM"),LEFT(B1471,7)))</f>
        <v/>
      </c>
    </row>
    <row r="1472">
      <c r="A1472" t="inlineStr">
        <is>
          <t>James Parker Mckeown</t>
        </is>
      </c>
      <c r="B1472" s="4" t="n">
        <v>46107</v>
      </c>
      <c r="C1472" t="inlineStr">
        <is>
          <t>/</t>
        </is>
      </c>
      <c r="D1472" t="inlineStr">
        <is>
          <t>James Parker Mckeown</t>
        </is>
      </c>
      <c r="E1472" t="inlineStr">
        <is>
          <t>James Parker Mckeown</t>
        </is>
      </c>
      <c r="F1472" s="5" t="n">
        <v>46162.71032407408</v>
      </c>
      <c r="H1472" t="inlineStr">
        <is>
          <t>PCGH762 - GVL HCSA Restoration Project</t>
        </is>
      </c>
      <c r="I1472" t="n">
        <v>1</v>
      </c>
      <c r="J1472" t="inlineStr">
        <is>
          <t>PCGH762 - Baseline Socio-Economic &amp; Environmental Surveys (Golden Veroleum Liberia)</t>
        </is>
      </c>
      <c r="K1472" t="inlineStr">
        <is>
          <t>Baseline Socio-Economic &amp; Environmental Surveys</t>
        </is>
      </c>
      <c r="L1472" t="b">
        <v>1</v>
      </c>
      <c r="M1472" t="inlineStr">
        <is>
          <t>Billed at a Fixed price</t>
        </is>
      </c>
      <c r="N1472" s="6">
        <f>IF(B1472="","",IF(ISNUMBER(B1472),TEXT(B1472,"YYYY-MM"),LEFT(B1472,7)))</f>
        <v/>
      </c>
    </row>
    <row r="1473">
      <c r="A1473" t="inlineStr">
        <is>
          <t>James Parker Mckeown</t>
        </is>
      </c>
      <c r="B1473" s="4" t="n">
        <v>46107</v>
      </c>
      <c r="C1473" t="inlineStr">
        <is>
          <t>/</t>
        </is>
      </c>
      <c r="D1473" t="inlineStr">
        <is>
          <t>James Parker Mckeown</t>
        </is>
      </c>
      <c r="E1473" t="inlineStr">
        <is>
          <t>James Parker Mckeown</t>
        </is>
      </c>
      <c r="F1473" s="5" t="n">
        <v>46162.70760416667</v>
      </c>
      <c r="H1473" t="inlineStr">
        <is>
          <t>PCGH786 - Impact Level Baseline assessment for FGMC</t>
        </is>
      </c>
      <c r="I1473" t="n">
        <v>3</v>
      </c>
      <c r="L1473" t="b">
        <v>1</v>
      </c>
      <c r="M1473" t="inlineStr">
        <is>
          <t>Non-Billable</t>
        </is>
      </c>
      <c r="N1473" s="6">
        <f>IF(B1473="","",IF(ISNUMBER(B1473),TEXT(B1473,"YYYY-MM"),LEFT(B1473,7)))</f>
        <v/>
      </c>
    </row>
    <row r="1474">
      <c r="A1474" t="inlineStr">
        <is>
          <t>Kwadwo Baniako Nti</t>
        </is>
      </c>
      <c r="B1474" s="4" t="n">
        <v>46107</v>
      </c>
      <c r="C1474" t="inlineStr">
        <is>
          <t>/</t>
        </is>
      </c>
      <c r="D1474" t="inlineStr">
        <is>
          <t>Kwadwo Baniako Nti</t>
        </is>
      </c>
      <c r="E1474" t="inlineStr">
        <is>
          <t>Kwadwo Baniako Nti</t>
        </is>
      </c>
      <c r="F1474" s="5" t="n">
        <v>46162.38278935185</v>
      </c>
      <c r="H1474" t="inlineStr">
        <is>
          <t>PCGH775 - ESDD of Valency Operations for FMO</t>
        </is>
      </c>
      <c r="I1474" t="n">
        <v>8</v>
      </c>
      <c r="J1474" t="inlineStr">
        <is>
          <t>PCGH775 - Kick-Off Meeting (Valency International DMCC)</t>
        </is>
      </c>
      <c r="L1474" t="b">
        <v>1</v>
      </c>
      <c r="M1474" t="inlineStr">
        <is>
          <t>Billed at a Fixed price</t>
        </is>
      </c>
      <c r="N1474" s="6">
        <f>IF(B1474="","",IF(ISNUMBER(B1474),TEXT(B1474,"YYYY-MM"),LEFT(B1474,7)))</f>
        <v/>
      </c>
    </row>
    <row r="1475">
      <c r="A1475" t="inlineStr">
        <is>
          <t>Frederick Antwi</t>
        </is>
      </c>
      <c r="B1475" s="4" t="n">
        <v>46107</v>
      </c>
      <c r="C1475" t="inlineStr">
        <is>
          <t>/</t>
        </is>
      </c>
      <c r="D1475" t="inlineStr">
        <is>
          <t>Frederick Antwi</t>
        </is>
      </c>
      <c r="E1475" t="inlineStr">
        <is>
          <t>Frederick Antwi</t>
        </is>
      </c>
      <c r="F1475" s="5" t="n">
        <v>46160.62626157407</v>
      </c>
      <c r="H1475" t="inlineStr">
        <is>
          <t>P13NC00A00 - WALMART II</t>
        </is>
      </c>
      <c r="I1475" t="n">
        <v>8</v>
      </c>
      <c r="L1475" t="b">
        <v>0</v>
      </c>
      <c r="M1475" t="inlineStr">
        <is>
          <t>Non-Billable</t>
        </is>
      </c>
      <c r="N1475" s="6">
        <f>IF(B1475="","",IF(ISNUMBER(B1475),TEXT(B1475,"YYYY-MM"),LEFT(B1475,7)))</f>
        <v/>
      </c>
    </row>
    <row r="1476">
      <c r="A1476" t="inlineStr">
        <is>
          <t>Augustus Asamoah</t>
        </is>
      </c>
      <c r="B1476" s="4" t="n">
        <v>46107</v>
      </c>
      <c r="C1476" t="inlineStr">
        <is>
          <t>/</t>
        </is>
      </c>
      <c r="D1476" t="inlineStr">
        <is>
          <t>Augustus Asamoah</t>
        </is>
      </c>
      <c r="E1476" t="inlineStr">
        <is>
          <t>Augustus Asamoah</t>
        </is>
      </c>
      <c r="F1476" s="5" t="n">
        <v>46156.65732638889</v>
      </c>
      <c r="H1476" t="inlineStr">
        <is>
          <t>P13NC00A00 - WALMART II</t>
        </is>
      </c>
      <c r="I1476" t="n">
        <v>8</v>
      </c>
      <c r="L1476" t="b">
        <v>0</v>
      </c>
      <c r="M1476" t="inlineStr">
        <is>
          <t>Non-Billable</t>
        </is>
      </c>
      <c r="N1476" s="6">
        <f>IF(B1476="","",IF(ISNUMBER(B1476),TEXT(B1476,"YYYY-MM"),LEFT(B1476,7)))</f>
        <v/>
      </c>
    </row>
    <row r="1477">
      <c r="A1477" t="inlineStr">
        <is>
          <t>Helena Tetteh</t>
        </is>
      </c>
      <c r="B1477" s="4" t="n">
        <v>46107</v>
      </c>
      <c r="C1477" t="inlineStr">
        <is>
          <t>/</t>
        </is>
      </c>
      <c r="D1477" t="inlineStr">
        <is>
          <t xml:space="preserve">Helena Tetteh </t>
        </is>
      </c>
      <c r="E1477" t="inlineStr">
        <is>
          <t>OdooBot</t>
        </is>
      </c>
      <c r="F1477" s="5" t="n">
        <v>46154.70721064815</v>
      </c>
      <c r="G1477" t="inlineStr">
        <is>
          <t>Output 2.3</t>
        </is>
      </c>
      <c r="H1477" t="inlineStr">
        <is>
          <t>P23AC00C00 - FGMC</t>
        </is>
      </c>
      <c r="I1477" t="n">
        <v>8</v>
      </c>
      <c r="K1477" t="inlineStr">
        <is>
          <t>P23AC22A00 - Output Two (Elevating Local Solutions - West Africa)</t>
        </is>
      </c>
      <c r="L1477" t="b">
        <v>0</v>
      </c>
      <c r="M1477" t="inlineStr">
        <is>
          <t>Non-Billable</t>
        </is>
      </c>
      <c r="N1477" s="6">
        <f>IF(B1477="","",IF(ISNUMBER(B1477),TEXT(B1477,"YYYY-MM"),LEFT(B1477,7)))</f>
        <v/>
      </c>
    </row>
    <row r="1478">
      <c r="A1478" t="inlineStr">
        <is>
          <t>Afua Serwah Akoto Prempeh</t>
        </is>
      </c>
      <c r="B1478" s="4" t="n">
        <v>46107</v>
      </c>
      <c r="C1478" t="inlineStr">
        <is>
          <t>/</t>
        </is>
      </c>
      <c r="D1478" t="inlineStr">
        <is>
          <t>Afua Serwah Akoto Prempeh</t>
        </is>
      </c>
      <c r="E1478" t="inlineStr">
        <is>
          <t>OdooBot</t>
        </is>
      </c>
      <c r="F1478" s="5" t="n">
        <v>46154.70721064815</v>
      </c>
      <c r="H1478" t="inlineStr">
        <is>
          <t>P23AC00C00 - FGMC</t>
        </is>
      </c>
      <c r="I1478" t="n">
        <v>1</v>
      </c>
      <c r="L1478" t="b">
        <v>0</v>
      </c>
      <c r="M1478" t="inlineStr">
        <is>
          <t>Non-Billable</t>
        </is>
      </c>
      <c r="N1478" s="6">
        <f>IF(B1478="","",IF(ISNUMBER(B1478),TEXT(B1478,"YYYY-MM"),LEFT(B1478,7)))</f>
        <v/>
      </c>
    </row>
    <row r="1479">
      <c r="A1479" t="inlineStr">
        <is>
          <t>Afua Serwah Akoto Prempeh</t>
        </is>
      </c>
      <c r="B1479" s="4" t="n">
        <v>46107</v>
      </c>
      <c r="C1479" t="inlineStr">
        <is>
          <t>/</t>
        </is>
      </c>
      <c r="D1479" t="inlineStr">
        <is>
          <t>Afua Serwah Akoto Prempeh</t>
        </is>
      </c>
      <c r="E1479" t="inlineStr">
        <is>
          <t>OdooBot</t>
        </is>
      </c>
      <c r="F1479" s="5" t="n">
        <v>46154.70721064815</v>
      </c>
      <c r="H1479" t="inlineStr">
        <is>
          <t>Non-Billable Tasks</t>
        </is>
      </c>
      <c r="I1479" t="n">
        <v>4</v>
      </c>
      <c r="K1479" t="inlineStr">
        <is>
          <t>Administrative Tasks</t>
        </is>
      </c>
      <c r="L1479" t="b">
        <v>0</v>
      </c>
      <c r="M1479" t="inlineStr">
        <is>
          <t>Non-Billable</t>
        </is>
      </c>
      <c r="N1479" s="6">
        <f>IF(B1479="","",IF(ISNUMBER(B1479),TEXT(B1479,"YYYY-MM"),LEFT(B1479,7)))</f>
        <v/>
      </c>
    </row>
    <row r="1480">
      <c r="A1480" t="inlineStr">
        <is>
          <t>Afua Serwah Akoto Prempeh</t>
        </is>
      </c>
      <c r="B1480" s="4" t="n">
        <v>46107</v>
      </c>
      <c r="C1480" t="inlineStr">
        <is>
          <t>/</t>
        </is>
      </c>
      <c r="D1480" t="inlineStr">
        <is>
          <t>Afua Serwah Akoto Prempeh</t>
        </is>
      </c>
      <c r="E1480" t="inlineStr">
        <is>
          <t>OdooBot</t>
        </is>
      </c>
      <c r="F1480" s="5" t="n">
        <v>46154.70721064815</v>
      </c>
      <c r="H1480" t="inlineStr">
        <is>
          <t>Non-Billable Tasks</t>
        </is>
      </c>
      <c r="I1480" t="n">
        <v>3</v>
      </c>
      <c r="K1480" t="inlineStr">
        <is>
          <t>Review of DfG Proposal and Correspondence</t>
        </is>
      </c>
      <c r="L1480" t="b">
        <v>0</v>
      </c>
      <c r="M1480" t="inlineStr">
        <is>
          <t>Non-Billable</t>
        </is>
      </c>
      <c r="N1480" s="6">
        <f>IF(B1480="","",IF(ISNUMBER(B1480),TEXT(B1480,"YYYY-MM"),LEFT(B1480,7)))</f>
        <v/>
      </c>
    </row>
    <row r="1481">
      <c r="A1481" t="inlineStr">
        <is>
          <t>Stephen Doso</t>
        </is>
      </c>
      <c r="B1481" s="4" t="n">
        <v>46107</v>
      </c>
      <c r="C1481" t="inlineStr">
        <is>
          <t>/</t>
        </is>
      </c>
      <c r="D1481" t="inlineStr">
        <is>
          <t>Stephen Doso</t>
        </is>
      </c>
      <c r="E1481" t="inlineStr">
        <is>
          <t>OdooBot</t>
        </is>
      </c>
      <c r="F1481" s="5" t="n">
        <v>46154.70721064815</v>
      </c>
      <c r="G1481" t="inlineStr">
        <is>
          <t>Preliminary findings and final consultation</t>
        </is>
      </c>
      <c r="H1481" t="inlineStr">
        <is>
          <t>PCGH784</t>
        </is>
      </c>
      <c r="I1481" t="n">
        <v>0</v>
      </c>
      <c r="J1481" t="inlineStr">
        <is>
          <t>PCGH784 - Stakeholder Consultations (3) (Okeosisi Jonathan)</t>
        </is>
      </c>
      <c r="K1481" t="inlineStr">
        <is>
          <t>Final consultation</t>
        </is>
      </c>
      <c r="L1481" t="b">
        <v>1</v>
      </c>
      <c r="M1481" t="inlineStr">
        <is>
          <t>Billed at a Fixed price</t>
        </is>
      </c>
      <c r="N1481" s="6">
        <f>IF(B1481="","",IF(ISNUMBER(B1481),TEXT(B1481,"YYYY-MM"),LEFT(B1481,7)))</f>
        <v/>
      </c>
    </row>
    <row r="1482">
      <c r="A1482" t="inlineStr">
        <is>
          <t>Stephen Doso</t>
        </is>
      </c>
      <c r="B1482" s="4" t="n">
        <v>46107</v>
      </c>
      <c r="C1482" t="inlineStr">
        <is>
          <t>/</t>
        </is>
      </c>
      <c r="D1482" t="inlineStr">
        <is>
          <t>Stephen Doso</t>
        </is>
      </c>
      <c r="E1482" t="inlineStr">
        <is>
          <t>OdooBot</t>
        </is>
      </c>
      <c r="F1482" s="5" t="n">
        <v>46154.70721064815</v>
      </c>
      <c r="G1482" t="inlineStr">
        <is>
          <t>MONDONI: FIELDWORK (2)</t>
        </is>
      </c>
      <c r="H1482" t="inlineStr">
        <is>
          <t>PCGH788 - CDC Boa &amp; Mondoni CV-HCS Scoping</t>
        </is>
      </c>
      <c r="I1482" t="n">
        <v>8</v>
      </c>
      <c r="J1482" t="inlineStr">
        <is>
          <t>PCGH788 - Field work  (2) (CAMEROON DEVELOPMENT CORPORATION (CDC))</t>
        </is>
      </c>
      <c r="K1482" t="inlineStr">
        <is>
          <t>Community consultations</t>
        </is>
      </c>
      <c r="L1482" t="b">
        <v>1</v>
      </c>
      <c r="M1482" t="inlineStr">
        <is>
          <t>Billed at a Fixed price</t>
        </is>
      </c>
      <c r="N1482" s="6">
        <f>IF(B1482="","",IF(ISNUMBER(B1482),TEXT(B1482,"YYYY-MM"),LEFT(B1482,7)))</f>
        <v/>
      </c>
    </row>
    <row r="1483">
      <c r="A1483" t="inlineStr">
        <is>
          <t>Stephen Doso</t>
        </is>
      </c>
      <c r="B1483" s="4" t="n">
        <v>46107</v>
      </c>
      <c r="C1483" t="inlineStr">
        <is>
          <t>/</t>
        </is>
      </c>
      <c r="D1483" t="inlineStr">
        <is>
          <t>Stephen Doso</t>
        </is>
      </c>
      <c r="E1483" t="inlineStr">
        <is>
          <t>OdooBot</t>
        </is>
      </c>
      <c r="F1483" s="5" t="n">
        <v>46154.70721064815</v>
      </c>
      <c r="G1483" t="inlineStr">
        <is>
          <t>BOA: FIELDWORK</t>
        </is>
      </c>
      <c r="H1483" t="inlineStr">
        <is>
          <t>PCGH788 - CDC Boa &amp; Mondoni CV-HCS Scoping</t>
        </is>
      </c>
      <c r="I1483" t="n">
        <v>0</v>
      </c>
      <c r="J1483" t="inlineStr">
        <is>
          <t>PCGH788 - Field work  (2) (CAMEROON DEVELOPMENT CORPORATION (CDC))</t>
        </is>
      </c>
      <c r="K1483" t="inlineStr">
        <is>
          <t>Community consultations</t>
        </is>
      </c>
      <c r="L1483" t="b">
        <v>1</v>
      </c>
      <c r="M1483" t="inlineStr">
        <is>
          <t>Billed at a Fixed price</t>
        </is>
      </c>
      <c r="N1483" s="6">
        <f>IF(B1483="","",IF(ISNUMBER(B1483),TEXT(B1483,"YYYY-MM"),LEFT(B1483,7)))</f>
        <v/>
      </c>
    </row>
    <row r="1484">
      <c r="A1484" t="inlineStr">
        <is>
          <t>Stephen Doso</t>
        </is>
      </c>
      <c r="B1484" s="4" t="n">
        <v>46107</v>
      </c>
      <c r="C1484" t="inlineStr">
        <is>
          <t>/</t>
        </is>
      </c>
      <c r="D1484" t="inlineStr">
        <is>
          <t>Stephen Doso</t>
        </is>
      </c>
      <c r="E1484" t="inlineStr">
        <is>
          <t>OdooBot</t>
        </is>
      </c>
      <c r="F1484" s="5" t="n">
        <v>46154.70721064815</v>
      </c>
      <c r="G1484" t="inlineStr">
        <is>
          <t>MONDONI: FIELDWORK (2)</t>
        </is>
      </c>
      <c r="H1484" t="inlineStr">
        <is>
          <t>PCGH788 - CDC Boa &amp; Mondoni CV-HCS Scoping</t>
        </is>
      </c>
      <c r="I1484" t="n">
        <v>0</v>
      </c>
      <c r="J1484" t="inlineStr">
        <is>
          <t>PCGH788 - Field work  (2) (CAMEROON DEVELOPMENT CORPORATION (CDC))</t>
        </is>
      </c>
      <c r="K1484" t="inlineStr">
        <is>
          <t>Stakeholder consultations</t>
        </is>
      </c>
      <c r="L1484" t="b">
        <v>1</v>
      </c>
      <c r="M1484" t="inlineStr">
        <is>
          <t>Billed at a Fixed price</t>
        </is>
      </c>
      <c r="N1484" s="6">
        <f>IF(B1484="","",IF(ISNUMBER(B1484),TEXT(B1484,"YYYY-MM"),LEFT(B1484,7)))</f>
        <v/>
      </c>
    </row>
    <row r="1485">
      <c r="A1485" t="inlineStr">
        <is>
          <t>Kingsley Fitz-Gerald Severine</t>
        </is>
      </c>
      <c r="B1485" s="4" t="n">
        <v>46107</v>
      </c>
      <c r="C1485" t="inlineStr">
        <is>
          <t>/</t>
        </is>
      </c>
      <c r="D1485" t="inlineStr">
        <is>
          <t>Kingsley Fitz-Gerald Severine</t>
        </is>
      </c>
      <c r="E1485" t="inlineStr">
        <is>
          <t>OdooBot</t>
        </is>
      </c>
      <c r="F1485" s="5" t="n">
        <v>46154.70721064815</v>
      </c>
      <c r="G1485" t="inlineStr">
        <is>
          <t>BOA: FIELDWORK (3)</t>
        </is>
      </c>
      <c r="H1485" t="inlineStr">
        <is>
          <t>PCGH788 - CDC Boa &amp; Mondoni CV-HCS Scoping</t>
        </is>
      </c>
      <c r="I1485" t="n">
        <v>8</v>
      </c>
      <c r="J1485" t="inlineStr">
        <is>
          <t>PCGH788 - Field work  (3) (CAMEROON DEVELOPMENT CORPORATION (CDC))</t>
        </is>
      </c>
      <c r="K1485" t="inlineStr">
        <is>
          <t>Groundtruthing</t>
        </is>
      </c>
      <c r="L1485" t="b">
        <v>1</v>
      </c>
      <c r="M1485" t="inlineStr">
        <is>
          <t>Billed at a Fixed price</t>
        </is>
      </c>
      <c r="N1485" s="6">
        <f>IF(B1485="","",IF(ISNUMBER(B1485),TEXT(B1485,"YYYY-MM"),LEFT(B1485,7)))</f>
        <v/>
      </c>
    </row>
    <row r="1486">
      <c r="A1486" t="inlineStr">
        <is>
          <t>Kwadwo Baniako Nti</t>
        </is>
      </c>
      <c r="B1486" s="4" t="n">
        <v>46107</v>
      </c>
      <c r="C1486" t="inlineStr">
        <is>
          <t>/</t>
        </is>
      </c>
      <c r="D1486" t="inlineStr">
        <is>
          <t>Kwadwo Baniako Nti</t>
        </is>
      </c>
      <c r="E1486" t="inlineStr">
        <is>
          <t>Kwadwo Baniako Nti</t>
        </is>
      </c>
      <c r="F1486" s="5" t="n">
        <v>46162.38289351852</v>
      </c>
      <c r="G1486" t="inlineStr">
        <is>
          <t>Development or Updating of the Management Plan</t>
        </is>
      </c>
      <c r="H1486" t="inlineStr">
        <is>
          <t>PCGH762 - GVL HCSA Restoration Project</t>
        </is>
      </c>
      <c r="I1486" t="n">
        <v>0</v>
      </c>
      <c r="J1486" t="inlineStr">
        <is>
          <t>PCGH762 - Development or Updating of the Management Plan (Golden Veroleum Liberia)</t>
        </is>
      </c>
      <c r="K1486" t="inlineStr">
        <is>
          <t>Development or Updating of the Management Plan</t>
        </is>
      </c>
      <c r="L1486" t="b">
        <v>1</v>
      </c>
      <c r="M1486" t="inlineStr">
        <is>
          <t>Billed at a Fixed price</t>
        </is>
      </c>
      <c r="N1486" s="6">
        <f>IF(B1486="","",IF(ISNUMBER(B1486),TEXT(B1486,"YYYY-MM"),LEFT(B1486,7)))</f>
        <v/>
      </c>
    </row>
    <row r="1487">
      <c r="A1487" t="inlineStr">
        <is>
          <t>Louis Defo</t>
        </is>
      </c>
      <c r="B1487" s="4" t="n">
        <v>46107</v>
      </c>
      <c r="C1487" t="inlineStr">
        <is>
          <t>/</t>
        </is>
      </c>
      <c r="D1487" t="inlineStr">
        <is>
          <t>Louis Defo</t>
        </is>
      </c>
      <c r="E1487" t="inlineStr">
        <is>
          <t>OdooBot</t>
        </is>
      </c>
      <c r="F1487" s="5" t="n">
        <v>46154.70721064815</v>
      </c>
      <c r="H1487" t="inlineStr">
        <is>
          <t>PCGH788 - CDC Boa &amp; Mondoni CV-HCS Scoping</t>
        </is>
      </c>
      <c r="I1487" t="n">
        <v>8</v>
      </c>
      <c r="J1487" t="inlineStr">
        <is>
          <t>PCGH788 - Desk Study (3) (CAMEROON DEVELOPMENT CORPORATION (CDC))</t>
        </is>
      </c>
      <c r="L1487" t="b">
        <v>1</v>
      </c>
      <c r="M1487" t="inlineStr">
        <is>
          <t>Billed at a Fixed price</t>
        </is>
      </c>
      <c r="N1487" s="6">
        <f>IF(B1487="","",IF(ISNUMBER(B1487),TEXT(B1487,"YYYY-MM"),LEFT(B1487,7)))</f>
        <v/>
      </c>
    </row>
    <row r="1488">
      <c r="A1488" t="inlineStr">
        <is>
          <t>Clement Obeng-Manu</t>
        </is>
      </c>
      <c r="B1488" s="4" t="n">
        <v>46107</v>
      </c>
      <c r="C1488" t="inlineStr">
        <is>
          <t>Groundtruthing of land cover</t>
        </is>
      </c>
      <c r="D1488" t="inlineStr">
        <is>
          <t>Ekow Nyamekye Tawiah</t>
        </is>
      </c>
      <c r="E1488" t="inlineStr">
        <is>
          <t>OdooBot</t>
        </is>
      </c>
      <c r="F1488" s="5" t="n">
        <v>46154.70721064815</v>
      </c>
      <c r="G1488" t="inlineStr">
        <is>
          <t>Land cover classification, ground truthing and accuracy assessment</t>
        </is>
      </c>
      <c r="H1488" t="inlineStr">
        <is>
          <t>PCGH776 - Deforestation Risk-Assessment Cashew-Coast</t>
        </is>
      </c>
      <c r="I1488" t="n">
        <v>8</v>
      </c>
      <c r="J1488" t="inlineStr">
        <is>
          <t>PCGH776 - Groundthruthing and Verification (3) (Cashew Coast Products Inc)</t>
        </is>
      </c>
      <c r="K1488" t="inlineStr">
        <is>
          <t>Land cover classification, ground truthing and accuracy assessment</t>
        </is>
      </c>
      <c r="L1488" t="b">
        <v>1</v>
      </c>
      <c r="M1488" t="inlineStr">
        <is>
          <t>Billed at a Fixed price</t>
        </is>
      </c>
      <c r="N1488" s="6">
        <f>IF(B1488="","",IF(ISNUMBER(B1488),TEXT(B1488,"YYYY-MM"),LEFT(B1488,7)))</f>
        <v/>
      </c>
    </row>
    <row r="1489">
      <c r="A1489" t="inlineStr">
        <is>
          <t>Helena Tetteh</t>
        </is>
      </c>
      <c r="B1489" s="4" t="n">
        <v>46107</v>
      </c>
      <c r="C1489" t="inlineStr">
        <is>
          <t>EU CSO Support proposal development</t>
        </is>
      </c>
      <c r="D1489" t="inlineStr">
        <is>
          <t xml:space="preserve">Helena Tetteh </t>
        </is>
      </c>
      <c r="E1489" t="inlineStr">
        <is>
          <t>OdooBot</t>
        </is>
      </c>
      <c r="F1489" s="5" t="n">
        <v>46154.70721064815</v>
      </c>
      <c r="H1489" t="inlineStr">
        <is>
          <t>PCGH762 - GVL HCSA Restoration Project</t>
        </is>
      </c>
      <c r="I1489" t="n">
        <v>8</v>
      </c>
      <c r="J1489" t="inlineStr">
        <is>
          <t>PCGH763 - Desk study (Due diligence) (Jopafram Nigeria Limited)</t>
        </is>
      </c>
      <c r="K1489" t="inlineStr">
        <is>
          <t>Fundraising and proposal development</t>
        </is>
      </c>
      <c r="L1489" t="b">
        <v>1</v>
      </c>
      <c r="M1489" t="inlineStr">
        <is>
          <t>Billed at a Fixed price</t>
        </is>
      </c>
      <c r="N1489" s="6">
        <f>IF(B1489="","",IF(ISNUMBER(B1489),TEXT(B1489,"YYYY-MM"),LEFT(B1489,7)))</f>
        <v/>
      </c>
    </row>
    <row r="1490">
      <c r="A1490" t="inlineStr">
        <is>
          <t>Daleba Bernard Kpenahi Raymond</t>
        </is>
      </c>
      <c r="B1490" s="4" t="n">
        <v>46107</v>
      </c>
      <c r="C1490" t="inlineStr">
        <is>
          <t>/</t>
        </is>
      </c>
      <c r="D1490" t="inlineStr">
        <is>
          <t>Daleba Bernard Kpenahi Raymond</t>
        </is>
      </c>
      <c r="E1490" t="inlineStr">
        <is>
          <t>OdooBot</t>
        </is>
      </c>
      <c r="F1490" s="5" t="n">
        <v>46154.70721064815</v>
      </c>
      <c r="H1490" t="inlineStr">
        <is>
          <t>PCGH776 - Deforestation Risk-Assessment Cashew-Coast</t>
        </is>
      </c>
      <c r="I1490" t="n">
        <v>8</v>
      </c>
      <c r="J1490" t="inlineStr">
        <is>
          <t>PCGH776 - Data collection and review (3) (Cashew Coast Products Inc)</t>
        </is>
      </c>
      <c r="L1490" t="b">
        <v>1</v>
      </c>
      <c r="M1490" t="inlineStr">
        <is>
          <t>Billed at a Fixed price</t>
        </is>
      </c>
      <c r="N1490" s="6">
        <f>IF(B1490="","",IF(ISNUMBER(B1490),TEXT(B1490,"YYYY-MM"),LEFT(B1490,7)))</f>
        <v/>
      </c>
    </row>
    <row r="1491">
      <c r="A1491" t="inlineStr">
        <is>
          <t>Ekow Nyamekye Tawiah</t>
        </is>
      </c>
      <c r="B1491" s="4" t="n">
        <v>46107</v>
      </c>
      <c r="C1491" t="inlineStr">
        <is>
          <t>Odo Training</t>
        </is>
      </c>
      <c r="D1491" t="inlineStr">
        <is>
          <t>Joseph Isaiah Mensah</t>
        </is>
      </c>
      <c r="E1491" t="inlineStr">
        <is>
          <t>OdooBot</t>
        </is>
      </c>
      <c r="F1491" s="5" t="n">
        <v>46154.70721064815</v>
      </c>
      <c r="H1491" t="inlineStr">
        <is>
          <t>Non-Billable Tasks</t>
        </is>
      </c>
      <c r="I1491" t="n">
        <v>1</v>
      </c>
      <c r="K1491" t="inlineStr">
        <is>
          <t>Administrative Tasks</t>
        </is>
      </c>
      <c r="L1491" t="b">
        <v>0</v>
      </c>
      <c r="M1491" t="inlineStr">
        <is>
          <t>Non-Billable</t>
        </is>
      </c>
      <c r="N1491" s="6">
        <f>IF(B1491="","",IF(ISNUMBER(B1491),TEXT(B1491,"YYYY-MM"),LEFT(B1491,7)))</f>
        <v/>
      </c>
    </row>
    <row r="1492">
      <c r="A1492" t="inlineStr">
        <is>
          <t>Ekow Nyamekye Tawiah</t>
        </is>
      </c>
      <c r="B1492" s="4" t="n">
        <v>46107</v>
      </c>
      <c r="C1492" t="inlineStr">
        <is>
          <t>/</t>
        </is>
      </c>
      <c r="D1492" t="inlineStr">
        <is>
          <t>Joseph Isaiah Mensah</t>
        </is>
      </c>
      <c r="E1492" t="inlineStr">
        <is>
          <t>Michael Anim</t>
        </is>
      </c>
      <c r="F1492" s="5" t="n">
        <v>46163.53203703704</v>
      </c>
      <c r="H1492" t="inlineStr">
        <is>
          <t>PCGH778 - General Support</t>
        </is>
      </c>
      <c r="I1492" t="n">
        <v>3</v>
      </c>
      <c r="J1492" t="inlineStr">
        <is>
          <t>PCGH778 - Support to Other Workstreams (3) (Proforest Limited(PCUK GBP))</t>
        </is>
      </c>
      <c r="L1492" t="b">
        <v>1</v>
      </c>
      <c r="M1492" t="inlineStr">
        <is>
          <t>Billed at a Fixed price</t>
        </is>
      </c>
      <c r="N1492" s="6">
        <f>IF(B1492="","",IF(ISNUMBER(B1492),TEXT(B1492,"YYYY-MM"),LEFT(B1492,7)))</f>
        <v/>
      </c>
    </row>
    <row r="1493">
      <c r="A1493" t="inlineStr">
        <is>
          <t>Mawuse Agblobi</t>
        </is>
      </c>
      <c r="B1493" s="4" t="n">
        <v>46106</v>
      </c>
      <c r="C1493" t="inlineStr">
        <is>
          <t>Time Off (1/2)</t>
        </is>
      </c>
      <c r="D1493" t="inlineStr">
        <is>
          <t>James Parker Mckeown</t>
        </is>
      </c>
      <c r="E1493" t="inlineStr">
        <is>
          <t>Mawuse Agblobi</t>
        </is>
      </c>
      <c r="F1493" s="5" t="n">
        <v>46174.89967592592</v>
      </c>
      <c r="H1493" t="inlineStr">
        <is>
          <t>Internal</t>
        </is>
      </c>
      <c r="I1493" t="n">
        <v>8</v>
      </c>
      <c r="K1493" t="inlineStr">
        <is>
          <t>Time Off</t>
        </is>
      </c>
      <c r="L1493" t="b">
        <v>0</v>
      </c>
      <c r="M1493" t="inlineStr">
        <is>
          <t>Non-Billable</t>
        </is>
      </c>
      <c r="N1493" s="6">
        <f>IF(B1493="","",IF(ISNUMBER(B1493),TEXT(B1493,"YYYY-MM"),LEFT(B1493,7)))</f>
        <v/>
      </c>
    </row>
    <row r="1494">
      <c r="A1494" t="inlineStr">
        <is>
          <t>Ekow Nyamekye Tawiah</t>
        </is>
      </c>
      <c r="B1494" s="4" t="n">
        <v>46106</v>
      </c>
      <c r="C1494" t="inlineStr">
        <is>
          <t>/</t>
        </is>
      </c>
      <c r="D1494" t="inlineStr">
        <is>
          <t>Joseph Isaiah Mensah</t>
        </is>
      </c>
      <c r="E1494" t="inlineStr">
        <is>
          <t>Michael Anim</t>
        </is>
      </c>
      <c r="F1494" s="5" t="n">
        <v>46163.53206018519</v>
      </c>
      <c r="H1494" t="inlineStr">
        <is>
          <t>PCGH778 - General Support</t>
        </is>
      </c>
      <c r="I1494" t="n">
        <v>4</v>
      </c>
      <c r="J1494" t="inlineStr">
        <is>
          <t>PCGH778 - Support to Other Workstreams (3) (Proforest Limited(PCUK GBP))</t>
        </is>
      </c>
      <c r="L1494" t="b">
        <v>1</v>
      </c>
      <c r="M1494" t="inlineStr">
        <is>
          <t>Billed at a Fixed price</t>
        </is>
      </c>
      <c r="N1494" s="6">
        <f>IF(B1494="","",IF(ISNUMBER(B1494),TEXT(B1494,"YYYY-MM"),LEFT(B1494,7)))</f>
        <v/>
      </c>
    </row>
    <row r="1495">
      <c r="A1495" t="inlineStr">
        <is>
          <t>Joseph Isaiah Mensah</t>
        </is>
      </c>
      <c r="B1495" s="4" t="n">
        <v>46106</v>
      </c>
      <c r="C1495" t="inlineStr">
        <is>
          <t>FGMC Gender Webinar</t>
        </is>
      </c>
      <c r="D1495" t="inlineStr">
        <is>
          <t>Jacqueline Nyakutse Afua</t>
        </is>
      </c>
      <c r="E1495" t="inlineStr">
        <is>
          <t>Joseph Isaiah Mensah</t>
        </is>
      </c>
      <c r="F1495" s="5" t="n">
        <v>46162.73466435185</v>
      </c>
      <c r="H1495" t="inlineStr">
        <is>
          <t>P23AC00C00 - FGMC</t>
        </is>
      </c>
      <c r="I1495" t="n">
        <v>2</v>
      </c>
      <c r="L1495" t="b">
        <v>0</v>
      </c>
      <c r="M1495" t="inlineStr">
        <is>
          <t>Non-Billable</t>
        </is>
      </c>
      <c r="N1495" s="6">
        <f>IF(B1495="","",IF(ISNUMBER(B1495),TEXT(B1495,"YYYY-MM"),LEFT(B1495,7)))</f>
        <v/>
      </c>
    </row>
    <row r="1496">
      <c r="A1496" t="inlineStr">
        <is>
          <t>James Parker Mckeown</t>
        </is>
      </c>
      <c r="B1496" s="4" t="n">
        <v>46106</v>
      </c>
      <c r="C1496" t="inlineStr">
        <is>
          <t>FGMC Gender Webinar</t>
        </is>
      </c>
      <c r="D1496" t="inlineStr">
        <is>
          <t>James Parker Mckeown</t>
        </is>
      </c>
      <c r="E1496" t="inlineStr">
        <is>
          <t>James Parker Mckeown</t>
        </is>
      </c>
      <c r="F1496" s="5" t="n">
        <v>46162.7145949074</v>
      </c>
      <c r="G1496" t="inlineStr">
        <is>
          <t>Output 2.3</t>
        </is>
      </c>
      <c r="H1496" t="inlineStr">
        <is>
          <t>P23AC00C00 - FGMC</t>
        </is>
      </c>
      <c r="I1496" t="n">
        <v>2</v>
      </c>
      <c r="K1496" t="inlineStr">
        <is>
          <t>P23AC22A00 - Output Two (Elevating Local Solutions - West Africa)</t>
        </is>
      </c>
      <c r="L1496" t="b">
        <v>0</v>
      </c>
      <c r="M1496" t="inlineStr">
        <is>
          <t>Non-Billable</t>
        </is>
      </c>
      <c r="N1496" s="6">
        <f>IF(B1496="","",IF(ISNUMBER(B1496),TEXT(B1496,"YYYY-MM"),LEFT(B1496,7)))</f>
        <v/>
      </c>
    </row>
    <row r="1497">
      <c r="A1497" t="inlineStr">
        <is>
          <t>James Parker Mckeown</t>
        </is>
      </c>
      <c r="B1497" s="4" t="n">
        <v>46106</v>
      </c>
      <c r="C1497" t="inlineStr">
        <is>
          <t>FGMC BRIDGE: Follow-up on budget cut etc</t>
        </is>
      </c>
      <c r="D1497" t="inlineStr">
        <is>
          <t>James Parker Mckeown</t>
        </is>
      </c>
      <c r="E1497" t="inlineStr">
        <is>
          <t>James Parker Mckeown</t>
        </is>
      </c>
      <c r="F1497" s="5" t="n">
        <v>46162.71237268519</v>
      </c>
      <c r="G1497" t="inlineStr">
        <is>
          <t>Output 2.1</t>
        </is>
      </c>
      <c r="H1497" t="inlineStr">
        <is>
          <t>P23AC00C00 - FGMC</t>
        </is>
      </c>
      <c r="I1497" t="n">
        <v>2</v>
      </c>
      <c r="K1497" t="inlineStr">
        <is>
          <t>P23AC32A00 - Connecting Supply and Demand Side</t>
        </is>
      </c>
      <c r="L1497" t="b">
        <v>0</v>
      </c>
      <c r="M1497" t="inlineStr">
        <is>
          <t>Non-Billable</t>
        </is>
      </c>
      <c r="N1497" s="6">
        <f>IF(B1497="","",IF(ISNUMBER(B1497),TEXT(B1497,"YYYY-MM"),LEFT(B1497,7)))</f>
        <v/>
      </c>
    </row>
    <row r="1498">
      <c r="A1498" t="inlineStr">
        <is>
          <t>James Parker Mckeown</t>
        </is>
      </c>
      <c r="B1498" s="4" t="n">
        <v>46106</v>
      </c>
      <c r="C1498" t="inlineStr">
        <is>
          <t>/</t>
        </is>
      </c>
      <c r="D1498" t="inlineStr">
        <is>
          <t>James Parker Mckeown</t>
        </is>
      </c>
      <c r="E1498" t="inlineStr">
        <is>
          <t>James Parker Mckeown</t>
        </is>
      </c>
      <c r="F1498" s="5" t="n">
        <v>46162.71028935185</v>
      </c>
      <c r="H1498" t="inlineStr">
        <is>
          <t>PCGH762 - GVL HCSA Restoration Project</t>
        </is>
      </c>
      <c r="I1498" t="n">
        <v>3</v>
      </c>
      <c r="J1498" t="inlineStr">
        <is>
          <t>PCGH762 - Baseline Socio-Economic &amp; Environmental Surveys (Golden Veroleum Liberia)</t>
        </is>
      </c>
      <c r="K1498" t="inlineStr">
        <is>
          <t>Baseline Socio-Economic &amp; Environmental Surveys</t>
        </is>
      </c>
      <c r="L1498" t="b">
        <v>1</v>
      </c>
      <c r="M1498" t="inlineStr">
        <is>
          <t>Billed at a Fixed price</t>
        </is>
      </c>
      <c r="N1498" s="6">
        <f>IF(B1498="","",IF(ISNUMBER(B1498),TEXT(B1498,"YYYY-MM"),LEFT(B1498,7)))</f>
        <v/>
      </c>
    </row>
    <row r="1499">
      <c r="A1499" t="inlineStr">
        <is>
          <t>James Parker Mckeown</t>
        </is>
      </c>
      <c r="B1499" s="4" t="n">
        <v>46106</v>
      </c>
      <c r="C1499" t="inlineStr">
        <is>
          <t>/</t>
        </is>
      </c>
      <c r="D1499" t="inlineStr">
        <is>
          <t>James Parker Mckeown</t>
        </is>
      </c>
      <c r="E1499" t="inlineStr">
        <is>
          <t>James Parker Mckeown</t>
        </is>
      </c>
      <c r="F1499" s="5" t="n">
        <v>46162.7075462963</v>
      </c>
      <c r="H1499" t="inlineStr">
        <is>
          <t>PCGH786 - Impact Level Baseline assessment for FGMC</t>
        </is>
      </c>
      <c r="I1499" t="n">
        <v>2</v>
      </c>
      <c r="L1499" t="b">
        <v>1</v>
      </c>
      <c r="M1499" t="inlineStr">
        <is>
          <t>Non-Billable</t>
        </is>
      </c>
      <c r="N1499" s="6">
        <f>IF(B1499="","",IF(ISNUMBER(B1499),TEXT(B1499,"YYYY-MM"),LEFT(B1499,7)))</f>
        <v/>
      </c>
    </row>
    <row r="1500">
      <c r="A1500" t="inlineStr">
        <is>
          <t>Kwadwo Baniako Nti</t>
        </is>
      </c>
      <c r="B1500" s="4" t="n">
        <v>46106</v>
      </c>
      <c r="C1500" t="inlineStr">
        <is>
          <t>/</t>
        </is>
      </c>
      <c r="D1500" t="inlineStr">
        <is>
          <t>Kwadwo Baniako Nti</t>
        </is>
      </c>
      <c r="E1500" t="inlineStr">
        <is>
          <t>Kwadwo Baniako Nti</t>
        </is>
      </c>
      <c r="F1500" s="5" t="n">
        <v>46162.38282407408</v>
      </c>
      <c r="H1500" t="inlineStr">
        <is>
          <t>PCGH775 - ESDD of Valency Operations for FMO</t>
        </is>
      </c>
      <c r="I1500" t="n">
        <v>8</v>
      </c>
      <c r="J1500" t="inlineStr">
        <is>
          <t>PCGH775 - Kick-Off Meeting (Valency International DMCC)</t>
        </is>
      </c>
      <c r="L1500" t="b">
        <v>1</v>
      </c>
      <c r="M1500" t="inlineStr">
        <is>
          <t>Billed at a Fixed price</t>
        </is>
      </c>
      <c r="N1500" s="6">
        <f>IF(B1500="","",IF(ISNUMBER(B1500),TEXT(B1500,"YYYY-MM"),LEFT(B1500,7)))</f>
        <v/>
      </c>
    </row>
    <row r="1501">
      <c r="A1501" t="inlineStr">
        <is>
          <t>Frederick Antwi</t>
        </is>
      </c>
      <c r="B1501" s="4" t="n">
        <v>46106</v>
      </c>
      <c r="C1501" t="inlineStr">
        <is>
          <t>/</t>
        </is>
      </c>
      <c r="D1501" t="inlineStr">
        <is>
          <t>Frederick Antwi</t>
        </is>
      </c>
      <c r="E1501" t="inlineStr">
        <is>
          <t>Frederick Antwi</t>
        </is>
      </c>
      <c r="F1501" s="5" t="n">
        <v>46160.62459490741</v>
      </c>
      <c r="H1501" t="inlineStr">
        <is>
          <t>P13PC00A00 - Private Sector Companies</t>
        </is>
      </c>
      <c r="I1501" t="n">
        <v>8</v>
      </c>
      <c r="L1501" t="b">
        <v>0</v>
      </c>
      <c r="M1501" t="inlineStr">
        <is>
          <t>Non-Billable</t>
        </is>
      </c>
      <c r="N1501" s="6">
        <f>IF(B1501="","",IF(ISNUMBER(B1501),TEXT(B1501,"YYYY-MM"),LEFT(B1501,7)))</f>
        <v/>
      </c>
    </row>
    <row r="1502">
      <c r="A1502" t="inlineStr">
        <is>
          <t>Augustus Asamoah</t>
        </is>
      </c>
      <c r="B1502" s="4" t="n">
        <v>46106</v>
      </c>
      <c r="C1502" t="inlineStr">
        <is>
          <t>/</t>
        </is>
      </c>
      <c r="D1502" t="inlineStr">
        <is>
          <t>Augustus Asamoah</t>
        </is>
      </c>
      <c r="E1502" t="inlineStr">
        <is>
          <t>Augustus Asamoah</t>
        </is>
      </c>
      <c r="F1502" s="5" t="n">
        <v>46156.65725694445</v>
      </c>
      <c r="H1502" t="inlineStr">
        <is>
          <t>P13PC00A00 - Private Sector Companies</t>
        </is>
      </c>
      <c r="I1502" t="n">
        <v>8</v>
      </c>
      <c r="L1502" t="b">
        <v>0</v>
      </c>
      <c r="M1502" t="inlineStr">
        <is>
          <t>Non-Billable</t>
        </is>
      </c>
      <c r="N1502" s="6">
        <f>IF(B1502="","",IF(ISNUMBER(B1502),TEXT(B1502,"YYYY-MM"),LEFT(B1502,7)))</f>
        <v/>
      </c>
    </row>
    <row r="1503">
      <c r="A1503" t="inlineStr">
        <is>
          <t>Afua Serwah Akoto Prempeh</t>
        </is>
      </c>
      <c r="B1503" s="4" t="n">
        <v>46106</v>
      </c>
      <c r="C1503" t="inlineStr">
        <is>
          <t>/</t>
        </is>
      </c>
      <c r="D1503" t="inlineStr">
        <is>
          <t>Afua Serwah Akoto Prempeh</t>
        </is>
      </c>
      <c r="E1503" t="inlineStr">
        <is>
          <t>OdooBot</t>
        </is>
      </c>
      <c r="F1503" s="5" t="n">
        <v>46154.70721064815</v>
      </c>
      <c r="H1503" t="inlineStr">
        <is>
          <t>Non-Billable Tasks</t>
        </is>
      </c>
      <c r="I1503" t="n">
        <v>4</v>
      </c>
      <c r="K1503" t="inlineStr">
        <is>
          <t>Administrative Tasks</t>
        </is>
      </c>
      <c r="L1503" t="b">
        <v>0</v>
      </c>
      <c r="M1503" t="inlineStr">
        <is>
          <t>Non-Billable</t>
        </is>
      </c>
      <c r="N1503" s="6">
        <f>IF(B1503="","",IF(ISNUMBER(B1503),TEXT(B1503,"YYYY-MM"),LEFT(B1503,7)))</f>
        <v/>
      </c>
    </row>
    <row r="1504">
      <c r="A1504" t="inlineStr">
        <is>
          <t>Afua Serwah Akoto Prempeh</t>
        </is>
      </c>
      <c r="B1504" s="4" t="n">
        <v>46106</v>
      </c>
      <c r="C1504" t="inlineStr">
        <is>
          <t>/</t>
        </is>
      </c>
      <c r="D1504" t="inlineStr">
        <is>
          <t>Afua Serwah Akoto Prempeh</t>
        </is>
      </c>
      <c r="E1504" t="inlineStr">
        <is>
          <t>OdooBot</t>
        </is>
      </c>
      <c r="F1504" s="5" t="n">
        <v>46154.70721064815</v>
      </c>
      <c r="H1504" t="inlineStr">
        <is>
          <t>Non-Billable Tasks</t>
        </is>
      </c>
      <c r="I1504" t="n">
        <v>2</v>
      </c>
      <c r="K1504" t="inlineStr">
        <is>
          <t>Review of DfG Proposal and Correspondence</t>
        </is>
      </c>
      <c r="L1504" t="b">
        <v>0</v>
      </c>
      <c r="M1504" t="inlineStr">
        <is>
          <t>Non-Billable</t>
        </is>
      </c>
      <c r="N1504" s="6">
        <f>IF(B1504="","",IF(ISNUMBER(B1504),TEXT(B1504,"YYYY-MM"),LEFT(B1504,7)))</f>
        <v/>
      </c>
    </row>
    <row r="1505">
      <c r="A1505" t="inlineStr">
        <is>
          <t>Afua Serwah Akoto Prempeh</t>
        </is>
      </c>
      <c r="B1505" s="4" t="n">
        <v>46106</v>
      </c>
      <c r="C1505" t="inlineStr">
        <is>
          <t>/</t>
        </is>
      </c>
      <c r="D1505" t="inlineStr">
        <is>
          <t>Afua Serwah Akoto Prempeh</t>
        </is>
      </c>
      <c r="E1505" t="inlineStr">
        <is>
          <t>OdooBot</t>
        </is>
      </c>
      <c r="F1505" s="5" t="n">
        <v>46154.70721064815</v>
      </c>
      <c r="H1505" t="inlineStr">
        <is>
          <t>P23AC00C00 - FGMC</t>
        </is>
      </c>
      <c r="I1505" t="n">
        <v>2</v>
      </c>
      <c r="L1505" t="b">
        <v>0</v>
      </c>
      <c r="M1505" t="inlineStr">
        <is>
          <t>Non-Billable</t>
        </is>
      </c>
      <c r="N1505" s="6">
        <f>IF(B1505="","",IF(ISNUMBER(B1505),TEXT(B1505,"YYYY-MM"),LEFT(B1505,7)))</f>
        <v/>
      </c>
    </row>
    <row r="1506">
      <c r="A1506" t="inlineStr">
        <is>
          <t>Stephen Doso</t>
        </is>
      </c>
      <c r="B1506" s="4" t="n">
        <v>46106</v>
      </c>
      <c r="C1506" t="inlineStr">
        <is>
          <t>/</t>
        </is>
      </c>
      <c r="D1506" t="inlineStr">
        <is>
          <t>Stephen Doso</t>
        </is>
      </c>
      <c r="E1506" t="inlineStr">
        <is>
          <t>OdooBot</t>
        </is>
      </c>
      <c r="F1506" s="5" t="n">
        <v>46154.70721064815</v>
      </c>
      <c r="G1506" t="inlineStr">
        <is>
          <t>BOA: FIELDWORK</t>
        </is>
      </c>
      <c r="H1506" t="inlineStr">
        <is>
          <t>PCGH788 - CDC Boa &amp; Mondoni CV-HCS Scoping</t>
        </is>
      </c>
      <c r="I1506" t="n">
        <v>8</v>
      </c>
      <c r="J1506" t="inlineStr">
        <is>
          <t>PCGH788 - Field work  (2) (CAMEROON DEVELOPMENT CORPORATION (CDC))</t>
        </is>
      </c>
      <c r="K1506" t="inlineStr">
        <is>
          <t>Groundtruthing</t>
        </is>
      </c>
      <c r="L1506" t="b">
        <v>1</v>
      </c>
      <c r="M1506" t="inlineStr">
        <is>
          <t>Billed at a Fixed price</t>
        </is>
      </c>
      <c r="N1506" s="6">
        <f>IF(B1506="","",IF(ISNUMBER(B1506),TEXT(B1506,"YYYY-MM"),LEFT(B1506,7)))</f>
        <v/>
      </c>
    </row>
    <row r="1507">
      <c r="A1507" t="inlineStr">
        <is>
          <t>Stephen Doso</t>
        </is>
      </c>
      <c r="B1507" s="4" t="n">
        <v>46106</v>
      </c>
      <c r="C1507" t="inlineStr">
        <is>
          <t>/</t>
        </is>
      </c>
      <c r="D1507" t="inlineStr">
        <is>
          <t>Stephen Doso</t>
        </is>
      </c>
      <c r="E1507" t="inlineStr">
        <is>
          <t>OdooBot</t>
        </is>
      </c>
      <c r="F1507" s="5" t="n">
        <v>46154.70721064815</v>
      </c>
      <c r="G1507" t="inlineStr">
        <is>
          <t>BOA: FIELDWORK</t>
        </is>
      </c>
      <c r="H1507" t="inlineStr">
        <is>
          <t>PCGH788 - CDC Boa &amp; Mondoni CV-HCS Scoping</t>
        </is>
      </c>
      <c r="I1507" t="n">
        <v>0</v>
      </c>
      <c r="J1507" t="inlineStr">
        <is>
          <t>PCGH788 - Field work  (2) (CAMEROON DEVELOPMENT CORPORATION (CDC))</t>
        </is>
      </c>
      <c r="K1507" t="inlineStr">
        <is>
          <t>Community consultations</t>
        </is>
      </c>
      <c r="L1507" t="b">
        <v>1</v>
      </c>
      <c r="M1507" t="inlineStr">
        <is>
          <t>Billed at a Fixed price</t>
        </is>
      </c>
      <c r="N1507" s="6">
        <f>IF(B1507="","",IF(ISNUMBER(B1507),TEXT(B1507,"YYYY-MM"),LEFT(B1507,7)))</f>
        <v/>
      </c>
    </row>
    <row r="1508">
      <c r="A1508" t="inlineStr">
        <is>
          <t>Kingsley Fitz-Gerald Severine</t>
        </is>
      </c>
      <c r="B1508" s="4" t="n">
        <v>46106</v>
      </c>
      <c r="C1508" t="inlineStr">
        <is>
          <t>/</t>
        </is>
      </c>
      <c r="D1508" t="inlineStr">
        <is>
          <t>Kingsley Fitz-Gerald Severine</t>
        </is>
      </c>
      <c r="E1508" t="inlineStr">
        <is>
          <t>OdooBot</t>
        </is>
      </c>
      <c r="F1508" s="5" t="n">
        <v>46154.70721064815</v>
      </c>
      <c r="G1508" t="inlineStr">
        <is>
          <t>MONDONI: FIELDWORK (3)</t>
        </is>
      </c>
      <c r="H1508" t="inlineStr">
        <is>
          <t>PCGH788 - CDC Boa &amp; Mondoni CV-HCS Scoping</t>
        </is>
      </c>
      <c r="I1508" t="n">
        <v>8</v>
      </c>
      <c r="J1508" t="inlineStr">
        <is>
          <t>PCGH788 - Field work  (3) (CAMEROON DEVELOPMENT CORPORATION (CDC))</t>
        </is>
      </c>
      <c r="K1508" t="inlineStr">
        <is>
          <t>Ground truthing</t>
        </is>
      </c>
      <c r="L1508" t="b">
        <v>1</v>
      </c>
      <c r="M1508" t="inlineStr">
        <is>
          <t>Billed at a Fixed price</t>
        </is>
      </c>
      <c r="N1508" s="6">
        <f>IF(B1508="","",IF(ISNUMBER(B1508),TEXT(B1508,"YYYY-MM"),LEFT(B1508,7)))</f>
        <v/>
      </c>
    </row>
    <row r="1509">
      <c r="A1509" t="inlineStr">
        <is>
          <t>Kwadwo Baniako Nti</t>
        </is>
      </c>
      <c r="B1509" s="4" t="n">
        <v>46106</v>
      </c>
      <c r="C1509" t="inlineStr">
        <is>
          <t>/</t>
        </is>
      </c>
      <c r="D1509" t="inlineStr">
        <is>
          <t>Kwadwo Baniako Nti</t>
        </is>
      </c>
      <c r="E1509" t="inlineStr">
        <is>
          <t>Kwadwo Baniako Nti</t>
        </is>
      </c>
      <c r="F1509" s="5" t="n">
        <v>46162.3828587963</v>
      </c>
      <c r="G1509" t="inlineStr">
        <is>
          <t>Development or Updating of the Management Plan</t>
        </is>
      </c>
      <c r="H1509" t="inlineStr">
        <is>
          <t>PCGH762 - GVL HCSA Restoration Project</t>
        </is>
      </c>
      <c r="I1509" t="n">
        <v>0</v>
      </c>
      <c r="J1509" t="inlineStr">
        <is>
          <t>PCGH762 - Development or Updating of the Management Plan (Golden Veroleum Liberia)</t>
        </is>
      </c>
      <c r="K1509" t="inlineStr">
        <is>
          <t>Development or Updating of the Management Plan</t>
        </is>
      </c>
      <c r="L1509" t="b">
        <v>1</v>
      </c>
      <c r="M1509" t="inlineStr">
        <is>
          <t>Billed at a Fixed price</t>
        </is>
      </c>
      <c r="N1509" s="6">
        <f>IF(B1509="","",IF(ISNUMBER(B1509),TEXT(B1509,"YYYY-MM"),LEFT(B1509,7)))</f>
        <v/>
      </c>
    </row>
    <row r="1510">
      <c r="A1510" t="inlineStr">
        <is>
          <t>Louis Defo</t>
        </is>
      </c>
      <c r="B1510" s="4" t="n">
        <v>46106</v>
      </c>
      <c r="C1510" t="inlineStr">
        <is>
          <t>/</t>
        </is>
      </c>
      <c r="D1510" t="inlineStr">
        <is>
          <t>Louis Defo</t>
        </is>
      </c>
      <c r="E1510" t="inlineStr">
        <is>
          <t>OdooBot</t>
        </is>
      </c>
      <c r="F1510" s="5" t="n">
        <v>46154.70721064815</v>
      </c>
      <c r="H1510" t="inlineStr">
        <is>
          <t>PCGH788 - CDC Boa &amp; Mondoni CV-HCS Scoping</t>
        </is>
      </c>
      <c r="I1510" t="n">
        <v>8</v>
      </c>
      <c r="J1510" t="inlineStr">
        <is>
          <t>PCGH788 - Desk Study (3) (CAMEROON DEVELOPMENT CORPORATION (CDC))</t>
        </is>
      </c>
      <c r="L1510" t="b">
        <v>1</v>
      </c>
      <c r="M1510" t="inlineStr">
        <is>
          <t>Billed at a Fixed price</t>
        </is>
      </c>
      <c r="N1510" s="6">
        <f>IF(B1510="","",IF(ISNUMBER(B1510),TEXT(B1510,"YYYY-MM"),LEFT(B1510,7)))</f>
        <v/>
      </c>
    </row>
    <row r="1511">
      <c r="A1511" t="inlineStr">
        <is>
          <t>Clement Obeng-Manu</t>
        </is>
      </c>
      <c r="B1511" s="4" t="n">
        <v>46106</v>
      </c>
      <c r="C1511" t="inlineStr">
        <is>
          <t>/</t>
        </is>
      </c>
      <c r="D1511" t="inlineStr">
        <is>
          <t>Ekow Nyamekye Tawiah</t>
        </is>
      </c>
      <c r="E1511" t="inlineStr">
        <is>
          <t>Michael Anim</t>
        </is>
      </c>
      <c r="F1511" s="5" t="n">
        <v>46163.53041666667</v>
      </c>
      <c r="H1511" t="inlineStr">
        <is>
          <t>PCGH779 - Cote d'Ivoire）</t>
        </is>
      </c>
      <c r="I1511" t="n">
        <v>8</v>
      </c>
      <c r="J1511" t="inlineStr">
        <is>
          <t>PCGH779 - Tree Planting Project (3) (Proforest Limited(PCUK GBP))</t>
        </is>
      </c>
      <c r="L1511" t="b">
        <v>1</v>
      </c>
      <c r="M1511" t="inlineStr">
        <is>
          <t>Billed at a Fixed price</t>
        </is>
      </c>
      <c r="N1511" s="6">
        <f>IF(B1511="","",IF(ISNUMBER(B1511),TEXT(B1511,"YYYY-MM"),LEFT(B1511,7)))</f>
        <v/>
      </c>
    </row>
    <row r="1512">
      <c r="A1512" t="inlineStr">
        <is>
          <t>Helena Tetteh</t>
        </is>
      </c>
      <c r="B1512" s="4" t="n">
        <v>46106</v>
      </c>
      <c r="C1512" t="inlineStr">
        <is>
          <t>/</t>
        </is>
      </c>
      <c r="D1512" t="inlineStr">
        <is>
          <t xml:space="preserve">Helena Tetteh </t>
        </is>
      </c>
      <c r="E1512" t="inlineStr">
        <is>
          <t>OdooBot</t>
        </is>
      </c>
      <c r="F1512" s="5" t="n">
        <v>46154.70721064815</v>
      </c>
      <c r="H1512" t="inlineStr">
        <is>
          <t>Non-Billable Tasks</t>
        </is>
      </c>
      <c r="I1512" t="n">
        <v>8</v>
      </c>
      <c r="K1512" t="inlineStr">
        <is>
          <t>Public Holiday</t>
        </is>
      </c>
      <c r="L1512" t="b">
        <v>0</v>
      </c>
      <c r="M1512" t="inlineStr">
        <is>
          <t>Non-Billable</t>
        </is>
      </c>
      <c r="N1512" s="6">
        <f>IF(B1512="","",IF(ISNUMBER(B1512),TEXT(B1512,"YYYY-MM"),LEFT(B1512,7)))</f>
        <v/>
      </c>
    </row>
    <row r="1513">
      <c r="A1513" t="inlineStr">
        <is>
          <t>Helena Tetteh</t>
        </is>
      </c>
      <c r="B1513" s="4" t="n">
        <v>46106</v>
      </c>
      <c r="C1513" t="inlineStr">
        <is>
          <t>Livelihoods &amp; Smallholders</t>
        </is>
      </c>
      <c r="D1513" t="inlineStr">
        <is>
          <t xml:space="preserve">Helena Tetteh </t>
        </is>
      </c>
      <c r="E1513" t="inlineStr">
        <is>
          <t>OdooBot</t>
        </is>
      </c>
      <c r="F1513" s="5" t="n">
        <v>46154.70721064815</v>
      </c>
      <c r="H1513" t="inlineStr">
        <is>
          <t>Non-Billable Tasks</t>
        </is>
      </c>
      <c r="I1513" t="n">
        <v>0</v>
      </c>
      <c r="K1513" t="inlineStr">
        <is>
          <t>Internal Focal points and workstreams</t>
        </is>
      </c>
      <c r="L1513" t="b">
        <v>0</v>
      </c>
      <c r="M1513" t="inlineStr">
        <is>
          <t>Non-Billable</t>
        </is>
      </c>
      <c r="N1513" s="6">
        <f>IF(B1513="","",IF(ISNUMBER(B1513),TEXT(B1513,"YYYY-MM"),LEFT(B1513,7)))</f>
        <v/>
      </c>
    </row>
    <row r="1514">
      <c r="A1514" t="inlineStr">
        <is>
          <t>Daleba Bernard Kpenahi Raymond</t>
        </is>
      </c>
      <c r="B1514" s="4" t="n">
        <v>46106</v>
      </c>
      <c r="C1514" t="inlineStr">
        <is>
          <t>/</t>
        </is>
      </c>
      <c r="D1514" t="inlineStr">
        <is>
          <t>Daleba Bernard Kpenahi Raymond</t>
        </is>
      </c>
      <c r="E1514" t="inlineStr">
        <is>
          <t>OdooBot</t>
        </is>
      </c>
      <c r="F1514" s="5" t="n">
        <v>46154.70721064815</v>
      </c>
      <c r="H1514" t="inlineStr">
        <is>
          <t>PCGH754 (Cote D'voire)</t>
        </is>
      </c>
      <c r="I1514" t="n">
        <v>8</v>
      </c>
      <c r="J1514" t="inlineStr">
        <is>
          <t>PCGH754 - Nestle Sugar RS CIV DF -M&amp;E Expert (Proforest Limited(PCUK GBP))</t>
        </is>
      </c>
      <c r="K1514" t="inlineStr">
        <is>
          <t>PCGH754 - Nestle Sugar RS CIV DF -M&amp;E Expert</t>
        </is>
      </c>
      <c r="L1514" t="b">
        <v>1</v>
      </c>
      <c r="M1514" t="inlineStr">
        <is>
          <t>Billed at a Fixed price</t>
        </is>
      </c>
      <c r="N1514" s="6">
        <f>IF(B1514="","",IF(ISNUMBER(B1514),TEXT(B1514,"YYYY-MM"),LEFT(B1514,7)))</f>
        <v/>
      </c>
    </row>
    <row r="1515">
      <c r="A1515" t="inlineStr">
        <is>
          <t>Mawuse Agblobi</t>
        </is>
      </c>
      <c r="B1515" s="4" t="n">
        <v>46105</v>
      </c>
      <c r="C1515" t="inlineStr">
        <is>
          <t>Time Off (1/1)</t>
        </is>
      </c>
      <c r="D1515" t="inlineStr">
        <is>
          <t>James Akossah</t>
        </is>
      </c>
      <c r="E1515" t="inlineStr">
        <is>
          <t>Mawuse Agblobi</t>
        </is>
      </c>
      <c r="F1515" s="5" t="n">
        <v>46174.8996412037</v>
      </c>
      <c r="H1515" t="inlineStr">
        <is>
          <t>Internal</t>
        </is>
      </c>
      <c r="I1515" t="n">
        <v>8</v>
      </c>
      <c r="K1515" t="inlineStr">
        <is>
          <t>Time Off</t>
        </is>
      </c>
      <c r="L1515" t="b">
        <v>0</v>
      </c>
      <c r="M1515" t="inlineStr">
        <is>
          <t>Non-Billable</t>
        </is>
      </c>
      <c r="N1515" s="6">
        <f>IF(B1515="","",IF(ISNUMBER(B1515),TEXT(B1515,"YYYY-MM"),LEFT(B1515,7)))</f>
        <v/>
      </c>
    </row>
    <row r="1516">
      <c r="A1516" t="inlineStr">
        <is>
          <t>Joseph Isaiah Mensah</t>
        </is>
      </c>
      <c r="B1516" s="4" t="n">
        <v>46105</v>
      </c>
      <c r="C1516" t="inlineStr">
        <is>
          <t>/EU proposal</t>
        </is>
      </c>
      <c r="D1516" t="inlineStr">
        <is>
          <t>Jacqueline Nyakutse Afua</t>
        </is>
      </c>
      <c r="E1516" t="inlineStr">
        <is>
          <t>Joseph Isaiah Mensah</t>
        </is>
      </c>
      <c r="F1516" s="5" t="n">
        <v>46162.7325462963</v>
      </c>
      <c r="H1516" t="inlineStr">
        <is>
          <t>Non-Billable Tasks</t>
        </is>
      </c>
      <c r="I1516" t="n">
        <v>8</v>
      </c>
      <c r="K1516" t="inlineStr">
        <is>
          <t>Business Development and Networking</t>
        </is>
      </c>
      <c r="L1516" t="b">
        <v>0</v>
      </c>
      <c r="M1516" t="inlineStr">
        <is>
          <t>Non-Billable</t>
        </is>
      </c>
      <c r="N1516" s="6">
        <f>IF(B1516="","",IF(ISNUMBER(B1516),TEXT(B1516,"YYYY-MM"),LEFT(B1516,7)))</f>
        <v/>
      </c>
    </row>
    <row r="1517">
      <c r="A1517" t="inlineStr">
        <is>
          <t>James Parker Mckeown</t>
        </is>
      </c>
      <c r="B1517" s="4" t="n">
        <v>46105</v>
      </c>
      <c r="C1517" t="inlineStr">
        <is>
          <t>PFAFR - Cameroon &amp; Ghana Y1 consultant update</t>
        </is>
      </c>
      <c r="D1517" t="inlineStr">
        <is>
          <t>James Parker Mckeown</t>
        </is>
      </c>
      <c r="E1517" t="inlineStr">
        <is>
          <t>James Parker Mckeown</t>
        </is>
      </c>
      <c r="F1517" s="5" t="n">
        <v>46162.71144675926</v>
      </c>
      <c r="G1517" t="inlineStr">
        <is>
          <t>Output 2.3</t>
        </is>
      </c>
      <c r="H1517" t="inlineStr">
        <is>
          <t>P23AC00C00 - FGMC</t>
        </is>
      </c>
      <c r="I1517" t="n">
        <v>1.5</v>
      </c>
      <c r="K1517" t="inlineStr">
        <is>
          <t>P23AC22A00 - Output Two (Elevating Local Solutions - West Africa)</t>
        </is>
      </c>
      <c r="L1517" t="b">
        <v>0</v>
      </c>
      <c r="M1517" t="inlineStr">
        <is>
          <t>Non-Billable</t>
        </is>
      </c>
      <c r="N1517" s="6">
        <f>IF(B1517="","",IF(ISNUMBER(B1517),TEXT(B1517,"YYYY-MM"),LEFT(B1517,7)))</f>
        <v/>
      </c>
    </row>
    <row r="1518">
      <c r="A1518" t="inlineStr">
        <is>
          <t>James Parker Mckeown</t>
        </is>
      </c>
      <c r="B1518" s="4" t="n">
        <v>46105</v>
      </c>
      <c r="C1518" t="inlineStr">
        <is>
          <t>/</t>
        </is>
      </c>
      <c r="D1518" t="inlineStr">
        <is>
          <t>James Parker Mckeown</t>
        </is>
      </c>
      <c r="E1518" t="inlineStr">
        <is>
          <t>James Parker Mckeown</t>
        </is>
      </c>
      <c r="F1518" s="5" t="n">
        <v>46162.71486111111</v>
      </c>
      <c r="H1518" t="inlineStr">
        <is>
          <t>PCGH762 - GVL HCSA Restoration Project</t>
        </is>
      </c>
      <c r="I1518" t="n">
        <v>4</v>
      </c>
      <c r="J1518" t="inlineStr">
        <is>
          <t>PCGH762 - Baseline Socio-Economic &amp; Environmental Surveys (Golden Veroleum Liberia)</t>
        </is>
      </c>
      <c r="K1518" t="inlineStr">
        <is>
          <t>Baseline Socio-Economic &amp; Environmental Surveys</t>
        </is>
      </c>
      <c r="L1518" t="b">
        <v>1</v>
      </c>
      <c r="M1518" t="inlineStr">
        <is>
          <t>Billed at a Fixed price</t>
        </is>
      </c>
      <c r="N1518" s="6">
        <f>IF(B1518="","",IF(ISNUMBER(B1518),TEXT(B1518,"YYYY-MM"),LEFT(B1518,7)))</f>
        <v/>
      </c>
    </row>
    <row r="1519">
      <c r="A1519" t="inlineStr">
        <is>
          <t>James Parker Mckeown</t>
        </is>
      </c>
      <c r="B1519" s="4" t="n">
        <v>46105</v>
      </c>
      <c r="C1519" t="inlineStr">
        <is>
          <t>/</t>
        </is>
      </c>
      <c r="D1519" t="inlineStr">
        <is>
          <t>James Parker Mckeown</t>
        </is>
      </c>
      <c r="E1519" t="inlineStr">
        <is>
          <t>James Parker Mckeown</t>
        </is>
      </c>
      <c r="F1519" s="5" t="n">
        <v>46162.7075</v>
      </c>
      <c r="H1519" t="inlineStr">
        <is>
          <t>PCGH786 - Impact Level Baseline assessment for FGMC</t>
        </is>
      </c>
      <c r="I1519" t="n">
        <v>2</v>
      </c>
      <c r="L1519" t="b">
        <v>1</v>
      </c>
      <c r="M1519" t="inlineStr">
        <is>
          <t>Non-Billable</t>
        </is>
      </c>
      <c r="N1519" s="6">
        <f>IF(B1519="","",IF(ISNUMBER(B1519),TEXT(B1519,"YYYY-MM"),LEFT(B1519,7)))</f>
        <v/>
      </c>
    </row>
    <row r="1520">
      <c r="A1520" t="inlineStr">
        <is>
          <t>Frederick Antwi</t>
        </is>
      </c>
      <c r="B1520" s="4" t="n">
        <v>46105</v>
      </c>
      <c r="C1520" t="inlineStr">
        <is>
          <t>/</t>
        </is>
      </c>
      <c r="D1520" t="inlineStr">
        <is>
          <t>Frederick Antwi</t>
        </is>
      </c>
      <c r="E1520" t="inlineStr">
        <is>
          <t>Frederick Antwi</t>
        </is>
      </c>
      <c r="F1520" s="5" t="n">
        <v>46160.62457175926</v>
      </c>
      <c r="H1520" t="inlineStr">
        <is>
          <t>P13PC00A00 - Private Sector Companies</t>
        </is>
      </c>
      <c r="I1520" t="n">
        <v>8</v>
      </c>
      <c r="L1520" t="b">
        <v>0</v>
      </c>
      <c r="M1520" t="inlineStr">
        <is>
          <t>Non-Billable</t>
        </is>
      </c>
      <c r="N1520" s="6">
        <f>IF(B1520="","",IF(ISNUMBER(B1520),TEXT(B1520,"YYYY-MM"),LEFT(B1520,7)))</f>
        <v/>
      </c>
    </row>
    <row r="1521">
      <c r="A1521" t="inlineStr">
        <is>
          <t>Augustus Asamoah</t>
        </is>
      </c>
      <c r="B1521" s="4" t="n">
        <v>46105</v>
      </c>
      <c r="C1521" t="inlineStr">
        <is>
          <t>/</t>
        </is>
      </c>
      <c r="D1521" t="inlineStr">
        <is>
          <t>Augustus Asamoah</t>
        </is>
      </c>
      <c r="E1521" t="inlineStr">
        <is>
          <t>Augustus Asamoah</t>
        </is>
      </c>
      <c r="F1521" s="5" t="n">
        <v>46156.65716435185</v>
      </c>
      <c r="H1521" t="inlineStr">
        <is>
          <t>P13QC00A00 - EFI Programme</t>
        </is>
      </c>
      <c r="I1521" t="n">
        <v>8</v>
      </c>
      <c r="L1521" t="b">
        <v>0</v>
      </c>
      <c r="M1521" t="inlineStr">
        <is>
          <t>Non-Billable</t>
        </is>
      </c>
      <c r="N1521" s="6">
        <f>IF(B1521="","",IF(ISNUMBER(B1521),TEXT(B1521,"YYYY-MM"),LEFT(B1521,7)))</f>
        <v/>
      </c>
    </row>
    <row r="1522">
      <c r="A1522" t="inlineStr">
        <is>
          <t>Afua Serwah Akoto Prempeh</t>
        </is>
      </c>
      <c r="B1522" s="4" t="n">
        <v>46105</v>
      </c>
      <c r="C1522" t="inlineStr">
        <is>
          <t>/</t>
        </is>
      </c>
      <c r="D1522" t="inlineStr">
        <is>
          <t>Afua Serwah Akoto Prempeh</t>
        </is>
      </c>
      <c r="E1522" t="inlineStr">
        <is>
          <t>OdooBot</t>
        </is>
      </c>
      <c r="F1522" s="5" t="n">
        <v>46154.70721064815</v>
      </c>
      <c r="H1522" t="inlineStr">
        <is>
          <t>Non-Billable Tasks</t>
        </is>
      </c>
      <c r="I1522" t="n">
        <v>1</v>
      </c>
      <c r="K1522" t="inlineStr">
        <is>
          <t>Administrative Tasks</t>
        </is>
      </c>
      <c r="L1522" t="b">
        <v>0</v>
      </c>
      <c r="M1522" t="inlineStr">
        <is>
          <t>Non-Billable</t>
        </is>
      </c>
      <c r="N1522" s="6">
        <f>IF(B1522="","",IF(ISNUMBER(B1522),TEXT(B1522,"YYYY-MM"),LEFT(B1522,7)))</f>
        <v/>
      </c>
    </row>
    <row r="1523">
      <c r="A1523" t="inlineStr">
        <is>
          <t>Afua Serwah Akoto Prempeh</t>
        </is>
      </c>
      <c r="B1523" s="4" t="n">
        <v>46105</v>
      </c>
      <c r="C1523" t="inlineStr">
        <is>
          <t>/</t>
        </is>
      </c>
      <c r="D1523" t="inlineStr">
        <is>
          <t>Afua Serwah Akoto Prempeh</t>
        </is>
      </c>
      <c r="E1523" t="inlineStr">
        <is>
          <t>OdooBot</t>
        </is>
      </c>
      <c r="F1523" s="5" t="n">
        <v>46154.70721064815</v>
      </c>
      <c r="H1523" t="inlineStr">
        <is>
          <t>Non-Billable Tasks</t>
        </is>
      </c>
      <c r="I1523" t="n">
        <v>3</v>
      </c>
      <c r="K1523" t="inlineStr">
        <is>
          <t>Review of DfG Proposal and Correspondence</t>
        </is>
      </c>
      <c r="L1523" t="b">
        <v>0</v>
      </c>
      <c r="M1523" t="inlineStr">
        <is>
          <t>Non-Billable</t>
        </is>
      </c>
      <c r="N1523" s="6">
        <f>IF(B1523="","",IF(ISNUMBER(B1523),TEXT(B1523,"YYYY-MM"),LEFT(B1523,7)))</f>
        <v/>
      </c>
    </row>
    <row r="1524">
      <c r="A1524" t="inlineStr">
        <is>
          <t>Afua Serwah Akoto Prempeh</t>
        </is>
      </c>
      <c r="B1524" s="4" t="n">
        <v>46105</v>
      </c>
      <c r="C1524" t="inlineStr">
        <is>
          <t>/</t>
        </is>
      </c>
      <c r="D1524" t="inlineStr">
        <is>
          <t>Afua Serwah Akoto Prempeh</t>
        </is>
      </c>
      <c r="E1524" t="inlineStr">
        <is>
          <t>OdooBot</t>
        </is>
      </c>
      <c r="F1524" s="5" t="n">
        <v>46154.70721064815</v>
      </c>
      <c r="H1524" t="inlineStr">
        <is>
          <t>P23AC00C00 - FGMC</t>
        </is>
      </c>
      <c r="I1524" t="n">
        <v>4</v>
      </c>
      <c r="L1524" t="b">
        <v>0</v>
      </c>
      <c r="M1524" t="inlineStr">
        <is>
          <t>Non-Billable</t>
        </is>
      </c>
      <c r="N1524" s="6">
        <f>IF(B1524="","",IF(ISNUMBER(B1524),TEXT(B1524,"YYYY-MM"),LEFT(B1524,7)))</f>
        <v/>
      </c>
    </row>
    <row r="1525">
      <c r="A1525" t="inlineStr">
        <is>
          <t>Stephen Doso</t>
        </is>
      </c>
      <c r="B1525" s="4" t="n">
        <v>46105</v>
      </c>
      <c r="C1525" t="inlineStr">
        <is>
          <t>/</t>
        </is>
      </c>
      <c r="D1525" t="inlineStr">
        <is>
          <t>Stephen Doso</t>
        </is>
      </c>
      <c r="E1525" t="inlineStr">
        <is>
          <t>OdooBot</t>
        </is>
      </c>
      <c r="F1525" s="5" t="n">
        <v>46154.70721064815</v>
      </c>
      <c r="G1525" t="inlineStr">
        <is>
          <t>BOA: FIELDWORK</t>
        </is>
      </c>
      <c r="H1525" t="inlineStr">
        <is>
          <t>PCGH788 - CDC Boa &amp; Mondoni CV-HCS Scoping</t>
        </is>
      </c>
      <c r="I1525" t="n">
        <v>8</v>
      </c>
      <c r="J1525" t="inlineStr">
        <is>
          <t>PCGH788 - Field work  (2) (CAMEROON DEVELOPMENT CORPORATION (CDC))</t>
        </is>
      </c>
      <c r="K1525" t="inlineStr">
        <is>
          <t>Groundtruthing</t>
        </is>
      </c>
      <c r="L1525" t="b">
        <v>1</v>
      </c>
      <c r="M1525" t="inlineStr">
        <is>
          <t>Billed at a Fixed price</t>
        </is>
      </c>
      <c r="N1525" s="6">
        <f>IF(B1525="","",IF(ISNUMBER(B1525),TEXT(B1525,"YYYY-MM"),LEFT(B1525,7)))</f>
        <v/>
      </c>
    </row>
    <row r="1526">
      <c r="A1526" t="inlineStr">
        <is>
          <t>Kingsley Fitz-Gerald Severine</t>
        </is>
      </c>
      <c r="B1526" s="4" t="n">
        <v>46105</v>
      </c>
      <c r="C1526" t="inlineStr">
        <is>
          <t>/</t>
        </is>
      </c>
      <c r="D1526" t="inlineStr">
        <is>
          <t>Kingsley Fitz-Gerald Severine</t>
        </is>
      </c>
      <c r="E1526" t="inlineStr">
        <is>
          <t>OdooBot</t>
        </is>
      </c>
      <c r="F1526" s="5" t="n">
        <v>46154.70721064815</v>
      </c>
      <c r="G1526" t="inlineStr">
        <is>
          <t>BOA: FIELDWORK (3)</t>
        </is>
      </c>
      <c r="H1526" t="inlineStr">
        <is>
          <t>PCGH788 - CDC Boa &amp; Mondoni CV-HCS Scoping</t>
        </is>
      </c>
      <c r="I1526" t="n">
        <v>8</v>
      </c>
      <c r="J1526" t="inlineStr">
        <is>
          <t>PCGH788 - Field work  (3) (CAMEROON DEVELOPMENT CORPORATION (CDC))</t>
        </is>
      </c>
      <c r="K1526" t="inlineStr">
        <is>
          <t>Stakeholder consultations</t>
        </is>
      </c>
      <c r="L1526" t="b">
        <v>1</v>
      </c>
      <c r="M1526" t="inlineStr">
        <is>
          <t>Billed at a Fixed price</t>
        </is>
      </c>
      <c r="N1526" s="6">
        <f>IF(B1526="","",IF(ISNUMBER(B1526),TEXT(B1526,"YYYY-MM"),LEFT(B1526,7)))</f>
        <v/>
      </c>
    </row>
    <row r="1527">
      <c r="A1527" t="inlineStr">
        <is>
          <t>Kwadwo Baniako Nti</t>
        </is>
      </c>
      <c r="B1527" s="4" t="n">
        <v>46105</v>
      </c>
      <c r="C1527" t="inlineStr">
        <is>
          <t>/</t>
        </is>
      </c>
      <c r="D1527" t="inlineStr">
        <is>
          <t>Kwadwo Baniako Nti</t>
        </is>
      </c>
      <c r="E1527" t="inlineStr">
        <is>
          <t>OdooBot</t>
        </is>
      </c>
      <c r="F1527" s="5" t="n">
        <v>46154.70721064815</v>
      </c>
      <c r="G1527" t="inlineStr">
        <is>
          <t>Development or Updating of the Management Plan</t>
        </is>
      </c>
      <c r="H1527" t="inlineStr">
        <is>
          <t>PCGH762 - GVL HCSA Restoration Project</t>
        </is>
      </c>
      <c r="I1527" t="n">
        <v>8</v>
      </c>
      <c r="J1527" t="inlineStr">
        <is>
          <t>PCGH762 - Development or Updating of the Management Plan (Golden Veroleum Liberia)</t>
        </is>
      </c>
      <c r="K1527" t="inlineStr">
        <is>
          <t>Development or Updating of the Management Plan</t>
        </is>
      </c>
      <c r="L1527" t="b">
        <v>1</v>
      </c>
      <c r="M1527" t="inlineStr">
        <is>
          <t>Billed at a Fixed price</t>
        </is>
      </c>
      <c r="N1527" s="6">
        <f>IF(B1527="","",IF(ISNUMBER(B1527),TEXT(B1527,"YYYY-MM"),LEFT(B1527,7)))</f>
        <v/>
      </c>
    </row>
    <row r="1528">
      <c r="A1528" t="inlineStr">
        <is>
          <t>Louis Defo</t>
        </is>
      </c>
      <c r="B1528" s="4" t="n">
        <v>46105</v>
      </c>
      <c r="C1528" t="inlineStr">
        <is>
          <t>/</t>
        </is>
      </c>
      <c r="D1528" t="inlineStr">
        <is>
          <t>Louis Defo</t>
        </is>
      </c>
      <c r="E1528" t="inlineStr">
        <is>
          <t>OdooBot</t>
        </is>
      </c>
      <c r="F1528" s="5" t="n">
        <v>46154.70721064815</v>
      </c>
      <c r="H1528" t="inlineStr">
        <is>
          <t>PCGH788 - CDC Boa &amp; Mondoni CV-HCS Scoping</t>
        </is>
      </c>
      <c r="I1528" t="n">
        <v>8</v>
      </c>
      <c r="J1528" t="inlineStr">
        <is>
          <t>PCGH788 - Desk Study (3) (CAMEROON DEVELOPMENT CORPORATION (CDC))</t>
        </is>
      </c>
      <c r="L1528" t="b">
        <v>1</v>
      </c>
      <c r="M1528" t="inlineStr">
        <is>
          <t>Billed at a Fixed price</t>
        </is>
      </c>
      <c r="N1528" s="6">
        <f>IF(B1528="","",IF(ISNUMBER(B1528),TEXT(B1528,"YYYY-MM"),LEFT(B1528,7)))</f>
        <v/>
      </c>
    </row>
    <row r="1529">
      <c r="A1529" t="inlineStr">
        <is>
          <t>Clement Obeng-Manu</t>
        </is>
      </c>
      <c r="B1529" s="4" t="n">
        <v>46105</v>
      </c>
      <c r="C1529" t="inlineStr">
        <is>
          <t>/</t>
        </is>
      </c>
      <c r="D1529" t="inlineStr">
        <is>
          <t>Ekow Nyamekye Tawiah</t>
        </is>
      </c>
      <c r="E1529" t="inlineStr">
        <is>
          <t>Michael Anim</t>
        </is>
      </c>
      <c r="F1529" s="5" t="n">
        <v>46163.53043981481</v>
      </c>
      <c r="H1529" t="inlineStr">
        <is>
          <t>PCGH779 - Cote d'Ivoire）</t>
        </is>
      </c>
      <c r="I1529" t="n">
        <v>8</v>
      </c>
      <c r="J1529" t="inlineStr">
        <is>
          <t>PCGH779 - Tree Planting Project (3) (Proforest Limited(PCUK GBP))</t>
        </is>
      </c>
      <c r="L1529" t="b">
        <v>1</v>
      </c>
      <c r="M1529" t="inlineStr">
        <is>
          <t>Billed at a Fixed price</t>
        </is>
      </c>
      <c r="N1529" s="6">
        <f>IF(B1529="","",IF(ISNUMBER(B1529),TEXT(B1529,"YYYY-MM"),LEFT(B1529,7)))</f>
        <v/>
      </c>
    </row>
    <row r="1530">
      <c r="A1530" t="inlineStr">
        <is>
          <t>Helena Tetteh</t>
        </is>
      </c>
      <c r="B1530" s="4" t="n">
        <v>46105</v>
      </c>
      <c r="C1530" t="inlineStr">
        <is>
          <t>/</t>
        </is>
      </c>
      <c r="D1530" t="inlineStr">
        <is>
          <t xml:space="preserve">Helena Tetteh </t>
        </is>
      </c>
      <c r="E1530" t="inlineStr">
        <is>
          <t>OdooBot</t>
        </is>
      </c>
      <c r="F1530" s="5" t="n">
        <v>46154.70721064815</v>
      </c>
      <c r="H1530" t="inlineStr">
        <is>
          <t>Non-Billable Tasks</t>
        </is>
      </c>
      <c r="I1530" t="n">
        <v>8</v>
      </c>
      <c r="K1530" t="inlineStr">
        <is>
          <t>Public Holiday</t>
        </is>
      </c>
      <c r="L1530" t="b">
        <v>0</v>
      </c>
      <c r="M1530" t="inlineStr">
        <is>
          <t>Non-Billable</t>
        </is>
      </c>
      <c r="N1530" s="6">
        <f>IF(B1530="","",IF(ISNUMBER(B1530),TEXT(B1530,"YYYY-MM"),LEFT(B1530,7)))</f>
        <v/>
      </c>
    </row>
    <row r="1531">
      <c r="A1531" t="inlineStr">
        <is>
          <t>Helena Tetteh</t>
        </is>
      </c>
      <c r="B1531" s="4" t="n">
        <v>46105</v>
      </c>
      <c r="C1531" t="inlineStr">
        <is>
          <t>BIP, ULULA AUDIT ADDITIONAL REQUESTS ON IN-KIND CONTRIBUTIONS, Ulula internal catch up meeting, Ulula &amp; Proforest - discussion of targeted assessment results</t>
        </is>
      </c>
      <c r="D1531" t="inlineStr">
        <is>
          <t xml:space="preserve">Helena Tetteh </t>
        </is>
      </c>
      <c r="E1531" t="inlineStr">
        <is>
          <t>OdooBot</t>
        </is>
      </c>
      <c r="F1531" s="5" t="n">
        <v>46154.70721064815</v>
      </c>
      <c r="H1531" t="inlineStr">
        <is>
          <t>Non-Billable Tasks</t>
        </is>
      </c>
      <c r="I1531" t="n">
        <v>0</v>
      </c>
      <c r="K1531" t="inlineStr">
        <is>
          <t>Portfolio Team Management</t>
        </is>
      </c>
      <c r="L1531" t="b">
        <v>0</v>
      </c>
      <c r="M1531" t="inlineStr">
        <is>
          <t>Non-Billable</t>
        </is>
      </c>
      <c r="N1531" s="6">
        <f>IF(B1531="","",IF(ISNUMBER(B1531),TEXT(B1531,"YYYY-MM"),LEFT(B1531,7)))</f>
        <v/>
      </c>
    </row>
    <row r="1532">
      <c r="A1532" t="inlineStr">
        <is>
          <t>Daleba Bernard Kpenahi Raymond</t>
        </is>
      </c>
      <c r="B1532" s="4" t="n">
        <v>46105</v>
      </c>
      <c r="C1532" t="inlineStr">
        <is>
          <t>/</t>
        </is>
      </c>
      <c r="D1532" t="inlineStr">
        <is>
          <t>Daleba Bernard Kpenahi Raymond</t>
        </is>
      </c>
      <c r="E1532" t="inlineStr">
        <is>
          <t>OdooBot</t>
        </is>
      </c>
      <c r="F1532" s="5" t="n">
        <v>46154.70721064815</v>
      </c>
      <c r="H1532" t="inlineStr">
        <is>
          <t>PCGH754 (Cote D'voire)</t>
        </is>
      </c>
      <c r="I1532" t="n">
        <v>8</v>
      </c>
      <c r="J1532" t="inlineStr">
        <is>
          <t>PCGH754 - Nestle Sugar RS CIV DF -M&amp;E Expert (Proforest Limited(PCUK GBP))</t>
        </is>
      </c>
      <c r="K1532" t="inlineStr">
        <is>
          <t>PCGH754 - Nestle Sugar RS CIV DF -M&amp;E Expert</t>
        </is>
      </c>
      <c r="L1532" t="b">
        <v>1</v>
      </c>
      <c r="M1532" t="inlineStr">
        <is>
          <t>Billed at a Fixed price</t>
        </is>
      </c>
      <c r="N1532" s="6">
        <f>IF(B1532="","",IF(ISNUMBER(B1532),TEXT(B1532,"YYYY-MM"),LEFT(B1532,7)))</f>
        <v/>
      </c>
    </row>
    <row r="1533">
      <c r="A1533" t="inlineStr">
        <is>
          <t>Ekow Nyamekye Tawiah</t>
        </is>
      </c>
      <c r="B1533" s="4" t="n">
        <v>46105</v>
      </c>
      <c r="C1533" t="inlineStr">
        <is>
          <t>Deforestation Risk Analysis methodology timelines.</t>
        </is>
      </c>
      <c r="D1533" t="inlineStr">
        <is>
          <t>Joseph Isaiah Mensah</t>
        </is>
      </c>
      <c r="E1533" t="inlineStr">
        <is>
          <t>Michael Anim</t>
        </is>
      </c>
      <c r="F1533" s="5" t="n">
        <v>46163.53208333333</v>
      </c>
      <c r="H1533" t="inlineStr">
        <is>
          <t>PCGH778 - General Support</t>
        </is>
      </c>
      <c r="I1533" t="n">
        <v>4</v>
      </c>
      <c r="J1533" t="inlineStr">
        <is>
          <t>PCGH778 - Support to Other Workstreams (3) (Proforest Limited(PCUK GBP))</t>
        </is>
      </c>
      <c r="L1533" t="b">
        <v>1</v>
      </c>
      <c r="M1533" t="inlineStr">
        <is>
          <t>Billed at a Fixed price</t>
        </is>
      </c>
      <c r="N1533" s="6">
        <f>IF(B1533="","",IF(ISNUMBER(B1533),TEXT(B1533,"YYYY-MM"),LEFT(B1533,7)))</f>
        <v/>
      </c>
    </row>
    <row r="1534">
      <c r="A1534" t="inlineStr">
        <is>
          <t>Joseph Isaiah Mensah</t>
        </is>
      </c>
      <c r="B1534" s="4" t="n">
        <v>46104</v>
      </c>
      <c r="C1534" t="inlineStr">
        <is>
          <t>/</t>
        </is>
      </c>
      <c r="D1534" t="inlineStr">
        <is>
          <t>Jacqueline Nyakutse Afua</t>
        </is>
      </c>
      <c r="E1534" t="inlineStr">
        <is>
          <t>Joseph Isaiah Mensah</t>
        </is>
      </c>
      <c r="F1534" s="5" t="n">
        <v>46162.72976851852</v>
      </c>
      <c r="H1534" t="inlineStr">
        <is>
          <t>Non-Billable Tasks</t>
        </is>
      </c>
      <c r="I1534" t="n">
        <v>8</v>
      </c>
      <c r="K1534" t="inlineStr">
        <is>
          <t>Public Holiday</t>
        </is>
      </c>
      <c r="L1534" t="b">
        <v>0</v>
      </c>
      <c r="M1534" t="inlineStr">
        <is>
          <t>Non-Billable</t>
        </is>
      </c>
      <c r="N1534" s="6">
        <f>IF(B1534="","",IF(ISNUMBER(B1534),TEXT(B1534,"YYYY-MM"),LEFT(B1534,7)))</f>
        <v/>
      </c>
    </row>
    <row r="1535">
      <c r="A1535" t="inlineStr">
        <is>
          <t>James Parker Mckeown</t>
        </is>
      </c>
      <c r="B1535" s="4" t="n">
        <v>46104</v>
      </c>
      <c r="C1535" t="inlineStr">
        <is>
          <t xml:space="preserve">Preparation for GVL work in Liberia </t>
        </is>
      </c>
      <c r="D1535" t="inlineStr">
        <is>
          <t>James Parker Mckeown</t>
        </is>
      </c>
      <c r="E1535" t="inlineStr">
        <is>
          <t>James Parker Mckeown</t>
        </is>
      </c>
      <c r="F1535" s="5" t="n">
        <v>46162.70998842592</v>
      </c>
      <c r="H1535" t="inlineStr">
        <is>
          <t>PCGH762 - GVL HCSA Restoration Project</t>
        </is>
      </c>
      <c r="I1535" t="n">
        <v>3</v>
      </c>
      <c r="J1535" t="inlineStr">
        <is>
          <t>PCGH762 - Baseline Socio-Economic &amp; Environmental Surveys (Golden Veroleum Liberia)</t>
        </is>
      </c>
      <c r="K1535" t="inlineStr">
        <is>
          <t>Baseline Socio-Economic &amp; Environmental Surveys</t>
        </is>
      </c>
      <c r="L1535" t="b">
        <v>1</v>
      </c>
      <c r="M1535" t="inlineStr">
        <is>
          <t>Billed at a Fixed price</t>
        </is>
      </c>
      <c r="N1535" s="6">
        <f>IF(B1535="","",IF(ISNUMBER(B1535),TEXT(B1535,"YYYY-MM"),LEFT(B1535,7)))</f>
        <v/>
      </c>
    </row>
    <row r="1536">
      <c r="A1536" t="inlineStr">
        <is>
          <t>James Parker Mckeown</t>
        </is>
      </c>
      <c r="B1536" s="4" t="n">
        <v>46104</v>
      </c>
      <c r="C1536" t="inlineStr">
        <is>
          <t>PFAFR BRIDGE: Weekly Catch-up</t>
        </is>
      </c>
      <c r="D1536" t="inlineStr">
        <is>
          <t>James Parker Mckeown</t>
        </is>
      </c>
      <c r="E1536" t="inlineStr">
        <is>
          <t>James Parker Mckeown</t>
        </is>
      </c>
      <c r="F1536" s="5" t="n">
        <v>46162.70842592593</v>
      </c>
      <c r="G1536" t="inlineStr">
        <is>
          <t>Output 2.3</t>
        </is>
      </c>
      <c r="H1536" t="inlineStr">
        <is>
          <t>P23AC00C00 - FGMC</t>
        </is>
      </c>
      <c r="I1536" t="n">
        <v>2</v>
      </c>
      <c r="K1536" t="inlineStr">
        <is>
          <t>P23AC22A00 - Output Two (Elevating Local Solutions - West Africa)</t>
        </is>
      </c>
      <c r="L1536" t="b">
        <v>0</v>
      </c>
      <c r="M1536" t="inlineStr">
        <is>
          <t>Non-Billable</t>
        </is>
      </c>
      <c r="N1536" s="6">
        <f>IF(B1536="","",IF(ISNUMBER(B1536),TEXT(B1536,"YYYY-MM"),LEFT(B1536,7)))</f>
        <v/>
      </c>
    </row>
    <row r="1537">
      <c r="A1537" t="inlineStr">
        <is>
          <t>James Parker Mckeown</t>
        </is>
      </c>
      <c r="B1537" s="4" t="n">
        <v>46104</v>
      </c>
      <c r="C1537" t="inlineStr">
        <is>
          <t xml:space="preserve">FGMC FCDO work: Follow-up on data collection from FC, Minerals Commission, Office of Stool Lands, EPA etc </t>
        </is>
      </c>
      <c r="D1537" t="inlineStr">
        <is>
          <t>James Parker Mckeown</t>
        </is>
      </c>
      <c r="E1537" t="inlineStr">
        <is>
          <t>James Parker Mckeown</t>
        </is>
      </c>
      <c r="F1537" s="5" t="n">
        <v>46162.70739583333</v>
      </c>
      <c r="H1537" t="inlineStr">
        <is>
          <t>PCGH786 - Impact Level Baseline assessment for FGMC</t>
        </is>
      </c>
      <c r="I1537" t="n">
        <v>3</v>
      </c>
      <c r="J1537" t="inlineStr">
        <is>
          <t>PCGH786 - Site Assessment (3) (NIRAS Group (UK) Ltd)</t>
        </is>
      </c>
      <c r="L1537" t="b">
        <v>1</v>
      </c>
      <c r="M1537" t="inlineStr">
        <is>
          <t>Billed at a Fixed price</t>
        </is>
      </c>
      <c r="N1537" s="6">
        <f>IF(B1537="","",IF(ISNUMBER(B1537),TEXT(B1537,"YYYY-MM"),LEFT(B1537,7)))</f>
        <v/>
      </c>
    </row>
    <row r="1538">
      <c r="A1538" t="inlineStr">
        <is>
          <t>Kwadwo Baniako Nti</t>
        </is>
      </c>
      <c r="B1538" s="4" t="n">
        <v>46104</v>
      </c>
      <c r="C1538" t="inlineStr">
        <is>
          <t>/</t>
        </is>
      </c>
      <c r="D1538" t="inlineStr">
        <is>
          <t>Kwadwo Baniako Nti</t>
        </is>
      </c>
      <c r="E1538" t="inlineStr">
        <is>
          <t>Kwadwo Baniako Nti</t>
        </is>
      </c>
      <c r="F1538" s="5" t="n">
        <v>46162.38262731482</v>
      </c>
      <c r="G1538" t="inlineStr">
        <is>
          <t>Field verification and reporting in Nigeria (3)</t>
        </is>
      </c>
      <c r="H1538" t="inlineStr">
        <is>
          <t>PCGH775 - ESDD of Valency Operations for FMO</t>
        </is>
      </c>
      <c r="I1538" t="n">
        <v>0</v>
      </c>
      <c r="J1538" t="inlineStr">
        <is>
          <t>PCGH775 - Field Verification (3) (Valency International DMCC)</t>
        </is>
      </c>
      <c r="K1538" t="inlineStr">
        <is>
          <t>Analysis and reporting in Nigeria</t>
        </is>
      </c>
      <c r="L1538" t="b">
        <v>1</v>
      </c>
      <c r="M1538" t="inlineStr">
        <is>
          <t>Billed at a Fixed price</t>
        </is>
      </c>
      <c r="N1538" s="6">
        <f>IF(B1538="","",IF(ISNUMBER(B1538),TEXT(B1538,"YYYY-MM"),LEFT(B1538,7)))</f>
        <v/>
      </c>
    </row>
    <row r="1539">
      <c r="A1539" t="inlineStr">
        <is>
          <t>Kwadwo Baniako Nti</t>
        </is>
      </c>
      <c r="B1539" s="4" t="n">
        <v>46104</v>
      </c>
      <c r="C1539" t="inlineStr">
        <is>
          <t>/</t>
        </is>
      </c>
      <c r="D1539" t="inlineStr">
        <is>
          <t>Kwadwo Baniako Nti</t>
        </is>
      </c>
      <c r="E1539" t="inlineStr">
        <is>
          <t>Kwadwo Baniako Nti</t>
        </is>
      </c>
      <c r="F1539" s="5" t="n">
        <v>46162.38201388889</v>
      </c>
      <c r="H1539" t="inlineStr">
        <is>
          <t>PCGH775 - ESDD of Valency Operations for FMO</t>
        </is>
      </c>
      <c r="I1539" t="n">
        <v>0</v>
      </c>
      <c r="J1539" t="inlineStr">
        <is>
          <t>PCGH775 - Kick-Off Meeting (Valency International DMCC)</t>
        </is>
      </c>
      <c r="L1539" t="b">
        <v>1</v>
      </c>
      <c r="M1539" t="inlineStr">
        <is>
          <t>Billed at a Fixed price</t>
        </is>
      </c>
      <c r="N1539" s="6">
        <f>IF(B1539="","",IF(ISNUMBER(B1539),TEXT(B1539,"YYYY-MM"),LEFT(B1539,7)))</f>
        <v/>
      </c>
    </row>
    <row r="1540">
      <c r="A1540" t="inlineStr">
        <is>
          <t>Frederick Antwi</t>
        </is>
      </c>
      <c r="B1540" s="4" t="n">
        <v>46104</v>
      </c>
      <c r="C1540" t="inlineStr">
        <is>
          <t>Asumura RSC sod cutting event</t>
        </is>
      </c>
      <c r="D1540" t="inlineStr">
        <is>
          <t>Frederick Antwi</t>
        </is>
      </c>
      <c r="E1540" t="inlineStr">
        <is>
          <t>Frederick Antwi</t>
        </is>
      </c>
      <c r="F1540" s="5" t="n">
        <v>46160.62606481482</v>
      </c>
      <c r="H1540" t="inlineStr">
        <is>
          <t>P13NC00A00 - WALMART II</t>
        </is>
      </c>
      <c r="I1540" t="n">
        <v>0</v>
      </c>
      <c r="L1540" t="b">
        <v>0</v>
      </c>
      <c r="M1540" t="inlineStr">
        <is>
          <t>Non-Billable</t>
        </is>
      </c>
      <c r="N1540" s="6">
        <f>IF(B1540="","",IF(ISNUMBER(B1540),TEXT(B1540,"YYYY-MM"),LEFT(B1540,7)))</f>
        <v/>
      </c>
    </row>
    <row r="1541">
      <c r="A1541" t="inlineStr">
        <is>
          <t>Frederick Antwi</t>
        </is>
      </c>
      <c r="B1541" s="4" t="n">
        <v>46104</v>
      </c>
      <c r="C1541" t="inlineStr">
        <is>
          <t>/</t>
        </is>
      </c>
      <c r="D1541" t="inlineStr">
        <is>
          <t>Frederick Antwi</t>
        </is>
      </c>
      <c r="E1541" t="inlineStr">
        <is>
          <t>Frederick Antwi</t>
        </is>
      </c>
      <c r="F1541" s="5" t="n">
        <v>46160.62431712963</v>
      </c>
      <c r="H1541" t="inlineStr">
        <is>
          <t>P13PC00A00 - Private Sector Companies</t>
        </is>
      </c>
      <c r="I1541" t="n">
        <v>8</v>
      </c>
      <c r="L1541" t="b">
        <v>0</v>
      </c>
      <c r="M1541" t="inlineStr">
        <is>
          <t>Non-Billable</t>
        </is>
      </c>
      <c r="N1541" s="6">
        <f>IF(B1541="","",IF(ISNUMBER(B1541),TEXT(B1541,"YYYY-MM"),LEFT(B1541,7)))</f>
        <v/>
      </c>
    </row>
    <row r="1542">
      <c r="A1542" t="inlineStr">
        <is>
          <t>Augustus Asamoah</t>
        </is>
      </c>
      <c r="B1542" s="4" t="n">
        <v>46104</v>
      </c>
      <c r="C1542" t="inlineStr">
        <is>
          <t>/</t>
        </is>
      </c>
      <c r="D1542" t="inlineStr">
        <is>
          <t>Augustus Asamoah</t>
        </is>
      </c>
      <c r="E1542" t="inlineStr">
        <is>
          <t>Augustus Asamoah</t>
        </is>
      </c>
      <c r="F1542" s="5" t="n">
        <v>46156.65706018519</v>
      </c>
      <c r="H1542" t="inlineStr">
        <is>
          <t>P13PC00A00 - Private Sector Companies</t>
        </is>
      </c>
      <c r="I1542" t="n">
        <v>3</v>
      </c>
      <c r="L1542" t="b">
        <v>0</v>
      </c>
      <c r="M1542" t="inlineStr">
        <is>
          <t>Non-Billable</t>
        </is>
      </c>
      <c r="N1542" s="6">
        <f>IF(B1542="","",IF(ISNUMBER(B1542),TEXT(B1542,"YYYY-MM"),LEFT(B1542,7)))</f>
        <v/>
      </c>
    </row>
    <row r="1543">
      <c r="A1543" t="inlineStr">
        <is>
          <t>Augustus Asamoah</t>
        </is>
      </c>
      <c r="B1543" s="4" t="n">
        <v>46104</v>
      </c>
      <c r="C1543" t="inlineStr">
        <is>
          <t>/</t>
        </is>
      </c>
      <c r="D1543" t="inlineStr">
        <is>
          <t>Augustus Asamoah</t>
        </is>
      </c>
      <c r="E1543" t="inlineStr">
        <is>
          <t>Augustus Asamoah</t>
        </is>
      </c>
      <c r="F1543" s="5" t="n">
        <v>46156.65709490741</v>
      </c>
      <c r="H1543" t="inlineStr">
        <is>
          <t>P13QC00A00 - EFI Programme</t>
        </is>
      </c>
      <c r="I1543" t="n">
        <v>2</v>
      </c>
      <c r="L1543" t="b">
        <v>0</v>
      </c>
      <c r="M1543" t="inlineStr">
        <is>
          <t>Non-Billable</t>
        </is>
      </c>
      <c r="N1543" s="6">
        <f>IF(B1543="","",IF(ISNUMBER(B1543),TEXT(B1543,"YYYY-MM"),LEFT(B1543,7)))</f>
        <v/>
      </c>
    </row>
    <row r="1544">
      <c r="A1544" t="inlineStr">
        <is>
          <t>Augustus Asamoah</t>
        </is>
      </c>
      <c r="B1544" s="4" t="n">
        <v>46104</v>
      </c>
      <c r="C1544" t="inlineStr">
        <is>
          <t>Landscapen work</t>
        </is>
      </c>
      <c r="D1544" t="inlineStr">
        <is>
          <t>Augustus Asamoah</t>
        </is>
      </c>
      <c r="E1544" t="inlineStr">
        <is>
          <t>Augustus Asamoah</t>
        </is>
      </c>
      <c r="F1544" s="5" t="n">
        <v>46156.65703703704</v>
      </c>
      <c r="H1544" t="inlineStr">
        <is>
          <t>P13NC00A00 - WALMART II</t>
        </is>
      </c>
      <c r="I1544" t="n">
        <v>3</v>
      </c>
      <c r="L1544" t="b">
        <v>0</v>
      </c>
      <c r="M1544" t="inlineStr">
        <is>
          <t>Non-Billable</t>
        </is>
      </c>
      <c r="N1544" s="6">
        <f>IF(B1544="","",IF(ISNUMBER(B1544),TEXT(B1544,"YYYY-MM"),LEFT(B1544,7)))</f>
        <v/>
      </c>
    </row>
    <row r="1545">
      <c r="A1545" t="inlineStr">
        <is>
          <t>Augustus Asamoah</t>
        </is>
      </c>
      <c r="B1545" s="4" t="n">
        <v>46104</v>
      </c>
      <c r="C1545" t="inlineStr">
        <is>
          <t>/</t>
        </is>
      </c>
      <c r="D1545" t="inlineStr">
        <is>
          <t>Augustus Asamoah</t>
        </is>
      </c>
      <c r="E1545" t="inlineStr">
        <is>
          <t>Augustus Asamoah</t>
        </is>
      </c>
      <c r="F1545" s="5" t="n">
        <v>46156.65628472222</v>
      </c>
      <c r="H1545" t="inlineStr">
        <is>
          <t>P13PC00A00 - Private Sector Companies</t>
        </is>
      </c>
      <c r="I1545" t="n">
        <v>0</v>
      </c>
      <c r="L1545" t="b">
        <v>0</v>
      </c>
      <c r="M1545" t="inlineStr">
        <is>
          <t>Non-Billable</t>
        </is>
      </c>
      <c r="N1545" s="6">
        <f>IF(B1545="","",IF(ISNUMBER(B1545),TEXT(B1545,"YYYY-MM"),LEFT(B1545,7)))</f>
        <v/>
      </c>
    </row>
    <row r="1546">
      <c r="A1546" t="inlineStr">
        <is>
          <t>Augustus Asamoah</t>
        </is>
      </c>
      <c r="B1546" s="4" t="n">
        <v>46104</v>
      </c>
      <c r="C1546" t="inlineStr">
        <is>
          <t>Landscape work</t>
        </is>
      </c>
      <c r="D1546" t="inlineStr">
        <is>
          <t>Augustus Asamoah</t>
        </is>
      </c>
      <c r="E1546" t="inlineStr">
        <is>
          <t>Augustus Asamoah</t>
        </is>
      </c>
      <c r="F1546" s="5" t="n">
        <v>46156.65594907408</v>
      </c>
      <c r="H1546" t="inlineStr">
        <is>
          <t>P13PC00A00 - Private Sector Companies</t>
        </is>
      </c>
      <c r="I1546" t="n">
        <v>0</v>
      </c>
      <c r="L1546" t="b">
        <v>0</v>
      </c>
      <c r="M1546" t="inlineStr">
        <is>
          <t>Non-Billable</t>
        </is>
      </c>
      <c r="N1546" s="6">
        <f>IF(B1546="","",IF(ISNUMBER(B1546),TEXT(B1546,"YYYY-MM"),LEFT(B1546,7)))</f>
        <v/>
      </c>
    </row>
    <row r="1547">
      <c r="A1547" t="inlineStr">
        <is>
          <t>Stephen Doso</t>
        </is>
      </c>
      <c r="B1547" s="4" t="n">
        <v>46104</v>
      </c>
      <c r="C1547" t="inlineStr">
        <is>
          <t>/</t>
        </is>
      </c>
      <c r="D1547" t="inlineStr">
        <is>
          <t>Stephen Doso</t>
        </is>
      </c>
      <c r="E1547" t="inlineStr">
        <is>
          <t>OdooBot</t>
        </is>
      </c>
      <c r="F1547" s="5" t="n">
        <v>46154.70721064815</v>
      </c>
      <c r="G1547" t="inlineStr">
        <is>
          <t>BOA: FIELDWORK</t>
        </is>
      </c>
      <c r="H1547" t="inlineStr">
        <is>
          <t>PCGH788 - CDC Boa &amp; Mondoni CV-HCS Scoping</t>
        </is>
      </c>
      <c r="I1547" t="n">
        <v>8</v>
      </c>
      <c r="J1547" t="inlineStr">
        <is>
          <t>PCGH788 - Field work  (2) (CAMEROON DEVELOPMENT CORPORATION (CDC))</t>
        </is>
      </c>
      <c r="K1547" t="inlineStr">
        <is>
          <t>Groundtruthing</t>
        </is>
      </c>
      <c r="L1547" t="b">
        <v>1</v>
      </c>
      <c r="M1547" t="inlineStr">
        <is>
          <t>Billed at a Fixed price</t>
        </is>
      </c>
      <c r="N1547" s="6">
        <f>IF(B1547="","",IF(ISNUMBER(B1547),TEXT(B1547,"YYYY-MM"),LEFT(B1547,7)))</f>
        <v/>
      </c>
    </row>
    <row r="1548">
      <c r="A1548" t="inlineStr">
        <is>
          <t>Kingsley Fitz-Gerald Severine</t>
        </is>
      </c>
      <c r="B1548" s="4" t="n">
        <v>46104</v>
      </c>
      <c r="C1548" t="inlineStr">
        <is>
          <t>/</t>
        </is>
      </c>
      <c r="D1548" t="inlineStr">
        <is>
          <t>Kingsley Fitz-Gerald Severine</t>
        </is>
      </c>
      <c r="E1548" t="inlineStr">
        <is>
          <t>OdooBot</t>
        </is>
      </c>
      <c r="F1548" s="5" t="n">
        <v>46154.70721064815</v>
      </c>
      <c r="H1548" t="inlineStr">
        <is>
          <t>Non-Billable Tasks</t>
        </is>
      </c>
      <c r="I1548" t="n">
        <v>8</v>
      </c>
      <c r="K1548" t="inlineStr">
        <is>
          <t>Public Holiday</t>
        </is>
      </c>
      <c r="L1548" t="b">
        <v>0</v>
      </c>
      <c r="M1548" t="inlineStr">
        <is>
          <t>Non-Billable</t>
        </is>
      </c>
      <c r="N1548" s="6">
        <f>IF(B1548="","",IF(ISNUMBER(B1548),TEXT(B1548,"YYYY-MM"),LEFT(B1548,7)))</f>
        <v/>
      </c>
    </row>
    <row r="1549">
      <c r="A1549" t="inlineStr">
        <is>
          <t>Kingsley Fitz-Gerald Severine</t>
        </is>
      </c>
      <c r="B1549" s="4" t="n">
        <v>46104</v>
      </c>
      <c r="C1549" t="inlineStr">
        <is>
          <t>/</t>
        </is>
      </c>
      <c r="D1549" t="inlineStr">
        <is>
          <t>Kingsley Fitz-Gerald Severine</t>
        </is>
      </c>
      <c r="E1549" t="inlineStr">
        <is>
          <t>OdooBot</t>
        </is>
      </c>
      <c r="F1549" s="5" t="n">
        <v>46154.70721064815</v>
      </c>
      <c r="G1549" t="inlineStr">
        <is>
          <t>MONDONI: FIELDWORK (3)</t>
        </is>
      </c>
      <c r="H1549" t="inlineStr">
        <is>
          <t>PCGH788 - CDC Boa &amp; Mondoni CV-HCS Scoping</t>
        </is>
      </c>
      <c r="I1549" t="n">
        <v>0</v>
      </c>
      <c r="J1549" t="inlineStr">
        <is>
          <t>PCGH788 - Field work  (3) (CAMEROON DEVELOPMENT CORPORATION (CDC))</t>
        </is>
      </c>
      <c r="K1549" t="inlineStr">
        <is>
          <t>Stakeholder consultations</t>
        </is>
      </c>
      <c r="L1549" t="b">
        <v>1</v>
      </c>
      <c r="M1549" t="inlineStr">
        <is>
          <t>Billed at a Fixed price</t>
        </is>
      </c>
      <c r="N1549" s="6">
        <f>IF(B1549="","",IF(ISNUMBER(B1549),TEXT(B1549,"YYYY-MM"),LEFT(B1549,7)))</f>
        <v/>
      </c>
    </row>
    <row r="1550">
      <c r="A1550" t="inlineStr">
        <is>
          <t>Kwadwo Baniako Nti</t>
        </is>
      </c>
      <c r="B1550" s="4" t="n">
        <v>46104</v>
      </c>
      <c r="C1550" t="inlineStr">
        <is>
          <t>/</t>
        </is>
      </c>
      <c r="D1550" t="inlineStr">
        <is>
          <t>Kwadwo Baniako Nti</t>
        </is>
      </c>
      <c r="E1550" t="inlineStr">
        <is>
          <t>OdooBot</t>
        </is>
      </c>
      <c r="F1550" s="5" t="n">
        <v>46154.70721064815</v>
      </c>
      <c r="G1550" t="inlineStr">
        <is>
          <t>Baseline Socio-Economic &amp; Environmental Surveys</t>
        </is>
      </c>
      <c r="H1550" t="inlineStr">
        <is>
          <t>PCGH762 - GVL HCSA Restoration Project</t>
        </is>
      </c>
      <c r="I1550" t="n">
        <v>0</v>
      </c>
      <c r="J1550" t="inlineStr">
        <is>
          <t>PCGH762 - Baseline Socio-Economic &amp; Environmental Surveys (Golden Veroleum Liberia)</t>
        </is>
      </c>
      <c r="K1550" t="inlineStr">
        <is>
          <t>Baseline Socio-Economic &amp; Environmental Surveys</t>
        </is>
      </c>
      <c r="L1550" t="b">
        <v>1</v>
      </c>
      <c r="M1550" t="inlineStr">
        <is>
          <t>Billed at a Fixed price</t>
        </is>
      </c>
      <c r="N1550" s="6">
        <f>IF(B1550="","",IF(ISNUMBER(B1550),TEXT(B1550,"YYYY-MM"),LEFT(B1550,7)))</f>
        <v/>
      </c>
    </row>
    <row r="1551">
      <c r="A1551" t="inlineStr">
        <is>
          <t>Kwadwo Baniako Nti</t>
        </is>
      </c>
      <c r="B1551" s="4" t="n">
        <v>46104</v>
      </c>
      <c r="C1551" t="inlineStr">
        <is>
          <t>/</t>
        </is>
      </c>
      <c r="D1551" t="inlineStr">
        <is>
          <t>Kwadwo Baniako Nti</t>
        </is>
      </c>
      <c r="E1551" t="inlineStr">
        <is>
          <t>OdooBot</t>
        </is>
      </c>
      <c r="F1551" s="5" t="n">
        <v>46154.70721064815</v>
      </c>
      <c r="G1551" t="inlineStr">
        <is>
          <t>Development or Updating of the Management Plan</t>
        </is>
      </c>
      <c r="H1551" t="inlineStr">
        <is>
          <t>PCGH762 - GVL HCSA Restoration Project</t>
        </is>
      </c>
      <c r="I1551" t="n">
        <v>8</v>
      </c>
      <c r="J1551" t="inlineStr">
        <is>
          <t>PCGH762 - Development or Updating of the Management Plan (Golden Veroleum Liberia)</t>
        </is>
      </c>
      <c r="K1551" t="inlineStr">
        <is>
          <t>Development or Updating of the Management Plan</t>
        </is>
      </c>
      <c r="L1551" t="b">
        <v>1</v>
      </c>
      <c r="M1551" t="inlineStr">
        <is>
          <t>Billed at a Fixed price</t>
        </is>
      </c>
      <c r="N1551" s="6">
        <f>IF(B1551="","",IF(ISNUMBER(B1551),TEXT(B1551,"YYYY-MM"),LEFT(B1551,7)))</f>
        <v/>
      </c>
    </row>
    <row r="1552">
      <c r="A1552" t="inlineStr">
        <is>
          <t>Louis Defo</t>
        </is>
      </c>
      <c r="B1552" s="4" t="n">
        <v>46104</v>
      </c>
      <c r="C1552" t="inlineStr">
        <is>
          <t>/</t>
        </is>
      </c>
      <c r="D1552" t="inlineStr">
        <is>
          <t>Louis Defo</t>
        </is>
      </c>
      <c r="E1552" t="inlineStr">
        <is>
          <t>OdooBot</t>
        </is>
      </c>
      <c r="F1552" s="5" t="n">
        <v>46154.70721064815</v>
      </c>
      <c r="H1552" t="inlineStr">
        <is>
          <t>PCGH788 - CDC Boa &amp; Mondoni CV-HCS Scoping</t>
        </is>
      </c>
      <c r="I1552" t="n">
        <v>8</v>
      </c>
      <c r="J1552" t="inlineStr">
        <is>
          <t>PCGH788 - Desk Study (3) (CAMEROON DEVELOPMENT CORPORATION (CDC))</t>
        </is>
      </c>
      <c r="L1552" t="b">
        <v>1</v>
      </c>
      <c r="M1552" t="inlineStr">
        <is>
          <t>Billed at a Fixed price</t>
        </is>
      </c>
      <c r="N1552" s="6">
        <f>IF(B1552="","",IF(ISNUMBER(B1552),TEXT(B1552,"YYYY-MM"),LEFT(B1552,7)))</f>
        <v/>
      </c>
    </row>
    <row r="1553">
      <c r="A1553" t="inlineStr">
        <is>
          <t>Clement Obeng-Manu</t>
        </is>
      </c>
      <c r="B1553" s="4" t="n">
        <v>46104</v>
      </c>
      <c r="C1553" t="inlineStr">
        <is>
          <t>Monitoring and Evaluation for Borotou and Zuenoula sites</t>
        </is>
      </c>
      <c r="D1553" t="inlineStr">
        <is>
          <t>Ekow Nyamekye Tawiah</t>
        </is>
      </c>
      <c r="E1553" t="inlineStr">
        <is>
          <t>Michael Anim</t>
        </is>
      </c>
      <c r="F1553" s="5" t="n">
        <v>46163.53049768518</v>
      </c>
      <c r="H1553" t="inlineStr">
        <is>
          <t>PCGH779 - Cote d'Ivoire）</t>
        </is>
      </c>
      <c r="I1553" t="n">
        <v>8</v>
      </c>
      <c r="J1553" t="inlineStr">
        <is>
          <t>PCGH779 - Tree Planting Project (3) (Proforest Limited(PCUK GBP))</t>
        </is>
      </c>
      <c r="L1553" t="b">
        <v>1</v>
      </c>
      <c r="M1553" t="inlineStr">
        <is>
          <t>Billed at a Fixed price</t>
        </is>
      </c>
      <c r="N1553" s="6">
        <f>IF(B1553="","",IF(ISNUMBER(B1553),TEXT(B1553,"YYYY-MM"),LEFT(B1553,7)))</f>
        <v/>
      </c>
    </row>
    <row r="1554">
      <c r="A1554" t="inlineStr">
        <is>
          <t>Afua Serwah Akoto Prempeh</t>
        </is>
      </c>
      <c r="B1554" s="4" t="n">
        <v>46104</v>
      </c>
      <c r="C1554" t="inlineStr">
        <is>
          <t>/</t>
        </is>
      </c>
      <c r="D1554" t="inlineStr">
        <is>
          <t>Afua Serwah Akoto Prempeh</t>
        </is>
      </c>
      <c r="E1554" t="inlineStr">
        <is>
          <t>OdooBot</t>
        </is>
      </c>
      <c r="F1554" s="5" t="n">
        <v>46154.70721064815</v>
      </c>
      <c r="H1554" t="inlineStr">
        <is>
          <t>Non-Billable Tasks</t>
        </is>
      </c>
      <c r="I1554" t="n">
        <v>8</v>
      </c>
      <c r="K1554" t="inlineStr">
        <is>
          <t>Public Holiday</t>
        </is>
      </c>
      <c r="L1554" t="b">
        <v>0</v>
      </c>
      <c r="M1554" t="inlineStr">
        <is>
          <t>Non-Billable</t>
        </is>
      </c>
      <c r="N1554" s="6">
        <f>IF(B1554="","",IF(ISNUMBER(B1554),TEXT(B1554,"YYYY-MM"),LEFT(B1554,7)))</f>
        <v/>
      </c>
    </row>
    <row r="1555">
      <c r="A1555" t="inlineStr">
        <is>
          <t>Helena Tetteh</t>
        </is>
      </c>
      <c r="B1555" s="4" t="n">
        <v>46104</v>
      </c>
      <c r="C1555" t="inlineStr">
        <is>
          <t>Ghana Independence Day, Eid ul-Fitr (2 days)</t>
        </is>
      </c>
      <c r="D1555" t="inlineStr">
        <is>
          <t xml:space="preserve">Helena Tetteh </t>
        </is>
      </c>
      <c r="E1555" t="inlineStr">
        <is>
          <t>OdooBot</t>
        </is>
      </c>
      <c r="F1555" s="5" t="n">
        <v>46154.70721064815</v>
      </c>
      <c r="H1555" t="inlineStr">
        <is>
          <t>Non-Billable Tasks</t>
        </is>
      </c>
      <c r="I1555" t="n">
        <v>8</v>
      </c>
      <c r="K1555" t="inlineStr">
        <is>
          <t>Public Holiday</t>
        </is>
      </c>
      <c r="L1555" t="b">
        <v>0</v>
      </c>
      <c r="M1555" t="inlineStr">
        <is>
          <t>Non-Billable</t>
        </is>
      </c>
      <c r="N1555" s="6">
        <f>IF(B1555="","",IF(ISNUMBER(B1555),TEXT(B1555,"YYYY-MM"),LEFT(B1555,7)))</f>
        <v/>
      </c>
    </row>
    <row r="1556">
      <c r="A1556" t="inlineStr">
        <is>
          <t>Helena Tetteh</t>
        </is>
      </c>
      <c r="B1556" s="4" t="n">
        <v>46104</v>
      </c>
      <c r="C1556" t="inlineStr">
        <is>
          <t>RSPO NITF Meeting and feedback review on standards</t>
        </is>
      </c>
      <c r="D1556" t="inlineStr">
        <is>
          <t xml:space="preserve">Helena Tetteh </t>
        </is>
      </c>
      <c r="E1556" t="inlineStr">
        <is>
          <t>OdooBot</t>
        </is>
      </c>
      <c r="F1556" s="5" t="n">
        <v>46154.70721064815</v>
      </c>
      <c r="H1556" t="inlineStr">
        <is>
          <t>Non-Billable Tasks</t>
        </is>
      </c>
      <c r="I1556" t="n">
        <v>0</v>
      </c>
      <c r="K1556" t="inlineStr">
        <is>
          <t>Internal Focal points and workstreams</t>
        </is>
      </c>
      <c r="L1556" t="b">
        <v>0</v>
      </c>
      <c r="M1556" t="inlineStr">
        <is>
          <t>Non-Billable</t>
        </is>
      </c>
      <c r="N1556" s="6">
        <f>IF(B1556="","",IF(ISNUMBER(B1556),TEXT(B1556,"YYYY-MM"),LEFT(B1556,7)))</f>
        <v/>
      </c>
    </row>
    <row r="1557">
      <c r="A1557" t="inlineStr">
        <is>
          <t>Helena Tetteh</t>
        </is>
      </c>
      <c r="B1557" s="4" t="n">
        <v>46104</v>
      </c>
      <c r="C1557" t="inlineStr">
        <is>
          <t>weekly catch up</t>
        </is>
      </c>
      <c r="D1557" t="inlineStr">
        <is>
          <t xml:space="preserve">Helena Tetteh </t>
        </is>
      </c>
      <c r="E1557" t="inlineStr">
        <is>
          <t>OdooBot</t>
        </is>
      </c>
      <c r="F1557" s="5" t="n">
        <v>46154.70721064815</v>
      </c>
      <c r="G1557" t="inlineStr">
        <is>
          <t>Output 2.3</t>
        </is>
      </c>
      <c r="H1557" t="inlineStr">
        <is>
          <t>P23AC00C00 - FGMC</t>
        </is>
      </c>
      <c r="I1557" t="n">
        <v>0</v>
      </c>
      <c r="K1557" t="inlineStr">
        <is>
          <t>P23AC22A00 - Output Two (Elevating Local Solutions - West Africa)</t>
        </is>
      </c>
      <c r="L1557" t="b">
        <v>0</v>
      </c>
      <c r="M1557" t="inlineStr">
        <is>
          <t>Non-Billable</t>
        </is>
      </c>
      <c r="N1557" s="6">
        <f>IF(B1557="","",IF(ISNUMBER(B1557),TEXT(B1557,"YYYY-MM"),LEFT(B1557,7)))</f>
        <v/>
      </c>
    </row>
    <row r="1558">
      <c r="A1558" t="inlineStr">
        <is>
          <t>Daleba Bernard Kpenahi Raymond</t>
        </is>
      </c>
      <c r="B1558" s="4" t="n">
        <v>46104</v>
      </c>
      <c r="C1558" t="inlineStr">
        <is>
          <t>Monitoring and evaluation of the tree planting and cutter house in borotou and zuenoula</t>
        </is>
      </c>
      <c r="D1558" t="inlineStr">
        <is>
          <t>Daleba Bernard Kpenahi Raymond</t>
        </is>
      </c>
      <c r="E1558" t="inlineStr">
        <is>
          <t>OdooBot</t>
        </is>
      </c>
      <c r="F1558" s="5" t="n">
        <v>46154.70721064815</v>
      </c>
      <c r="H1558" t="inlineStr">
        <is>
          <t>PCGH754 (Cote D'voire)</t>
        </is>
      </c>
      <c r="I1558" t="n">
        <v>8</v>
      </c>
      <c r="J1558" t="inlineStr">
        <is>
          <t>PCGH754 - Nestle Sugar RS CIV DF -M&amp;E Expert (Proforest Limited(PCUK GBP))</t>
        </is>
      </c>
      <c r="K1558" t="inlineStr">
        <is>
          <t>PCGH754 - Nestle Sugar RS CIV DF -M&amp;E Expert</t>
        </is>
      </c>
      <c r="L1558" t="b">
        <v>1</v>
      </c>
      <c r="M1558" t="inlineStr">
        <is>
          <t>Billed at a Fixed price</t>
        </is>
      </c>
      <c r="N1558" s="6">
        <f>IF(B1558="","",IF(ISNUMBER(B1558),TEXT(B1558,"YYYY-MM"),LEFT(B1558,7)))</f>
        <v/>
      </c>
    </row>
    <row r="1559">
      <c r="A1559" t="inlineStr">
        <is>
          <t>Daleba Bernard Kpenahi Raymond</t>
        </is>
      </c>
      <c r="B1559" s="4" t="n">
        <v>46104</v>
      </c>
      <c r="C1559" t="inlineStr">
        <is>
          <t>Field data collection in Bouake region</t>
        </is>
      </c>
      <c r="D1559" t="inlineStr">
        <is>
          <t>Daleba Bernard Kpenahi Raymond</t>
        </is>
      </c>
      <c r="E1559" t="inlineStr">
        <is>
          <t>OdooBot</t>
        </is>
      </c>
      <c r="F1559" s="5" t="n">
        <v>46154.70721064815</v>
      </c>
      <c r="H1559" t="inlineStr">
        <is>
          <t>PCGH776 - Deforestation Risk-Assessment Cashew-Coast</t>
        </is>
      </c>
      <c r="I1559" t="n">
        <v>0</v>
      </c>
      <c r="J1559" t="inlineStr">
        <is>
          <t>PCGH776 - Data collection and review (3) (Cashew Coast Products Inc)</t>
        </is>
      </c>
      <c r="L1559" t="b">
        <v>1</v>
      </c>
      <c r="M1559" t="inlineStr">
        <is>
          <t>Billed at a Fixed price</t>
        </is>
      </c>
      <c r="N1559" s="6">
        <f>IF(B1559="","",IF(ISNUMBER(B1559),TEXT(B1559,"YYYY-MM"),LEFT(B1559,7)))</f>
        <v/>
      </c>
    </row>
    <row r="1560">
      <c r="A1560" t="inlineStr">
        <is>
          <t>Ekow Nyamekye Tawiah</t>
        </is>
      </c>
      <c r="B1560" s="4" t="n">
        <v>46104</v>
      </c>
      <c r="C1560" t="inlineStr">
        <is>
          <t>/</t>
        </is>
      </c>
      <c r="D1560" t="inlineStr">
        <is>
          <t>Joseph Isaiah Mensah</t>
        </is>
      </c>
      <c r="E1560" t="inlineStr">
        <is>
          <t>Ekow Nyamekye Tawiah</t>
        </is>
      </c>
      <c r="F1560" s="5" t="n">
        <v>46162.82599537037</v>
      </c>
      <c r="H1560" t="inlineStr">
        <is>
          <t>Non-Billable Tasks</t>
        </is>
      </c>
      <c r="I1560" t="n">
        <v>4</v>
      </c>
      <c r="K1560" t="inlineStr">
        <is>
          <t>Public Holiday</t>
        </is>
      </c>
      <c r="L1560" t="b">
        <v>0</v>
      </c>
      <c r="M1560" t="inlineStr">
        <is>
          <t>Non-Billable</t>
        </is>
      </c>
      <c r="N1560" s="6">
        <f>IF(B1560="","",IF(ISNUMBER(B1560),TEXT(B1560,"YYYY-MM"),LEFT(B1560,7)))</f>
        <v/>
      </c>
    </row>
    <row r="1561">
      <c r="A1561" t="inlineStr">
        <is>
          <t>Clement Obeng-Manu</t>
        </is>
      </c>
      <c r="B1561" s="4" t="n">
        <v>46101</v>
      </c>
      <c r="C1561" t="inlineStr">
        <is>
          <t>/</t>
        </is>
      </c>
      <c r="D1561" t="inlineStr">
        <is>
          <t>Ekow Nyamekye Tawiah</t>
        </is>
      </c>
      <c r="E1561" t="inlineStr">
        <is>
          <t>Clement Obeng-Manu</t>
        </is>
      </c>
      <c r="F1561" s="5" t="n">
        <v>46173.76344907407</v>
      </c>
      <c r="H1561" t="inlineStr">
        <is>
          <t>PCGH777</t>
        </is>
      </c>
      <c r="I1561" t="n">
        <v>8</v>
      </c>
      <c r="J1561" t="inlineStr">
        <is>
          <t>PCGH777 - Land Use Change Analysis (Proforest Limited(PCUK GBP))</t>
        </is>
      </c>
      <c r="K1561" t="inlineStr">
        <is>
          <t xml:space="preserve">Post fieldwork analysis </t>
        </is>
      </c>
      <c r="L1561" t="b">
        <v>1</v>
      </c>
      <c r="M1561" t="inlineStr">
        <is>
          <t>Billed at a Fixed price</t>
        </is>
      </c>
      <c r="N1561" s="6">
        <f>IF(B1561="","",IF(ISNUMBER(B1561),TEXT(B1561,"YYYY-MM"),LEFT(B1561,7)))</f>
        <v/>
      </c>
    </row>
    <row r="1562">
      <c r="A1562" t="inlineStr">
        <is>
          <t>Joseph Isaiah Mensah</t>
        </is>
      </c>
      <c r="B1562" s="4" t="n">
        <v>46101</v>
      </c>
      <c r="C1562" t="inlineStr">
        <is>
          <t>/</t>
        </is>
      </c>
      <c r="D1562" t="inlineStr">
        <is>
          <t>Jacqueline Nyakutse Afua</t>
        </is>
      </c>
      <c r="E1562" t="inlineStr">
        <is>
          <t>Joseph Isaiah Mensah</t>
        </is>
      </c>
      <c r="F1562" s="5" t="n">
        <v>46162.72951388889</v>
      </c>
      <c r="H1562" t="inlineStr">
        <is>
          <t>Non-Billable Tasks</t>
        </is>
      </c>
      <c r="I1562" t="n">
        <v>8</v>
      </c>
      <c r="K1562" t="inlineStr">
        <is>
          <t>Public Holiday</t>
        </is>
      </c>
      <c r="L1562" t="b">
        <v>0</v>
      </c>
      <c r="M1562" t="inlineStr">
        <is>
          <t>Non-Billable</t>
        </is>
      </c>
      <c r="N1562" s="6">
        <f>IF(B1562="","",IF(ISNUMBER(B1562),TEXT(B1562,"YYYY-MM"),LEFT(B1562,7)))</f>
        <v/>
      </c>
    </row>
    <row r="1563">
      <c r="A1563" t="inlineStr">
        <is>
          <t>James Parker Mckeown</t>
        </is>
      </c>
      <c r="B1563" s="4" t="n">
        <v>46101</v>
      </c>
      <c r="C1563" t="inlineStr">
        <is>
          <t>/</t>
        </is>
      </c>
      <c r="D1563" t="inlineStr">
        <is>
          <t>James Parker Mckeown</t>
        </is>
      </c>
      <c r="E1563" t="inlineStr">
        <is>
          <t>James Parker Mckeown</t>
        </is>
      </c>
      <c r="F1563" s="5" t="n">
        <v>46162.70315972222</v>
      </c>
      <c r="H1563" t="inlineStr">
        <is>
          <t>Non-Billable Tasks</t>
        </is>
      </c>
      <c r="I1563" t="n">
        <v>3</v>
      </c>
      <c r="K1563" t="inlineStr">
        <is>
          <t>Business Development and Networking</t>
        </is>
      </c>
      <c r="L1563" t="b">
        <v>0</v>
      </c>
      <c r="M1563" t="inlineStr">
        <is>
          <t>Non-Billable</t>
        </is>
      </c>
      <c r="N1563" s="6">
        <f>IF(B1563="","",IF(ISNUMBER(B1563),TEXT(B1563,"YYYY-MM"),LEFT(B1563,7)))</f>
        <v/>
      </c>
    </row>
    <row r="1564">
      <c r="A1564" t="inlineStr">
        <is>
          <t>James Parker Mckeown</t>
        </is>
      </c>
      <c r="B1564" s="4" t="n">
        <v>46101</v>
      </c>
      <c r="C1564" t="inlineStr">
        <is>
          <t>/</t>
        </is>
      </c>
      <c r="D1564" t="inlineStr">
        <is>
          <t>James Parker Mckeown</t>
        </is>
      </c>
      <c r="E1564" t="inlineStr">
        <is>
          <t>James Parker Mckeown</t>
        </is>
      </c>
      <c r="F1564" s="5" t="n">
        <v>46162.70042824074</v>
      </c>
      <c r="H1564" t="inlineStr">
        <is>
          <t>PCGH762 - GVL HCSA Restoration Project</t>
        </is>
      </c>
      <c r="I1564" t="n">
        <v>3</v>
      </c>
      <c r="J1564" t="inlineStr">
        <is>
          <t>PCGH762 - Desk Review, Stakeholder Mapping &amp; Analysis and Engagement (Golden Veroleum Liberia)</t>
        </is>
      </c>
      <c r="L1564" t="b">
        <v>1</v>
      </c>
      <c r="M1564" t="inlineStr">
        <is>
          <t>Billed at a Fixed price</t>
        </is>
      </c>
      <c r="N1564" s="6">
        <f>IF(B1564="","",IF(ISNUMBER(B1564),TEXT(B1564,"YYYY-MM"),LEFT(B1564,7)))</f>
        <v/>
      </c>
    </row>
    <row r="1565">
      <c r="A1565" t="inlineStr">
        <is>
          <t>Frederick Antwi</t>
        </is>
      </c>
      <c r="B1565" s="4" t="n">
        <v>46101</v>
      </c>
      <c r="C1565" t="inlineStr">
        <is>
          <t>/</t>
        </is>
      </c>
      <c r="D1565" t="inlineStr">
        <is>
          <t>Frederick Antwi</t>
        </is>
      </c>
      <c r="E1565" t="inlineStr">
        <is>
          <t>Frederick Antwi</t>
        </is>
      </c>
      <c r="F1565" s="5" t="n">
        <v>46160.62333333334</v>
      </c>
      <c r="H1565" t="inlineStr">
        <is>
          <t>PCGH774 -Evaluation Deep-Dive Action Plans by Socfin Group</t>
        </is>
      </c>
      <c r="I1565" t="n">
        <v>8</v>
      </c>
      <c r="J1565" t="inlineStr">
        <is>
          <t>PCGH774 - Project Management (2) (Socfinco FR SA)</t>
        </is>
      </c>
      <c r="L1565" t="b">
        <v>1</v>
      </c>
      <c r="M1565" t="inlineStr">
        <is>
          <t>Billed at a Fixed price</t>
        </is>
      </c>
      <c r="N1565" s="6">
        <f>IF(B1565="","",IF(ISNUMBER(B1565),TEXT(B1565,"YYYY-MM"),LEFT(B1565,7)))</f>
        <v/>
      </c>
    </row>
    <row r="1566">
      <c r="A1566" t="inlineStr">
        <is>
          <t>Augustus Asamoah</t>
        </is>
      </c>
      <c r="B1566" s="4" t="n">
        <v>46101</v>
      </c>
      <c r="C1566" t="inlineStr">
        <is>
          <t>/</t>
        </is>
      </c>
      <c r="D1566" t="inlineStr">
        <is>
          <t>Augustus Asamoah</t>
        </is>
      </c>
      <c r="E1566" t="inlineStr">
        <is>
          <t>Augustus Asamoah</t>
        </is>
      </c>
      <c r="F1566" s="5" t="n">
        <v>46156.67932870371</v>
      </c>
      <c r="H1566" t="inlineStr">
        <is>
          <t>Non-Billable Tasks</t>
        </is>
      </c>
      <c r="I1566" t="n">
        <v>8</v>
      </c>
      <c r="L1566" t="b">
        <v>0</v>
      </c>
      <c r="M1566" t="inlineStr">
        <is>
          <t>Non-Billable</t>
        </is>
      </c>
      <c r="N1566" s="6">
        <f>IF(B1566="","",IF(ISNUMBER(B1566),TEXT(B1566,"YYYY-MM"),LEFT(B1566,7)))</f>
        <v/>
      </c>
    </row>
    <row r="1567">
      <c r="A1567" t="inlineStr">
        <is>
          <t>Augustus Asamoah</t>
        </is>
      </c>
      <c r="B1567" s="4" t="n">
        <v>46101</v>
      </c>
      <c r="C1567" t="inlineStr">
        <is>
          <t>/</t>
        </is>
      </c>
      <c r="D1567" t="inlineStr">
        <is>
          <t>Augustus Asamoah</t>
        </is>
      </c>
      <c r="E1567" t="inlineStr">
        <is>
          <t>Augustus Asamoah</t>
        </is>
      </c>
      <c r="F1567" s="5" t="n">
        <v>46156.6794212963</v>
      </c>
      <c r="H1567" t="inlineStr">
        <is>
          <t>P13QC00A00 - EFI Programme</t>
        </is>
      </c>
      <c r="I1567" t="n">
        <v>0</v>
      </c>
      <c r="L1567" t="b">
        <v>0</v>
      </c>
      <c r="M1567" t="inlineStr">
        <is>
          <t>Non-Billable</t>
        </is>
      </c>
      <c r="N1567" s="6">
        <f>IF(B1567="","",IF(ISNUMBER(B1567),TEXT(B1567,"YYYY-MM"),LEFT(B1567,7)))</f>
        <v/>
      </c>
    </row>
    <row r="1568">
      <c r="A1568" t="inlineStr">
        <is>
          <t>Augustus Asamoah</t>
        </is>
      </c>
      <c r="B1568" s="4" t="n">
        <v>46101</v>
      </c>
      <c r="C1568" t="inlineStr">
        <is>
          <t>/</t>
        </is>
      </c>
      <c r="D1568" t="inlineStr">
        <is>
          <t>Augustus Asamoah</t>
        </is>
      </c>
      <c r="E1568" t="inlineStr">
        <is>
          <t>Augustus Asamoah</t>
        </is>
      </c>
      <c r="F1568" s="5" t="n">
        <v>46156.67939814815</v>
      </c>
      <c r="H1568" t="inlineStr">
        <is>
          <t>P13PC00A00 - Private Sector Companies</t>
        </is>
      </c>
      <c r="I1568" t="n">
        <v>0</v>
      </c>
      <c r="L1568" t="b">
        <v>0</v>
      </c>
      <c r="M1568" t="inlineStr">
        <is>
          <t>Non-Billable</t>
        </is>
      </c>
      <c r="N1568" s="6">
        <f>IF(B1568="","",IF(ISNUMBER(B1568),TEXT(B1568,"YYYY-MM"),LEFT(B1568,7)))</f>
        <v/>
      </c>
    </row>
    <row r="1569">
      <c r="A1569" t="inlineStr">
        <is>
          <t>Augustus Asamoah</t>
        </is>
      </c>
      <c r="B1569" s="4" t="n">
        <v>46101</v>
      </c>
      <c r="C1569" t="inlineStr">
        <is>
          <t>/</t>
        </is>
      </c>
      <c r="D1569" t="inlineStr">
        <is>
          <t>Augustus Asamoah</t>
        </is>
      </c>
      <c r="E1569" t="inlineStr">
        <is>
          <t>Augustus Asamoah</t>
        </is>
      </c>
      <c r="F1569" s="5" t="n">
        <v>46156.67938657408</v>
      </c>
      <c r="H1569" t="inlineStr">
        <is>
          <t>P13NC00A00 - WALMART II</t>
        </is>
      </c>
      <c r="I1569" t="n">
        <v>0</v>
      </c>
      <c r="L1569" t="b">
        <v>0</v>
      </c>
      <c r="M1569" t="inlineStr">
        <is>
          <t>Non-Billable</t>
        </is>
      </c>
      <c r="N1569" s="6">
        <f>IF(B1569="","",IF(ISNUMBER(B1569),TEXT(B1569,"YYYY-MM"),LEFT(B1569,7)))</f>
        <v/>
      </c>
    </row>
    <row r="1570">
      <c r="A1570" t="inlineStr">
        <is>
          <t>Afua Serwah Akoto Prempeh</t>
        </is>
      </c>
      <c r="B1570" s="4" t="n">
        <v>46101</v>
      </c>
      <c r="C1570" t="inlineStr">
        <is>
          <t>/</t>
        </is>
      </c>
      <c r="D1570" t="inlineStr">
        <is>
          <t>Afua Serwah Akoto Prempeh</t>
        </is>
      </c>
      <c r="E1570" t="inlineStr">
        <is>
          <t>OdooBot</t>
        </is>
      </c>
      <c r="F1570" s="5" t="n">
        <v>46154.70721064815</v>
      </c>
      <c r="H1570" t="inlineStr">
        <is>
          <t>Non-Billable Tasks</t>
        </is>
      </c>
      <c r="I1570" t="n">
        <v>8</v>
      </c>
      <c r="K1570" t="inlineStr">
        <is>
          <t>Public Holiday</t>
        </is>
      </c>
      <c r="L1570" t="b">
        <v>0</v>
      </c>
      <c r="M1570" t="inlineStr">
        <is>
          <t>Non-Billable</t>
        </is>
      </c>
      <c r="N1570" s="6">
        <f>IF(B1570="","",IF(ISNUMBER(B1570),TEXT(B1570,"YYYY-MM"),LEFT(B1570,7)))</f>
        <v/>
      </c>
    </row>
    <row r="1571">
      <c r="A1571" t="inlineStr">
        <is>
          <t>Stephen Doso</t>
        </is>
      </c>
      <c r="B1571" s="4" t="n">
        <v>46101</v>
      </c>
      <c r="C1571" t="inlineStr">
        <is>
          <t>/</t>
        </is>
      </c>
      <c r="D1571" t="inlineStr">
        <is>
          <t>Stephen Doso</t>
        </is>
      </c>
      <c r="E1571" t="inlineStr">
        <is>
          <t>OdooBot</t>
        </is>
      </c>
      <c r="F1571" s="5" t="n">
        <v>46154.70721064815</v>
      </c>
      <c r="G1571" t="inlineStr">
        <is>
          <t>BOA: FIELDWORK</t>
        </is>
      </c>
      <c r="H1571" t="inlineStr">
        <is>
          <t>PCGH788 - CDC Boa &amp; Mondoni CV-HCS Scoping</t>
        </is>
      </c>
      <c r="I1571" t="n">
        <v>8</v>
      </c>
      <c r="J1571" t="inlineStr">
        <is>
          <t>PCGH788 - Field work  (2) (CAMEROON DEVELOPMENT CORPORATION (CDC))</t>
        </is>
      </c>
      <c r="K1571" t="inlineStr">
        <is>
          <t>Stakeholder consultations</t>
        </is>
      </c>
      <c r="L1571" t="b">
        <v>1</v>
      </c>
      <c r="M1571" t="inlineStr">
        <is>
          <t>Billed at a Fixed price</t>
        </is>
      </c>
      <c r="N1571" s="6">
        <f>IF(B1571="","",IF(ISNUMBER(B1571),TEXT(B1571,"YYYY-MM"),LEFT(B1571,7)))</f>
        <v/>
      </c>
    </row>
    <row r="1572">
      <c r="A1572" t="inlineStr">
        <is>
          <t>Kwadwo Baniako Nti</t>
        </is>
      </c>
      <c r="B1572" s="4" t="n">
        <v>46101</v>
      </c>
      <c r="C1572" t="inlineStr">
        <is>
          <t>/</t>
        </is>
      </c>
      <c r="D1572" t="inlineStr">
        <is>
          <t>Kwadwo Baniako Nti</t>
        </is>
      </c>
      <c r="E1572" t="inlineStr">
        <is>
          <t>OdooBot</t>
        </is>
      </c>
      <c r="F1572" s="5" t="n">
        <v>46154.70721064815</v>
      </c>
      <c r="H1572" t="inlineStr">
        <is>
          <t>PCGH774 -Evaluation Deep-Dive Action Plans by Socfin Group</t>
        </is>
      </c>
      <c r="I1572" t="n">
        <v>8</v>
      </c>
      <c r="J1572" t="inlineStr">
        <is>
          <t>PCGH774 - Project Management (3) (Socfinco FR SA)</t>
        </is>
      </c>
      <c r="K1572" t="inlineStr">
        <is>
          <t>Project Management (3)</t>
        </is>
      </c>
      <c r="L1572" t="b">
        <v>1</v>
      </c>
      <c r="M1572" t="inlineStr">
        <is>
          <t>Billed at a Fixed price</t>
        </is>
      </c>
      <c r="N1572" s="6">
        <f>IF(B1572="","",IF(ISNUMBER(B1572),TEXT(B1572,"YYYY-MM"),LEFT(B1572,7)))</f>
        <v/>
      </c>
    </row>
    <row r="1573">
      <c r="A1573" t="inlineStr">
        <is>
          <t>Kingsley Fitz-Gerald Severine</t>
        </is>
      </c>
      <c r="B1573" s="4" t="n">
        <v>46101</v>
      </c>
      <c r="C1573" t="inlineStr">
        <is>
          <t>Eid ul Fitr</t>
        </is>
      </c>
      <c r="D1573" t="inlineStr">
        <is>
          <t>Kingsley Fitz-Gerald Severine</t>
        </is>
      </c>
      <c r="E1573" t="inlineStr">
        <is>
          <t>OdooBot</t>
        </is>
      </c>
      <c r="F1573" s="5" t="n">
        <v>46154.70721064815</v>
      </c>
      <c r="H1573" t="inlineStr">
        <is>
          <t>Non-Billable Tasks</t>
        </is>
      </c>
      <c r="I1573" t="n">
        <v>8</v>
      </c>
      <c r="K1573" t="inlineStr">
        <is>
          <t>Public Holiday</t>
        </is>
      </c>
      <c r="L1573" t="b">
        <v>0</v>
      </c>
      <c r="M1573" t="inlineStr">
        <is>
          <t>Non-Billable</t>
        </is>
      </c>
      <c r="N1573" s="6">
        <f>IF(B1573="","",IF(ISNUMBER(B1573),TEXT(B1573,"YYYY-MM"),LEFT(B1573,7)))</f>
        <v/>
      </c>
    </row>
    <row r="1574">
      <c r="A1574" t="inlineStr">
        <is>
          <t>Kingsley Fitz-Gerald Severine</t>
        </is>
      </c>
      <c r="B1574" s="4" t="n">
        <v>46101</v>
      </c>
      <c r="C1574" t="inlineStr">
        <is>
          <t>/</t>
        </is>
      </c>
      <c r="D1574" t="inlineStr">
        <is>
          <t>Kingsley Fitz-Gerald Severine</t>
        </is>
      </c>
      <c r="E1574" t="inlineStr">
        <is>
          <t>OdooBot</t>
        </is>
      </c>
      <c r="F1574" s="5" t="n">
        <v>46154.70721064815</v>
      </c>
      <c r="G1574" t="inlineStr">
        <is>
          <t>BOA: FIELDWORK (3)</t>
        </is>
      </c>
      <c r="H1574" t="inlineStr">
        <is>
          <t>PCGH788 - CDC Boa &amp; Mondoni CV-HCS Scoping</t>
        </is>
      </c>
      <c r="I1574" t="n">
        <v>0</v>
      </c>
      <c r="J1574" t="inlineStr">
        <is>
          <t>PCGH788 - Field work  (3) (CAMEROON DEVELOPMENT CORPORATION (CDC))</t>
        </is>
      </c>
      <c r="K1574" t="inlineStr">
        <is>
          <t>Community consultations</t>
        </is>
      </c>
      <c r="L1574" t="b">
        <v>1</v>
      </c>
      <c r="M1574" t="inlineStr">
        <is>
          <t>Billed at a Fixed price</t>
        </is>
      </c>
      <c r="N1574" s="6">
        <f>IF(B1574="","",IF(ISNUMBER(B1574),TEXT(B1574,"YYYY-MM"),LEFT(B1574,7)))</f>
        <v/>
      </c>
    </row>
    <row r="1575">
      <c r="A1575" t="inlineStr">
        <is>
          <t>Louis Defo</t>
        </is>
      </c>
      <c r="B1575" s="4" t="n">
        <v>46101</v>
      </c>
      <c r="C1575" t="inlineStr">
        <is>
          <t>/</t>
        </is>
      </c>
      <c r="D1575" t="inlineStr">
        <is>
          <t>Louis Defo</t>
        </is>
      </c>
      <c r="E1575" t="inlineStr">
        <is>
          <t>OdooBot</t>
        </is>
      </c>
      <c r="F1575" s="5" t="n">
        <v>46154.70721064815</v>
      </c>
      <c r="H1575" t="inlineStr">
        <is>
          <t>PCGH788 - CDC Boa &amp; Mondoni CV-HCS Scoping</t>
        </is>
      </c>
      <c r="I1575" t="n">
        <v>8</v>
      </c>
      <c r="J1575" t="inlineStr">
        <is>
          <t>PCGH788 - Desk Study (3) (CAMEROON DEVELOPMENT CORPORATION (CDC))</t>
        </is>
      </c>
      <c r="L1575" t="b">
        <v>1</v>
      </c>
      <c r="M1575" t="inlineStr">
        <is>
          <t>Billed at a Fixed price</t>
        </is>
      </c>
      <c r="N1575" s="6">
        <f>IF(B1575="","",IF(ISNUMBER(B1575),TEXT(B1575,"YYYY-MM"),LEFT(B1575,7)))</f>
        <v/>
      </c>
    </row>
    <row r="1576">
      <c r="A1576" t="inlineStr">
        <is>
          <t>Afua Serwah Akoto Prempeh</t>
        </is>
      </c>
      <c r="B1576" s="4" t="n">
        <v>46101</v>
      </c>
      <c r="C1576" t="inlineStr">
        <is>
          <t>/</t>
        </is>
      </c>
      <c r="D1576" t="inlineStr">
        <is>
          <t>Afua Serwah Akoto Prempeh</t>
        </is>
      </c>
      <c r="E1576" t="inlineStr">
        <is>
          <t>OdooBot</t>
        </is>
      </c>
      <c r="F1576" s="5" t="n">
        <v>46154.70721064815</v>
      </c>
      <c r="H1576" t="inlineStr">
        <is>
          <t>Non-Billable Tasks</t>
        </is>
      </c>
      <c r="I1576" t="n">
        <v>0</v>
      </c>
      <c r="K1576" t="inlineStr">
        <is>
          <t>Professional development and Knowledge sharing(training,global knowledge calls,exchange weeks)</t>
        </is>
      </c>
      <c r="L1576" t="b">
        <v>0</v>
      </c>
      <c r="M1576" t="inlineStr">
        <is>
          <t>Non-Billable</t>
        </is>
      </c>
      <c r="N1576" s="6">
        <f>IF(B1576="","",IF(ISNUMBER(B1576),TEXT(B1576,"YYYY-MM"),LEFT(B1576,7)))</f>
        <v/>
      </c>
    </row>
    <row r="1577">
      <c r="A1577" t="inlineStr">
        <is>
          <t>Helena Tetteh</t>
        </is>
      </c>
      <c r="B1577" s="4" t="n">
        <v>46101</v>
      </c>
      <c r="C1577" t="inlineStr">
        <is>
          <t>/</t>
        </is>
      </c>
      <c r="D1577" t="inlineStr">
        <is>
          <t xml:space="preserve">Helena Tetteh </t>
        </is>
      </c>
      <c r="E1577" t="inlineStr">
        <is>
          <t>OdooBot</t>
        </is>
      </c>
      <c r="F1577" s="5" t="n">
        <v>46154.70721064815</v>
      </c>
      <c r="H1577" t="inlineStr">
        <is>
          <t>Non-Billable Tasks</t>
        </is>
      </c>
      <c r="I1577" t="n">
        <v>3.5</v>
      </c>
      <c r="K1577" t="inlineStr">
        <is>
          <t>Portfolio Team Management</t>
        </is>
      </c>
      <c r="L1577" t="b">
        <v>0</v>
      </c>
      <c r="M1577" t="inlineStr">
        <is>
          <t>Non-Billable</t>
        </is>
      </c>
      <c r="N1577" s="6">
        <f>IF(B1577="","",IF(ISNUMBER(B1577),TEXT(B1577,"YYYY-MM"),LEFT(B1577,7)))</f>
        <v/>
      </c>
    </row>
    <row r="1578">
      <c r="A1578" t="inlineStr">
        <is>
          <t>Helena Tetteh</t>
        </is>
      </c>
      <c r="B1578" s="4" t="n">
        <v>46101</v>
      </c>
      <c r="C1578" t="inlineStr">
        <is>
          <t>FFI report review</t>
        </is>
      </c>
      <c r="D1578" t="inlineStr">
        <is>
          <t xml:space="preserve">Helena Tetteh </t>
        </is>
      </c>
      <c r="E1578" t="inlineStr">
        <is>
          <t>OdooBot</t>
        </is>
      </c>
      <c r="F1578" s="5" t="n">
        <v>46154.70721064815</v>
      </c>
      <c r="H1578" t="inlineStr">
        <is>
          <t>PCGH776 - Deforestation Risk-Assessment Cashew-Coast</t>
        </is>
      </c>
      <c r="I1578" t="n">
        <v>1.5</v>
      </c>
      <c r="J1578" t="inlineStr">
        <is>
          <t>PCGH776 - Reporting (3) (Cashew Coast Products Inc)</t>
        </is>
      </c>
      <c r="K1578" t="inlineStr">
        <is>
          <t>Reporting</t>
        </is>
      </c>
      <c r="L1578" t="b">
        <v>1</v>
      </c>
      <c r="M1578" t="inlineStr">
        <is>
          <t>Billed at a Fixed price</t>
        </is>
      </c>
      <c r="N1578" s="6">
        <f>IF(B1578="","",IF(ISNUMBER(B1578),TEXT(B1578,"YYYY-MM"),LEFT(B1578,7)))</f>
        <v/>
      </c>
    </row>
    <row r="1579">
      <c r="A1579" t="inlineStr">
        <is>
          <t>Helena Tetteh</t>
        </is>
      </c>
      <c r="B1579" s="4" t="n">
        <v>46101</v>
      </c>
      <c r="C1579" t="inlineStr">
        <is>
          <t>/</t>
        </is>
      </c>
      <c r="D1579" t="inlineStr">
        <is>
          <t xml:space="preserve">Helena Tetteh </t>
        </is>
      </c>
      <c r="E1579" t="inlineStr">
        <is>
          <t>OdooBot</t>
        </is>
      </c>
      <c r="F1579" s="5" t="n">
        <v>46154.70721064815</v>
      </c>
      <c r="H1579" t="inlineStr">
        <is>
          <t>PCGH762 - GVL HCSA Restoration Project</t>
        </is>
      </c>
      <c r="I1579" t="n">
        <v>3</v>
      </c>
      <c r="J1579" t="inlineStr">
        <is>
          <t>PCGH763 - Desk study (Due diligence) (Jopafram Nigeria Limited)</t>
        </is>
      </c>
      <c r="K1579" t="inlineStr">
        <is>
          <t>Fundraising and proposal development</t>
        </is>
      </c>
      <c r="L1579" t="b">
        <v>1</v>
      </c>
      <c r="M1579" t="inlineStr">
        <is>
          <t>Billed at a Fixed price</t>
        </is>
      </c>
      <c r="N1579" s="6">
        <f>IF(B1579="","",IF(ISNUMBER(B1579),TEXT(B1579,"YYYY-MM"),LEFT(B1579,7)))</f>
        <v/>
      </c>
    </row>
    <row r="1580">
      <c r="A1580" t="inlineStr">
        <is>
          <t>Ekow Nyamekye Tawiah</t>
        </is>
      </c>
      <c r="B1580" s="4" t="n">
        <v>46101</v>
      </c>
      <c r="C1580" t="inlineStr">
        <is>
          <t>Eid Mubarak Holidays</t>
        </is>
      </c>
      <c r="D1580" t="inlineStr">
        <is>
          <t>Joseph Isaiah Mensah</t>
        </is>
      </c>
      <c r="E1580" t="inlineStr">
        <is>
          <t>Ekow Nyamekye Tawiah</t>
        </is>
      </c>
      <c r="F1580" s="5" t="n">
        <v>46162.82607638889</v>
      </c>
      <c r="H1580" t="inlineStr">
        <is>
          <t>Non-Billable Tasks</t>
        </is>
      </c>
      <c r="I1580" t="n">
        <v>4</v>
      </c>
      <c r="K1580" t="inlineStr">
        <is>
          <t>Public Holiday</t>
        </is>
      </c>
      <c r="L1580" t="b">
        <v>0</v>
      </c>
      <c r="M1580" t="inlineStr">
        <is>
          <t>Non-Billable</t>
        </is>
      </c>
      <c r="N1580" s="6">
        <f>IF(B1580="","",IF(ISNUMBER(B1580),TEXT(B1580,"YYYY-MM"),LEFT(B1580,7)))</f>
        <v/>
      </c>
    </row>
    <row r="1581">
      <c r="A1581" t="inlineStr">
        <is>
          <t>Clement Obeng-Manu</t>
        </is>
      </c>
      <c r="B1581" s="4" t="n">
        <v>46101</v>
      </c>
      <c r="C1581" t="inlineStr">
        <is>
          <t>/</t>
        </is>
      </c>
      <c r="D1581" t="inlineStr">
        <is>
          <t>Ekow Nyamekye Tawiah</t>
        </is>
      </c>
      <c r="E1581" t="inlineStr">
        <is>
          <t>OdooBot</t>
        </is>
      </c>
      <c r="F1581" s="5" t="n">
        <v>46154.70721064815</v>
      </c>
      <c r="G1581" t="inlineStr">
        <is>
          <t>Fieldwork – stakeholder engagement</t>
        </is>
      </c>
      <c r="H1581" t="inlineStr">
        <is>
          <t>PCGH777</t>
        </is>
      </c>
      <c r="I1581" t="n">
        <v>0</v>
      </c>
      <c r="J1581" t="inlineStr">
        <is>
          <t>PCGH777 - Field work  (3) (Proforest Limited(PCUK GBP))</t>
        </is>
      </c>
      <c r="K1581" t="inlineStr">
        <is>
          <t>Fieldwork – stakeholder engagement</t>
        </is>
      </c>
      <c r="L1581" t="b">
        <v>1</v>
      </c>
      <c r="M1581" t="inlineStr">
        <is>
          <t>Billed at a Fixed price</t>
        </is>
      </c>
      <c r="N1581" s="6">
        <f>IF(B1581="","",IF(ISNUMBER(B1581),TEXT(B1581,"YYYY-MM"),LEFT(B1581,7)))</f>
        <v/>
      </c>
    </row>
    <row r="1582">
      <c r="A1582" t="inlineStr">
        <is>
          <t>Joseph Isaiah Mensah</t>
        </is>
      </c>
      <c r="B1582" s="4" t="n">
        <v>46100</v>
      </c>
      <c r="C1582" t="inlineStr">
        <is>
          <t>analysis and synthesis of data</t>
        </is>
      </c>
      <c r="D1582" t="inlineStr">
        <is>
          <t>Jacqueline Nyakutse Afua</t>
        </is>
      </c>
      <c r="E1582" t="inlineStr">
        <is>
          <t>Joseph Isaiah Mensah</t>
        </is>
      </c>
      <c r="F1582" s="5" t="n">
        <v>46162.72875</v>
      </c>
      <c r="G1582" t="inlineStr">
        <is>
          <t>Desk Study (3)</t>
        </is>
      </c>
      <c r="H1582" t="inlineStr">
        <is>
          <t>PCGH786 - Impact Level Baseline assessment for FGMC</t>
        </is>
      </c>
      <c r="I1582" t="n">
        <v>8</v>
      </c>
      <c r="J1582" t="inlineStr">
        <is>
          <t>PCGH786 - Desk Study (3) (NIRAS Group (UK) Ltd)</t>
        </is>
      </c>
      <c r="K1582" t="inlineStr">
        <is>
          <t>Desk Study</t>
        </is>
      </c>
      <c r="L1582" t="b">
        <v>1</v>
      </c>
      <c r="M1582" t="inlineStr">
        <is>
          <t>Billed at a Fixed price</t>
        </is>
      </c>
      <c r="N1582" s="6">
        <f>IF(B1582="","",IF(ISNUMBER(B1582),TEXT(B1582,"YYYY-MM"),LEFT(B1582,7)))</f>
        <v/>
      </c>
    </row>
    <row r="1583">
      <c r="A1583" t="inlineStr">
        <is>
          <t>James Parker Mckeown</t>
        </is>
      </c>
      <c r="B1583" s="4" t="n">
        <v>46100</v>
      </c>
      <c r="C1583" t="inlineStr">
        <is>
          <t>/</t>
        </is>
      </c>
      <c r="D1583" t="inlineStr">
        <is>
          <t>James Parker Mckeown</t>
        </is>
      </c>
      <c r="E1583" t="inlineStr">
        <is>
          <t>James Parker Mckeown</t>
        </is>
      </c>
      <c r="F1583" s="5" t="n">
        <v>46162.70306712963</v>
      </c>
      <c r="H1583" t="inlineStr">
        <is>
          <t>Non-Billable Tasks</t>
        </is>
      </c>
      <c r="I1583" t="n">
        <v>3</v>
      </c>
      <c r="K1583" t="inlineStr">
        <is>
          <t>Business Development and Networking</t>
        </is>
      </c>
      <c r="L1583" t="b">
        <v>0</v>
      </c>
      <c r="M1583" t="inlineStr">
        <is>
          <t>Non-Billable</t>
        </is>
      </c>
      <c r="N1583" s="6">
        <f>IF(B1583="","",IF(ISNUMBER(B1583),TEXT(B1583,"YYYY-MM"),LEFT(B1583,7)))</f>
        <v/>
      </c>
    </row>
    <row r="1584">
      <c r="A1584" t="inlineStr">
        <is>
          <t>James Parker Mckeown</t>
        </is>
      </c>
      <c r="B1584" s="4" t="n">
        <v>46100</v>
      </c>
      <c r="C1584" t="inlineStr">
        <is>
          <t>/</t>
        </is>
      </c>
      <c r="D1584" t="inlineStr">
        <is>
          <t>James Parker Mckeown</t>
        </is>
      </c>
      <c r="E1584" t="inlineStr">
        <is>
          <t>James Parker Mckeown</t>
        </is>
      </c>
      <c r="F1584" s="5" t="n">
        <v>46162.70340277778</v>
      </c>
      <c r="H1584" t="inlineStr">
        <is>
          <t>PCGH762 - GVL HCSA Restoration Project</t>
        </is>
      </c>
      <c r="I1584" t="n">
        <v>4</v>
      </c>
      <c r="J1584" t="inlineStr">
        <is>
          <t>PCGH762 - Desk Review, Stakeholder Mapping &amp; Analysis and Engagement (Golden Veroleum Liberia)</t>
        </is>
      </c>
      <c r="L1584" t="b">
        <v>1</v>
      </c>
      <c r="M1584" t="inlineStr">
        <is>
          <t>Billed at a Fixed price</t>
        </is>
      </c>
      <c r="N1584" s="6">
        <f>IF(B1584="","",IF(ISNUMBER(B1584),TEXT(B1584,"YYYY-MM"),LEFT(B1584,7)))</f>
        <v/>
      </c>
    </row>
    <row r="1585">
      <c r="A1585" t="inlineStr">
        <is>
          <t>James Parker Mckeown</t>
        </is>
      </c>
      <c r="B1585" s="4" t="n">
        <v>46100</v>
      </c>
      <c r="C1585" t="inlineStr">
        <is>
          <t>Luana/James/Hélène - Catch-up on Social Safeguarding work for LEW session</t>
        </is>
      </c>
      <c r="D1585" t="inlineStr">
        <is>
          <t>James Parker Mckeown</t>
        </is>
      </c>
      <c r="E1585" t="inlineStr">
        <is>
          <t>James Parker Mckeown</t>
        </is>
      </c>
      <c r="F1585" s="5" t="n">
        <v>46162.70146990741</v>
      </c>
      <c r="H1585" t="inlineStr">
        <is>
          <t>Non-Billable Tasks</t>
        </is>
      </c>
      <c r="I1585" t="n">
        <v>1.5</v>
      </c>
      <c r="K1585" t="inlineStr">
        <is>
          <t>Internal Focal points and workstreams</t>
        </is>
      </c>
      <c r="L1585" t="b">
        <v>0</v>
      </c>
      <c r="M1585" t="inlineStr">
        <is>
          <t>Non-Billable</t>
        </is>
      </c>
      <c r="N1585" s="6">
        <f>IF(B1585="","",IF(ISNUMBER(B1585),TEXT(B1585,"YYYY-MM"),LEFT(B1585,7)))</f>
        <v/>
      </c>
    </row>
    <row r="1586">
      <c r="A1586" t="inlineStr">
        <is>
          <t>Frederick Antwi</t>
        </is>
      </c>
      <c r="B1586" s="4" t="n">
        <v>46100</v>
      </c>
      <c r="C1586" t="inlineStr">
        <is>
          <t>/</t>
        </is>
      </c>
      <c r="D1586" t="inlineStr">
        <is>
          <t>Frederick Antwi</t>
        </is>
      </c>
      <c r="E1586" t="inlineStr">
        <is>
          <t>Frederick Antwi</t>
        </is>
      </c>
      <c r="F1586" s="5" t="n">
        <v>46160.62325231481</v>
      </c>
      <c r="H1586" t="inlineStr">
        <is>
          <t>PCGH774 -Evaluation Deep-Dive Action Plans by Socfin Group</t>
        </is>
      </c>
      <c r="I1586" t="n">
        <v>8</v>
      </c>
      <c r="J1586" t="inlineStr">
        <is>
          <t>PCGH774 - Project Management (2) (Socfinco FR SA)</t>
        </is>
      </c>
      <c r="L1586" t="b">
        <v>1</v>
      </c>
      <c r="M1586" t="inlineStr">
        <is>
          <t>Billed at a Fixed price</t>
        </is>
      </c>
      <c r="N1586" s="6">
        <f>IF(B1586="","",IF(ISNUMBER(B1586),TEXT(B1586,"YYYY-MM"),LEFT(B1586,7)))</f>
        <v/>
      </c>
    </row>
    <row r="1587">
      <c r="A1587" t="inlineStr">
        <is>
          <t>Augustus Asamoah</t>
        </is>
      </c>
      <c r="B1587" s="4" t="n">
        <v>46100</v>
      </c>
      <c r="C1587" t="inlineStr">
        <is>
          <t>/</t>
        </is>
      </c>
      <c r="D1587" t="inlineStr">
        <is>
          <t>Augustus Asamoah</t>
        </is>
      </c>
      <c r="E1587" t="inlineStr">
        <is>
          <t>Augustus Asamoah</t>
        </is>
      </c>
      <c r="F1587" s="5" t="n">
        <v>46156.65501157408</v>
      </c>
      <c r="H1587" t="inlineStr">
        <is>
          <t>P13NC00A00 - WALMART II</t>
        </is>
      </c>
      <c r="I1587" t="n">
        <v>2</v>
      </c>
      <c r="L1587" t="b">
        <v>0</v>
      </c>
      <c r="M1587" t="inlineStr">
        <is>
          <t>Non-Billable</t>
        </is>
      </c>
      <c r="N1587" s="6">
        <f>IF(B1587="","",IF(ISNUMBER(B1587),TEXT(B1587,"YYYY-MM"),LEFT(B1587,7)))</f>
        <v/>
      </c>
    </row>
    <row r="1588">
      <c r="A1588" t="inlineStr">
        <is>
          <t>Augustus Asamoah</t>
        </is>
      </c>
      <c r="B1588" s="4" t="n">
        <v>46100</v>
      </c>
      <c r="C1588" t="inlineStr">
        <is>
          <t>/</t>
        </is>
      </c>
      <c r="D1588" t="inlineStr">
        <is>
          <t>Augustus Asamoah</t>
        </is>
      </c>
      <c r="E1588" t="inlineStr">
        <is>
          <t>Augustus Asamoah</t>
        </is>
      </c>
      <c r="F1588" s="5" t="n">
        <v>46156.65444444444</v>
      </c>
      <c r="H1588" t="inlineStr">
        <is>
          <t>P13PC00A00 - Private Sector Companies</t>
        </is>
      </c>
      <c r="I1588" t="n">
        <v>1</v>
      </c>
      <c r="L1588" t="b">
        <v>0</v>
      </c>
      <c r="M1588" t="inlineStr">
        <is>
          <t>Non-Billable</t>
        </is>
      </c>
      <c r="N1588" s="6">
        <f>IF(B1588="","",IF(ISNUMBER(B1588),TEXT(B1588,"YYYY-MM"),LEFT(B1588,7)))</f>
        <v/>
      </c>
    </row>
    <row r="1589">
      <c r="A1589" t="inlineStr">
        <is>
          <t>Augustus Asamoah</t>
        </is>
      </c>
      <c r="B1589" s="4" t="n">
        <v>46100</v>
      </c>
      <c r="C1589" t="inlineStr">
        <is>
          <t>/</t>
        </is>
      </c>
      <c r="D1589" t="inlineStr">
        <is>
          <t>Augustus Asamoah</t>
        </is>
      </c>
      <c r="E1589" t="inlineStr">
        <is>
          <t>Augustus Asamoah</t>
        </is>
      </c>
      <c r="F1589" s="5" t="n">
        <v>46156.65459490741</v>
      </c>
      <c r="H1589" t="inlineStr">
        <is>
          <t>P13QC00A00 - EFI Programme</t>
        </is>
      </c>
      <c r="I1589" t="n">
        <v>2</v>
      </c>
      <c r="L1589" t="b">
        <v>0</v>
      </c>
      <c r="M1589" t="inlineStr">
        <is>
          <t>Non-Billable</t>
        </is>
      </c>
      <c r="N1589" s="6">
        <f>IF(B1589="","",IF(ISNUMBER(B1589),TEXT(B1589,"YYYY-MM"),LEFT(B1589,7)))</f>
        <v/>
      </c>
    </row>
    <row r="1590">
      <c r="A1590" t="inlineStr">
        <is>
          <t>Augustus Asamoah</t>
        </is>
      </c>
      <c r="B1590" s="4" t="n">
        <v>46100</v>
      </c>
      <c r="C1590" t="inlineStr">
        <is>
          <t>/</t>
        </is>
      </c>
      <c r="D1590" t="inlineStr">
        <is>
          <t>Augustus Asamoah</t>
        </is>
      </c>
      <c r="E1590" t="inlineStr">
        <is>
          <t>Augustus Asamoah</t>
        </is>
      </c>
      <c r="F1590" s="5" t="n">
        <v>46156.65439814814</v>
      </c>
      <c r="H1590" t="inlineStr">
        <is>
          <t>PCGH784</t>
        </is>
      </c>
      <c r="I1590" t="n">
        <v>3</v>
      </c>
      <c r="J1590" t="inlineStr">
        <is>
          <t>PCGH784 - Desk Study (3) (Okeosisi Jonathan)</t>
        </is>
      </c>
      <c r="L1590" t="b">
        <v>1</v>
      </c>
      <c r="M1590" t="inlineStr">
        <is>
          <t>Billed at a Fixed price</t>
        </is>
      </c>
      <c r="N1590" s="6">
        <f>IF(B1590="","",IF(ISNUMBER(B1590),TEXT(B1590,"YYYY-MM"),LEFT(B1590,7)))</f>
        <v/>
      </c>
    </row>
    <row r="1591">
      <c r="A1591" t="inlineStr">
        <is>
          <t>Stephen Doso</t>
        </is>
      </c>
      <c r="B1591" s="4" t="n">
        <v>46100</v>
      </c>
      <c r="C1591" t="inlineStr">
        <is>
          <t>/</t>
        </is>
      </c>
      <c r="D1591" t="inlineStr">
        <is>
          <t>Stephen Doso</t>
        </is>
      </c>
      <c r="E1591" t="inlineStr">
        <is>
          <t>OdooBot</t>
        </is>
      </c>
      <c r="F1591" s="5" t="n">
        <v>46154.70721064815</v>
      </c>
      <c r="G1591" t="inlineStr">
        <is>
          <t>BOA: FIELDWORK</t>
        </is>
      </c>
      <c r="H1591" t="inlineStr">
        <is>
          <t>PCGH788 - CDC Boa &amp; Mondoni CV-HCS Scoping</t>
        </is>
      </c>
      <c r="I1591" t="n">
        <v>8</v>
      </c>
      <c r="J1591" t="inlineStr">
        <is>
          <t>PCGH788 - Field work  (2) (CAMEROON DEVELOPMENT CORPORATION (CDC))</t>
        </is>
      </c>
      <c r="K1591" t="inlineStr">
        <is>
          <t>Community consultations</t>
        </is>
      </c>
      <c r="L1591" t="b">
        <v>1</v>
      </c>
      <c r="M1591" t="inlineStr">
        <is>
          <t>Billed at a Fixed price</t>
        </is>
      </c>
      <c r="N1591" s="6">
        <f>IF(B1591="","",IF(ISNUMBER(B1591),TEXT(B1591,"YYYY-MM"),LEFT(B1591,7)))</f>
        <v/>
      </c>
    </row>
    <row r="1592">
      <c r="A1592" t="inlineStr">
        <is>
          <t>Kwadwo Baniako Nti</t>
        </is>
      </c>
      <c r="B1592" s="4" t="n">
        <v>46100</v>
      </c>
      <c r="C1592" t="inlineStr">
        <is>
          <t>/</t>
        </is>
      </c>
      <c r="D1592" t="inlineStr">
        <is>
          <t>Kwadwo Baniako Nti</t>
        </is>
      </c>
      <c r="E1592" t="inlineStr">
        <is>
          <t>OdooBot</t>
        </is>
      </c>
      <c r="F1592" s="5" t="n">
        <v>46154.70721064815</v>
      </c>
      <c r="H1592" t="inlineStr">
        <is>
          <t>PCGH774 -Evaluation Deep-Dive Action Plans by Socfin Group</t>
        </is>
      </c>
      <c r="I1592" t="n">
        <v>8</v>
      </c>
      <c r="J1592" t="inlineStr">
        <is>
          <t>PCGH774 - Management and Monitoring (3) (Socfinco FR SA)</t>
        </is>
      </c>
      <c r="K1592" t="inlineStr">
        <is>
          <t>Okomu - Analysis and reporting</t>
        </is>
      </c>
      <c r="L1592" t="b">
        <v>1</v>
      </c>
      <c r="M1592" t="inlineStr">
        <is>
          <t>Billed at a Fixed price</t>
        </is>
      </c>
      <c r="N1592" s="6">
        <f>IF(B1592="","",IF(ISNUMBER(B1592),TEXT(B1592,"YYYY-MM"),LEFT(B1592,7)))</f>
        <v/>
      </c>
    </row>
    <row r="1593">
      <c r="A1593" t="inlineStr">
        <is>
          <t>Kingsley Fitz-Gerald Severine</t>
        </is>
      </c>
      <c r="B1593" s="4" t="n">
        <v>46100</v>
      </c>
      <c r="C1593" t="inlineStr">
        <is>
          <t>/</t>
        </is>
      </c>
      <c r="D1593" t="inlineStr">
        <is>
          <t>Kingsley Fitz-Gerald Severine</t>
        </is>
      </c>
      <c r="E1593" t="inlineStr">
        <is>
          <t>OdooBot</t>
        </is>
      </c>
      <c r="F1593" s="5" t="n">
        <v>46154.70721064815</v>
      </c>
      <c r="G1593" t="inlineStr">
        <is>
          <t>BOA: FIELDWORK (3)</t>
        </is>
      </c>
      <c r="H1593" t="inlineStr">
        <is>
          <t>PCGH788 - CDC Boa &amp; Mondoni CV-HCS Scoping</t>
        </is>
      </c>
      <c r="I1593" t="n">
        <v>8</v>
      </c>
      <c r="J1593" t="inlineStr">
        <is>
          <t>PCGH788 - Field work  (3) (CAMEROON DEVELOPMENT CORPORATION (CDC))</t>
        </is>
      </c>
      <c r="K1593" t="inlineStr">
        <is>
          <t>Groundtruthing</t>
        </is>
      </c>
      <c r="L1593" t="b">
        <v>1</v>
      </c>
      <c r="M1593" t="inlineStr">
        <is>
          <t>Billed at a Fixed price</t>
        </is>
      </c>
      <c r="N1593" s="6">
        <f>IF(B1593="","",IF(ISNUMBER(B1593),TEXT(B1593,"YYYY-MM"),LEFT(B1593,7)))</f>
        <v/>
      </c>
    </row>
    <row r="1594">
      <c r="A1594" t="inlineStr">
        <is>
          <t>Louis Defo</t>
        </is>
      </c>
      <c r="B1594" s="4" t="n">
        <v>46100</v>
      </c>
      <c r="C1594" t="inlineStr">
        <is>
          <t>/</t>
        </is>
      </c>
      <c r="D1594" t="inlineStr">
        <is>
          <t>Louis Defo</t>
        </is>
      </c>
      <c r="E1594" t="inlineStr">
        <is>
          <t>OdooBot</t>
        </is>
      </c>
      <c r="F1594" s="5" t="n">
        <v>46154.70721064815</v>
      </c>
      <c r="H1594" t="inlineStr">
        <is>
          <t>PCGH788 - CDC Boa &amp; Mondoni CV-HCS Scoping</t>
        </is>
      </c>
      <c r="I1594" t="n">
        <v>8</v>
      </c>
      <c r="J1594" t="inlineStr">
        <is>
          <t>PCGH788 - Desk Study (3) (CAMEROON DEVELOPMENT CORPORATION (CDC))</t>
        </is>
      </c>
      <c r="L1594" t="b">
        <v>1</v>
      </c>
      <c r="M1594" t="inlineStr">
        <is>
          <t>Billed at a Fixed price</t>
        </is>
      </c>
      <c r="N1594" s="6">
        <f>IF(B1594="","",IF(ISNUMBER(B1594),TEXT(B1594,"YYYY-MM"),LEFT(B1594,7)))</f>
        <v/>
      </c>
    </row>
    <row r="1595">
      <c r="A1595" t="inlineStr">
        <is>
          <t>Afua Serwah Akoto Prempeh</t>
        </is>
      </c>
      <c r="B1595" s="4" t="n">
        <v>46100</v>
      </c>
      <c r="C1595" t="inlineStr">
        <is>
          <t>/</t>
        </is>
      </c>
      <c r="D1595" t="inlineStr">
        <is>
          <t>Afua Serwah Akoto Prempeh</t>
        </is>
      </c>
      <c r="E1595" t="inlineStr">
        <is>
          <t>OdooBot</t>
        </is>
      </c>
      <c r="F1595" s="5" t="n">
        <v>46154.70721064815</v>
      </c>
      <c r="H1595" t="inlineStr">
        <is>
          <t>Non-Billable Tasks</t>
        </is>
      </c>
      <c r="I1595" t="n">
        <v>8</v>
      </c>
      <c r="K1595" t="inlineStr">
        <is>
          <t>Professional development and Knowledge sharing(training,global knowledge calls,exchange weeks)</t>
        </is>
      </c>
      <c r="L1595" t="b">
        <v>0</v>
      </c>
      <c r="M1595" t="inlineStr">
        <is>
          <t>Non-Billable</t>
        </is>
      </c>
      <c r="N1595" s="6">
        <f>IF(B1595="","",IF(ISNUMBER(B1595),TEXT(B1595,"YYYY-MM"),LEFT(B1595,7)))</f>
        <v/>
      </c>
    </row>
    <row r="1596">
      <c r="A1596" t="inlineStr">
        <is>
          <t>Helena Tetteh</t>
        </is>
      </c>
      <c r="B1596" s="4" t="n">
        <v>46100</v>
      </c>
      <c r="C1596" t="inlineStr">
        <is>
          <t>BIP activities (LJIs), Ulula audit followups/documents, etc</t>
        </is>
      </c>
      <c r="D1596" t="inlineStr">
        <is>
          <t xml:space="preserve">Helena Tetteh </t>
        </is>
      </c>
      <c r="E1596" t="inlineStr">
        <is>
          <t>OdooBot</t>
        </is>
      </c>
      <c r="F1596" s="5" t="n">
        <v>46154.70721064815</v>
      </c>
      <c r="H1596" t="inlineStr">
        <is>
          <t>Non-Billable Tasks</t>
        </is>
      </c>
      <c r="I1596" t="n">
        <v>8</v>
      </c>
      <c r="K1596" t="inlineStr">
        <is>
          <t>Portfolio Team Management</t>
        </is>
      </c>
      <c r="L1596" t="b">
        <v>0</v>
      </c>
      <c r="M1596" t="inlineStr">
        <is>
          <t>Non-Billable</t>
        </is>
      </c>
      <c r="N1596" s="6">
        <f>IF(B1596="","",IF(ISNUMBER(B1596),TEXT(B1596,"YYYY-MM"),LEFT(B1596,7)))</f>
        <v/>
      </c>
    </row>
    <row r="1597">
      <c r="A1597" t="inlineStr">
        <is>
          <t>Ekow Nyamekye Tawiah</t>
        </is>
      </c>
      <c r="B1597" s="4" t="n">
        <v>46100</v>
      </c>
      <c r="C1597" t="inlineStr">
        <is>
          <t>/</t>
        </is>
      </c>
      <c r="D1597" t="inlineStr">
        <is>
          <t>Joseph Isaiah Mensah</t>
        </is>
      </c>
      <c r="E1597" t="inlineStr">
        <is>
          <t>OdooBot</t>
        </is>
      </c>
      <c r="F1597" s="5" t="n">
        <v>46154.70721064815</v>
      </c>
      <c r="H1597" t="inlineStr">
        <is>
          <t>PCGH722</t>
        </is>
      </c>
      <c r="I1597" t="n">
        <v>2.5</v>
      </c>
      <c r="J1597" t="inlineStr">
        <is>
          <t>PCGH722 - Analysis and Reporting (3) (Sucrivoire SA)</t>
        </is>
      </c>
      <c r="K1597" t="inlineStr">
        <is>
          <t>Analysis and Reporting (3)</t>
        </is>
      </c>
      <c r="L1597" t="b">
        <v>1</v>
      </c>
      <c r="M1597" t="inlineStr">
        <is>
          <t>Billed at a Fixed price</t>
        </is>
      </c>
      <c r="N1597" s="6">
        <f>IF(B1597="","",IF(ISNUMBER(B1597),TEXT(B1597,"YYYY-MM"),LEFT(B1597,7)))</f>
        <v/>
      </c>
    </row>
    <row r="1598">
      <c r="A1598" t="inlineStr">
        <is>
          <t>Ekow Nyamekye Tawiah</t>
        </is>
      </c>
      <c r="B1598" s="4" t="n">
        <v>46100</v>
      </c>
      <c r="C1598" t="inlineStr">
        <is>
          <t>/</t>
        </is>
      </c>
      <c r="D1598" t="inlineStr">
        <is>
          <t>Joseph Isaiah Mensah</t>
        </is>
      </c>
      <c r="E1598" t="inlineStr">
        <is>
          <t>OdooBot</t>
        </is>
      </c>
      <c r="F1598" s="5" t="n">
        <v>46154.70721064815</v>
      </c>
      <c r="H1598" t="inlineStr">
        <is>
          <t>Non-Billable Tasks</t>
        </is>
      </c>
      <c r="I1598" t="n">
        <v>1.5</v>
      </c>
      <c r="K1598" t="inlineStr">
        <is>
          <t>Professional development and Knowledge sharing(training,global knowledge calls,exchange weeks)</t>
        </is>
      </c>
      <c r="L1598" t="b">
        <v>0</v>
      </c>
      <c r="M1598" t="inlineStr">
        <is>
          <t>Non-Billable</t>
        </is>
      </c>
      <c r="N1598" s="6">
        <f>IF(B1598="","",IF(ISNUMBER(B1598),TEXT(B1598,"YYYY-MM"),LEFT(B1598,7)))</f>
        <v/>
      </c>
    </row>
    <row r="1599">
      <c r="A1599" t="inlineStr">
        <is>
          <t>Clement Obeng-Manu</t>
        </is>
      </c>
      <c r="B1599" s="4" t="n">
        <v>46100</v>
      </c>
      <c r="C1599" t="inlineStr">
        <is>
          <t>/</t>
        </is>
      </c>
      <c r="D1599" t="inlineStr">
        <is>
          <t>Ekow Nyamekye Tawiah</t>
        </is>
      </c>
      <c r="E1599" t="inlineStr">
        <is>
          <t>OdooBot</t>
        </is>
      </c>
      <c r="F1599" s="5" t="n">
        <v>46154.70721064815</v>
      </c>
      <c r="H1599" t="inlineStr">
        <is>
          <t>PCGH777</t>
        </is>
      </c>
      <c r="I1599" t="n">
        <v>8</v>
      </c>
      <c r="J1599" t="inlineStr">
        <is>
          <t>PCGH777 - Land Use Change Analysis (Proforest Limited(PCUK GBP))</t>
        </is>
      </c>
      <c r="K1599" t="inlineStr">
        <is>
          <t xml:space="preserve">Post fieldwork analysis </t>
        </is>
      </c>
      <c r="L1599" t="b">
        <v>1</v>
      </c>
      <c r="M1599" t="inlineStr">
        <is>
          <t>Billed at a Fixed price</t>
        </is>
      </c>
      <c r="N1599" s="6">
        <f>IF(B1599="","",IF(ISNUMBER(B1599),TEXT(B1599,"YYYY-MM"),LEFT(B1599,7)))</f>
        <v/>
      </c>
    </row>
    <row r="1600">
      <c r="A1600" t="inlineStr">
        <is>
          <t>Clement Obeng-Manu</t>
        </is>
      </c>
      <c r="B1600" s="4" t="n">
        <v>46100</v>
      </c>
      <c r="C1600" t="inlineStr">
        <is>
          <t>/</t>
        </is>
      </c>
      <c r="D1600" t="inlineStr">
        <is>
          <t>Ekow Nyamekye Tawiah</t>
        </is>
      </c>
      <c r="E1600" t="inlineStr">
        <is>
          <t>OdooBot</t>
        </is>
      </c>
      <c r="F1600" s="5" t="n">
        <v>46154.70721064815</v>
      </c>
      <c r="G1600" t="inlineStr">
        <is>
          <t>Fieldwork – stakeholder engagement</t>
        </is>
      </c>
      <c r="H1600" t="inlineStr">
        <is>
          <t>PCGH777</t>
        </is>
      </c>
      <c r="I1600" t="n">
        <v>0</v>
      </c>
      <c r="J1600" t="inlineStr">
        <is>
          <t>PCGH777 - Field work  (3) (Proforest Limited(PCUK GBP))</t>
        </is>
      </c>
      <c r="K1600" t="inlineStr">
        <is>
          <t>Fieldwork – stakeholder engagement</t>
        </is>
      </c>
      <c r="L1600" t="b">
        <v>1</v>
      </c>
      <c r="M1600" t="inlineStr">
        <is>
          <t>Billed at a Fixed price</t>
        </is>
      </c>
      <c r="N1600" s="6">
        <f>IF(B1600="","",IF(ISNUMBER(B1600),TEXT(B1600,"YYYY-MM"),LEFT(B1600,7)))</f>
        <v/>
      </c>
    </row>
    <row r="1601">
      <c r="A1601" t="inlineStr">
        <is>
          <t>Abraham Baffoe</t>
        </is>
      </c>
      <c r="B1601" s="4" t="n">
        <v>46100</v>
      </c>
      <c r="C1601" t="inlineStr">
        <is>
          <t>Time Off (4/4)</t>
        </is>
      </c>
      <c r="D1601" t="inlineStr">
        <is>
          <t>Clement Obeng-Manu</t>
        </is>
      </c>
      <c r="E1601" t="inlineStr">
        <is>
          <t>OdooBot</t>
        </is>
      </c>
      <c r="F1601" s="5" t="n">
        <v>46154.70721064815</v>
      </c>
      <c r="H1601" t="inlineStr">
        <is>
          <t>Internal</t>
        </is>
      </c>
      <c r="I1601" t="n">
        <v>8</v>
      </c>
      <c r="K1601" t="inlineStr">
        <is>
          <t>Time Off</t>
        </is>
      </c>
      <c r="L1601" t="b">
        <v>0</v>
      </c>
      <c r="M1601" t="inlineStr">
        <is>
          <t>Non-Billable</t>
        </is>
      </c>
      <c r="N1601" s="6">
        <f>IF(B1601="","",IF(ISNUMBER(B1601),TEXT(B1601,"YYYY-MM"),LEFT(B1601,7)))</f>
        <v/>
      </c>
    </row>
    <row r="1602">
      <c r="A1602" t="inlineStr">
        <is>
          <t>Joseph Isaiah Mensah</t>
        </is>
      </c>
      <c r="B1602" s="4" t="n">
        <v>46099</v>
      </c>
      <c r="C1602" t="inlineStr">
        <is>
          <t>EU proposal</t>
        </is>
      </c>
      <c r="D1602" t="inlineStr">
        <is>
          <t>Jacqueline Nyakutse Afua</t>
        </is>
      </c>
      <c r="E1602" t="inlineStr">
        <is>
          <t>Joseph Isaiah Mensah</t>
        </is>
      </c>
      <c r="F1602" s="5" t="n">
        <v>46162.73267361111</v>
      </c>
      <c r="H1602" t="inlineStr">
        <is>
          <t>Non-Billable Tasks</t>
        </is>
      </c>
      <c r="I1602" t="n">
        <v>7</v>
      </c>
      <c r="K1602" t="inlineStr">
        <is>
          <t>Business Development and Networking</t>
        </is>
      </c>
      <c r="L1602" t="b">
        <v>0</v>
      </c>
      <c r="M1602" t="inlineStr">
        <is>
          <t>Non-Billable</t>
        </is>
      </c>
      <c r="N1602" s="6">
        <f>IF(B1602="","",IF(ISNUMBER(B1602),TEXT(B1602,"YYYY-MM"),LEFT(B1602,7)))</f>
        <v/>
      </c>
    </row>
    <row r="1603">
      <c r="A1603" t="inlineStr">
        <is>
          <t>Joseph Isaiah Mensah</t>
        </is>
      </c>
      <c r="B1603" s="4" t="n">
        <v>46099</v>
      </c>
      <c r="C1603" t="inlineStr">
        <is>
          <t>[Update]: Finalization of validation workshop budget</t>
        </is>
      </c>
      <c r="D1603" t="inlineStr">
        <is>
          <t>Jacqueline Nyakutse Afua</t>
        </is>
      </c>
      <c r="E1603" t="inlineStr">
        <is>
          <t>Joseph Isaiah Mensah</t>
        </is>
      </c>
      <c r="F1603" s="5" t="n">
        <v>46162.72594907408</v>
      </c>
      <c r="H1603" t="inlineStr">
        <is>
          <t>PCGH780 - Nigeria</t>
        </is>
      </c>
      <c r="I1603" t="n">
        <v>1</v>
      </c>
      <c r="J1603" t="inlineStr">
        <is>
          <t>PCGH780 - Tree Planting Project (2) (Proforest Limited(PCUK GBP))</t>
        </is>
      </c>
      <c r="L1603" t="b">
        <v>1</v>
      </c>
      <c r="M1603" t="inlineStr">
        <is>
          <t>Billed at a Fixed price</t>
        </is>
      </c>
      <c r="N1603" s="6">
        <f>IF(B1603="","",IF(ISNUMBER(B1603),TEXT(B1603,"YYYY-MM"),LEFT(B1603,7)))</f>
        <v/>
      </c>
    </row>
    <row r="1604">
      <c r="A1604" t="inlineStr">
        <is>
          <t>James Parker Mckeown</t>
        </is>
      </c>
      <c r="B1604" s="4" t="n">
        <v>46099</v>
      </c>
      <c r="C1604" t="inlineStr">
        <is>
          <t>CSOs support proposals with SESDev, GLI</t>
        </is>
      </c>
      <c r="D1604" t="inlineStr">
        <is>
          <t>James Parker Mckeown</t>
        </is>
      </c>
      <c r="E1604" t="inlineStr">
        <is>
          <t>James Parker Mckeown</t>
        </is>
      </c>
      <c r="F1604" s="5" t="n">
        <v>46162.70288194445</v>
      </c>
      <c r="H1604" t="inlineStr">
        <is>
          <t>Non-Billable Tasks</t>
        </is>
      </c>
      <c r="I1604" t="n">
        <v>3.5</v>
      </c>
      <c r="K1604" t="inlineStr">
        <is>
          <t>Business Development and Networking</t>
        </is>
      </c>
      <c r="L1604" t="b">
        <v>0</v>
      </c>
      <c r="M1604" t="inlineStr">
        <is>
          <t>Non-Billable</t>
        </is>
      </c>
      <c r="N1604" s="6">
        <f>IF(B1604="","",IF(ISNUMBER(B1604),TEXT(B1604,"YYYY-MM"),LEFT(B1604,7)))</f>
        <v/>
      </c>
    </row>
    <row r="1605">
      <c r="A1605" t="inlineStr">
        <is>
          <t>James Parker Mckeown</t>
        </is>
      </c>
      <c r="B1605" s="4" t="n">
        <v>46099</v>
      </c>
      <c r="C1605" t="inlineStr">
        <is>
          <t xml:space="preserve">Global Production Landscapes Call
</t>
        </is>
      </c>
      <c r="D1605" t="inlineStr">
        <is>
          <t>James Parker Mckeown</t>
        </is>
      </c>
      <c r="E1605" t="inlineStr">
        <is>
          <t>James Parker Mckeown</t>
        </is>
      </c>
      <c r="F1605" s="5" t="n">
        <v>46162.70113425926</v>
      </c>
      <c r="H1605" t="inlineStr">
        <is>
          <t>Non-Billable Tasks</t>
        </is>
      </c>
      <c r="I1605" t="n">
        <v>1.5</v>
      </c>
      <c r="K1605" t="inlineStr">
        <is>
          <t>Professional development and Knowledge sharing(training,global knowledge calls,exchange weeks)</t>
        </is>
      </c>
      <c r="L1605" t="b">
        <v>0</v>
      </c>
      <c r="M1605" t="inlineStr">
        <is>
          <t>Non-Billable</t>
        </is>
      </c>
      <c r="N1605" s="6">
        <f>IF(B1605="","",IF(ISNUMBER(B1605),TEXT(B1605,"YYYY-MM"),LEFT(B1605,7)))</f>
        <v/>
      </c>
    </row>
    <row r="1606">
      <c r="A1606" t="inlineStr">
        <is>
          <t>James Parker Mckeown</t>
        </is>
      </c>
      <c r="B1606" s="4" t="n">
        <v>46099</v>
      </c>
      <c r="C1606" t="inlineStr">
        <is>
          <t xml:space="preserve">Proforest-Rainforest Alliance discussion on collaboration </t>
        </is>
      </c>
      <c r="D1606" t="inlineStr">
        <is>
          <t>James Parker Mckeown</t>
        </is>
      </c>
      <c r="E1606" t="inlineStr">
        <is>
          <t>James Parker Mckeown</t>
        </is>
      </c>
      <c r="F1606" s="5" t="n">
        <v>46162.69873842593</v>
      </c>
      <c r="H1606" t="inlineStr">
        <is>
          <t>Non-Billable Tasks</t>
        </is>
      </c>
      <c r="I1606" t="n">
        <v>1.5</v>
      </c>
      <c r="K1606" t="inlineStr">
        <is>
          <t>Business Development and Networking</t>
        </is>
      </c>
      <c r="L1606" t="b">
        <v>0</v>
      </c>
      <c r="M1606" t="inlineStr">
        <is>
          <t>Non-Billable</t>
        </is>
      </c>
      <c r="N1606" s="6">
        <f>IF(B1606="","",IF(ISNUMBER(B1606),TEXT(B1606,"YYYY-MM"),LEFT(B1606,7)))</f>
        <v/>
      </c>
    </row>
    <row r="1607">
      <c r="A1607" t="inlineStr">
        <is>
          <t>James Parker Mckeown</t>
        </is>
      </c>
      <c r="B1607" s="4" t="n">
        <v>46099</v>
      </c>
      <c r="C1607" t="inlineStr">
        <is>
          <t>/</t>
        </is>
      </c>
      <c r="D1607" t="inlineStr">
        <is>
          <t>James Parker Mckeown</t>
        </is>
      </c>
      <c r="E1607" t="inlineStr">
        <is>
          <t>James Parker Mckeown</t>
        </is>
      </c>
      <c r="F1607" s="5" t="n">
        <v>46162.69597222222</v>
      </c>
      <c r="H1607" t="inlineStr">
        <is>
          <t>PCGH762 - GVL HCSA Restoration Project</t>
        </is>
      </c>
      <c r="I1607" t="n">
        <v>2</v>
      </c>
      <c r="J1607" t="inlineStr">
        <is>
          <t>PCGH762 - Desk Review, Stakeholder Mapping &amp; Analysis and Engagement (Golden Veroleum Liberia)</t>
        </is>
      </c>
      <c r="L1607" t="b">
        <v>1</v>
      </c>
      <c r="M1607" t="inlineStr">
        <is>
          <t>Billed at a Fixed price</t>
        </is>
      </c>
      <c r="N1607" s="6">
        <f>IF(B1607="","",IF(ISNUMBER(B1607),TEXT(B1607,"YYYY-MM"),LEFT(B1607,7)))</f>
        <v/>
      </c>
    </row>
    <row r="1608">
      <c r="A1608" t="inlineStr">
        <is>
          <t>Frederick Antwi</t>
        </is>
      </c>
      <c r="B1608" s="4" t="n">
        <v>46099</v>
      </c>
      <c r="C1608" t="inlineStr">
        <is>
          <t>/</t>
        </is>
      </c>
      <c r="D1608" t="inlineStr">
        <is>
          <t>Frederick Antwi</t>
        </is>
      </c>
      <c r="E1608" t="inlineStr">
        <is>
          <t>Frederick Antwi</t>
        </is>
      </c>
      <c r="F1608" s="5" t="n">
        <v>46160.62322916667</v>
      </c>
      <c r="H1608" t="inlineStr">
        <is>
          <t>PCGH774 -Evaluation Deep-Dive Action Plans by Socfin Group</t>
        </is>
      </c>
      <c r="I1608" t="n">
        <v>8</v>
      </c>
      <c r="J1608" t="inlineStr">
        <is>
          <t>PCGH774 - Project Management (2) (Socfinco FR SA)</t>
        </is>
      </c>
      <c r="L1608" t="b">
        <v>1</v>
      </c>
      <c r="M1608" t="inlineStr">
        <is>
          <t>Billed at a Fixed price</t>
        </is>
      </c>
      <c r="N1608" s="6">
        <f>IF(B1608="","",IF(ISNUMBER(B1608),TEXT(B1608,"YYYY-MM"),LEFT(B1608,7)))</f>
        <v/>
      </c>
    </row>
    <row r="1609">
      <c r="A1609" t="inlineStr">
        <is>
          <t>Augustus Asamoah</t>
        </is>
      </c>
      <c r="B1609" s="4" t="n">
        <v>46099</v>
      </c>
      <c r="C1609" t="inlineStr">
        <is>
          <t>/</t>
        </is>
      </c>
      <c r="D1609" t="inlineStr">
        <is>
          <t>Augustus Asamoah</t>
        </is>
      </c>
      <c r="E1609" t="inlineStr">
        <is>
          <t>Augustus Asamoah</t>
        </is>
      </c>
      <c r="F1609" s="5" t="n">
        <v>46156.65353009259</v>
      </c>
      <c r="H1609" t="inlineStr">
        <is>
          <t>P13QC00A00 - EFI Programme</t>
        </is>
      </c>
      <c r="I1609" t="n">
        <v>4</v>
      </c>
      <c r="L1609" t="b">
        <v>0</v>
      </c>
      <c r="M1609" t="inlineStr">
        <is>
          <t>Non-Billable</t>
        </is>
      </c>
      <c r="N1609" s="6">
        <f>IF(B1609="","",IF(ISNUMBER(B1609),TEXT(B1609,"YYYY-MM"),LEFT(B1609,7)))</f>
        <v/>
      </c>
    </row>
    <row r="1610">
      <c r="A1610" t="inlineStr">
        <is>
          <t>Augustus Asamoah</t>
        </is>
      </c>
      <c r="B1610" s="4" t="n">
        <v>46099</v>
      </c>
      <c r="C1610" t="inlineStr">
        <is>
          <t>/</t>
        </is>
      </c>
      <c r="D1610" t="inlineStr">
        <is>
          <t>Augustus Asamoah</t>
        </is>
      </c>
      <c r="E1610" t="inlineStr">
        <is>
          <t>Augustus Asamoah</t>
        </is>
      </c>
      <c r="F1610" s="5" t="n">
        <v>46156.65256944444</v>
      </c>
      <c r="H1610" t="inlineStr">
        <is>
          <t>P13PC00A00 - Private Sector Companies</t>
        </is>
      </c>
      <c r="I1610" t="n">
        <v>4</v>
      </c>
      <c r="L1610" t="b">
        <v>0</v>
      </c>
      <c r="M1610" t="inlineStr">
        <is>
          <t>Non-Billable</t>
        </is>
      </c>
      <c r="N1610" s="6">
        <f>IF(B1610="","",IF(ISNUMBER(B1610),TEXT(B1610,"YYYY-MM"),LEFT(B1610,7)))</f>
        <v/>
      </c>
    </row>
    <row r="1611">
      <c r="A1611" t="inlineStr">
        <is>
          <t>Stephen Doso</t>
        </is>
      </c>
      <c r="B1611" s="4" t="n">
        <v>46099</v>
      </c>
      <c r="C1611" t="inlineStr">
        <is>
          <t>/</t>
        </is>
      </c>
      <c r="D1611" t="inlineStr">
        <is>
          <t>Stephen Doso</t>
        </is>
      </c>
      <c r="E1611" t="inlineStr">
        <is>
          <t>OdooBot</t>
        </is>
      </c>
      <c r="F1611" s="5" t="n">
        <v>46154.70721064815</v>
      </c>
      <c r="G1611" t="inlineStr">
        <is>
          <t>BOA: FIELDWORK</t>
        </is>
      </c>
      <c r="H1611" t="inlineStr">
        <is>
          <t>PCGH788 - CDC Boa &amp; Mondoni CV-HCS Scoping</t>
        </is>
      </c>
      <c r="I1611" t="n">
        <v>8</v>
      </c>
      <c r="J1611" t="inlineStr">
        <is>
          <t>PCGH788 - Field work  (2) (CAMEROON DEVELOPMENT CORPORATION (CDC))</t>
        </is>
      </c>
      <c r="K1611" t="inlineStr">
        <is>
          <t>Community consultations</t>
        </is>
      </c>
      <c r="L1611" t="b">
        <v>1</v>
      </c>
      <c r="M1611" t="inlineStr">
        <is>
          <t>Billed at a Fixed price</t>
        </is>
      </c>
      <c r="N1611" s="6">
        <f>IF(B1611="","",IF(ISNUMBER(B1611),TEXT(B1611,"YYYY-MM"),LEFT(B1611,7)))</f>
        <v/>
      </c>
    </row>
    <row r="1612">
      <c r="A1612" t="inlineStr">
        <is>
          <t>Stephen Doso</t>
        </is>
      </c>
      <c r="B1612" s="4" t="n">
        <v>46099</v>
      </c>
      <c r="C1612" t="inlineStr">
        <is>
          <t>/</t>
        </is>
      </c>
      <c r="D1612" t="inlineStr">
        <is>
          <t>Stephen Doso</t>
        </is>
      </c>
      <c r="E1612" t="inlineStr">
        <is>
          <t>OdooBot</t>
        </is>
      </c>
      <c r="F1612" s="5" t="n">
        <v>46154.70721064815</v>
      </c>
      <c r="H1612" t="inlineStr">
        <is>
          <t>PCGH788 - CDC Boa &amp; Mondoni CV-HCS Scoping</t>
        </is>
      </c>
      <c r="I1612" t="n">
        <v>0</v>
      </c>
      <c r="J1612" t="inlineStr">
        <is>
          <t>PCGH788 - Field work  (2) (CAMEROON DEVELOPMENT CORPORATION (CDC))</t>
        </is>
      </c>
      <c r="K1612" t="inlineStr">
        <is>
          <t>MONDONI: FIELDWORK (2)</t>
        </is>
      </c>
      <c r="L1612" t="b">
        <v>1</v>
      </c>
      <c r="M1612" t="inlineStr">
        <is>
          <t>Billed at a Fixed price</t>
        </is>
      </c>
      <c r="N1612" s="6">
        <f>IF(B1612="","",IF(ISNUMBER(B1612),TEXT(B1612,"YYYY-MM"),LEFT(B1612,7)))</f>
        <v/>
      </c>
    </row>
    <row r="1613">
      <c r="A1613" t="inlineStr">
        <is>
          <t>Kwadwo Baniako Nti</t>
        </is>
      </c>
      <c r="B1613" s="4" t="n">
        <v>46099</v>
      </c>
      <c r="C1613" t="inlineStr">
        <is>
          <t>/</t>
        </is>
      </c>
      <c r="D1613" t="inlineStr">
        <is>
          <t>Kwadwo Baniako Nti</t>
        </is>
      </c>
      <c r="E1613" t="inlineStr">
        <is>
          <t>OdooBot</t>
        </is>
      </c>
      <c r="F1613" s="5" t="n">
        <v>46154.70721064815</v>
      </c>
      <c r="H1613" t="inlineStr">
        <is>
          <t>PCGH774 -Evaluation Deep-Dive Action Plans by Socfin Group</t>
        </is>
      </c>
      <c r="I1613" t="n">
        <v>8</v>
      </c>
      <c r="J1613" t="inlineStr">
        <is>
          <t>PCGH774 - Tier 3 (Socfinco FR SA)</t>
        </is>
      </c>
      <c r="K1613" t="inlineStr">
        <is>
          <t xml:space="preserve">Okomu - Review of operational documents </t>
        </is>
      </c>
      <c r="L1613" t="b">
        <v>1</v>
      </c>
      <c r="M1613" t="inlineStr">
        <is>
          <t>Billed at a Fixed price</t>
        </is>
      </c>
      <c r="N1613" s="6">
        <f>IF(B1613="","",IF(ISNUMBER(B1613),TEXT(B1613,"YYYY-MM"),LEFT(B1613,7)))</f>
        <v/>
      </c>
    </row>
    <row r="1614">
      <c r="A1614" t="inlineStr">
        <is>
          <t>Kwadwo Baniako Nti</t>
        </is>
      </c>
      <c r="B1614" s="4" t="n">
        <v>46099</v>
      </c>
      <c r="C1614" t="inlineStr">
        <is>
          <t>/</t>
        </is>
      </c>
      <c r="D1614" t="inlineStr">
        <is>
          <t>Kwadwo Baniako Nti</t>
        </is>
      </c>
      <c r="E1614" t="inlineStr">
        <is>
          <t>OdooBot</t>
        </is>
      </c>
      <c r="F1614" s="5" t="n">
        <v>46154.70721064815</v>
      </c>
      <c r="H1614" t="inlineStr">
        <is>
          <t>PCGH774 -Evaluation Deep-Dive Action Plans by Socfin Group</t>
        </is>
      </c>
      <c r="I1614" t="n">
        <v>0</v>
      </c>
      <c r="J1614" t="inlineStr">
        <is>
          <t>PCGH774 - Tier 2 (Socfinco FR SA)</t>
        </is>
      </c>
      <c r="K1614" t="inlineStr">
        <is>
          <t>SAC - Analysis and reporting</t>
        </is>
      </c>
      <c r="L1614" t="b">
        <v>1</v>
      </c>
      <c r="M1614" t="inlineStr">
        <is>
          <t>Billed at a Fixed price</t>
        </is>
      </c>
      <c r="N1614" s="6">
        <f>IF(B1614="","",IF(ISNUMBER(B1614),TEXT(B1614,"YYYY-MM"),LEFT(B1614,7)))</f>
        <v/>
      </c>
    </row>
    <row r="1615">
      <c r="A1615" t="inlineStr">
        <is>
          <t>Kingsley Fitz-Gerald Severine</t>
        </is>
      </c>
      <c r="B1615" s="4" t="n">
        <v>46099</v>
      </c>
      <c r="C1615" t="inlineStr">
        <is>
          <t>/</t>
        </is>
      </c>
      <c r="D1615" t="inlineStr">
        <is>
          <t>Kingsley Fitz-Gerald Severine</t>
        </is>
      </c>
      <c r="E1615" t="inlineStr">
        <is>
          <t>OdooBot</t>
        </is>
      </c>
      <c r="F1615" s="5" t="n">
        <v>46154.70721064815</v>
      </c>
      <c r="G1615" t="inlineStr">
        <is>
          <t>MONDONI: FIELDWORK (3)</t>
        </is>
      </c>
      <c r="H1615" t="inlineStr">
        <is>
          <t>PCGH788 - CDC Boa &amp; Mondoni CV-HCS Scoping</t>
        </is>
      </c>
      <c r="I1615" t="n">
        <v>8</v>
      </c>
      <c r="J1615" t="inlineStr">
        <is>
          <t>PCGH788 - Field work  (3) (CAMEROON DEVELOPMENT CORPORATION (CDC))</t>
        </is>
      </c>
      <c r="K1615" t="inlineStr">
        <is>
          <t>Community consultations</t>
        </is>
      </c>
      <c r="L1615" t="b">
        <v>1</v>
      </c>
      <c r="M1615" t="inlineStr">
        <is>
          <t>Billed at a Fixed price</t>
        </is>
      </c>
      <c r="N1615" s="6">
        <f>IF(B1615="","",IF(ISNUMBER(B1615),TEXT(B1615,"YYYY-MM"),LEFT(B1615,7)))</f>
        <v/>
      </c>
    </row>
    <row r="1616">
      <c r="A1616" t="inlineStr">
        <is>
          <t>Louis Defo</t>
        </is>
      </c>
      <c r="B1616" s="4" t="n">
        <v>46099</v>
      </c>
      <c r="C1616" t="inlineStr">
        <is>
          <t>/</t>
        </is>
      </c>
      <c r="D1616" t="inlineStr">
        <is>
          <t>Louis Defo</t>
        </is>
      </c>
      <c r="E1616" t="inlineStr">
        <is>
          <t>OdooBot</t>
        </is>
      </c>
      <c r="F1616" s="5" t="n">
        <v>46154.70721064815</v>
      </c>
      <c r="H1616" t="inlineStr">
        <is>
          <t>PCGH788 - CDC Boa &amp; Mondoni CV-HCS Scoping</t>
        </is>
      </c>
      <c r="I1616" t="n">
        <v>8</v>
      </c>
      <c r="J1616" t="inlineStr">
        <is>
          <t>PCGH788 - Desk Study (3) (CAMEROON DEVELOPMENT CORPORATION (CDC))</t>
        </is>
      </c>
      <c r="L1616" t="b">
        <v>1</v>
      </c>
      <c r="M1616" t="inlineStr">
        <is>
          <t>Billed at a Fixed price</t>
        </is>
      </c>
      <c r="N1616" s="6">
        <f>IF(B1616="","",IF(ISNUMBER(B1616),TEXT(B1616,"YYYY-MM"),LEFT(B1616,7)))</f>
        <v/>
      </c>
    </row>
    <row r="1617">
      <c r="A1617" t="inlineStr">
        <is>
          <t>Louis Defo</t>
        </is>
      </c>
      <c r="B1617" s="4" t="n">
        <v>46099</v>
      </c>
      <c r="C1617" t="inlineStr">
        <is>
          <t>/</t>
        </is>
      </c>
      <c r="D1617" t="inlineStr">
        <is>
          <t>Louis Defo</t>
        </is>
      </c>
      <c r="E1617" t="inlineStr">
        <is>
          <t>OdooBot</t>
        </is>
      </c>
      <c r="F1617" s="5" t="n">
        <v>46154.70721064815</v>
      </c>
      <c r="H1617" t="inlineStr">
        <is>
          <t>PCGH788 - CDC Boa &amp; Mondoni CV-HCS Scoping</t>
        </is>
      </c>
      <c r="I1617" t="n">
        <v>0</v>
      </c>
      <c r="J1617" t="inlineStr">
        <is>
          <t>PCGH788 - Desk Study (3) (CAMEROON DEVELOPMENT CORPORATION (CDC))</t>
        </is>
      </c>
      <c r="L1617" t="b">
        <v>1</v>
      </c>
      <c r="M1617" t="inlineStr">
        <is>
          <t>Billed at a Fixed price</t>
        </is>
      </c>
      <c r="N1617" s="6">
        <f>IF(B1617="","",IF(ISNUMBER(B1617),TEXT(B1617,"YYYY-MM"),LEFT(B1617,7)))</f>
        <v/>
      </c>
    </row>
    <row r="1618">
      <c r="A1618" t="inlineStr">
        <is>
          <t>Afua Serwah Akoto Prempeh</t>
        </is>
      </c>
      <c r="B1618" s="4" t="n">
        <v>46099</v>
      </c>
      <c r="C1618" t="inlineStr">
        <is>
          <t>/</t>
        </is>
      </c>
      <c r="D1618" t="inlineStr">
        <is>
          <t>Afua Serwah Akoto Prempeh</t>
        </is>
      </c>
      <c r="E1618" t="inlineStr">
        <is>
          <t>OdooBot</t>
        </is>
      </c>
      <c r="F1618" s="5" t="n">
        <v>46154.70721064815</v>
      </c>
      <c r="H1618" t="inlineStr">
        <is>
          <t>Non-Billable Tasks</t>
        </is>
      </c>
      <c r="I1618" t="n">
        <v>8</v>
      </c>
      <c r="K1618" t="inlineStr">
        <is>
          <t>Professional development and Knowledge sharing(training,global knowledge calls,exchange weeks)</t>
        </is>
      </c>
      <c r="L1618" t="b">
        <v>0</v>
      </c>
      <c r="M1618" t="inlineStr">
        <is>
          <t>Non-Billable</t>
        </is>
      </c>
      <c r="N1618" s="6">
        <f>IF(B1618="","",IF(ISNUMBER(B1618),TEXT(B1618,"YYYY-MM"),LEFT(B1618,7)))</f>
        <v/>
      </c>
    </row>
    <row r="1619">
      <c r="A1619" t="inlineStr">
        <is>
          <t>Helena Tetteh</t>
        </is>
      </c>
      <c r="B1619" s="4" t="n">
        <v>46099</v>
      </c>
      <c r="C1619" t="inlineStr">
        <is>
          <t>/</t>
        </is>
      </c>
      <c r="D1619" t="inlineStr">
        <is>
          <t xml:space="preserve">Helena Tetteh </t>
        </is>
      </c>
      <c r="E1619" t="inlineStr">
        <is>
          <t>OdooBot</t>
        </is>
      </c>
      <c r="F1619" s="5" t="n">
        <v>46154.70721064815</v>
      </c>
      <c r="H1619" t="inlineStr">
        <is>
          <t>PCGH762 - GVL HCSA Restoration Project</t>
        </is>
      </c>
      <c r="I1619" t="n">
        <v>3</v>
      </c>
      <c r="J1619" t="inlineStr">
        <is>
          <t>PCGH763 - Desk study (Due diligence) (Jopafram Nigeria Limited)</t>
        </is>
      </c>
      <c r="K1619" t="inlineStr">
        <is>
          <t>Fundraising and proposal development</t>
        </is>
      </c>
      <c r="L1619" t="b">
        <v>1</v>
      </c>
      <c r="M1619" t="inlineStr">
        <is>
          <t>Billed at a Fixed price</t>
        </is>
      </c>
      <c r="N1619" s="6">
        <f>IF(B1619="","",IF(ISNUMBER(B1619),TEXT(B1619,"YYYY-MM"),LEFT(B1619,7)))</f>
        <v/>
      </c>
    </row>
    <row r="1620">
      <c r="A1620" t="inlineStr">
        <is>
          <t>Helena Tetteh</t>
        </is>
      </c>
      <c r="B1620" s="4" t="n">
        <v>46099</v>
      </c>
      <c r="C1620" t="inlineStr">
        <is>
          <t>/</t>
        </is>
      </c>
      <c r="D1620" t="inlineStr">
        <is>
          <t xml:space="preserve">Helena Tetteh </t>
        </is>
      </c>
      <c r="E1620" t="inlineStr">
        <is>
          <t>OdooBot</t>
        </is>
      </c>
      <c r="F1620" s="5" t="n">
        <v>46154.70721064815</v>
      </c>
      <c r="H1620" t="inlineStr">
        <is>
          <t>P23AC00C00 - FGMC</t>
        </is>
      </c>
      <c r="I1620" t="n">
        <v>3.5</v>
      </c>
      <c r="L1620" t="b">
        <v>0</v>
      </c>
      <c r="M1620" t="inlineStr">
        <is>
          <t>Non-Billable</t>
        </is>
      </c>
      <c r="N1620" s="6">
        <f>IF(B1620="","",IF(ISNUMBER(B1620),TEXT(B1620,"YYYY-MM"),LEFT(B1620,7)))</f>
        <v/>
      </c>
    </row>
    <row r="1621">
      <c r="A1621" t="inlineStr">
        <is>
          <t>Helena Tetteh</t>
        </is>
      </c>
      <c r="B1621" s="4" t="n">
        <v>46099</v>
      </c>
      <c r="C1621" t="inlineStr">
        <is>
          <t>Global Production Landscapes Call</t>
        </is>
      </c>
      <c r="D1621" t="inlineStr">
        <is>
          <t xml:space="preserve">Helena Tetteh </t>
        </is>
      </c>
      <c r="E1621" t="inlineStr">
        <is>
          <t>OdooBot</t>
        </is>
      </c>
      <c r="F1621" s="5" t="n">
        <v>46154.70721064815</v>
      </c>
      <c r="H1621" t="inlineStr">
        <is>
          <t>Non-Billable Tasks</t>
        </is>
      </c>
      <c r="I1621" t="n">
        <v>1.5</v>
      </c>
      <c r="K1621" t="inlineStr">
        <is>
          <t>Professional development and Knowledge sharing(training,global knowledge calls,exchange weeks)</t>
        </is>
      </c>
      <c r="L1621" t="b">
        <v>0</v>
      </c>
      <c r="M1621" t="inlineStr">
        <is>
          <t>Non-Billable</t>
        </is>
      </c>
      <c r="N1621" s="6">
        <f>IF(B1621="","",IF(ISNUMBER(B1621),TEXT(B1621,"YYYY-MM"),LEFT(B1621,7)))</f>
        <v/>
      </c>
    </row>
    <row r="1622">
      <c r="A1622" t="inlineStr">
        <is>
          <t>Ekow Nyamekye Tawiah</t>
        </is>
      </c>
      <c r="B1622" s="4" t="n">
        <v>46099</v>
      </c>
      <c r="C1622" t="inlineStr">
        <is>
          <t>/</t>
        </is>
      </c>
      <c r="D1622" t="inlineStr">
        <is>
          <t>Joseph Isaiah Mensah</t>
        </is>
      </c>
      <c r="E1622" t="inlineStr">
        <is>
          <t>OdooBot</t>
        </is>
      </c>
      <c r="F1622" s="5" t="n">
        <v>46154.70721064815</v>
      </c>
      <c r="H1622" t="inlineStr">
        <is>
          <t>PCGH722</t>
        </is>
      </c>
      <c r="I1622" t="n">
        <v>3</v>
      </c>
      <c r="J1622" t="inlineStr">
        <is>
          <t>PCGH722 - Analysis and Reporting (3) (Sucrivoire SA)</t>
        </is>
      </c>
      <c r="K1622" t="inlineStr">
        <is>
          <t>Analysis and Reporting (3)</t>
        </is>
      </c>
      <c r="L1622" t="b">
        <v>1</v>
      </c>
      <c r="M1622" t="inlineStr">
        <is>
          <t>Billed at a Fixed price</t>
        </is>
      </c>
      <c r="N1622" s="6">
        <f>IF(B1622="","",IF(ISNUMBER(B1622),TEXT(B1622,"YYYY-MM"),LEFT(B1622,7)))</f>
        <v/>
      </c>
    </row>
    <row r="1623">
      <c r="A1623" t="inlineStr">
        <is>
          <t>Ekow Nyamekye Tawiah</t>
        </is>
      </c>
      <c r="B1623" s="4" t="n">
        <v>46099</v>
      </c>
      <c r="C1623" t="inlineStr">
        <is>
          <t>Nestle DF workstream monthly catch-up</t>
        </is>
      </c>
      <c r="D1623" t="inlineStr">
        <is>
          <t>Joseph Isaiah Mensah</t>
        </is>
      </c>
      <c r="E1623" t="inlineStr">
        <is>
          <t>OdooBot</t>
        </is>
      </c>
      <c r="F1623" s="5" t="n">
        <v>46154.70721064815</v>
      </c>
      <c r="H1623" t="inlineStr">
        <is>
          <t>Non-Billable Tasks</t>
        </is>
      </c>
      <c r="I1623" t="n">
        <v>1</v>
      </c>
      <c r="K1623" t="inlineStr">
        <is>
          <t>Professional development and Knowledge sharing(training,global knowledge calls,exchange weeks)</t>
        </is>
      </c>
      <c r="L1623" t="b">
        <v>0</v>
      </c>
      <c r="M1623" t="inlineStr">
        <is>
          <t>Non-Billable</t>
        </is>
      </c>
      <c r="N1623" s="6">
        <f>IF(B1623="","",IF(ISNUMBER(B1623),TEXT(B1623,"YYYY-MM"),LEFT(B1623,7)))</f>
        <v/>
      </c>
    </row>
    <row r="1624">
      <c r="A1624" t="inlineStr">
        <is>
          <t>Clement Obeng-Manu</t>
        </is>
      </c>
      <c r="B1624" s="4" t="n">
        <v>46099</v>
      </c>
      <c r="C1624" t="inlineStr">
        <is>
          <t>/</t>
        </is>
      </c>
      <c r="D1624" t="inlineStr">
        <is>
          <t>Ekow Nyamekye Tawiah</t>
        </is>
      </c>
      <c r="E1624" t="inlineStr">
        <is>
          <t>OdooBot</t>
        </is>
      </c>
      <c r="F1624" s="5" t="n">
        <v>46154.70721064815</v>
      </c>
      <c r="H1624" t="inlineStr">
        <is>
          <t>PCGH777</t>
        </is>
      </c>
      <c r="I1624" t="n">
        <v>8</v>
      </c>
      <c r="J1624" t="inlineStr">
        <is>
          <t>PCGH777 - Land Use Change Analysis (Proforest Limited(PCUK GBP))</t>
        </is>
      </c>
      <c r="K1624" t="inlineStr">
        <is>
          <t xml:space="preserve">Post fieldwork analysis </t>
        </is>
      </c>
      <c r="L1624" t="b">
        <v>1</v>
      </c>
      <c r="M1624" t="inlineStr">
        <is>
          <t>Billed at a Fixed price</t>
        </is>
      </c>
      <c r="N1624" s="6">
        <f>IF(B1624="","",IF(ISNUMBER(B1624),TEXT(B1624,"YYYY-MM"),LEFT(B1624,7)))</f>
        <v/>
      </c>
    </row>
    <row r="1625">
      <c r="A1625" t="inlineStr">
        <is>
          <t>Abraham Baffoe</t>
        </is>
      </c>
      <c r="B1625" s="4" t="n">
        <v>46099</v>
      </c>
      <c r="C1625" t="inlineStr">
        <is>
          <t>Time Off (3/4)</t>
        </is>
      </c>
      <c r="D1625" t="inlineStr">
        <is>
          <t>Clement Obeng-Manu</t>
        </is>
      </c>
      <c r="E1625" t="inlineStr">
        <is>
          <t>OdooBot</t>
        </is>
      </c>
      <c r="F1625" s="5" t="n">
        <v>46154.70721064815</v>
      </c>
      <c r="H1625" t="inlineStr">
        <is>
          <t>Internal</t>
        </is>
      </c>
      <c r="I1625" t="n">
        <v>8</v>
      </c>
      <c r="K1625" t="inlineStr">
        <is>
          <t>Time Off</t>
        </is>
      </c>
      <c r="L1625" t="b">
        <v>0</v>
      </c>
      <c r="M1625" t="inlineStr">
        <is>
          <t>Non-Billable</t>
        </is>
      </c>
      <c r="N1625" s="6">
        <f>IF(B1625="","",IF(ISNUMBER(B1625),TEXT(B1625,"YYYY-MM"),LEFT(B1625,7)))</f>
        <v/>
      </c>
    </row>
    <row r="1626">
      <c r="A1626" t="inlineStr">
        <is>
          <t>Mawuse Agblobi</t>
        </is>
      </c>
      <c r="B1626" s="4" t="n">
        <v>46098</v>
      </c>
      <c r="C1626" t="inlineStr">
        <is>
          <t>Time Off (1/1)</t>
        </is>
      </c>
      <c r="D1626" t="inlineStr">
        <is>
          <t>Naana Agyekum Nkansah</t>
        </is>
      </c>
      <c r="E1626" t="inlineStr">
        <is>
          <t>Mawuse Agblobi</t>
        </is>
      </c>
      <c r="F1626" s="5" t="n">
        <v>46174.89929398148</v>
      </c>
      <c r="H1626" t="inlineStr">
        <is>
          <t>Internal</t>
        </is>
      </c>
      <c r="I1626" t="n">
        <v>8</v>
      </c>
      <c r="K1626" t="inlineStr">
        <is>
          <t>Time Off</t>
        </is>
      </c>
      <c r="L1626" t="b">
        <v>0</v>
      </c>
      <c r="M1626" t="inlineStr">
        <is>
          <t>Non-Billable</t>
        </is>
      </c>
      <c r="N1626" s="6">
        <f>IF(B1626="","",IF(ISNUMBER(B1626),TEXT(B1626,"YYYY-MM"),LEFT(B1626,7)))</f>
        <v/>
      </c>
    </row>
    <row r="1627">
      <c r="A1627" t="inlineStr">
        <is>
          <t>Joseph Isaiah Mensah</t>
        </is>
      </c>
      <c r="B1627" s="4" t="n">
        <v>46098</v>
      </c>
      <c r="C1627" t="inlineStr">
        <is>
          <t>synthesizing data</t>
        </is>
      </c>
      <c r="D1627" t="inlineStr">
        <is>
          <t>Jacqueline Nyakutse Afua</t>
        </is>
      </c>
      <c r="E1627" t="inlineStr">
        <is>
          <t>Joseph Isaiah Mensah</t>
        </is>
      </c>
      <c r="F1627" s="5" t="n">
        <v>46162.72429398148</v>
      </c>
      <c r="G1627" t="inlineStr">
        <is>
          <t>Desk Study (3)</t>
        </is>
      </c>
      <c r="H1627" t="inlineStr">
        <is>
          <t>PCGH786 - Impact Level Baseline assessment for FGMC</t>
        </is>
      </c>
      <c r="I1627" t="n">
        <v>8</v>
      </c>
      <c r="J1627" t="inlineStr">
        <is>
          <t>PCGH786 - Desk Study (3) (NIRAS Group (UK) Ltd)</t>
        </is>
      </c>
      <c r="K1627" t="inlineStr">
        <is>
          <t>Desk Study</t>
        </is>
      </c>
      <c r="L1627" t="b">
        <v>1</v>
      </c>
      <c r="M1627" t="inlineStr">
        <is>
          <t>Billed at a Fixed price</t>
        </is>
      </c>
      <c r="N1627" s="6">
        <f>IF(B1627="","",IF(ISNUMBER(B1627),TEXT(B1627,"YYYY-MM"),LEFT(B1627,7)))</f>
        <v/>
      </c>
    </row>
    <row r="1628">
      <c r="A1628" t="inlineStr">
        <is>
          <t>James Parker Mckeown</t>
        </is>
      </c>
      <c r="B1628" s="4" t="n">
        <v>46098</v>
      </c>
      <c r="C1628" t="inlineStr">
        <is>
          <t xml:space="preserve">FGMC BRIDGE: Reviewing Plan for stakeholders' engagement workshop </t>
        </is>
      </c>
      <c r="D1628" t="inlineStr">
        <is>
          <t>James Parker Mckeown</t>
        </is>
      </c>
      <c r="E1628" t="inlineStr">
        <is>
          <t>James Parker Mckeown</t>
        </is>
      </c>
      <c r="F1628" s="5" t="n">
        <v>46162.6971875</v>
      </c>
      <c r="G1628" t="inlineStr">
        <is>
          <t>Output 2.3</t>
        </is>
      </c>
      <c r="H1628" t="inlineStr">
        <is>
          <t>P23AC00C00 - FGMC</t>
        </is>
      </c>
      <c r="I1628" t="n">
        <v>2.5</v>
      </c>
      <c r="K1628" t="inlineStr">
        <is>
          <t>P23AC22A00 - Output Two (Elevating Local Solutions - West Africa)</t>
        </is>
      </c>
      <c r="L1628" t="b">
        <v>0</v>
      </c>
      <c r="M1628" t="inlineStr">
        <is>
          <t>Non-Billable</t>
        </is>
      </c>
      <c r="N1628" s="6">
        <f>IF(B1628="","",IF(ISNUMBER(B1628),TEXT(B1628,"YYYY-MM"),LEFT(B1628,7)))</f>
        <v/>
      </c>
    </row>
    <row r="1629">
      <c r="A1629" t="inlineStr">
        <is>
          <t>James Parker Mckeown</t>
        </is>
      </c>
      <c r="B1629" s="4" t="n">
        <v>46098</v>
      </c>
      <c r="C1629" t="inlineStr">
        <is>
          <t>/</t>
        </is>
      </c>
      <c r="D1629" t="inlineStr">
        <is>
          <t>James Parker Mckeown</t>
        </is>
      </c>
      <c r="E1629" t="inlineStr">
        <is>
          <t>James Parker Mckeown</t>
        </is>
      </c>
      <c r="F1629" s="5" t="n">
        <v>46162.69567129629</v>
      </c>
      <c r="G1629" t="inlineStr">
        <is>
          <t>Output 4</t>
        </is>
      </c>
      <c r="H1629" t="inlineStr">
        <is>
          <t>P23AC00C00 - FGMC</t>
        </is>
      </c>
      <c r="I1629" t="n">
        <v>3</v>
      </c>
      <c r="K1629" t="inlineStr">
        <is>
          <t>P23AC03A00 - Project Management</t>
        </is>
      </c>
      <c r="L1629" t="b">
        <v>0</v>
      </c>
      <c r="M1629" t="inlineStr">
        <is>
          <t>Non-Billable</t>
        </is>
      </c>
      <c r="N1629" s="6">
        <f>IF(B1629="","",IF(ISNUMBER(B1629),TEXT(B1629,"YYYY-MM"),LEFT(B1629,7)))</f>
        <v/>
      </c>
    </row>
    <row r="1630">
      <c r="A1630" t="inlineStr">
        <is>
          <t>James Parker Mckeown</t>
        </is>
      </c>
      <c r="B1630" s="4" t="n">
        <v>46098</v>
      </c>
      <c r="C1630" t="inlineStr">
        <is>
          <t>/</t>
        </is>
      </c>
      <c r="D1630" t="inlineStr">
        <is>
          <t>James Parker Mckeown</t>
        </is>
      </c>
      <c r="E1630" t="inlineStr">
        <is>
          <t>James Parker Mckeown</t>
        </is>
      </c>
      <c r="F1630" s="5" t="n">
        <v>46162.69194444444</v>
      </c>
      <c r="H1630" t="inlineStr">
        <is>
          <t>PCGH762 - GVL HCSA Restoration Project</t>
        </is>
      </c>
      <c r="I1630" t="n">
        <v>3</v>
      </c>
      <c r="J1630" t="inlineStr">
        <is>
          <t>PCGH762 - Desk Review, Stakeholder Mapping &amp; Analysis and Engagement (Golden Veroleum Liberia)</t>
        </is>
      </c>
      <c r="L1630" t="b">
        <v>1</v>
      </c>
      <c r="M1630" t="inlineStr">
        <is>
          <t>Billed at a Fixed price</t>
        </is>
      </c>
      <c r="N1630" s="6">
        <f>IF(B1630="","",IF(ISNUMBER(B1630),TEXT(B1630,"YYYY-MM"),LEFT(B1630,7)))</f>
        <v/>
      </c>
    </row>
    <row r="1631">
      <c r="A1631" t="inlineStr">
        <is>
          <t>Frederick Antwi</t>
        </is>
      </c>
      <c r="B1631" s="4" t="n">
        <v>46098</v>
      </c>
      <c r="C1631" t="inlineStr">
        <is>
          <t>/</t>
        </is>
      </c>
      <c r="D1631" t="inlineStr">
        <is>
          <t>Frederick Antwi</t>
        </is>
      </c>
      <c r="E1631" t="inlineStr">
        <is>
          <t>Frederick Antwi</t>
        </is>
      </c>
      <c r="F1631" s="5" t="n">
        <v>46160.62320601852</v>
      </c>
      <c r="H1631" t="inlineStr">
        <is>
          <t>PCGH774 -Evaluation Deep-Dive Action Plans by Socfin Group</t>
        </is>
      </c>
      <c r="I1631" t="n">
        <v>8</v>
      </c>
      <c r="J1631" t="inlineStr">
        <is>
          <t>PCGH774 - Project Management (2) (Socfinco FR SA)</t>
        </is>
      </c>
      <c r="L1631" t="b">
        <v>1</v>
      </c>
      <c r="M1631" t="inlineStr">
        <is>
          <t>Billed at a Fixed price</t>
        </is>
      </c>
      <c r="N1631" s="6">
        <f>IF(B1631="","",IF(ISNUMBER(B1631),TEXT(B1631,"YYYY-MM"),LEFT(B1631,7)))</f>
        <v/>
      </c>
    </row>
    <row r="1632">
      <c r="A1632" t="inlineStr">
        <is>
          <t>Augustus Asamoah</t>
        </is>
      </c>
      <c r="B1632" s="4" t="n">
        <v>46098</v>
      </c>
      <c r="C1632" t="inlineStr">
        <is>
          <t>/</t>
        </is>
      </c>
      <c r="D1632" t="inlineStr">
        <is>
          <t>Augustus Asamoah</t>
        </is>
      </c>
      <c r="E1632" t="inlineStr">
        <is>
          <t>Augustus Asamoah</t>
        </is>
      </c>
      <c r="F1632" s="5" t="n">
        <v>46156.65190972222</v>
      </c>
      <c r="H1632" t="inlineStr">
        <is>
          <t>PCGH784</t>
        </is>
      </c>
      <c r="I1632" t="n">
        <v>8</v>
      </c>
      <c r="J1632" t="inlineStr">
        <is>
          <t>PCGH784 - Desk Study (3) (Okeosisi Jonathan)</t>
        </is>
      </c>
      <c r="L1632" t="b">
        <v>1</v>
      </c>
      <c r="M1632" t="inlineStr">
        <is>
          <t>Billed at a Fixed price</t>
        </is>
      </c>
      <c r="N1632" s="6">
        <f>IF(B1632="","",IF(ISNUMBER(B1632),TEXT(B1632,"YYYY-MM"),LEFT(B1632,7)))</f>
        <v/>
      </c>
    </row>
    <row r="1633">
      <c r="A1633" t="inlineStr">
        <is>
          <t>Stephen Doso</t>
        </is>
      </c>
      <c r="B1633" s="4" t="n">
        <v>46098</v>
      </c>
      <c r="C1633" t="inlineStr">
        <is>
          <t>/</t>
        </is>
      </c>
      <c r="D1633" t="inlineStr">
        <is>
          <t>Stephen Doso</t>
        </is>
      </c>
      <c r="E1633" t="inlineStr">
        <is>
          <t>OdooBot</t>
        </is>
      </c>
      <c r="F1633" s="5" t="n">
        <v>46154.70721064815</v>
      </c>
      <c r="G1633" t="inlineStr">
        <is>
          <t>BOA: FIELDWORK</t>
        </is>
      </c>
      <c r="H1633" t="inlineStr">
        <is>
          <t>PCGH788 - CDC Boa &amp; Mondoni CV-HCS Scoping</t>
        </is>
      </c>
      <c r="I1633" t="n">
        <v>8</v>
      </c>
      <c r="J1633" t="inlineStr">
        <is>
          <t>PCGH788 - Field work  (2) (CAMEROON DEVELOPMENT CORPORATION (CDC))</t>
        </is>
      </c>
      <c r="K1633" t="inlineStr">
        <is>
          <t>Stakeholder consultations</t>
        </is>
      </c>
      <c r="L1633" t="b">
        <v>1</v>
      </c>
      <c r="M1633" t="inlineStr">
        <is>
          <t>Billed at a Fixed price</t>
        </is>
      </c>
      <c r="N1633" s="6">
        <f>IF(B1633="","",IF(ISNUMBER(B1633),TEXT(B1633,"YYYY-MM"),LEFT(B1633,7)))</f>
        <v/>
      </c>
    </row>
    <row r="1634">
      <c r="A1634" t="inlineStr">
        <is>
          <t>Stephen Doso</t>
        </is>
      </c>
      <c r="B1634" s="4" t="n">
        <v>46098</v>
      </c>
      <c r="C1634" t="inlineStr">
        <is>
          <t>/</t>
        </is>
      </c>
      <c r="D1634" t="inlineStr">
        <is>
          <t>Stephen Doso</t>
        </is>
      </c>
      <c r="E1634" t="inlineStr">
        <is>
          <t>OdooBot</t>
        </is>
      </c>
      <c r="F1634" s="5" t="n">
        <v>46154.70721064815</v>
      </c>
      <c r="G1634" t="inlineStr">
        <is>
          <t>MONDONI: FIELDWORK (2)</t>
        </is>
      </c>
      <c r="H1634" t="inlineStr">
        <is>
          <t>PCGH788 - CDC Boa &amp; Mondoni CV-HCS Scoping</t>
        </is>
      </c>
      <c r="I1634" t="n">
        <v>0</v>
      </c>
      <c r="J1634" t="inlineStr">
        <is>
          <t>PCGH788 - Field work  (2) (CAMEROON DEVELOPMENT CORPORATION (CDC))</t>
        </is>
      </c>
      <c r="K1634" t="inlineStr">
        <is>
          <t>Ground truthing</t>
        </is>
      </c>
      <c r="L1634" t="b">
        <v>1</v>
      </c>
      <c r="M1634" t="inlineStr">
        <is>
          <t>Billed at a Fixed price</t>
        </is>
      </c>
      <c r="N1634" s="6">
        <f>IF(B1634="","",IF(ISNUMBER(B1634),TEXT(B1634,"YYYY-MM"),LEFT(B1634,7)))</f>
        <v/>
      </c>
    </row>
    <row r="1635">
      <c r="A1635" t="inlineStr">
        <is>
          <t>Stephen Doso</t>
        </is>
      </c>
      <c r="B1635" s="4" t="n">
        <v>46098</v>
      </c>
      <c r="C1635" t="inlineStr">
        <is>
          <t>/</t>
        </is>
      </c>
      <c r="D1635" t="inlineStr">
        <is>
          <t>Stephen Doso</t>
        </is>
      </c>
      <c r="E1635" t="inlineStr">
        <is>
          <t>OdooBot</t>
        </is>
      </c>
      <c r="F1635" s="5" t="n">
        <v>46154.70721064815</v>
      </c>
      <c r="H1635" t="inlineStr">
        <is>
          <t>PCGH788 - CDC Boa &amp; Mondoni CV-HCS Scoping</t>
        </is>
      </c>
      <c r="I1635" t="n">
        <v>0</v>
      </c>
      <c r="J1635" t="inlineStr">
        <is>
          <t>PCGH788 - Field work  (2) (CAMEROON DEVELOPMENT CORPORATION (CDC))</t>
        </is>
      </c>
      <c r="K1635" t="inlineStr">
        <is>
          <t>MONDONI: FIELDWORK (2)</t>
        </is>
      </c>
      <c r="L1635" t="b">
        <v>1</v>
      </c>
      <c r="M1635" t="inlineStr">
        <is>
          <t>Billed at a Fixed price</t>
        </is>
      </c>
      <c r="N1635" s="6">
        <f>IF(B1635="","",IF(ISNUMBER(B1635),TEXT(B1635,"YYYY-MM"),LEFT(B1635,7)))</f>
        <v/>
      </c>
    </row>
    <row r="1636">
      <c r="A1636" t="inlineStr">
        <is>
          <t>Stephen Doso</t>
        </is>
      </c>
      <c r="B1636" s="4" t="n">
        <v>46098</v>
      </c>
      <c r="C1636" t="inlineStr">
        <is>
          <t>/</t>
        </is>
      </c>
      <c r="D1636" t="inlineStr">
        <is>
          <t>Stephen Doso</t>
        </is>
      </c>
      <c r="E1636" t="inlineStr">
        <is>
          <t>OdooBot</t>
        </is>
      </c>
      <c r="F1636" s="5" t="n">
        <v>46154.70721064815</v>
      </c>
      <c r="H1636" t="inlineStr">
        <is>
          <t>PCGH788 - CDC Boa &amp; Mondoni CV-HCS Scoping</t>
        </is>
      </c>
      <c r="I1636" t="n">
        <v>0</v>
      </c>
      <c r="J1636" t="inlineStr">
        <is>
          <t>PCGH788 - Field work  (2) (CAMEROON DEVELOPMENT CORPORATION (CDC))</t>
        </is>
      </c>
      <c r="K1636" t="inlineStr">
        <is>
          <t>BOA: FIELDWORK</t>
        </is>
      </c>
      <c r="L1636" t="b">
        <v>1</v>
      </c>
      <c r="M1636" t="inlineStr">
        <is>
          <t>Billed at a Fixed price</t>
        </is>
      </c>
      <c r="N1636" s="6">
        <f>IF(B1636="","",IF(ISNUMBER(B1636),TEXT(B1636,"YYYY-MM"),LEFT(B1636,7)))</f>
        <v/>
      </c>
    </row>
    <row r="1637">
      <c r="A1637" t="inlineStr">
        <is>
          <t>Kwadwo Baniako Nti</t>
        </is>
      </c>
      <c r="B1637" s="4" t="n">
        <v>46098</v>
      </c>
      <c r="C1637" t="inlineStr">
        <is>
          <t>/</t>
        </is>
      </c>
      <c r="D1637" t="inlineStr">
        <is>
          <t>Kwadwo Baniako Nti</t>
        </is>
      </c>
      <c r="E1637" t="inlineStr">
        <is>
          <t>OdooBot</t>
        </is>
      </c>
      <c r="F1637" s="5" t="n">
        <v>46154.70721064815</v>
      </c>
      <c r="H1637" t="inlineStr">
        <is>
          <t>PCGH774 -Evaluation Deep-Dive Action Plans by Socfin Group</t>
        </is>
      </c>
      <c r="I1637" t="n">
        <v>8</v>
      </c>
      <c r="J1637" t="inlineStr">
        <is>
          <t>PCGH774 - Tier 2 (Socfinco FR SA)</t>
        </is>
      </c>
      <c r="K1637" t="inlineStr">
        <is>
          <t>SAC - Analysis and reporting</t>
        </is>
      </c>
      <c r="L1637" t="b">
        <v>1</v>
      </c>
      <c r="M1637" t="inlineStr">
        <is>
          <t>Billed at a Fixed price</t>
        </is>
      </c>
      <c r="N1637" s="6">
        <f>IF(B1637="","",IF(ISNUMBER(B1637),TEXT(B1637,"YYYY-MM"),LEFT(B1637,7)))</f>
        <v/>
      </c>
    </row>
    <row r="1638">
      <c r="A1638" t="inlineStr">
        <is>
          <t>Kingsley Fitz-Gerald Severine</t>
        </is>
      </c>
      <c r="B1638" s="4" t="n">
        <v>46098</v>
      </c>
      <c r="C1638" t="inlineStr">
        <is>
          <t>/</t>
        </is>
      </c>
      <c r="D1638" t="inlineStr">
        <is>
          <t>Kingsley Fitz-Gerald Severine</t>
        </is>
      </c>
      <c r="E1638" t="inlineStr">
        <is>
          <t>OdooBot</t>
        </is>
      </c>
      <c r="F1638" s="5" t="n">
        <v>46154.70721064815</v>
      </c>
      <c r="G1638" t="inlineStr">
        <is>
          <t>BOA: FIELDWORK (3)</t>
        </is>
      </c>
      <c r="H1638" t="inlineStr">
        <is>
          <t>PCGH788 - CDC Boa &amp; Mondoni CV-HCS Scoping</t>
        </is>
      </c>
      <c r="I1638" t="n">
        <v>8</v>
      </c>
      <c r="J1638" t="inlineStr">
        <is>
          <t>PCGH788 - Field work  (3) (CAMEROON DEVELOPMENT CORPORATION (CDC))</t>
        </is>
      </c>
      <c r="K1638" t="inlineStr">
        <is>
          <t>Groundtruthing</t>
        </is>
      </c>
      <c r="L1638" t="b">
        <v>1</v>
      </c>
      <c r="M1638" t="inlineStr">
        <is>
          <t>Billed at a Fixed price</t>
        </is>
      </c>
      <c r="N1638" s="6">
        <f>IF(B1638="","",IF(ISNUMBER(B1638),TEXT(B1638,"YYYY-MM"),LEFT(B1638,7)))</f>
        <v/>
      </c>
    </row>
    <row r="1639">
      <c r="A1639" t="inlineStr">
        <is>
          <t>Louis Defo</t>
        </is>
      </c>
      <c r="B1639" s="4" t="n">
        <v>46098</v>
      </c>
      <c r="C1639" t="inlineStr">
        <is>
          <t>/</t>
        </is>
      </c>
      <c r="D1639" t="inlineStr">
        <is>
          <t>Louis Defo</t>
        </is>
      </c>
      <c r="E1639" t="inlineStr">
        <is>
          <t>OdooBot</t>
        </is>
      </c>
      <c r="F1639" s="5" t="n">
        <v>46154.70721064815</v>
      </c>
      <c r="H1639" t="inlineStr">
        <is>
          <t>PCGH788 - CDC Boa &amp; Mondoni CV-HCS Scoping</t>
        </is>
      </c>
      <c r="I1639" t="n">
        <v>8</v>
      </c>
      <c r="J1639" t="inlineStr">
        <is>
          <t>PCGH788 - Desk Study (3) (CAMEROON DEVELOPMENT CORPORATION (CDC))</t>
        </is>
      </c>
      <c r="L1639" t="b">
        <v>1</v>
      </c>
      <c r="M1639" t="inlineStr">
        <is>
          <t>Billed at a Fixed price</t>
        </is>
      </c>
      <c r="N1639" s="6">
        <f>IF(B1639="","",IF(ISNUMBER(B1639),TEXT(B1639,"YYYY-MM"),LEFT(B1639,7)))</f>
        <v/>
      </c>
    </row>
    <row r="1640">
      <c r="A1640" t="inlineStr">
        <is>
          <t>Afua Serwah Akoto Prempeh</t>
        </is>
      </c>
      <c r="B1640" s="4" t="n">
        <v>46098</v>
      </c>
      <c r="C1640" t="inlineStr">
        <is>
          <t>/</t>
        </is>
      </c>
      <c r="D1640" t="inlineStr">
        <is>
          <t>Afua Serwah Akoto Prempeh</t>
        </is>
      </c>
      <c r="E1640" t="inlineStr">
        <is>
          <t>OdooBot</t>
        </is>
      </c>
      <c r="F1640" s="5" t="n">
        <v>46154.70721064815</v>
      </c>
      <c r="H1640" t="inlineStr">
        <is>
          <t>Non-Billable Tasks</t>
        </is>
      </c>
      <c r="I1640" t="n">
        <v>8</v>
      </c>
      <c r="K1640" t="inlineStr">
        <is>
          <t>Professional development and Knowledge sharing(training,global knowledge calls,exchange weeks)</t>
        </is>
      </c>
      <c r="L1640" t="b">
        <v>0</v>
      </c>
      <c r="M1640" t="inlineStr">
        <is>
          <t>Non-Billable</t>
        </is>
      </c>
      <c r="N1640" s="6">
        <f>IF(B1640="","",IF(ISNUMBER(B1640),TEXT(B1640,"YYYY-MM"),LEFT(B1640,7)))</f>
        <v/>
      </c>
    </row>
    <row r="1641">
      <c r="A1641" t="inlineStr">
        <is>
          <t>Helena Tetteh</t>
        </is>
      </c>
      <c r="B1641" s="4" t="n">
        <v>46098</v>
      </c>
      <c r="C1641" t="inlineStr">
        <is>
          <t>EU CSO Support CFP Check-in</t>
        </is>
      </c>
      <c r="D1641" t="inlineStr">
        <is>
          <t xml:space="preserve">Helena Tetteh </t>
        </is>
      </c>
      <c r="E1641" t="inlineStr">
        <is>
          <t>OdooBot</t>
        </is>
      </c>
      <c r="F1641" s="5" t="n">
        <v>46154.70721064815</v>
      </c>
      <c r="H1641" t="inlineStr">
        <is>
          <t>PCGH762 - GVL HCSA Restoration Project</t>
        </is>
      </c>
      <c r="I1641" t="n">
        <v>8</v>
      </c>
      <c r="J1641" t="inlineStr">
        <is>
          <t>PCGH763 - Desk study (Due diligence) (Jopafram Nigeria Limited)</t>
        </is>
      </c>
      <c r="K1641" t="inlineStr">
        <is>
          <t>Fundraising and proposal development</t>
        </is>
      </c>
      <c r="L1641" t="b">
        <v>1</v>
      </c>
      <c r="M1641" t="inlineStr">
        <is>
          <t>Billed at a Fixed price</t>
        </is>
      </c>
      <c r="N1641" s="6">
        <f>IF(B1641="","",IF(ISNUMBER(B1641),TEXT(B1641,"YYYY-MM"),LEFT(B1641,7)))</f>
        <v/>
      </c>
    </row>
    <row r="1642">
      <c r="A1642" t="inlineStr">
        <is>
          <t>Ekow Nyamekye Tawiah</t>
        </is>
      </c>
      <c r="B1642" s="4" t="n">
        <v>46098</v>
      </c>
      <c r="C1642" t="inlineStr">
        <is>
          <t>/</t>
        </is>
      </c>
      <c r="D1642" t="inlineStr">
        <is>
          <t>Joseph Isaiah Mensah</t>
        </is>
      </c>
      <c r="E1642" t="inlineStr">
        <is>
          <t>OdooBot</t>
        </is>
      </c>
      <c r="F1642" s="5" t="n">
        <v>46154.70721064815</v>
      </c>
      <c r="H1642" t="inlineStr">
        <is>
          <t>PCGH722</t>
        </is>
      </c>
      <c r="I1642" t="n">
        <v>4</v>
      </c>
      <c r="J1642" t="inlineStr">
        <is>
          <t>PCGH722 - Analysis and Reporting (3) (Sucrivoire SA)</t>
        </is>
      </c>
      <c r="K1642" t="inlineStr">
        <is>
          <t>Analysis and Reporting (3)</t>
        </is>
      </c>
      <c r="L1642" t="b">
        <v>1</v>
      </c>
      <c r="M1642" t="inlineStr">
        <is>
          <t>Billed at a Fixed price</t>
        </is>
      </c>
      <c r="N1642" s="6">
        <f>IF(B1642="","",IF(ISNUMBER(B1642),TEXT(B1642,"YYYY-MM"),LEFT(B1642,7)))</f>
        <v/>
      </c>
    </row>
    <row r="1643">
      <c r="A1643" t="inlineStr">
        <is>
          <t>Clement Obeng-Manu</t>
        </is>
      </c>
      <c r="B1643" s="4" t="n">
        <v>46098</v>
      </c>
      <c r="C1643" t="inlineStr">
        <is>
          <t>/</t>
        </is>
      </c>
      <c r="D1643" t="inlineStr">
        <is>
          <t>Ekow Nyamekye Tawiah</t>
        </is>
      </c>
      <c r="E1643" t="inlineStr">
        <is>
          <t>OdooBot</t>
        </is>
      </c>
      <c r="F1643" s="5" t="n">
        <v>46154.70721064815</v>
      </c>
      <c r="G1643" t="inlineStr">
        <is>
          <t>Fieldwork – stakeholder engagement</t>
        </is>
      </c>
      <c r="H1643" t="inlineStr">
        <is>
          <t>PCGH777</t>
        </is>
      </c>
      <c r="I1643" t="n">
        <v>8</v>
      </c>
      <c r="J1643" t="inlineStr">
        <is>
          <t>PCGH777 - Field work  (3) (Proforest Limited(PCUK GBP))</t>
        </is>
      </c>
      <c r="K1643" t="inlineStr">
        <is>
          <t>Fieldwork – stakeholder engagement</t>
        </is>
      </c>
      <c r="L1643" t="b">
        <v>1</v>
      </c>
      <c r="M1643" t="inlineStr">
        <is>
          <t>Billed at a Fixed price</t>
        </is>
      </c>
      <c r="N1643" s="6">
        <f>IF(B1643="","",IF(ISNUMBER(B1643),TEXT(B1643,"YYYY-MM"),LEFT(B1643,7)))</f>
        <v/>
      </c>
    </row>
    <row r="1644">
      <c r="A1644" t="inlineStr">
        <is>
          <t>Clement Obeng-Manu</t>
        </is>
      </c>
      <c r="B1644" s="4" t="n">
        <v>46098</v>
      </c>
      <c r="C1644" t="inlineStr">
        <is>
          <t>/</t>
        </is>
      </c>
      <c r="D1644" t="inlineStr">
        <is>
          <t>Ekow Nyamekye Tawiah</t>
        </is>
      </c>
      <c r="E1644" t="inlineStr">
        <is>
          <t>OdooBot</t>
        </is>
      </c>
      <c r="F1644" s="5" t="n">
        <v>46154.70721064815</v>
      </c>
      <c r="H1644" t="inlineStr">
        <is>
          <t>PCGH777</t>
        </is>
      </c>
      <c r="I1644" t="n">
        <v>0</v>
      </c>
      <c r="J1644" t="inlineStr">
        <is>
          <t>PCGH777 - Land Use Change Analysis (Proforest Limited(PCUK GBP))</t>
        </is>
      </c>
      <c r="K1644" t="inlineStr">
        <is>
          <t xml:space="preserve">Post fieldwork analysis </t>
        </is>
      </c>
      <c r="L1644" t="b">
        <v>1</v>
      </c>
      <c r="M1644" t="inlineStr">
        <is>
          <t>Billed at a Fixed price</t>
        </is>
      </c>
      <c r="N1644" s="6">
        <f>IF(B1644="","",IF(ISNUMBER(B1644),TEXT(B1644,"YYYY-MM"),LEFT(B1644,7)))</f>
        <v/>
      </c>
    </row>
    <row r="1645">
      <c r="A1645" t="inlineStr">
        <is>
          <t>Clement Obeng-Manu</t>
        </is>
      </c>
      <c r="B1645" s="4" t="n">
        <v>46098</v>
      </c>
      <c r="C1645" t="inlineStr">
        <is>
          <t>/</t>
        </is>
      </c>
      <c r="D1645" t="inlineStr">
        <is>
          <t>Ekow Nyamekye Tawiah</t>
        </is>
      </c>
      <c r="E1645" t="inlineStr">
        <is>
          <t>OdooBot</t>
        </is>
      </c>
      <c r="F1645" s="5" t="n">
        <v>46154.70721064815</v>
      </c>
      <c r="H1645" t="inlineStr">
        <is>
          <t>PCGH777</t>
        </is>
      </c>
      <c r="I1645" t="n">
        <v>0</v>
      </c>
      <c r="J1645" t="inlineStr">
        <is>
          <t>PCGH750 - Field work (Proforest Limited(PCUK GBP))</t>
        </is>
      </c>
      <c r="L1645" t="b">
        <v>1</v>
      </c>
      <c r="M1645" t="inlineStr">
        <is>
          <t>Billed at a Fixed price</t>
        </is>
      </c>
      <c r="N1645" s="6">
        <f>IF(B1645="","",IF(ISNUMBER(B1645),TEXT(B1645,"YYYY-MM"),LEFT(B1645,7)))</f>
        <v/>
      </c>
    </row>
    <row r="1646">
      <c r="A1646" t="inlineStr">
        <is>
          <t>Abraham Baffoe</t>
        </is>
      </c>
      <c r="B1646" s="4" t="n">
        <v>46098</v>
      </c>
      <c r="C1646" t="inlineStr">
        <is>
          <t>Time Off (2/4)</t>
        </is>
      </c>
      <c r="D1646" t="inlineStr">
        <is>
          <t>Clement Obeng-Manu</t>
        </is>
      </c>
      <c r="E1646" t="inlineStr">
        <is>
          <t>OdooBot</t>
        </is>
      </c>
      <c r="F1646" s="5" t="n">
        <v>46154.70721064815</v>
      </c>
      <c r="H1646" t="inlineStr">
        <is>
          <t>Internal</t>
        </is>
      </c>
      <c r="I1646" t="n">
        <v>8</v>
      </c>
      <c r="K1646" t="inlineStr">
        <is>
          <t>Time Off</t>
        </is>
      </c>
      <c r="L1646" t="b">
        <v>0</v>
      </c>
      <c r="M1646" t="inlineStr">
        <is>
          <t>Non-Billable</t>
        </is>
      </c>
      <c r="N1646" s="6">
        <f>IF(B1646="","",IF(ISNUMBER(B1646),TEXT(B1646,"YYYY-MM"),LEFT(B1646,7)))</f>
        <v/>
      </c>
    </row>
    <row r="1647">
      <c r="A1647" t="inlineStr">
        <is>
          <t>Joseph Isaiah Mensah</t>
        </is>
      </c>
      <c r="B1647" s="4" t="n">
        <v>46097</v>
      </c>
      <c r="C1647" t="inlineStr">
        <is>
          <t>visit to various agencies</t>
        </is>
      </c>
      <c r="D1647" t="inlineStr">
        <is>
          <t>Jacqueline Nyakutse Afua</t>
        </is>
      </c>
      <c r="E1647" t="inlineStr">
        <is>
          <t>Joseph Isaiah Mensah</t>
        </is>
      </c>
      <c r="F1647" s="5" t="n">
        <v>46162.72265046297</v>
      </c>
      <c r="H1647" t="inlineStr">
        <is>
          <t>PCGH786 - Impact Level Baseline assessment for FGMC</t>
        </is>
      </c>
      <c r="I1647" t="n">
        <v>4.5</v>
      </c>
      <c r="L1647" t="b">
        <v>1</v>
      </c>
      <c r="M1647" t="inlineStr">
        <is>
          <t>Non-Billable</t>
        </is>
      </c>
      <c r="N1647" s="6">
        <f>IF(B1647="","",IF(ISNUMBER(B1647),TEXT(B1647,"YYYY-MM"),LEFT(B1647,7)))</f>
        <v/>
      </c>
    </row>
    <row r="1648">
      <c r="A1648" t="inlineStr">
        <is>
          <t>Joseph Isaiah Mensah</t>
        </is>
      </c>
      <c r="B1648" s="4" t="n">
        <v>46097</v>
      </c>
      <c r="C1648" t="inlineStr">
        <is>
          <t>[Update}: Nestle Sugar PCGH Monthly Catch Up</t>
        </is>
      </c>
      <c r="D1648" t="inlineStr">
        <is>
          <t>Jacqueline Nyakutse Afua</t>
        </is>
      </c>
      <c r="E1648" t="inlineStr">
        <is>
          <t>Joseph Isaiah Mensah</t>
        </is>
      </c>
      <c r="F1648" s="5" t="n">
        <v>46162.72146990741</v>
      </c>
      <c r="H1648" t="inlineStr">
        <is>
          <t>PCGH778 - General Support</t>
        </is>
      </c>
      <c r="I1648" t="n">
        <v>1</v>
      </c>
      <c r="J1648" t="inlineStr">
        <is>
          <t>PCGH778 - Support to Other Workstreams (3) (Proforest Limited(PCUK GBP))</t>
        </is>
      </c>
      <c r="L1648" t="b">
        <v>1</v>
      </c>
      <c r="M1648" t="inlineStr">
        <is>
          <t>Billed at a Fixed price</t>
        </is>
      </c>
      <c r="N1648" s="6">
        <f>IF(B1648="","",IF(ISNUMBER(B1648),TEXT(B1648,"YYYY-MM"),LEFT(B1648,7)))</f>
        <v/>
      </c>
    </row>
    <row r="1649">
      <c r="A1649" t="inlineStr">
        <is>
          <t>Joseph Isaiah Mensah</t>
        </is>
      </c>
      <c r="B1649" s="4" t="n">
        <v>46097</v>
      </c>
      <c r="C1649" t="inlineStr">
        <is>
          <t>/[Update]: Nestle Sugar PFAFR 2026 Kick Off</t>
        </is>
      </c>
      <c r="D1649" t="inlineStr">
        <is>
          <t>Jacqueline Nyakutse Afua</t>
        </is>
      </c>
      <c r="E1649" t="inlineStr">
        <is>
          <t>Joseph Isaiah Mensah</t>
        </is>
      </c>
      <c r="F1649" s="5" t="n">
        <v>46162.71962962963</v>
      </c>
      <c r="H1649" t="inlineStr">
        <is>
          <t>PCGH778 - General Support</t>
        </is>
      </c>
      <c r="I1649" t="n">
        <v>1.5</v>
      </c>
      <c r="J1649" t="inlineStr">
        <is>
          <t>PCGH778 - Support to Other Workstreams (3) (Proforest Limited(PCUK GBP))</t>
        </is>
      </c>
      <c r="L1649" t="b">
        <v>1</v>
      </c>
      <c r="M1649" t="inlineStr">
        <is>
          <t>Billed at a Fixed price</t>
        </is>
      </c>
      <c r="N1649" s="6">
        <f>IF(B1649="","",IF(ISNUMBER(B1649),TEXT(B1649,"YYYY-MM"),LEFT(B1649,7)))</f>
        <v/>
      </c>
    </row>
    <row r="1650">
      <c r="A1650" t="inlineStr">
        <is>
          <t>James Parker Mckeown</t>
        </is>
      </c>
      <c r="B1650" s="4" t="n">
        <v>46097</v>
      </c>
      <c r="C1650" t="inlineStr">
        <is>
          <t>/</t>
        </is>
      </c>
      <c r="D1650" t="inlineStr">
        <is>
          <t>James Parker Mckeown</t>
        </is>
      </c>
      <c r="E1650" t="inlineStr">
        <is>
          <t>James Parker Mckeown</t>
        </is>
      </c>
      <c r="F1650" s="5" t="n">
        <v>46162.69806712963</v>
      </c>
      <c r="G1650" t="inlineStr">
        <is>
          <t>Output 2.3</t>
        </is>
      </c>
      <c r="H1650" t="inlineStr">
        <is>
          <t>P23AC00C00 - FGMC</t>
        </is>
      </c>
      <c r="I1650" t="n">
        <v>1.5</v>
      </c>
      <c r="K1650" t="inlineStr">
        <is>
          <t>P23AC22A00 - Output Two (Elevating Local Solutions - West Africa)</t>
        </is>
      </c>
      <c r="L1650" t="b">
        <v>0</v>
      </c>
      <c r="M1650" t="inlineStr">
        <is>
          <t>Non-Billable</t>
        </is>
      </c>
      <c r="N1650" s="6">
        <f>IF(B1650="","",IF(ISNUMBER(B1650),TEXT(B1650,"YYYY-MM"),LEFT(B1650,7)))</f>
        <v/>
      </c>
    </row>
    <row r="1651">
      <c r="A1651" t="inlineStr">
        <is>
          <t>James Parker Mckeown</t>
        </is>
      </c>
      <c r="B1651" s="4" t="n">
        <v>46097</v>
      </c>
      <c r="C1651" t="inlineStr">
        <is>
          <t>FGMC Safeguarding Seminar</t>
        </is>
      </c>
      <c r="D1651" t="inlineStr">
        <is>
          <t>James Parker Mckeown</t>
        </is>
      </c>
      <c r="E1651" t="inlineStr">
        <is>
          <t>James Parker Mckeown</t>
        </is>
      </c>
      <c r="F1651" s="5" t="n">
        <v>46162.69494212963</v>
      </c>
      <c r="G1651" t="inlineStr">
        <is>
          <t>Output 4</t>
        </is>
      </c>
      <c r="H1651" t="inlineStr">
        <is>
          <t>P23AC00C00 - FGMC</t>
        </is>
      </c>
      <c r="I1651" t="n">
        <v>2</v>
      </c>
      <c r="K1651" t="inlineStr">
        <is>
          <t>P23AC03A00 - Project Management</t>
        </is>
      </c>
      <c r="L1651" t="b">
        <v>0</v>
      </c>
      <c r="M1651" t="inlineStr">
        <is>
          <t>Non-Billable</t>
        </is>
      </c>
      <c r="N1651" s="6">
        <f>IF(B1651="","",IF(ISNUMBER(B1651),TEXT(B1651,"YYYY-MM"),LEFT(B1651,7)))</f>
        <v/>
      </c>
    </row>
    <row r="1652">
      <c r="A1652" t="inlineStr">
        <is>
          <t>James Parker Mckeown</t>
        </is>
      </c>
      <c r="B1652" s="4" t="n">
        <v>46097</v>
      </c>
      <c r="C1652" t="inlineStr">
        <is>
          <t>FGMC Update forecast for Y2Q1 financial year (Apr - June 2026)</t>
        </is>
      </c>
      <c r="D1652" t="inlineStr">
        <is>
          <t>James Parker Mckeown</t>
        </is>
      </c>
      <c r="E1652" t="inlineStr">
        <is>
          <t>James Parker Mckeown</t>
        </is>
      </c>
      <c r="F1652" s="5" t="n">
        <v>46162.69310185185</v>
      </c>
      <c r="G1652" t="inlineStr">
        <is>
          <t>Output 4</t>
        </is>
      </c>
      <c r="H1652" t="inlineStr">
        <is>
          <t>P23AC00C00 - FGMC</t>
        </is>
      </c>
      <c r="I1652" t="n">
        <v>2</v>
      </c>
      <c r="K1652" t="inlineStr">
        <is>
          <t>P23AC03A00 - Project Management</t>
        </is>
      </c>
      <c r="L1652" t="b">
        <v>0</v>
      </c>
      <c r="M1652" t="inlineStr">
        <is>
          <t>Non-Billable</t>
        </is>
      </c>
      <c r="N1652" s="6">
        <f>IF(B1652="","",IF(ISNUMBER(B1652),TEXT(B1652,"YYYY-MM"),LEFT(B1652,7)))</f>
        <v/>
      </c>
    </row>
    <row r="1653">
      <c r="A1653" t="inlineStr">
        <is>
          <t>James Parker Mckeown</t>
        </is>
      </c>
      <c r="B1653" s="4" t="n">
        <v>46097</v>
      </c>
      <c r="C1653" t="inlineStr">
        <is>
          <t xml:space="preserve">Developing training materials, framework for NCF management planning etc </t>
        </is>
      </c>
      <c r="D1653" t="inlineStr">
        <is>
          <t>James Parker Mckeown</t>
        </is>
      </c>
      <c r="E1653" t="inlineStr">
        <is>
          <t>James Parker Mckeown</t>
        </is>
      </c>
      <c r="F1653" s="5" t="n">
        <v>46162.69133101852</v>
      </c>
      <c r="H1653" t="inlineStr">
        <is>
          <t>PCGH762 - GVL HCSA Restoration Project</t>
        </is>
      </c>
      <c r="I1653" t="n">
        <v>3</v>
      </c>
      <c r="J1653" t="inlineStr">
        <is>
          <t>PCGH762 - Development and Implementation of MEL Framework (Golden Veroleum Liberia)</t>
        </is>
      </c>
      <c r="L1653" t="b">
        <v>1</v>
      </c>
      <c r="M1653" t="inlineStr">
        <is>
          <t>Billed at a Fixed price</t>
        </is>
      </c>
      <c r="N1653" s="6">
        <f>IF(B1653="","",IF(ISNUMBER(B1653),TEXT(B1653,"YYYY-MM"),LEFT(B1653,7)))</f>
        <v/>
      </c>
    </row>
    <row r="1654">
      <c r="A1654" t="inlineStr">
        <is>
          <t>Patricia Offei</t>
        </is>
      </c>
      <c r="B1654" s="4" t="n">
        <v>46097</v>
      </c>
      <c r="C1654" t="inlineStr">
        <is>
          <t>Nursery Establishement</t>
        </is>
      </c>
      <c r="D1654" t="inlineStr">
        <is>
          <t>Patricia Offei</t>
        </is>
      </c>
      <c r="E1654" t="inlineStr">
        <is>
          <t>Patricia Offei</t>
        </is>
      </c>
      <c r="F1654" s="5" t="n">
        <v>46162.61469907407</v>
      </c>
      <c r="H1654" t="inlineStr">
        <is>
          <t>PCGH779 - Cote d'Ivoire）</t>
        </is>
      </c>
      <c r="I1654" t="n">
        <v>0</v>
      </c>
      <c r="J1654" t="inlineStr">
        <is>
          <t>PCGH779 - Tree Planting Project (3) (Proforest Limited(PCUK GBP))</t>
        </is>
      </c>
      <c r="L1654" t="b">
        <v>1</v>
      </c>
      <c r="M1654" t="inlineStr">
        <is>
          <t>Billed at a Fixed price</t>
        </is>
      </c>
      <c r="N1654" s="6">
        <f>IF(B1654="","",IF(ISNUMBER(B1654),TEXT(B1654,"YYYY-MM"),LEFT(B1654,7)))</f>
        <v/>
      </c>
    </row>
    <row r="1655">
      <c r="A1655" t="inlineStr">
        <is>
          <t>Patricia Offei</t>
        </is>
      </c>
      <c r="B1655" s="4" t="n">
        <v>46097</v>
      </c>
      <c r="C1655" t="inlineStr">
        <is>
          <t>2026 Nestle RS Planning Meeting</t>
        </is>
      </c>
      <c r="D1655" t="inlineStr">
        <is>
          <t>Patricia Offei</t>
        </is>
      </c>
      <c r="E1655" t="inlineStr">
        <is>
          <t>Patricia Offei</t>
        </is>
      </c>
      <c r="F1655" s="5" t="n">
        <v>46162.6132175926</v>
      </c>
      <c r="H1655" t="inlineStr">
        <is>
          <t>PCGH778 - General Support</t>
        </is>
      </c>
      <c r="I1655" t="n">
        <v>2</v>
      </c>
      <c r="J1655" t="inlineStr">
        <is>
          <t>PCGH778 - Support to Other Workstreams (3) (Proforest Limited(PCUK GBP))</t>
        </is>
      </c>
      <c r="L1655" t="b">
        <v>1</v>
      </c>
      <c r="M1655" t="inlineStr">
        <is>
          <t>Billed at a Fixed price</t>
        </is>
      </c>
      <c r="N1655" s="6">
        <f>IF(B1655="","",IF(ISNUMBER(B1655),TEXT(B1655,"YYYY-MM"),LEFT(B1655,7)))</f>
        <v/>
      </c>
    </row>
    <row r="1656">
      <c r="A1656" t="inlineStr">
        <is>
          <t>Frederick Antwi</t>
        </is>
      </c>
      <c r="B1656" s="4" t="n">
        <v>46097</v>
      </c>
      <c r="C1656" t="inlineStr">
        <is>
          <t>/</t>
        </is>
      </c>
      <c r="D1656" t="inlineStr">
        <is>
          <t>Frederick Antwi</t>
        </is>
      </c>
      <c r="E1656" t="inlineStr">
        <is>
          <t>Frederick Antwi</t>
        </is>
      </c>
      <c r="F1656" s="5" t="n">
        <v>46160.62314814814</v>
      </c>
      <c r="H1656" t="inlineStr">
        <is>
          <t>PCGH774 -Evaluation Deep-Dive Action Plans by Socfin Group</t>
        </is>
      </c>
      <c r="I1656" t="n">
        <v>8</v>
      </c>
      <c r="J1656" t="inlineStr">
        <is>
          <t>PCGH774 - Project Management (2) (Socfinco FR SA)</t>
        </is>
      </c>
      <c r="L1656" t="b">
        <v>1</v>
      </c>
      <c r="M1656" t="inlineStr">
        <is>
          <t>Billed at a Fixed price</t>
        </is>
      </c>
      <c r="N1656" s="6">
        <f>IF(B1656="","",IF(ISNUMBER(B1656),TEXT(B1656,"YYYY-MM"),LEFT(B1656,7)))</f>
        <v/>
      </c>
    </row>
    <row r="1657">
      <c r="A1657" t="inlineStr">
        <is>
          <t>Augustus Asamoah</t>
        </is>
      </c>
      <c r="B1657" s="4" t="n">
        <v>46097</v>
      </c>
      <c r="C1657" t="inlineStr">
        <is>
          <t>Public Holiday</t>
        </is>
      </c>
      <c r="D1657" t="inlineStr">
        <is>
          <t>Augustus Asamoah</t>
        </is>
      </c>
      <c r="E1657" t="inlineStr">
        <is>
          <t>Augustus Asamoah</t>
        </is>
      </c>
      <c r="F1657" s="5" t="n">
        <v>46156.67923611111</v>
      </c>
      <c r="H1657" t="inlineStr">
        <is>
          <t>Non-Billable Tasks</t>
        </is>
      </c>
      <c r="I1657" t="n">
        <v>0</v>
      </c>
      <c r="L1657" t="b">
        <v>0</v>
      </c>
      <c r="M1657" t="inlineStr">
        <is>
          <t>Non-Billable</t>
        </is>
      </c>
      <c r="N1657" s="6">
        <f>IF(B1657="","",IF(ISNUMBER(B1657),TEXT(B1657,"YYYY-MM"),LEFT(B1657,7)))</f>
        <v/>
      </c>
    </row>
    <row r="1658">
      <c r="A1658" t="inlineStr">
        <is>
          <t>Augustus Asamoah</t>
        </is>
      </c>
      <c r="B1658" s="4" t="n">
        <v>46097</v>
      </c>
      <c r="C1658" t="inlineStr">
        <is>
          <t>Planing for field work</t>
        </is>
      </c>
      <c r="D1658" t="inlineStr">
        <is>
          <t>Augustus Asamoah</t>
        </is>
      </c>
      <c r="E1658" t="inlineStr">
        <is>
          <t>Augustus Asamoah</t>
        </is>
      </c>
      <c r="F1658" s="5" t="n">
        <v>46156.65494212963</v>
      </c>
      <c r="H1658" t="inlineStr">
        <is>
          <t>P13NC00A00 - WALMART II</t>
        </is>
      </c>
      <c r="I1658" t="n">
        <v>0</v>
      </c>
      <c r="L1658" t="b">
        <v>0</v>
      </c>
      <c r="M1658" t="inlineStr">
        <is>
          <t>Non-Billable</t>
        </is>
      </c>
      <c r="N1658" s="6">
        <f>IF(B1658="","",IF(ISNUMBER(B1658),TEXT(B1658,"YYYY-MM"),LEFT(B1658,7)))</f>
        <v/>
      </c>
    </row>
    <row r="1659">
      <c r="A1659" t="inlineStr">
        <is>
          <t>Augustus Asamoah</t>
        </is>
      </c>
      <c r="B1659" s="4" t="n">
        <v>46097</v>
      </c>
      <c r="C1659" t="inlineStr">
        <is>
          <t>Field activity Coordination and Prep for Training Workshop</t>
        </is>
      </c>
      <c r="D1659" t="inlineStr">
        <is>
          <t>Augustus Asamoah</t>
        </is>
      </c>
      <c r="E1659" t="inlineStr">
        <is>
          <t>Augustus Asamoah</t>
        </is>
      </c>
      <c r="F1659" s="5" t="n">
        <v>46156.65335648148</v>
      </c>
      <c r="H1659" t="inlineStr">
        <is>
          <t>P13QC00A00 - EFI Programme</t>
        </is>
      </c>
      <c r="I1659" t="n">
        <v>0</v>
      </c>
      <c r="L1659" t="b">
        <v>0</v>
      </c>
      <c r="M1659" t="inlineStr">
        <is>
          <t>Non-Billable</t>
        </is>
      </c>
      <c r="N1659" s="6">
        <f>IF(B1659="","",IF(ISNUMBER(B1659),TEXT(B1659,"YYYY-MM"),LEFT(B1659,7)))</f>
        <v/>
      </c>
    </row>
    <row r="1660">
      <c r="A1660" t="inlineStr">
        <is>
          <t>Augustus Asamoah</t>
        </is>
      </c>
      <c r="B1660" s="4" t="n">
        <v>46097</v>
      </c>
      <c r="C1660" t="inlineStr">
        <is>
          <t>Field Coordination</t>
        </is>
      </c>
      <c r="D1660" t="inlineStr">
        <is>
          <t>Augustus Asamoah</t>
        </is>
      </c>
      <c r="E1660" t="inlineStr">
        <is>
          <t>Augustus Asamoah</t>
        </is>
      </c>
      <c r="F1660" s="5" t="n">
        <v>46156.65246527778</v>
      </c>
      <c r="H1660" t="inlineStr">
        <is>
          <t>P13PC00A00 - Private Sector Companies</t>
        </is>
      </c>
      <c r="I1660" t="n">
        <v>0</v>
      </c>
      <c r="L1660" t="b">
        <v>0</v>
      </c>
      <c r="M1660" t="inlineStr">
        <is>
          <t>Non-Billable</t>
        </is>
      </c>
      <c r="N1660" s="6">
        <f>IF(B1660="","",IF(ISNUMBER(B1660),TEXT(B1660,"YYYY-MM"),LEFT(B1660,7)))</f>
        <v/>
      </c>
    </row>
    <row r="1661">
      <c r="A1661" t="inlineStr">
        <is>
          <t>Augustus Asamoah</t>
        </is>
      </c>
      <c r="B1661" s="4" t="n">
        <v>46097</v>
      </c>
      <c r="C1661" t="inlineStr">
        <is>
          <t>Field Fauna Study</t>
        </is>
      </c>
      <c r="D1661" t="inlineStr">
        <is>
          <t>Augustus Asamoah</t>
        </is>
      </c>
      <c r="E1661" t="inlineStr">
        <is>
          <t>Augustus Asamoah</t>
        </is>
      </c>
      <c r="F1661" s="5" t="n">
        <v>46156.65189814815</v>
      </c>
      <c r="H1661" t="inlineStr">
        <is>
          <t>PCGH784</t>
        </is>
      </c>
      <c r="I1661" t="n">
        <v>8</v>
      </c>
      <c r="J1661" t="inlineStr">
        <is>
          <t>PCGH784 - Desk Study (3) (Okeosisi Jonathan)</t>
        </is>
      </c>
      <c r="L1661" t="b">
        <v>1</v>
      </c>
      <c r="M1661" t="inlineStr">
        <is>
          <t>Billed at a Fixed price</t>
        </is>
      </c>
      <c r="N1661" s="6">
        <f>IF(B1661="","",IF(ISNUMBER(B1661),TEXT(B1661,"YYYY-MM"),LEFT(B1661,7)))</f>
        <v/>
      </c>
    </row>
    <row r="1662">
      <c r="A1662" t="inlineStr">
        <is>
          <t>Stephen Doso</t>
        </is>
      </c>
      <c r="B1662" s="4" t="n">
        <v>46097</v>
      </c>
      <c r="C1662" t="inlineStr">
        <is>
          <t>/</t>
        </is>
      </c>
      <c r="D1662" t="inlineStr">
        <is>
          <t>Stephen Doso</t>
        </is>
      </c>
      <c r="E1662" t="inlineStr">
        <is>
          <t>OdooBot</t>
        </is>
      </c>
      <c r="F1662" s="5" t="n">
        <v>46154.70721064815</v>
      </c>
      <c r="G1662" t="inlineStr">
        <is>
          <t>MONDONI: FIELDWORK (2)</t>
        </is>
      </c>
      <c r="H1662" t="inlineStr">
        <is>
          <t>PCGH788 - CDC Boa &amp; Mondoni CV-HCS Scoping</t>
        </is>
      </c>
      <c r="I1662" t="n">
        <v>8</v>
      </c>
      <c r="J1662" t="inlineStr">
        <is>
          <t>PCGH788 - Field work  (2) (CAMEROON DEVELOPMENT CORPORATION (CDC))</t>
        </is>
      </c>
      <c r="K1662" t="inlineStr">
        <is>
          <t>Ground truthing</t>
        </is>
      </c>
      <c r="L1662" t="b">
        <v>1</v>
      </c>
      <c r="M1662" t="inlineStr">
        <is>
          <t>Billed at a Fixed price</t>
        </is>
      </c>
      <c r="N1662" s="6">
        <f>IF(B1662="","",IF(ISNUMBER(B1662),TEXT(B1662,"YYYY-MM"),LEFT(B1662,7)))</f>
        <v/>
      </c>
    </row>
    <row r="1663">
      <c r="A1663" t="inlineStr">
        <is>
          <t>Stephen Doso</t>
        </is>
      </c>
      <c r="B1663" s="4" t="n">
        <v>46097</v>
      </c>
      <c r="C1663" t="inlineStr">
        <is>
          <t>/</t>
        </is>
      </c>
      <c r="D1663" t="inlineStr">
        <is>
          <t>Stephen Doso</t>
        </is>
      </c>
      <c r="E1663" t="inlineStr">
        <is>
          <t>OdooBot</t>
        </is>
      </c>
      <c r="F1663" s="5" t="n">
        <v>46154.70721064815</v>
      </c>
      <c r="H1663" t="inlineStr">
        <is>
          <t>PCGH788 - CDC Boa &amp; Mondoni CV-HCS Scoping</t>
        </is>
      </c>
      <c r="I1663" t="n">
        <v>0</v>
      </c>
      <c r="J1663" t="inlineStr">
        <is>
          <t>PCGH788 - Field work  (2) (CAMEROON DEVELOPMENT CORPORATION (CDC))</t>
        </is>
      </c>
      <c r="K1663" t="inlineStr">
        <is>
          <t>MONDONI: FIELDWORK (2)</t>
        </is>
      </c>
      <c r="L1663" t="b">
        <v>1</v>
      </c>
      <c r="M1663" t="inlineStr">
        <is>
          <t>Billed at a Fixed price</t>
        </is>
      </c>
      <c r="N1663" s="6">
        <f>IF(B1663="","",IF(ISNUMBER(B1663),TEXT(B1663,"YYYY-MM"),LEFT(B1663,7)))</f>
        <v/>
      </c>
    </row>
    <row r="1664">
      <c r="A1664" t="inlineStr">
        <is>
          <t>Stephen Doso</t>
        </is>
      </c>
      <c r="B1664" s="4" t="n">
        <v>46097</v>
      </c>
      <c r="C1664" t="inlineStr">
        <is>
          <t>/</t>
        </is>
      </c>
      <c r="D1664" t="inlineStr">
        <is>
          <t>Stephen Doso</t>
        </is>
      </c>
      <c r="E1664" t="inlineStr">
        <is>
          <t>OdooBot</t>
        </is>
      </c>
      <c r="F1664" s="5" t="n">
        <v>46154.70721064815</v>
      </c>
      <c r="H1664" t="inlineStr">
        <is>
          <t>PCGH788 - CDC Boa &amp; Mondoni CV-HCS Scoping</t>
        </is>
      </c>
      <c r="I1664" t="n">
        <v>0</v>
      </c>
      <c r="J1664" t="inlineStr">
        <is>
          <t>PCGH788 - Field work  (2) (CAMEROON DEVELOPMENT CORPORATION (CDC))</t>
        </is>
      </c>
      <c r="K1664" t="inlineStr">
        <is>
          <t>BOA: FIELDWORK</t>
        </is>
      </c>
      <c r="L1664" t="b">
        <v>1</v>
      </c>
      <c r="M1664" t="inlineStr">
        <is>
          <t>Billed at a Fixed price</t>
        </is>
      </c>
      <c r="N1664" s="6">
        <f>IF(B1664="","",IF(ISNUMBER(B1664),TEXT(B1664,"YYYY-MM"),LEFT(B1664,7)))</f>
        <v/>
      </c>
    </row>
    <row r="1665">
      <c r="A1665" t="inlineStr">
        <is>
          <t>Kwadwo Baniako Nti</t>
        </is>
      </c>
      <c r="B1665" s="4" t="n">
        <v>46097</v>
      </c>
      <c r="C1665" t="inlineStr">
        <is>
          <t>/</t>
        </is>
      </c>
      <c r="D1665" t="inlineStr">
        <is>
          <t>Kwadwo Baniako Nti</t>
        </is>
      </c>
      <c r="E1665" t="inlineStr">
        <is>
          <t>OdooBot</t>
        </is>
      </c>
      <c r="F1665" s="5" t="n">
        <v>46154.70721064815</v>
      </c>
      <c r="H1665" t="inlineStr">
        <is>
          <t>PCGH774 -Evaluation Deep-Dive Action Plans by Socfin Group</t>
        </is>
      </c>
      <c r="I1665" t="n">
        <v>0</v>
      </c>
      <c r="J1665" t="inlineStr">
        <is>
          <t>PCGH774 - Project Management (3) (Socfinco FR SA)</t>
        </is>
      </c>
      <c r="K1665" t="inlineStr">
        <is>
          <t>Project Management (3)</t>
        </is>
      </c>
      <c r="L1665" t="b">
        <v>1</v>
      </c>
      <c r="M1665" t="inlineStr">
        <is>
          <t>Billed at a Fixed price</t>
        </is>
      </c>
      <c r="N1665" s="6">
        <f>IF(B1665="","",IF(ISNUMBER(B1665),TEXT(B1665,"YYYY-MM"),LEFT(B1665,7)))</f>
        <v/>
      </c>
    </row>
    <row r="1666">
      <c r="A1666" t="inlineStr">
        <is>
          <t>Kwadwo Baniako Nti</t>
        </is>
      </c>
      <c r="B1666" s="4" t="n">
        <v>46097</v>
      </c>
      <c r="C1666" t="inlineStr">
        <is>
          <t>/</t>
        </is>
      </c>
      <c r="D1666" t="inlineStr">
        <is>
          <t>Kwadwo Baniako Nti</t>
        </is>
      </c>
      <c r="E1666" t="inlineStr">
        <is>
          <t>OdooBot</t>
        </is>
      </c>
      <c r="F1666" s="5" t="n">
        <v>46154.70721064815</v>
      </c>
      <c r="H1666" t="inlineStr">
        <is>
          <t>PCGH774 -Evaluation Deep-Dive Action Plans by Socfin Group</t>
        </is>
      </c>
      <c r="I1666" t="n">
        <v>0</v>
      </c>
      <c r="J1666" t="inlineStr">
        <is>
          <t>PCGH774 - Management and Monitoring (3) (Socfinco FR SA)</t>
        </is>
      </c>
      <c r="K1666" t="inlineStr">
        <is>
          <t>Okomu - Analysis and reporting</t>
        </is>
      </c>
      <c r="L1666" t="b">
        <v>1</v>
      </c>
      <c r="M1666" t="inlineStr">
        <is>
          <t>Billed at a Fixed price</t>
        </is>
      </c>
      <c r="N1666" s="6">
        <f>IF(B1666="","",IF(ISNUMBER(B1666),TEXT(B1666,"YYYY-MM"),LEFT(B1666,7)))</f>
        <v/>
      </c>
    </row>
    <row r="1667">
      <c r="A1667" t="inlineStr">
        <is>
          <t>Kwadwo Baniako Nti</t>
        </is>
      </c>
      <c r="B1667" s="4" t="n">
        <v>46097</v>
      </c>
      <c r="C1667" t="inlineStr">
        <is>
          <t>/</t>
        </is>
      </c>
      <c r="D1667" t="inlineStr">
        <is>
          <t>Kwadwo Baniako Nti</t>
        </is>
      </c>
      <c r="E1667" t="inlineStr">
        <is>
          <t>OdooBot</t>
        </is>
      </c>
      <c r="F1667" s="5" t="n">
        <v>46154.70721064815</v>
      </c>
      <c r="H1667" t="inlineStr">
        <is>
          <t>PCGH774 -Evaluation Deep-Dive Action Plans by Socfin Group</t>
        </is>
      </c>
      <c r="I1667" t="n">
        <v>0</v>
      </c>
      <c r="J1667" t="inlineStr">
        <is>
          <t>PCGH774 - Tier 3 (Socfinco FR SA)</t>
        </is>
      </c>
      <c r="K1667" t="inlineStr">
        <is>
          <t xml:space="preserve">Okomu - Review of operational documents </t>
        </is>
      </c>
      <c r="L1667" t="b">
        <v>1</v>
      </c>
      <c r="M1667" t="inlineStr">
        <is>
          <t>Billed at a Fixed price</t>
        </is>
      </c>
      <c r="N1667" s="6">
        <f>IF(B1667="","",IF(ISNUMBER(B1667),TEXT(B1667,"YYYY-MM"),LEFT(B1667,7)))</f>
        <v/>
      </c>
    </row>
    <row r="1668">
      <c r="A1668" t="inlineStr">
        <is>
          <t>Kwadwo Baniako Nti</t>
        </is>
      </c>
      <c r="B1668" s="4" t="n">
        <v>46097</v>
      </c>
      <c r="C1668" t="inlineStr">
        <is>
          <t>/</t>
        </is>
      </c>
      <c r="D1668" t="inlineStr">
        <is>
          <t>Kwadwo Baniako Nti</t>
        </is>
      </c>
      <c r="E1668" t="inlineStr">
        <is>
          <t>OdooBot</t>
        </is>
      </c>
      <c r="F1668" s="5" t="n">
        <v>46154.70721064815</v>
      </c>
      <c r="H1668" t="inlineStr">
        <is>
          <t>PCGH774 -Evaluation Deep-Dive Action Plans by Socfin Group</t>
        </is>
      </c>
      <c r="I1668" t="n">
        <v>8</v>
      </c>
      <c r="J1668" t="inlineStr">
        <is>
          <t>PCGH774 - Tier 2 (Socfinco FR SA)</t>
        </is>
      </c>
      <c r="K1668" t="inlineStr">
        <is>
          <t>SAC - Analysis and reporting</t>
        </is>
      </c>
      <c r="L1668" t="b">
        <v>1</v>
      </c>
      <c r="M1668" t="inlineStr">
        <is>
          <t>Billed at a Fixed price</t>
        </is>
      </c>
      <c r="N1668" s="6">
        <f>IF(B1668="","",IF(ISNUMBER(B1668),TEXT(B1668,"YYYY-MM"),LEFT(B1668,7)))</f>
        <v/>
      </c>
    </row>
    <row r="1669">
      <c r="A1669" t="inlineStr">
        <is>
          <t>Kingsley Fitz-Gerald Severine</t>
        </is>
      </c>
      <c r="B1669" s="4" t="n">
        <v>46097</v>
      </c>
      <c r="C1669" t="inlineStr">
        <is>
          <t>/</t>
        </is>
      </c>
      <c r="D1669" t="inlineStr">
        <is>
          <t>Kingsley Fitz-Gerald Severine</t>
        </is>
      </c>
      <c r="E1669" t="inlineStr">
        <is>
          <t>OdooBot</t>
        </is>
      </c>
      <c r="F1669" s="5" t="n">
        <v>46154.70721064815</v>
      </c>
      <c r="G1669" t="inlineStr">
        <is>
          <t>MONDONI: FIELDWORK (3)</t>
        </is>
      </c>
      <c r="H1669" t="inlineStr">
        <is>
          <t>PCGH788 - CDC Boa &amp; Mondoni CV-HCS Scoping</t>
        </is>
      </c>
      <c r="I1669" t="n">
        <v>8</v>
      </c>
      <c r="J1669" t="inlineStr">
        <is>
          <t>PCGH788 - Field work  (3) (CAMEROON DEVELOPMENT CORPORATION (CDC))</t>
        </is>
      </c>
      <c r="K1669" t="inlineStr">
        <is>
          <t>Ground truthing</t>
        </is>
      </c>
      <c r="L1669" t="b">
        <v>1</v>
      </c>
      <c r="M1669" t="inlineStr">
        <is>
          <t>Billed at a Fixed price</t>
        </is>
      </c>
      <c r="N1669" s="6">
        <f>IF(B1669="","",IF(ISNUMBER(B1669),TEXT(B1669,"YYYY-MM"),LEFT(B1669,7)))</f>
        <v/>
      </c>
    </row>
    <row r="1670">
      <c r="A1670" t="inlineStr">
        <is>
          <t>Kingsley Fitz-Gerald Severine</t>
        </is>
      </c>
      <c r="B1670" s="4" t="n">
        <v>46097</v>
      </c>
      <c r="C1670" t="inlineStr">
        <is>
          <t>/</t>
        </is>
      </c>
      <c r="D1670" t="inlineStr">
        <is>
          <t>Kingsley Fitz-Gerald Severine</t>
        </is>
      </c>
      <c r="E1670" t="inlineStr">
        <is>
          <t>OdooBot</t>
        </is>
      </c>
      <c r="F1670" s="5" t="n">
        <v>46154.70721064815</v>
      </c>
      <c r="H1670" t="inlineStr">
        <is>
          <t>PCGH788 - CDC Boa &amp; Mondoni CV-HCS Scoping</t>
        </is>
      </c>
      <c r="I1670" t="n">
        <v>0</v>
      </c>
      <c r="J1670" t="inlineStr">
        <is>
          <t>PCGH788 - Field work  (3) (CAMEROON DEVELOPMENT CORPORATION (CDC))</t>
        </is>
      </c>
      <c r="K1670" t="inlineStr">
        <is>
          <t>BOA: FIELDWORK (3)</t>
        </is>
      </c>
      <c r="L1670" t="b">
        <v>1</v>
      </c>
      <c r="M1670" t="inlineStr">
        <is>
          <t>Billed at a Fixed price</t>
        </is>
      </c>
      <c r="N1670" s="6">
        <f>IF(B1670="","",IF(ISNUMBER(B1670),TEXT(B1670,"YYYY-MM"),LEFT(B1670,7)))</f>
        <v/>
      </c>
    </row>
    <row r="1671">
      <c r="A1671" t="inlineStr">
        <is>
          <t>Louis Defo</t>
        </is>
      </c>
      <c r="B1671" s="4" t="n">
        <v>46097</v>
      </c>
      <c r="C1671" t="inlineStr">
        <is>
          <t>/</t>
        </is>
      </c>
      <c r="D1671" t="inlineStr">
        <is>
          <t>Louis Defo</t>
        </is>
      </c>
      <c r="E1671" t="inlineStr">
        <is>
          <t>OdooBot</t>
        </is>
      </c>
      <c r="F1671" s="5" t="n">
        <v>46154.70721064815</v>
      </c>
      <c r="H1671" t="inlineStr">
        <is>
          <t>PCGH788 - CDC Boa &amp; Mondoni CV-HCS Scoping</t>
        </is>
      </c>
      <c r="I1671" t="n">
        <v>8</v>
      </c>
      <c r="J1671" t="inlineStr">
        <is>
          <t>PCGH788 - Desk Study (3) (CAMEROON DEVELOPMENT CORPORATION (CDC))</t>
        </is>
      </c>
      <c r="L1671" t="b">
        <v>1</v>
      </c>
      <c r="M1671" t="inlineStr">
        <is>
          <t>Billed at a Fixed price</t>
        </is>
      </c>
      <c r="N1671" s="6">
        <f>IF(B1671="","",IF(ISNUMBER(B1671),TEXT(B1671,"YYYY-MM"),LEFT(B1671,7)))</f>
        <v/>
      </c>
    </row>
    <row r="1672">
      <c r="A1672" t="inlineStr">
        <is>
          <t>Afua Serwah Akoto Prempeh</t>
        </is>
      </c>
      <c r="B1672" s="4" t="n">
        <v>46097</v>
      </c>
      <c r="C1672" t="inlineStr">
        <is>
          <t>/</t>
        </is>
      </c>
      <c r="D1672" t="inlineStr">
        <is>
          <t>Afua Serwah Akoto Prempeh</t>
        </is>
      </c>
      <c r="E1672" t="inlineStr">
        <is>
          <t>OdooBot</t>
        </is>
      </c>
      <c r="F1672" s="5" t="n">
        <v>46154.70721064815</v>
      </c>
      <c r="H1672" t="inlineStr">
        <is>
          <t>Non-Billable Tasks</t>
        </is>
      </c>
      <c r="I1672" t="n">
        <v>8</v>
      </c>
      <c r="K1672" t="inlineStr">
        <is>
          <t>Professional development and Knowledge sharing(training,global knowledge calls,exchange weeks)</t>
        </is>
      </c>
      <c r="L1672" t="b">
        <v>0</v>
      </c>
      <c r="M1672" t="inlineStr">
        <is>
          <t>Non-Billable</t>
        </is>
      </c>
      <c r="N1672" s="6">
        <f>IF(B1672="","",IF(ISNUMBER(B1672),TEXT(B1672,"YYYY-MM"),LEFT(B1672,7)))</f>
        <v/>
      </c>
    </row>
    <row r="1673">
      <c r="A1673" t="inlineStr">
        <is>
          <t>Daleba Bernard Kpenahi Raymond</t>
        </is>
      </c>
      <c r="B1673" s="4" t="n">
        <v>46097</v>
      </c>
      <c r="C1673" t="inlineStr">
        <is>
          <t>/</t>
        </is>
      </c>
      <c r="D1673" t="inlineStr">
        <is>
          <t>Daleba Bernard Kpenahi Raymond</t>
        </is>
      </c>
      <c r="E1673" t="inlineStr">
        <is>
          <t>OdooBot</t>
        </is>
      </c>
      <c r="F1673" s="5" t="n">
        <v>46154.70721064815</v>
      </c>
      <c r="G1673" t="inlineStr">
        <is>
          <t>Land cover classification, ground truthing and accuracy assessment</t>
        </is>
      </c>
      <c r="H1673" t="inlineStr">
        <is>
          <t>PCGH776 - Deforestation Risk-Assessment Cashew-Coast</t>
        </is>
      </c>
      <c r="I1673" t="n">
        <v>0</v>
      </c>
      <c r="J1673" t="inlineStr">
        <is>
          <t>PCGH776 - Groundthruthing and Verification (3) (Cashew Coast Products Inc)</t>
        </is>
      </c>
      <c r="K1673" t="inlineStr">
        <is>
          <t>Land cover classification, ground truthing and accuracy assessment</t>
        </is>
      </c>
      <c r="L1673" t="b">
        <v>1</v>
      </c>
      <c r="M1673" t="inlineStr">
        <is>
          <t>Billed at a Fixed price</t>
        </is>
      </c>
      <c r="N1673" s="6">
        <f>IF(B1673="","",IF(ISNUMBER(B1673),TEXT(B1673,"YYYY-MM"),LEFT(B1673,7)))</f>
        <v/>
      </c>
    </row>
    <row r="1674">
      <c r="A1674" t="inlineStr">
        <is>
          <t>Daleba Bernard Kpenahi Raymond</t>
        </is>
      </c>
      <c r="B1674" s="4" t="n">
        <v>46097</v>
      </c>
      <c r="C1674" t="inlineStr">
        <is>
          <t>/</t>
        </is>
      </c>
      <c r="D1674" t="inlineStr">
        <is>
          <t>Daleba Bernard Kpenahi Raymond</t>
        </is>
      </c>
      <c r="E1674" t="inlineStr">
        <is>
          <t>OdooBot</t>
        </is>
      </c>
      <c r="F1674" s="5" t="n">
        <v>46154.70721064815</v>
      </c>
      <c r="H1674" t="inlineStr">
        <is>
          <t>PCGH776 - Deforestation Risk-Assessment Cashew-Coast</t>
        </is>
      </c>
      <c r="I1674" t="n">
        <v>0</v>
      </c>
      <c r="J1674" t="inlineStr">
        <is>
          <t>PCGH776 - Data collection and review (3) (Cashew Coast Products Inc)</t>
        </is>
      </c>
      <c r="L1674" t="b">
        <v>1</v>
      </c>
      <c r="M1674" t="inlineStr">
        <is>
          <t>Billed at a Fixed price</t>
        </is>
      </c>
      <c r="N1674" s="6">
        <f>IF(B1674="","",IF(ISNUMBER(B1674),TEXT(B1674,"YYYY-MM"),LEFT(B1674,7)))</f>
        <v/>
      </c>
    </row>
    <row r="1675">
      <c r="A1675" t="inlineStr">
        <is>
          <t>Helena Tetteh</t>
        </is>
      </c>
      <c r="B1675" s="4" t="n">
        <v>46097</v>
      </c>
      <c r="C1675" t="inlineStr">
        <is>
          <t>Proforest-AgriGRADE introduction, Proforest-Rikolto West Africa introduction</t>
        </is>
      </c>
      <c r="D1675" t="inlineStr">
        <is>
          <t xml:space="preserve">Helena Tetteh </t>
        </is>
      </c>
      <c r="E1675" t="inlineStr">
        <is>
          <t>OdooBot</t>
        </is>
      </c>
      <c r="F1675" s="5" t="n">
        <v>46154.70721064815</v>
      </c>
      <c r="H1675" t="inlineStr">
        <is>
          <t>Non-Billable Tasks</t>
        </is>
      </c>
      <c r="I1675" t="n">
        <v>4</v>
      </c>
      <c r="K1675" t="inlineStr">
        <is>
          <t>Business Development and Networking</t>
        </is>
      </c>
      <c r="L1675" t="b">
        <v>0</v>
      </c>
      <c r="M1675" t="inlineStr">
        <is>
          <t>Non-Billable</t>
        </is>
      </c>
      <c r="N1675" s="6">
        <f>IF(B1675="","",IF(ISNUMBER(B1675),TEXT(B1675,"YYYY-MM"),LEFT(B1675,7)))</f>
        <v/>
      </c>
    </row>
    <row r="1676">
      <c r="A1676" t="inlineStr">
        <is>
          <t>Helena Tetteh</t>
        </is>
      </c>
      <c r="B1676" s="4" t="n">
        <v>46097</v>
      </c>
      <c r="C1676" t="inlineStr">
        <is>
          <t>FGMC Update forecast for Y2Q1 financial year (Apr - June 2026)</t>
        </is>
      </c>
      <c r="D1676" t="inlineStr">
        <is>
          <t xml:space="preserve">Helena Tetteh </t>
        </is>
      </c>
      <c r="E1676" t="inlineStr">
        <is>
          <t>OdooBot</t>
        </is>
      </c>
      <c r="F1676" s="5" t="n">
        <v>46154.70721064815</v>
      </c>
      <c r="H1676" t="inlineStr">
        <is>
          <t>P23AC00C00 - FGMC</t>
        </is>
      </c>
      <c r="I1676" t="n">
        <v>4</v>
      </c>
      <c r="L1676" t="b">
        <v>0</v>
      </c>
      <c r="M1676" t="inlineStr">
        <is>
          <t>Non-Billable</t>
        </is>
      </c>
      <c r="N1676" s="6">
        <f>IF(B1676="","",IF(ISNUMBER(B1676),TEXT(B1676,"YYYY-MM"),LEFT(B1676,7)))</f>
        <v/>
      </c>
    </row>
    <row r="1677">
      <c r="A1677" t="inlineStr">
        <is>
          <t>Ekow Nyamekye Tawiah</t>
        </is>
      </c>
      <c r="B1677" s="4" t="n">
        <v>46097</v>
      </c>
      <c r="C1677" t="inlineStr">
        <is>
          <t>Borotou-Koro Reporting</t>
        </is>
      </c>
      <c r="D1677" t="inlineStr">
        <is>
          <t>Joseph Isaiah Mensah</t>
        </is>
      </c>
      <c r="E1677" t="inlineStr">
        <is>
          <t>OdooBot</t>
        </is>
      </c>
      <c r="F1677" s="5" t="n">
        <v>46154.70721064815</v>
      </c>
      <c r="H1677" t="inlineStr">
        <is>
          <t>PCGH722</t>
        </is>
      </c>
      <c r="I1677" t="n">
        <v>4</v>
      </c>
      <c r="J1677" t="inlineStr">
        <is>
          <t>PCGH722 - Analysis and Reporting (3) (Sucrivoire SA)</t>
        </is>
      </c>
      <c r="K1677" t="inlineStr">
        <is>
          <t>Analysis and Reporting (3)</t>
        </is>
      </c>
      <c r="L1677" t="b">
        <v>1</v>
      </c>
      <c r="M1677" t="inlineStr">
        <is>
          <t>Billed at a Fixed price</t>
        </is>
      </c>
      <c r="N1677" s="6">
        <f>IF(B1677="","",IF(ISNUMBER(B1677),TEXT(B1677,"YYYY-MM"),LEFT(B1677,7)))</f>
        <v/>
      </c>
    </row>
    <row r="1678">
      <c r="A1678" t="inlineStr">
        <is>
          <t>Clement Obeng-Manu</t>
        </is>
      </c>
      <c r="B1678" s="4" t="n">
        <v>46097</v>
      </c>
      <c r="C1678" t="inlineStr">
        <is>
          <t>/</t>
        </is>
      </c>
      <c r="D1678" t="inlineStr">
        <is>
          <t>Ekow Nyamekye Tawiah</t>
        </is>
      </c>
      <c r="E1678" t="inlineStr">
        <is>
          <t>OdooBot</t>
        </is>
      </c>
      <c r="F1678" s="5" t="n">
        <v>46154.70721064815</v>
      </c>
      <c r="G1678" t="inlineStr">
        <is>
          <t>Fieldwork – stakeholder engagement</t>
        </is>
      </c>
      <c r="H1678" t="inlineStr">
        <is>
          <t>PCGH777</t>
        </is>
      </c>
      <c r="I1678" t="n">
        <v>8</v>
      </c>
      <c r="J1678" t="inlineStr">
        <is>
          <t>PCGH777 - Field work  (3) (Proforest Limited(PCUK GBP))</t>
        </is>
      </c>
      <c r="K1678" t="inlineStr">
        <is>
          <t>Fieldwork – stakeholder engagement</t>
        </is>
      </c>
      <c r="L1678" t="b">
        <v>1</v>
      </c>
      <c r="M1678" t="inlineStr">
        <is>
          <t>Billed at a Fixed price</t>
        </is>
      </c>
      <c r="N1678" s="6">
        <f>IF(B1678="","",IF(ISNUMBER(B1678),TEXT(B1678,"YYYY-MM"),LEFT(B1678,7)))</f>
        <v/>
      </c>
    </row>
    <row r="1679">
      <c r="A1679" t="inlineStr">
        <is>
          <t>Clement Obeng-Manu</t>
        </is>
      </c>
      <c r="B1679" s="4" t="n">
        <v>46097</v>
      </c>
      <c r="C1679" t="inlineStr">
        <is>
          <t>/</t>
        </is>
      </c>
      <c r="D1679" t="inlineStr">
        <is>
          <t>Ekow Nyamekye Tawiah</t>
        </is>
      </c>
      <c r="E1679" t="inlineStr">
        <is>
          <t>OdooBot</t>
        </is>
      </c>
      <c r="F1679" s="5" t="n">
        <v>46154.70721064815</v>
      </c>
      <c r="H1679" t="inlineStr">
        <is>
          <t>PCGH777</t>
        </is>
      </c>
      <c r="I1679" t="n">
        <v>0</v>
      </c>
      <c r="J1679" t="inlineStr">
        <is>
          <t>PCGH777 - Land Use Change Analysis (Proforest Limited(PCUK GBP))</t>
        </is>
      </c>
      <c r="K1679" t="inlineStr">
        <is>
          <t xml:space="preserve">Post fieldwork analysis </t>
        </is>
      </c>
      <c r="L1679" t="b">
        <v>1</v>
      </c>
      <c r="M1679" t="inlineStr">
        <is>
          <t>Billed at a Fixed price</t>
        </is>
      </c>
      <c r="N1679" s="6">
        <f>IF(B1679="","",IF(ISNUMBER(B1679),TEXT(B1679,"YYYY-MM"),LEFT(B1679,7)))</f>
        <v/>
      </c>
    </row>
    <row r="1680">
      <c r="A1680" t="inlineStr">
        <is>
          <t>Clement Obeng-Manu</t>
        </is>
      </c>
      <c r="B1680" s="4" t="n">
        <v>46097</v>
      </c>
      <c r="C1680" t="inlineStr">
        <is>
          <t>/</t>
        </is>
      </c>
      <c r="D1680" t="inlineStr">
        <is>
          <t>Ekow Nyamekye Tawiah</t>
        </is>
      </c>
      <c r="E1680" t="inlineStr">
        <is>
          <t>OdooBot</t>
        </is>
      </c>
      <c r="F1680" s="5" t="n">
        <v>46154.70721064815</v>
      </c>
      <c r="H1680" t="inlineStr">
        <is>
          <t>PCGH777</t>
        </is>
      </c>
      <c r="I1680" t="n">
        <v>0</v>
      </c>
      <c r="J1680" t="inlineStr">
        <is>
          <t>PCGH777 - Desk Study (3) (Proforest Limited(PCUK GBP))</t>
        </is>
      </c>
      <c r="L1680" t="b">
        <v>1</v>
      </c>
      <c r="M1680" t="inlineStr">
        <is>
          <t>Billed at a Fixed price</t>
        </is>
      </c>
      <c r="N1680" s="6">
        <f>IF(B1680="","",IF(ISNUMBER(B1680),TEXT(B1680,"YYYY-MM"),LEFT(B1680,7)))</f>
        <v/>
      </c>
    </row>
    <row r="1681">
      <c r="A1681" t="inlineStr">
        <is>
          <t>Abraham Baffoe</t>
        </is>
      </c>
      <c r="B1681" s="4" t="n">
        <v>46097</v>
      </c>
      <c r="C1681" t="inlineStr">
        <is>
          <t>Time Off (1/4)</t>
        </is>
      </c>
      <c r="D1681" t="inlineStr">
        <is>
          <t>Clement Obeng-Manu</t>
        </is>
      </c>
      <c r="E1681" t="inlineStr">
        <is>
          <t>OdooBot</t>
        </is>
      </c>
      <c r="F1681" s="5" t="n">
        <v>46154.70721064815</v>
      </c>
      <c r="H1681" t="inlineStr">
        <is>
          <t>Internal</t>
        </is>
      </c>
      <c r="I1681" t="n">
        <v>8</v>
      </c>
      <c r="K1681" t="inlineStr">
        <is>
          <t>Time Off</t>
        </is>
      </c>
      <c r="L1681" t="b">
        <v>0</v>
      </c>
      <c r="M1681" t="inlineStr">
        <is>
          <t>Non-Billable</t>
        </is>
      </c>
      <c r="N1681" s="6">
        <f>IF(B1681="","",IF(ISNUMBER(B1681),TEXT(B1681,"YYYY-MM"),LEFT(B1681,7)))</f>
        <v/>
      </c>
    </row>
    <row r="1682">
      <c r="A1682" t="inlineStr">
        <is>
          <t>Joseph Isaiah Mensah</t>
        </is>
      </c>
      <c r="B1682" s="4" t="n">
        <v>46094</v>
      </c>
      <c r="C1682" t="inlineStr">
        <is>
          <t>EU Proposal</t>
        </is>
      </c>
      <c r="D1682" t="inlineStr">
        <is>
          <t>Jacqueline Nyakutse Afua</t>
        </is>
      </c>
      <c r="E1682" t="inlineStr">
        <is>
          <t>Joseph Isaiah Mensah</t>
        </is>
      </c>
      <c r="F1682" s="5" t="n">
        <v>46162.73276620371</v>
      </c>
      <c r="H1682" t="inlineStr">
        <is>
          <t>Non-Billable Tasks</t>
        </is>
      </c>
      <c r="I1682" t="n">
        <v>2</v>
      </c>
      <c r="K1682" t="inlineStr">
        <is>
          <t>Business Development and Networking</t>
        </is>
      </c>
      <c r="L1682" t="b">
        <v>0</v>
      </c>
      <c r="M1682" t="inlineStr">
        <is>
          <t>Non-Billable</t>
        </is>
      </c>
      <c r="N1682" s="6">
        <f>IF(B1682="","",IF(ISNUMBER(B1682),TEXT(B1682,"YYYY-MM"),LEFT(B1682,7)))</f>
        <v/>
      </c>
    </row>
    <row r="1683">
      <c r="A1683" t="inlineStr">
        <is>
          <t>Joseph Isaiah Mensah</t>
        </is>
      </c>
      <c r="B1683" s="4" t="n">
        <v>46094</v>
      </c>
      <c r="C1683" t="inlineStr">
        <is>
          <t>[Update}: PFAFR Resp Sourcing Catch Up</t>
        </is>
      </c>
      <c r="D1683" t="inlineStr">
        <is>
          <t>Jacqueline Nyakutse Afua</t>
        </is>
      </c>
      <c r="E1683" t="inlineStr">
        <is>
          <t>Joseph Isaiah Mensah</t>
        </is>
      </c>
      <c r="F1683" s="5" t="n">
        <v>46162.71387731482</v>
      </c>
      <c r="H1683" t="inlineStr">
        <is>
          <t>PCGH778 - General Support</t>
        </is>
      </c>
      <c r="I1683" t="n">
        <v>2</v>
      </c>
      <c r="J1683" t="inlineStr">
        <is>
          <t>PCGH778 - Support to Other Workstreams (3) (Proforest Limited(PCUK GBP))</t>
        </is>
      </c>
      <c r="L1683" t="b">
        <v>1</v>
      </c>
      <c r="M1683" t="inlineStr">
        <is>
          <t>Billed at a Fixed price</t>
        </is>
      </c>
      <c r="N1683" s="6">
        <f>IF(B1683="","",IF(ISNUMBER(B1683),TEXT(B1683,"YYYY-MM"),LEFT(B1683,7)))</f>
        <v/>
      </c>
    </row>
    <row r="1684">
      <c r="A1684" t="inlineStr">
        <is>
          <t>Joseph Isaiah Mensah</t>
        </is>
      </c>
      <c r="B1684" s="4" t="n">
        <v>46094</v>
      </c>
      <c r="C1684" t="inlineStr">
        <is>
          <t>FGMC Y2Q1 Forecast</t>
        </is>
      </c>
      <c r="D1684" t="inlineStr">
        <is>
          <t>Jacqueline Nyakutse Afua</t>
        </is>
      </c>
      <c r="E1684" t="inlineStr">
        <is>
          <t>Joseph Isaiah Mensah</t>
        </is>
      </c>
      <c r="F1684" s="5" t="n">
        <v>46162.71269675926</v>
      </c>
      <c r="G1684" t="inlineStr">
        <is>
          <t>Output 4</t>
        </is>
      </c>
      <c r="H1684" t="inlineStr">
        <is>
          <t>P23AC00C00 - FGMC</t>
        </is>
      </c>
      <c r="I1684" t="n">
        <v>1</v>
      </c>
      <c r="K1684" t="inlineStr">
        <is>
          <t>P23AC03A00 - Project Management</t>
        </is>
      </c>
      <c r="L1684" t="b">
        <v>0</v>
      </c>
      <c r="M1684" t="inlineStr">
        <is>
          <t>Non-Billable</t>
        </is>
      </c>
      <c r="N1684" s="6">
        <f>IF(B1684="","",IF(ISNUMBER(B1684),TEXT(B1684,"YYYY-MM"),LEFT(B1684,7)))</f>
        <v/>
      </c>
    </row>
    <row r="1685">
      <c r="A1685" t="inlineStr">
        <is>
          <t>Joseph Isaiah Mensah</t>
        </is>
      </c>
      <c r="B1685" s="4" t="n">
        <v>46094</v>
      </c>
      <c r="C1685" t="inlineStr">
        <is>
          <t>[Update]: Nestle Sugar Climate 2026 - Internal Kick off</t>
        </is>
      </c>
      <c r="D1685" t="inlineStr">
        <is>
          <t>Jacqueline Nyakutse Afua</t>
        </is>
      </c>
      <c r="E1685" t="inlineStr">
        <is>
          <t>Joseph Isaiah Mensah</t>
        </is>
      </c>
      <c r="F1685" s="5" t="n">
        <v>46162.71125</v>
      </c>
      <c r="H1685" t="inlineStr">
        <is>
          <t>PCGH778 - General Support</t>
        </is>
      </c>
      <c r="I1685" t="n">
        <v>1</v>
      </c>
      <c r="J1685" t="inlineStr">
        <is>
          <t>PCGH778 - Support to Other Workstreams (3) (Proforest Limited(PCUK GBP))</t>
        </is>
      </c>
      <c r="L1685" t="b">
        <v>1</v>
      </c>
      <c r="M1685" t="inlineStr">
        <is>
          <t>Billed at a Fixed price</t>
        </is>
      </c>
      <c r="N1685" s="6">
        <f>IF(B1685="","",IF(ISNUMBER(B1685),TEXT(B1685,"YYYY-MM"),LEFT(B1685,7)))</f>
        <v/>
      </c>
    </row>
    <row r="1686">
      <c r="A1686" t="inlineStr">
        <is>
          <t>Joseph Isaiah Mensah</t>
        </is>
      </c>
      <c r="B1686" s="4" t="n">
        <v>46094</v>
      </c>
      <c r="C1686" t="inlineStr">
        <is>
          <t>[Update]: Nig Validation workshop prep</t>
        </is>
      </c>
      <c r="D1686" t="inlineStr">
        <is>
          <t>Jacqueline Nyakutse Afua</t>
        </is>
      </c>
      <c r="E1686" t="inlineStr">
        <is>
          <t>Joseph Isaiah Mensah</t>
        </is>
      </c>
      <c r="F1686" s="5" t="n">
        <v>46162.7108912037</v>
      </c>
      <c r="H1686" t="inlineStr">
        <is>
          <t>PCGH780 - Nigeria</t>
        </is>
      </c>
      <c r="I1686" t="n">
        <v>2</v>
      </c>
      <c r="J1686" t="inlineStr">
        <is>
          <t>PCGH780 - Tree Planting Project (2) (Proforest Limited(PCUK GBP))</t>
        </is>
      </c>
      <c r="L1686" t="b">
        <v>1</v>
      </c>
      <c r="M1686" t="inlineStr">
        <is>
          <t>Billed at a Fixed price</t>
        </is>
      </c>
      <c r="N1686" s="6">
        <f>IF(B1686="","",IF(ISNUMBER(B1686),TEXT(B1686,"YYYY-MM"),LEFT(B1686,7)))</f>
        <v/>
      </c>
    </row>
    <row r="1687">
      <c r="A1687" t="inlineStr">
        <is>
          <t>James Parker Mckeown</t>
        </is>
      </c>
      <c r="B1687" s="4" t="n">
        <v>46094</v>
      </c>
      <c r="C1687" t="inlineStr">
        <is>
          <t>Review of plan for trip to Liberia</t>
        </is>
      </c>
      <c r="D1687" t="inlineStr">
        <is>
          <t>James Parker Mckeown</t>
        </is>
      </c>
      <c r="E1687" t="inlineStr">
        <is>
          <t>James Parker Mckeown</t>
        </is>
      </c>
      <c r="F1687" s="5" t="n">
        <v>46162.6829050926</v>
      </c>
      <c r="H1687" t="inlineStr">
        <is>
          <t>PCGH762 - GVL HCSA Restoration Project</t>
        </is>
      </c>
      <c r="I1687" t="n">
        <v>2.5</v>
      </c>
      <c r="K1687" t="inlineStr">
        <is>
          <t>Baseline Socio-Economic &amp; Environmental Surveys</t>
        </is>
      </c>
      <c r="L1687" t="b">
        <v>1</v>
      </c>
      <c r="M1687" t="inlineStr">
        <is>
          <t>Non-Billable</t>
        </is>
      </c>
      <c r="N1687" s="6">
        <f>IF(B1687="","",IF(ISNUMBER(B1687),TEXT(B1687,"YYYY-MM"),LEFT(B1687,7)))</f>
        <v/>
      </c>
    </row>
    <row r="1688">
      <c r="A1688" t="inlineStr">
        <is>
          <t>Frederick Antwi</t>
        </is>
      </c>
      <c r="B1688" s="4" t="n">
        <v>46094</v>
      </c>
      <c r="C1688" t="inlineStr">
        <is>
          <t>/</t>
        </is>
      </c>
      <c r="D1688" t="inlineStr">
        <is>
          <t>Frederick Antwi</t>
        </is>
      </c>
      <c r="E1688" t="inlineStr">
        <is>
          <t>Frederick Antwi</t>
        </is>
      </c>
      <c r="F1688" s="5" t="n">
        <v>46160.62174768518</v>
      </c>
      <c r="H1688" t="inlineStr">
        <is>
          <t>P13PC00A00 - Private Sector Companies</t>
        </is>
      </c>
      <c r="I1688" t="n">
        <v>8</v>
      </c>
      <c r="L1688" t="b">
        <v>0</v>
      </c>
      <c r="M1688" t="inlineStr">
        <is>
          <t>Non-Billable</t>
        </is>
      </c>
      <c r="N1688" s="6">
        <f>IF(B1688="","",IF(ISNUMBER(B1688),TEXT(B1688,"YYYY-MM"),LEFT(B1688,7)))</f>
        <v/>
      </c>
    </row>
    <row r="1689">
      <c r="A1689" t="inlineStr">
        <is>
          <t>Augustus Asamoah</t>
        </is>
      </c>
      <c r="B1689" s="4" t="n">
        <v>46094</v>
      </c>
      <c r="C1689" t="inlineStr">
        <is>
          <t>/</t>
        </is>
      </c>
      <c r="D1689" t="inlineStr">
        <is>
          <t>Augustus Asamoah</t>
        </is>
      </c>
      <c r="E1689" t="inlineStr">
        <is>
          <t>Augustus Asamoah</t>
        </is>
      </c>
      <c r="F1689" s="5" t="n">
        <v>46156.65116898148</v>
      </c>
      <c r="H1689" t="inlineStr">
        <is>
          <t>PCGH784</t>
        </is>
      </c>
      <c r="I1689" t="n">
        <v>8</v>
      </c>
      <c r="J1689" t="inlineStr">
        <is>
          <t>PCGH784 - Desk Study (3) (Okeosisi Jonathan)</t>
        </is>
      </c>
      <c r="L1689" t="b">
        <v>1</v>
      </c>
      <c r="M1689" t="inlineStr">
        <is>
          <t>Billed at a Fixed price</t>
        </is>
      </c>
      <c r="N1689" s="6">
        <f>IF(B1689="","",IF(ISNUMBER(B1689),TEXT(B1689,"YYYY-MM"),LEFT(B1689,7)))</f>
        <v/>
      </c>
    </row>
    <row r="1690">
      <c r="A1690" t="inlineStr">
        <is>
          <t>Afua Serwah Akoto Prempeh</t>
        </is>
      </c>
      <c r="B1690" s="4" t="n">
        <v>46094</v>
      </c>
      <c r="C1690" t="inlineStr">
        <is>
          <t>/</t>
        </is>
      </c>
      <c r="D1690" t="inlineStr">
        <is>
          <t>Afua Serwah Akoto Prempeh</t>
        </is>
      </c>
      <c r="E1690" t="inlineStr">
        <is>
          <t>OdooBot</t>
        </is>
      </c>
      <c r="F1690" s="5" t="n">
        <v>46154.70721064815</v>
      </c>
      <c r="H1690" t="inlineStr">
        <is>
          <t>Non-Billable Tasks</t>
        </is>
      </c>
      <c r="I1690" t="n">
        <v>4</v>
      </c>
      <c r="K1690" t="inlineStr">
        <is>
          <t>Professional development and Knowledge sharing(training,global knowledge calls,exchange weeks)</t>
        </is>
      </c>
      <c r="L1690" t="b">
        <v>0</v>
      </c>
      <c r="M1690" t="inlineStr">
        <is>
          <t>Non-Billable</t>
        </is>
      </c>
      <c r="N1690" s="6">
        <f>IF(B1690="","",IF(ISNUMBER(B1690),TEXT(B1690,"YYYY-MM"),LEFT(B1690,7)))</f>
        <v/>
      </c>
    </row>
    <row r="1691">
      <c r="A1691" t="inlineStr">
        <is>
          <t>Afua Serwah Akoto Prempeh</t>
        </is>
      </c>
      <c r="B1691" s="4" t="n">
        <v>46094</v>
      </c>
      <c r="C1691" t="inlineStr">
        <is>
          <t>/</t>
        </is>
      </c>
      <c r="D1691" t="inlineStr">
        <is>
          <t>Afua Serwah Akoto Prempeh</t>
        </is>
      </c>
      <c r="E1691" t="inlineStr">
        <is>
          <t>OdooBot</t>
        </is>
      </c>
      <c r="F1691" s="5" t="n">
        <v>46154.70721064815</v>
      </c>
      <c r="H1691" t="inlineStr">
        <is>
          <t>Non-Billable Tasks</t>
        </is>
      </c>
      <c r="I1691" t="n">
        <v>4</v>
      </c>
      <c r="K1691" t="inlineStr">
        <is>
          <t>Administrative Tasks</t>
        </is>
      </c>
      <c r="L1691" t="b">
        <v>0</v>
      </c>
      <c r="M1691" t="inlineStr">
        <is>
          <t>Non-Billable</t>
        </is>
      </c>
      <c r="N1691" s="6">
        <f>IF(B1691="","",IF(ISNUMBER(B1691),TEXT(B1691,"YYYY-MM"),LEFT(B1691,7)))</f>
        <v/>
      </c>
    </row>
    <row r="1692">
      <c r="A1692" t="inlineStr">
        <is>
          <t>Stephen Doso</t>
        </is>
      </c>
      <c r="B1692" s="4" t="n">
        <v>46094</v>
      </c>
      <c r="C1692" t="inlineStr">
        <is>
          <t>/</t>
        </is>
      </c>
      <c r="D1692" t="inlineStr">
        <is>
          <t>Stephen Doso</t>
        </is>
      </c>
      <c r="E1692" t="inlineStr">
        <is>
          <t>OdooBot</t>
        </is>
      </c>
      <c r="F1692" s="5" t="n">
        <v>46154.70721064815</v>
      </c>
      <c r="G1692" t="inlineStr">
        <is>
          <t>BOA: DESK-STUDY, GIS AND SURVEY TOOLS (2)</t>
        </is>
      </c>
      <c r="H1692" t="inlineStr">
        <is>
          <t>PCGH788 - CDC Boa &amp; Mondoni CV-HCS Scoping</t>
        </is>
      </c>
      <c r="I1692" t="n">
        <v>4</v>
      </c>
      <c r="J1692" t="inlineStr">
        <is>
          <t>PCGH788 - Desk Study (2) (CAMEROON DEVELOPMENT CORPORATION (CDC))</t>
        </is>
      </c>
      <c r="K1692" t="inlineStr">
        <is>
          <t>Due diligence</t>
        </is>
      </c>
      <c r="L1692" t="b">
        <v>1</v>
      </c>
      <c r="M1692" t="inlineStr">
        <is>
          <t>Billed at a Fixed price</t>
        </is>
      </c>
      <c r="N1692" s="6">
        <f>IF(B1692="","",IF(ISNUMBER(B1692),TEXT(B1692,"YYYY-MM"),LEFT(B1692,7)))</f>
        <v/>
      </c>
    </row>
    <row r="1693">
      <c r="A1693" t="inlineStr">
        <is>
          <t>Stephen Doso</t>
        </is>
      </c>
      <c r="B1693" s="4" t="n">
        <v>46094</v>
      </c>
      <c r="C1693" t="inlineStr">
        <is>
          <t>/</t>
        </is>
      </c>
      <c r="D1693" t="inlineStr">
        <is>
          <t>Stephen Doso</t>
        </is>
      </c>
      <c r="E1693" t="inlineStr">
        <is>
          <t>OdooBot</t>
        </is>
      </c>
      <c r="F1693" s="5" t="n">
        <v>46154.70721064815</v>
      </c>
      <c r="G1693" t="inlineStr">
        <is>
          <t>MONDONI: DESK-STUDY, GIS AND SURVEY TOOLS (2)</t>
        </is>
      </c>
      <c r="H1693" t="inlineStr">
        <is>
          <t>PCGH788 - CDC Boa &amp; Mondoni CV-HCS Scoping</t>
        </is>
      </c>
      <c r="I1693" t="n">
        <v>4</v>
      </c>
      <c r="J1693" t="inlineStr">
        <is>
          <t>PCGH788 - Desk Study (3) (CAMEROON DEVELOPMENT CORPORATION (CDC))</t>
        </is>
      </c>
      <c r="K1693" t="inlineStr">
        <is>
          <t>Due Diligence</t>
        </is>
      </c>
      <c r="L1693" t="b">
        <v>1</v>
      </c>
      <c r="M1693" t="inlineStr">
        <is>
          <t>Billed at a Fixed price</t>
        </is>
      </c>
      <c r="N1693" s="6">
        <f>IF(B1693="","",IF(ISNUMBER(B1693),TEXT(B1693,"YYYY-MM"),LEFT(B1693,7)))</f>
        <v/>
      </c>
    </row>
    <row r="1694">
      <c r="A1694" t="inlineStr">
        <is>
          <t>Kwadwo Baniako Nti</t>
        </is>
      </c>
      <c r="B1694" s="4" t="n">
        <v>46094</v>
      </c>
      <c r="C1694" t="inlineStr">
        <is>
          <t>/</t>
        </is>
      </c>
      <c r="D1694" t="inlineStr">
        <is>
          <t>Kwadwo Baniako Nti</t>
        </is>
      </c>
      <c r="E1694" t="inlineStr">
        <is>
          <t>OdooBot</t>
        </is>
      </c>
      <c r="F1694" s="5" t="n">
        <v>46154.70721064815</v>
      </c>
      <c r="H1694" t="inlineStr">
        <is>
          <t>PCGH774 -Evaluation Deep-Dive Action Plans by Socfin Group</t>
        </is>
      </c>
      <c r="I1694" t="n">
        <v>8</v>
      </c>
      <c r="J1694" t="inlineStr">
        <is>
          <t>PCGH774 - Tier 3 (Socfinco FR SA)</t>
        </is>
      </c>
      <c r="K1694" t="inlineStr">
        <is>
          <t>SAC - Field verification/observation/community and stakeholder engagement</t>
        </is>
      </c>
      <c r="L1694" t="b">
        <v>1</v>
      </c>
      <c r="M1694" t="inlineStr">
        <is>
          <t>Billed at a Fixed price</t>
        </is>
      </c>
      <c r="N1694" s="6">
        <f>IF(B1694="","",IF(ISNUMBER(B1694),TEXT(B1694,"YYYY-MM"),LEFT(B1694,7)))</f>
        <v/>
      </c>
    </row>
    <row r="1695">
      <c r="A1695" t="inlineStr">
        <is>
          <t>Kingsley Fitz-Gerald Severine</t>
        </is>
      </c>
      <c r="B1695" s="4" t="n">
        <v>46094</v>
      </c>
      <c r="C1695" t="inlineStr">
        <is>
          <t>/</t>
        </is>
      </c>
      <c r="D1695" t="inlineStr">
        <is>
          <t>Kingsley Fitz-Gerald Severine</t>
        </is>
      </c>
      <c r="E1695" t="inlineStr">
        <is>
          <t>OdooBot</t>
        </is>
      </c>
      <c r="F1695" s="5" t="n">
        <v>46154.70721064815</v>
      </c>
      <c r="G1695" t="inlineStr">
        <is>
          <t>BOA: DESK-STUDY, GIS AND SURVEY TOOLS (3)</t>
        </is>
      </c>
      <c r="H1695" t="inlineStr">
        <is>
          <t>PCGH788 - CDC Boa &amp; Mondoni CV-HCS Scoping</t>
        </is>
      </c>
      <c r="I1695" t="n">
        <v>4</v>
      </c>
      <c r="J1695" t="inlineStr">
        <is>
          <t>PCGH788 - Desk Study (3) (CAMEROON DEVELOPMENT CORPORATION (CDC))</t>
        </is>
      </c>
      <c r="K1695" t="inlineStr">
        <is>
          <t>GIS and mapping/development of tools</t>
        </is>
      </c>
      <c r="L1695" t="b">
        <v>1</v>
      </c>
      <c r="M1695" t="inlineStr">
        <is>
          <t>Billed at a Fixed price</t>
        </is>
      </c>
      <c r="N1695" s="6">
        <f>IF(B1695="","",IF(ISNUMBER(B1695),TEXT(B1695,"YYYY-MM"),LEFT(B1695,7)))</f>
        <v/>
      </c>
    </row>
    <row r="1696">
      <c r="A1696" t="inlineStr">
        <is>
          <t>Kingsley Fitz-Gerald Severine</t>
        </is>
      </c>
      <c r="B1696" s="4" t="n">
        <v>46094</v>
      </c>
      <c r="C1696" t="inlineStr">
        <is>
          <t>/</t>
        </is>
      </c>
      <c r="D1696" t="inlineStr">
        <is>
          <t>Kingsley Fitz-Gerald Severine</t>
        </is>
      </c>
      <c r="E1696" t="inlineStr">
        <is>
          <t>OdooBot</t>
        </is>
      </c>
      <c r="F1696" s="5" t="n">
        <v>46154.70721064815</v>
      </c>
      <c r="G1696" t="inlineStr">
        <is>
          <t>MONDONI: DESK-STUDY, GIS AND SURVEY TOOLS (3)</t>
        </is>
      </c>
      <c r="H1696" t="inlineStr">
        <is>
          <t>PCGH788 - CDC Boa &amp; Mondoni CV-HCS Scoping</t>
        </is>
      </c>
      <c r="I1696" t="n">
        <v>4</v>
      </c>
      <c r="J1696" t="inlineStr">
        <is>
          <t>PCGH788 - Desk Study (3) (CAMEROON DEVELOPMENT CORPORATION (CDC))</t>
        </is>
      </c>
      <c r="K1696" t="inlineStr">
        <is>
          <t>GIS and mapping/development of tools</t>
        </is>
      </c>
      <c r="L1696" t="b">
        <v>1</v>
      </c>
      <c r="M1696" t="inlineStr">
        <is>
          <t>Billed at a Fixed price</t>
        </is>
      </c>
      <c r="N1696" s="6">
        <f>IF(B1696="","",IF(ISNUMBER(B1696),TEXT(B1696,"YYYY-MM"),LEFT(B1696,7)))</f>
        <v/>
      </c>
    </row>
    <row r="1697">
      <c r="A1697" t="inlineStr">
        <is>
          <t>Kingsley Fitz-Gerald Severine</t>
        </is>
      </c>
      <c r="B1697" s="4" t="n">
        <v>46094</v>
      </c>
      <c r="C1697" t="inlineStr">
        <is>
          <t>/</t>
        </is>
      </c>
      <c r="D1697" t="inlineStr">
        <is>
          <t>Kingsley Fitz-Gerald Severine</t>
        </is>
      </c>
      <c r="E1697" t="inlineStr">
        <is>
          <t>OdooBot</t>
        </is>
      </c>
      <c r="F1697" s="5" t="n">
        <v>46154.70721064815</v>
      </c>
      <c r="H1697" t="inlineStr">
        <is>
          <t>PCGH788 - CDC Boa &amp; Mondoni CV-HCS Scoping</t>
        </is>
      </c>
      <c r="I1697" t="n">
        <v>0</v>
      </c>
      <c r="J1697" t="inlineStr">
        <is>
          <t>PCGH788 - Desk Study (3) (CAMEROON DEVELOPMENT CORPORATION (CDC))</t>
        </is>
      </c>
      <c r="K1697" t="inlineStr">
        <is>
          <t>MONDONI: DESK-STUDY, GIS AND SURVEY TOOLS (3)</t>
        </is>
      </c>
      <c r="L1697" t="b">
        <v>1</v>
      </c>
      <c r="M1697" t="inlineStr">
        <is>
          <t>Billed at a Fixed price</t>
        </is>
      </c>
      <c r="N1697" s="6">
        <f>IF(B1697="","",IF(ISNUMBER(B1697),TEXT(B1697,"YYYY-MM"),LEFT(B1697,7)))</f>
        <v/>
      </c>
    </row>
    <row r="1698">
      <c r="A1698" t="inlineStr">
        <is>
          <t>Helena Tetteh</t>
        </is>
      </c>
      <c r="B1698" s="4" t="n">
        <v>46094</v>
      </c>
      <c r="C1698" t="inlineStr">
        <is>
          <t>/</t>
        </is>
      </c>
      <c r="D1698" t="inlineStr">
        <is>
          <t xml:space="preserve">Helena Tetteh </t>
        </is>
      </c>
      <c r="E1698" t="inlineStr">
        <is>
          <t>OdooBot</t>
        </is>
      </c>
      <c r="F1698" s="5" t="n">
        <v>46154.70721064815</v>
      </c>
      <c r="H1698" t="inlineStr">
        <is>
          <t>Non-Billable Tasks</t>
        </is>
      </c>
      <c r="I1698" t="n">
        <v>8</v>
      </c>
      <c r="K1698" t="inlineStr">
        <is>
          <t>Portfolio Team Management</t>
        </is>
      </c>
      <c r="L1698" t="b">
        <v>0</v>
      </c>
      <c r="M1698" t="inlineStr">
        <is>
          <t>Non-Billable</t>
        </is>
      </c>
      <c r="N1698" s="6">
        <f>IF(B1698="","",IF(ISNUMBER(B1698),TEXT(B1698,"YYYY-MM"),LEFT(B1698,7)))</f>
        <v/>
      </c>
    </row>
    <row r="1699">
      <c r="A1699" t="inlineStr">
        <is>
          <t>Ekow Nyamekye Tawiah</t>
        </is>
      </c>
      <c r="B1699" s="4" t="n">
        <v>46094</v>
      </c>
      <c r="C1699" t="inlineStr">
        <is>
          <t>/</t>
        </is>
      </c>
      <c r="D1699" t="inlineStr">
        <is>
          <t>Joseph Isaiah Mensah</t>
        </is>
      </c>
      <c r="E1699" t="inlineStr">
        <is>
          <t>OdooBot</t>
        </is>
      </c>
      <c r="F1699" s="5" t="n">
        <v>46154.70721064815</v>
      </c>
      <c r="H1699" t="inlineStr">
        <is>
          <t>PCGH722</t>
        </is>
      </c>
      <c r="I1699" t="n">
        <v>4</v>
      </c>
      <c r="J1699" t="inlineStr">
        <is>
          <t>PCGH722 - Analysis and Reporting (3) (Sucrivoire SA)</t>
        </is>
      </c>
      <c r="K1699" t="inlineStr">
        <is>
          <t>Analysis and Reporting (3)</t>
        </is>
      </c>
      <c r="L1699" t="b">
        <v>1</v>
      </c>
      <c r="M1699" t="inlineStr">
        <is>
          <t>Billed at a Fixed price</t>
        </is>
      </c>
      <c r="N1699" s="6">
        <f>IF(B1699="","",IF(ISNUMBER(B1699),TEXT(B1699,"YYYY-MM"),LEFT(B1699,7)))</f>
        <v/>
      </c>
    </row>
    <row r="1700">
      <c r="A1700" t="inlineStr">
        <is>
          <t>Clement Obeng-Manu</t>
        </is>
      </c>
      <c r="B1700" s="4" t="n">
        <v>46094</v>
      </c>
      <c r="C1700" t="inlineStr">
        <is>
          <t>/</t>
        </is>
      </c>
      <c r="D1700" t="inlineStr">
        <is>
          <t>Ekow Nyamekye Tawiah</t>
        </is>
      </c>
      <c r="E1700" t="inlineStr">
        <is>
          <t>OdooBot</t>
        </is>
      </c>
      <c r="F1700" s="5" t="n">
        <v>46154.70721064815</v>
      </c>
      <c r="G1700" t="inlineStr">
        <is>
          <t>Fieldwork – stakeholder engagement</t>
        </is>
      </c>
      <c r="H1700" t="inlineStr">
        <is>
          <t>PCGH777</t>
        </is>
      </c>
      <c r="I1700" t="n">
        <v>8</v>
      </c>
      <c r="J1700" t="inlineStr">
        <is>
          <t>PCGH777 - Field work  (3) (Proforest Limited(PCUK GBP))</t>
        </is>
      </c>
      <c r="K1700" t="inlineStr">
        <is>
          <t>Fieldwork – stakeholder engagement</t>
        </is>
      </c>
      <c r="L1700" t="b">
        <v>1</v>
      </c>
      <c r="M1700" t="inlineStr">
        <is>
          <t>Billed at a Fixed price</t>
        </is>
      </c>
      <c r="N1700" s="6">
        <f>IF(B1700="","",IF(ISNUMBER(B1700),TEXT(B1700,"YYYY-MM"),LEFT(B1700,7)))</f>
        <v/>
      </c>
    </row>
    <row r="1701">
      <c r="A1701" t="inlineStr">
        <is>
          <t>Clement Obeng-Manu</t>
        </is>
      </c>
      <c r="B1701" s="4" t="n">
        <v>46094</v>
      </c>
      <c r="C1701" t="inlineStr">
        <is>
          <t>/</t>
        </is>
      </c>
      <c r="D1701" t="inlineStr">
        <is>
          <t>Ekow Nyamekye Tawiah</t>
        </is>
      </c>
      <c r="E1701" t="inlineStr">
        <is>
          <t>OdooBot</t>
        </is>
      </c>
      <c r="F1701" s="5" t="n">
        <v>46154.70721064815</v>
      </c>
      <c r="H1701" t="inlineStr">
        <is>
          <t>PCGH777</t>
        </is>
      </c>
      <c r="I1701" t="n">
        <v>0</v>
      </c>
      <c r="J1701" t="inlineStr">
        <is>
          <t>PCGH777 - Land Use Change Analysis (Proforest Limited(PCUK GBP))</t>
        </is>
      </c>
      <c r="K1701" t="inlineStr">
        <is>
          <t xml:space="preserve">Post fieldwork analysis </t>
        </is>
      </c>
      <c r="L1701" t="b">
        <v>1</v>
      </c>
      <c r="M1701" t="inlineStr">
        <is>
          <t>Billed at a Fixed price</t>
        </is>
      </c>
      <c r="N1701" s="6">
        <f>IF(B1701="","",IF(ISNUMBER(B1701),TEXT(B1701,"YYYY-MM"),LEFT(B1701,7)))</f>
        <v/>
      </c>
    </row>
    <row r="1702">
      <c r="A1702" t="inlineStr">
        <is>
          <t>Clement Obeng-Manu</t>
        </is>
      </c>
      <c r="B1702" s="4" t="n">
        <v>46094</v>
      </c>
      <c r="C1702" t="inlineStr">
        <is>
          <t>/</t>
        </is>
      </c>
      <c r="D1702" t="inlineStr">
        <is>
          <t>Ekow Nyamekye Tawiah</t>
        </is>
      </c>
      <c r="E1702" t="inlineStr">
        <is>
          <t>OdooBot</t>
        </is>
      </c>
      <c r="F1702" s="5" t="n">
        <v>46154.70721064815</v>
      </c>
      <c r="H1702" t="inlineStr">
        <is>
          <t>PCGH777</t>
        </is>
      </c>
      <c r="I1702" t="n">
        <v>0</v>
      </c>
      <c r="J1702" t="inlineStr">
        <is>
          <t>PCGH777 - Desk Study (3) (Proforest Limited(PCUK GBP))</t>
        </is>
      </c>
      <c r="L1702" t="b">
        <v>1</v>
      </c>
      <c r="M1702" t="inlineStr">
        <is>
          <t>Billed at a Fixed price</t>
        </is>
      </c>
      <c r="N1702" s="6">
        <f>IF(B1702="","",IF(ISNUMBER(B1702),TEXT(B1702,"YYYY-MM"),LEFT(B1702,7)))</f>
        <v/>
      </c>
    </row>
    <row r="1703">
      <c r="A1703" t="inlineStr">
        <is>
          <t>Louis Defo</t>
        </is>
      </c>
      <c r="B1703" s="4" t="n">
        <v>46094</v>
      </c>
      <c r="C1703" t="inlineStr">
        <is>
          <t>Work on the preparation of CDC HCV-HCS assessment</t>
        </is>
      </c>
      <c r="D1703" t="inlineStr">
        <is>
          <t>Louis Defo</t>
        </is>
      </c>
      <c r="E1703" t="inlineStr">
        <is>
          <t>OdooBot</t>
        </is>
      </c>
      <c r="F1703" s="5" t="n">
        <v>46154.70721064815</v>
      </c>
      <c r="H1703" t="inlineStr">
        <is>
          <t>Non-Billable Tasks</t>
        </is>
      </c>
      <c r="I1703" t="n">
        <v>8</v>
      </c>
      <c r="K1703" t="inlineStr">
        <is>
          <t>Business Development and Networking</t>
        </is>
      </c>
      <c r="L1703" t="b">
        <v>0</v>
      </c>
      <c r="M1703" t="inlineStr">
        <is>
          <t>Non-Billable</t>
        </is>
      </c>
      <c r="N1703" s="6">
        <f>IF(B1703="","",IF(ISNUMBER(B1703),TEXT(B1703,"YYYY-MM"),LEFT(B1703,7)))</f>
        <v/>
      </c>
    </row>
    <row r="1704">
      <c r="A1704" t="inlineStr">
        <is>
          <t>Joseph Isaiah Mensah</t>
        </is>
      </c>
      <c r="B1704" s="4" t="n">
        <v>46093</v>
      </c>
      <c r="C1704" t="inlineStr">
        <is>
          <t>visit to various agencies</t>
        </is>
      </c>
      <c r="D1704" t="inlineStr">
        <is>
          <t>Jacqueline Nyakutse Afua</t>
        </is>
      </c>
      <c r="E1704" t="inlineStr">
        <is>
          <t>Joseph Isaiah Mensah</t>
        </is>
      </c>
      <c r="F1704" s="5" t="n">
        <v>46162.70895833334</v>
      </c>
      <c r="H1704" t="inlineStr">
        <is>
          <t>PCGH786 - Impact Level Baseline assessment for FGMC</t>
        </is>
      </c>
      <c r="I1704" t="n">
        <v>8</v>
      </c>
      <c r="L1704" t="b">
        <v>1</v>
      </c>
      <c r="M1704" t="inlineStr">
        <is>
          <t>Non-Billable</t>
        </is>
      </c>
      <c r="N1704" s="6">
        <f>IF(B1704="","",IF(ISNUMBER(B1704),TEXT(B1704,"YYYY-MM"),LEFT(B1704,7)))</f>
        <v/>
      </c>
    </row>
    <row r="1705">
      <c r="A1705" t="inlineStr">
        <is>
          <t>James Parker Mckeown</t>
        </is>
      </c>
      <c r="B1705" s="4" t="n">
        <v>46093</v>
      </c>
      <c r="C1705" t="inlineStr">
        <is>
          <t>FGMC work: Final review of Cameroon ToR for consultancy</t>
        </is>
      </c>
      <c r="D1705" t="inlineStr">
        <is>
          <t>James Parker Mckeown</t>
        </is>
      </c>
      <c r="E1705" t="inlineStr">
        <is>
          <t>James Parker Mckeown</t>
        </is>
      </c>
      <c r="F1705" s="5" t="n">
        <v>46162.6808912037</v>
      </c>
      <c r="G1705" t="inlineStr">
        <is>
          <t>Output 4</t>
        </is>
      </c>
      <c r="H1705" t="inlineStr">
        <is>
          <t>P23AC00C00 - FGMC</t>
        </is>
      </c>
      <c r="I1705" t="n">
        <v>2</v>
      </c>
      <c r="K1705" t="inlineStr">
        <is>
          <t>P23AC03A00 - Project Management</t>
        </is>
      </c>
      <c r="L1705" t="b">
        <v>0</v>
      </c>
      <c r="M1705" t="inlineStr">
        <is>
          <t>Non-Billable</t>
        </is>
      </c>
      <c r="N1705" s="6">
        <f>IF(B1705="","",IF(ISNUMBER(B1705),TEXT(B1705,"YYYY-MM"),LEFT(B1705,7)))</f>
        <v/>
      </c>
    </row>
    <row r="1706">
      <c r="A1706" t="inlineStr">
        <is>
          <t>James Parker Mckeown</t>
        </is>
      </c>
      <c r="B1706" s="4" t="n">
        <v>46093</v>
      </c>
      <c r="C1706" t="inlineStr">
        <is>
          <t>Visit to Minerals commission</t>
        </is>
      </c>
      <c r="D1706" t="inlineStr">
        <is>
          <t>James Parker Mckeown</t>
        </is>
      </c>
      <c r="E1706" t="inlineStr">
        <is>
          <t>James Parker Mckeown</t>
        </is>
      </c>
      <c r="F1706" s="5" t="n">
        <v>46162.68006944445</v>
      </c>
      <c r="H1706" t="inlineStr">
        <is>
          <t>PCGH786 - Impact Level Baseline assessment for FGMC</t>
        </is>
      </c>
      <c r="I1706" t="n">
        <v>3</v>
      </c>
      <c r="J1706" t="inlineStr">
        <is>
          <t>PCGH786 - Site Assessment (3) (NIRAS Group (UK) Ltd)</t>
        </is>
      </c>
      <c r="K1706" t="inlineStr">
        <is>
          <t>PCGH786 - Site Assessment (3)</t>
        </is>
      </c>
      <c r="L1706" t="b">
        <v>1</v>
      </c>
      <c r="M1706" t="inlineStr">
        <is>
          <t>Billed at a Fixed price</t>
        </is>
      </c>
      <c r="N1706" s="6">
        <f>IF(B1706="","",IF(ISNUMBER(B1706),TEXT(B1706,"YYYY-MM"),LEFT(B1706,7)))</f>
        <v/>
      </c>
    </row>
    <row r="1707">
      <c r="A1707" t="inlineStr">
        <is>
          <t>James Parker Mckeown</t>
        </is>
      </c>
      <c r="B1707" s="4" t="n">
        <v>46093</v>
      </c>
      <c r="C1707" t="inlineStr">
        <is>
          <t>Global RSP call - March 2026</t>
        </is>
      </c>
      <c r="D1707" t="inlineStr">
        <is>
          <t>James Parker Mckeown</t>
        </is>
      </c>
      <c r="E1707" t="inlineStr">
        <is>
          <t>James Parker Mckeown</t>
        </is>
      </c>
      <c r="F1707" s="5" t="n">
        <v>46162.62048611111</v>
      </c>
      <c r="H1707" t="inlineStr">
        <is>
          <t>Non-Billable Tasks</t>
        </is>
      </c>
      <c r="I1707" t="n">
        <v>1.5</v>
      </c>
      <c r="K1707" t="inlineStr">
        <is>
          <t>Professional development and Knowledge sharing(training,global knowledge calls,exchange weeks)</t>
        </is>
      </c>
      <c r="L1707" t="b">
        <v>0</v>
      </c>
      <c r="M1707" t="inlineStr">
        <is>
          <t>Non-Billable</t>
        </is>
      </c>
      <c r="N1707" s="6">
        <f>IF(B1707="","",IF(ISNUMBER(B1707),TEXT(B1707,"YYYY-MM"),LEFT(B1707,7)))</f>
        <v/>
      </c>
    </row>
    <row r="1708">
      <c r="A1708" t="inlineStr">
        <is>
          <t>James Parker Mckeown</t>
        </is>
      </c>
      <c r="B1708" s="4" t="n">
        <v>46093</v>
      </c>
      <c r="C1708" t="inlineStr">
        <is>
          <t>PFAFR BRIDGE: Weekly Catch-up</t>
        </is>
      </c>
      <c r="D1708" t="inlineStr">
        <is>
          <t>James Parker Mckeown</t>
        </is>
      </c>
      <c r="E1708" t="inlineStr">
        <is>
          <t>James Parker Mckeown</t>
        </is>
      </c>
      <c r="F1708" s="5" t="n">
        <v>46162.61921296296</v>
      </c>
      <c r="G1708" t="inlineStr">
        <is>
          <t>Output 4</t>
        </is>
      </c>
      <c r="H1708" t="inlineStr">
        <is>
          <t>P23AC00C00 - FGMC</t>
        </is>
      </c>
      <c r="I1708" t="n">
        <v>1.5</v>
      </c>
      <c r="K1708" t="inlineStr">
        <is>
          <t>P23AC03A00 - Project Management</t>
        </is>
      </c>
      <c r="L1708" t="b">
        <v>0</v>
      </c>
      <c r="M1708" t="inlineStr">
        <is>
          <t>Non-Billable</t>
        </is>
      </c>
      <c r="N1708" s="6">
        <f>IF(B1708="","",IF(ISNUMBER(B1708),TEXT(B1708,"YYYY-MM"),LEFT(B1708,7)))</f>
        <v/>
      </c>
    </row>
    <row r="1709">
      <c r="A1709" t="inlineStr">
        <is>
          <t>James Parker Mckeown</t>
        </is>
      </c>
      <c r="B1709" s="4" t="n">
        <v>46093</v>
      </c>
      <c r="C1709" t="inlineStr">
        <is>
          <t>Landscape Call Presentation with Ekow Nyamekye Tawiah;</t>
        </is>
      </c>
      <c r="D1709" t="inlineStr">
        <is>
          <t>James Parker Mckeown</t>
        </is>
      </c>
      <c r="E1709" t="inlineStr">
        <is>
          <t>James Parker Mckeown</t>
        </is>
      </c>
      <c r="F1709" s="5" t="n">
        <v>46162.61793981482</v>
      </c>
      <c r="H1709" t="inlineStr">
        <is>
          <t>Non-Billable Tasks</t>
        </is>
      </c>
      <c r="I1709" t="n">
        <v>1</v>
      </c>
      <c r="K1709" t="inlineStr">
        <is>
          <t>Internal Focal points and workstreams</t>
        </is>
      </c>
      <c r="L1709" t="b">
        <v>0</v>
      </c>
      <c r="M1709" t="inlineStr">
        <is>
          <t>Non-Billable</t>
        </is>
      </c>
      <c r="N1709" s="6">
        <f>IF(B1709="","",IF(ISNUMBER(B1709),TEXT(B1709,"YYYY-MM"),LEFT(B1709,7)))</f>
        <v/>
      </c>
    </row>
    <row r="1710">
      <c r="A1710" t="inlineStr">
        <is>
          <t>James Parker Mckeown</t>
        </is>
      </c>
      <c r="B1710" s="4" t="n">
        <v>46093</v>
      </c>
      <c r="C1710" t="inlineStr">
        <is>
          <t>Hold for expert meeting in Beijing</t>
        </is>
      </c>
      <c r="D1710" t="inlineStr">
        <is>
          <t>James Parker Mckeown</t>
        </is>
      </c>
      <c r="E1710" t="inlineStr">
        <is>
          <t>James Parker Mckeown</t>
        </is>
      </c>
      <c r="F1710" s="5" t="n">
        <v>46162.6169212963</v>
      </c>
      <c r="G1710" t="inlineStr">
        <is>
          <t>Output 3</t>
        </is>
      </c>
      <c r="H1710" t="inlineStr">
        <is>
          <t>P23AC00C00 - FGMC</t>
        </is>
      </c>
      <c r="I1710" t="n">
        <v>1.5</v>
      </c>
      <c r="K1710" t="inlineStr">
        <is>
          <t>P23AC13A00 - Output one (Demand Side Analysis and Policy Intergration.</t>
        </is>
      </c>
      <c r="L1710" t="b">
        <v>0</v>
      </c>
      <c r="M1710" t="inlineStr">
        <is>
          <t>Non-Billable</t>
        </is>
      </c>
      <c r="N1710" s="6">
        <f>IF(B1710="","",IF(ISNUMBER(B1710),TEXT(B1710,"YYYY-MM"),LEFT(B1710,7)))</f>
        <v/>
      </c>
    </row>
    <row r="1711">
      <c r="A1711" t="inlineStr">
        <is>
          <t>Frederick Antwi</t>
        </is>
      </c>
      <c r="B1711" s="4" t="n">
        <v>46093</v>
      </c>
      <c r="C1711" t="inlineStr">
        <is>
          <t>/</t>
        </is>
      </c>
      <c r="D1711" t="inlineStr">
        <is>
          <t>Frederick Antwi</t>
        </is>
      </c>
      <c r="E1711" t="inlineStr">
        <is>
          <t>Frederick Antwi</t>
        </is>
      </c>
      <c r="F1711" s="5" t="n">
        <v>46160.62172453704</v>
      </c>
      <c r="H1711" t="inlineStr">
        <is>
          <t>P13PC00A00 - Private Sector Companies</t>
        </is>
      </c>
      <c r="I1711" t="n">
        <v>8</v>
      </c>
      <c r="L1711" t="b">
        <v>0</v>
      </c>
      <c r="M1711" t="inlineStr">
        <is>
          <t>Non-Billable</t>
        </is>
      </c>
      <c r="N1711" s="6">
        <f>IF(B1711="","",IF(ISNUMBER(B1711),TEXT(B1711,"YYYY-MM"),LEFT(B1711,7)))</f>
        <v/>
      </c>
    </row>
    <row r="1712">
      <c r="A1712" t="inlineStr">
        <is>
          <t>Augustus Asamoah</t>
        </is>
      </c>
      <c r="B1712" s="4" t="n">
        <v>46093</v>
      </c>
      <c r="C1712" t="inlineStr">
        <is>
          <t>/</t>
        </is>
      </c>
      <c r="D1712" t="inlineStr">
        <is>
          <t>Augustus Asamoah</t>
        </is>
      </c>
      <c r="E1712" t="inlineStr">
        <is>
          <t>Augustus Asamoah</t>
        </is>
      </c>
      <c r="F1712" s="5" t="n">
        <v>46156.65114583333</v>
      </c>
      <c r="H1712" t="inlineStr">
        <is>
          <t>PCGH784</t>
        </is>
      </c>
      <c r="I1712" t="n">
        <v>8</v>
      </c>
      <c r="J1712" t="inlineStr">
        <is>
          <t>PCGH784 - Desk Study (3) (Okeosisi Jonathan)</t>
        </is>
      </c>
      <c r="L1712" t="b">
        <v>1</v>
      </c>
      <c r="M1712" t="inlineStr">
        <is>
          <t>Billed at a Fixed price</t>
        </is>
      </c>
      <c r="N1712" s="6">
        <f>IF(B1712="","",IF(ISNUMBER(B1712),TEXT(B1712,"YYYY-MM"),LEFT(B1712,7)))</f>
        <v/>
      </c>
    </row>
    <row r="1713">
      <c r="A1713" t="inlineStr">
        <is>
          <t>Afua Serwah Akoto Prempeh</t>
        </is>
      </c>
      <c r="B1713" s="4" t="n">
        <v>46093</v>
      </c>
      <c r="C1713" t="inlineStr">
        <is>
          <t>/</t>
        </is>
      </c>
      <c r="D1713" t="inlineStr">
        <is>
          <t>Afua Serwah Akoto Prempeh</t>
        </is>
      </c>
      <c r="E1713" t="inlineStr">
        <is>
          <t>OdooBot</t>
        </is>
      </c>
      <c r="F1713" s="5" t="n">
        <v>46154.70721064815</v>
      </c>
      <c r="H1713" t="inlineStr">
        <is>
          <t>Non-Billable Tasks</t>
        </is>
      </c>
      <c r="I1713" t="n">
        <v>8</v>
      </c>
      <c r="K1713" t="inlineStr">
        <is>
          <t>Administrative Tasks</t>
        </is>
      </c>
      <c r="L1713" t="b">
        <v>0</v>
      </c>
      <c r="M1713" t="inlineStr">
        <is>
          <t>Non-Billable</t>
        </is>
      </c>
      <c r="N1713" s="6">
        <f>IF(B1713="","",IF(ISNUMBER(B1713),TEXT(B1713,"YYYY-MM"),LEFT(B1713,7)))</f>
        <v/>
      </c>
    </row>
    <row r="1714">
      <c r="A1714" t="inlineStr">
        <is>
          <t>Stephen Doso</t>
        </is>
      </c>
      <c r="B1714" s="4" t="n">
        <v>46093</v>
      </c>
      <c r="C1714" t="inlineStr">
        <is>
          <t>/</t>
        </is>
      </c>
      <c r="D1714" t="inlineStr">
        <is>
          <t>Stephen Doso</t>
        </is>
      </c>
      <c r="E1714" t="inlineStr">
        <is>
          <t>OdooBot</t>
        </is>
      </c>
      <c r="F1714" s="5" t="n">
        <v>46154.70721064815</v>
      </c>
      <c r="G1714" t="inlineStr">
        <is>
          <t>Field verification and reporting in Ivory Coast (3)</t>
        </is>
      </c>
      <c r="H1714" t="inlineStr">
        <is>
          <t>PCGH775 - ESDD of Valency Operations for FMO</t>
        </is>
      </c>
      <c r="I1714" t="n">
        <v>8</v>
      </c>
      <c r="J1714" t="inlineStr">
        <is>
          <t>PCGH775 - Field Verification (3) (Valency International DMCC)</t>
        </is>
      </c>
      <c r="K1714" t="inlineStr">
        <is>
          <t>Analysis and reporting in Ivory Coast</t>
        </is>
      </c>
      <c r="L1714" t="b">
        <v>1</v>
      </c>
      <c r="M1714" t="inlineStr">
        <is>
          <t>Billed at a Fixed price</t>
        </is>
      </c>
      <c r="N1714" s="6">
        <f>IF(B1714="","",IF(ISNUMBER(B1714),TEXT(B1714,"YYYY-MM"),LEFT(B1714,7)))</f>
        <v/>
      </c>
    </row>
    <row r="1715">
      <c r="A1715" t="inlineStr">
        <is>
          <t>Kwadwo Baniako Nti</t>
        </is>
      </c>
      <c r="B1715" s="4" t="n">
        <v>46093</v>
      </c>
      <c r="C1715" t="inlineStr">
        <is>
          <t>/</t>
        </is>
      </c>
      <c r="D1715" t="inlineStr">
        <is>
          <t>Kwadwo Baniako Nti</t>
        </is>
      </c>
      <c r="E1715" t="inlineStr">
        <is>
          <t>OdooBot</t>
        </is>
      </c>
      <c r="F1715" s="5" t="n">
        <v>46154.70721064815</v>
      </c>
      <c r="H1715" t="inlineStr">
        <is>
          <t>PCGH774 -Evaluation Deep-Dive Action Plans by Socfin Group</t>
        </is>
      </c>
      <c r="I1715" t="n">
        <v>8</v>
      </c>
      <c r="J1715" t="inlineStr">
        <is>
          <t>PCGH774 - Tier 3 (Socfinco FR SA)</t>
        </is>
      </c>
      <c r="K1715" t="inlineStr">
        <is>
          <t>SAC - Field verification/observation/community and stakeholder engagement</t>
        </is>
      </c>
      <c r="L1715" t="b">
        <v>1</v>
      </c>
      <c r="M1715" t="inlineStr">
        <is>
          <t>Billed at a Fixed price</t>
        </is>
      </c>
      <c r="N1715" s="6">
        <f>IF(B1715="","",IF(ISNUMBER(B1715),TEXT(B1715,"YYYY-MM"),LEFT(B1715,7)))</f>
        <v/>
      </c>
    </row>
    <row r="1716">
      <c r="A1716" t="inlineStr">
        <is>
          <t>Kingsley Fitz-Gerald Severine</t>
        </is>
      </c>
      <c r="B1716" s="4" t="n">
        <v>46093</v>
      </c>
      <c r="C1716" t="inlineStr">
        <is>
          <t xml:space="preserve">Global RSP Call
</t>
        </is>
      </c>
      <c r="D1716" t="inlineStr">
        <is>
          <t>Kingsley Fitz-Gerald Severine</t>
        </is>
      </c>
      <c r="E1716" t="inlineStr">
        <is>
          <t>OdooBot</t>
        </is>
      </c>
      <c r="F1716" s="5" t="n">
        <v>46154.70721064815</v>
      </c>
      <c r="H1716" t="inlineStr">
        <is>
          <t>Non-Billable Tasks</t>
        </is>
      </c>
      <c r="I1716" t="n">
        <v>1.5</v>
      </c>
      <c r="K1716" t="inlineStr">
        <is>
          <t>Professional development and Knowledge sharing(training,global knowledge calls,exchange weeks)</t>
        </is>
      </c>
      <c r="L1716" t="b">
        <v>0</v>
      </c>
      <c r="M1716" t="inlineStr">
        <is>
          <t>Non-Billable</t>
        </is>
      </c>
      <c r="N1716" s="6">
        <f>IF(B1716="","",IF(ISNUMBER(B1716),TEXT(B1716,"YYYY-MM"),LEFT(B1716,7)))</f>
        <v/>
      </c>
    </row>
    <row r="1717">
      <c r="A1717" t="inlineStr">
        <is>
          <t>Kingsley Fitz-Gerald Severine</t>
        </is>
      </c>
      <c r="B1717" s="4" t="n">
        <v>46093</v>
      </c>
      <c r="C1717" t="inlineStr">
        <is>
          <t>/</t>
        </is>
      </c>
      <c r="D1717" t="inlineStr">
        <is>
          <t>Kingsley Fitz-Gerald Severine</t>
        </is>
      </c>
      <c r="E1717" t="inlineStr">
        <is>
          <t>OdooBot</t>
        </is>
      </c>
      <c r="F1717" s="5" t="n">
        <v>46154.70721064815</v>
      </c>
      <c r="G1717" t="inlineStr">
        <is>
          <t>BOA: DESK-STUDY, GIS AND SURVEY TOOLS (3)</t>
        </is>
      </c>
      <c r="H1717" t="inlineStr">
        <is>
          <t>PCGH788 - CDC Boa &amp; Mondoni CV-HCS Scoping</t>
        </is>
      </c>
      <c r="I1717" t="n">
        <v>6.5</v>
      </c>
      <c r="J1717" t="inlineStr">
        <is>
          <t>PCGH788 - Desk Study (3) (CAMEROON DEVELOPMENT CORPORATION (CDC))</t>
        </is>
      </c>
      <c r="K1717" t="inlineStr">
        <is>
          <t>GIS and mapping/development of tools</t>
        </is>
      </c>
      <c r="L1717" t="b">
        <v>1</v>
      </c>
      <c r="M1717" t="inlineStr">
        <is>
          <t>Billed at a Fixed price</t>
        </is>
      </c>
      <c r="N1717" s="6">
        <f>IF(B1717="","",IF(ISNUMBER(B1717),TEXT(B1717,"YYYY-MM"),LEFT(B1717,7)))</f>
        <v/>
      </c>
    </row>
    <row r="1718">
      <c r="A1718" t="inlineStr">
        <is>
          <t>Kingsley Fitz-Gerald Severine</t>
        </is>
      </c>
      <c r="B1718" s="4" t="n">
        <v>46093</v>
      </c>
      <c r="C1718" t="inlineStr">
        <is>
          <t>/</t>
        </is>
      </c>
      <c r="D1718" t="inlineStr">
        <is>
          <t>Kingsley Fitz-Gerald Severine</t>
        </is>
      </c>
      <c r="E1718" t="inlineStr">
        <is>
          <t>OdooBot</t>
        </is>
      </c>
      <c r="F1718" s="5" t="n">
        <v>46154.70721064815</v>
      </c>
      <c r="H1718" t="inlineStr">
        <is>
          <t>PCGH788 - CDC Boa &amp; Mondoni CV-HCS Scoping</t>
        </is>
      </c>
      <c r="I1718" t="n">
        <v>0</v>
      </c>
      <c r="J1718" t="inlineStr">
        <is>
          <t>PCGH788 - Desk Study (3) (CAMEROON DEVELOPMENT CORPORATION (CDC))</t>
        </is>
      </c>
      <c r="K1718" t="inlineStr">
        <is>
          <t>MONDONI: DESK-STUDY, GIS AND SURVEY TOOLS (3)</t>
        </is>
      </c>
      <c r="L1718" t="b">
        <v>1</v>
      </c>
      <c r="M1718" t="inlineStr">
        <is>
          <t>Billed at a Fixed price</t>
        </is>
      </c>
      <c r="N1718" s="6">
        <f>IF(B1718="","",IF(ISNUMBER(B1718),TEXT(B1718,"YYYY-MM"),LEFT(B1718,7)))</f>
        <v/>
      </c>
    </row>
    <row r="1719">
      <c r="A1719" t="inlineStr">
        <is>
          <t>Helena Tetteh</t>
        </is>
      </c>
      <c r="B1719" s="4" t="n">
        <v>46093</v>
      </c>
      <c r="C1719" t="inlineStr">
        <is>
          <t>Smallholders, BIP</t>
        </is>
      </c>
      <c r="D1719" t="inlineStr">
        <is>
          <t xml:space="preserve">Helena Tetteh </t>
        </is>
      </c>
      <c r="E1719" t="inlineStr">
        <is>
          <t>OdooBot</t>
        </is>
      </c>
      <c r="F1719" s="5" t="n">
        <v>46154.70721064815</v>
      </c>
      <c r="H1719" t="inlineStr">
        <is>
          <t>Non-Billable Tasks</t>
        </is>
      </c>
      <c r="I1719" t="n">
        <v>8</v>
      </c>
      <c r="K1719" t="inlineStr">
        <is>
          <t>Portfolio Team Management</t>
        </is>
      </c>
      <c r="L1719" t="b">
        <v>0</v>
      </c>
      <c r="M1719" t="inlineStr">
        <is>
          <t>Non-Billable</t>
        </is>
      </c>
      <c r="N1719" s="6">
        <f>IF(B1719="","",IF(ISNUMBER(B1719),TEXT(B1719,"YYYY-MM"),LEFT(B1719,7)))</f>
        <v/>
      </c>
    </row>
    <row r="1720">
      <c r="A1720" t="inlineStr">
        <is>
          <t>Ekow Nyamekye Tawiah</t>
        </is>
      </c>
      <c r="B1720" s="4" t="n">
        <v>46093</v>
      </c>
      <c r="C1720" t="inlineStr">
        <is>
          <t>/</t>
        </is>
      </c>
      <c r="D1720" t="inlineStr">
        <is>
          <t>Joseph Isaiah Mensah</t>
        </is>
      </c>
      <c r="E1720" t="inlineStr">
        <is>
          <t>OdooBot</t>
        </is>
      </c>
      <c r="F1720" s="5" t="n">
        <v>46154.70721064815</v>
      </c>
      <c r="H1720" t="inlineStr">
        <is>
          <t>PCGH722</t>
        </is>
      </c>
      <c r="I1720" t="n">
        <v>2.5</v>
      </c>
      <c r="J1720" t="inlineStr">
        <is>
          <t>PCGH722 - Analysis and Reporting (3) (Sucrivoire SA)</t>
        </is>
      </c>
      <c r="K1720" t="inlineStr">
        <is>
          <t>Analysis and Reporting (3)</t>
        </is>
      </c>
      <c r="L1720" t="b">
        <v>1</v>
      </c>
      <c r="M1720" t="inlineStr">
        <is>
          <t>Billed at a Fixed price</t>
        </is>
      </c>
      <c r="N1720" s="6">
        <f>IF(B1720="","",IF(ISNUMBER(B1720),TEXT(B1720,"YYYY-MM"),LEFT(B1720,7)))</f>
        <v/>
      </c>
    </row>
    <row r="1721">
      <c r="A1721" t="inlineStr">
        <is>
          <t>Ekow Nyamekye Tawiah</t>
        </is>
      </c>
      <c r="B1721" s="4" t="n">
        <v>46093</v>
      </c>
      <c r="C1721" t="inlineStr">
        <is>
          <t>Presentation on Landscape Call</t>
        </is>
      </c>
      <c r="D1721" t="inlineStr">
        <is>
          <t>Joseph Isaiah Mensah</t>
        </is>
      </c>
      <c r="E1721" t="inlineStr">
        <is>
          <t>OdooBot</t>
        </is>
      </c>
      <c r="F1721" s="5" t="n">
        <v>46154.70721064815</v>
      </c>
      <c r="H1721" t="inlineStr">
        <is>
          <t>Non-Billable Tasks</t>
        </is>
      </c>
      <c r="I1721" t="n">
        <v>1.5</v>
      </c>
      <c r="K1721" t="inlineStr">
        <is>
          <t>Professional development and Knowledge sharing(training,global knowledge calls,exchange weeks)</t>
        </is>
      </c>
      <c r="L1721" t="b">
        <v>0</v>
      </c>
      <c r="M1721" t="inlineStr">
        <is>
          <t>Non-Billable</t>
        </is>
      </c>
      <c r="N1721" s="6">
        <f>IF(B1721="","",IF(ISNUMBER(B1721),TEXT(B1721,"YYYY-MM"),LEFT(B1721,7)))</f>
        <v/>
      </c>
    </row>
    <row r="1722">
      <c r="A1722" t="inlineStr">
        <is>
          <t>Clement Obeng-Manu</t>
        </is>
      </c>
      <c r="B1722" s="4" t="n">
        <v>46093</v>
      </c>
      <c r="C1722" t="inlineStr">
        <is>
          <t>/</t>
        </is>
      </c>
      <c r="D1722" t="inlineStr">
        <is>
          <t>Ekow Nyamekye Tawiah</t>
        </is>
      </c>
      <c r="E1722" t="inlineStr">
        <is>
          <t>OdooBot</t>
        </is>
      </c>
      <c r="F1722" s="5" t="n">
        <v>46154.70721064815</v>
      </c>
      <c r="G1722" t="inlineStr">
        <is>
          <t>Fieldwork – stakeholder engagement</t>
        </is>
      </c>
      <c r="H1722" t="inlineStr">
        <is>
          <t>PCGH777</t>
        </is>
      </c>
      <c r="I1722" t="n">
        <v>8</v>
      </c>
      <c r="J1722" t="inlineStr">
        <is>
          <t>PCGH777 - Field work  (3) (Proforest Limited(PCUK GBP))</t>
        </is>
      </c>
      <c r="K1722" t="inlineStr">
        <is>
          <t>Fieldwork – stakeholder engagement</t>
        </is>
      </c>
      <c r="L1722" t="b">
        <v>1</v>
      </c>
      <c r="M1722" t="inlineStr">
        <is>
          <t>Billed at a Fixed price</t>
        </is>
      </c>
      <c r="N1722" s="6">
        <f>IF(B1722="","",IF(ISNUMBER(B1722),TEXT(B1722,"YYYY-MM"),LEFT(B1722,7)))</f>
        <v/>
      </c>
    </row>
    <row r="1723">
      <c r="A1723" t="inlineStr">
        <is>
          <t>Clement Obeng-Manu</t>
        </is>
      </c>
      <c r="B1723" s="4" t="n">
        <v>46093</v>
      </c>
      <c r="C1723" t="inlineStr">
        <is>
          <t>/</t>
        </is>
      </c>
      <c r="D1723" t="inlineStr">
        <is>
          <t>Ekow Nyamekye Tawiah</t>
        </is>
      </c>
      <c r="E1723" t="inlineStr">
        <is>
          <t>OdooBot</t>
        </is>
      </c>
      <c r="F1723" s="5" t="n">
        <v>46154.70721064815</v>
      </c>
      <c r="H1723" t="inlineStr">
        <is>
          <t>PCGH777</t>
        </is>
      </c>
      <c r="I1723" t="n">
        <v>0</v>
      </c>
      <c r="J1723" t="inlineStr">
        <is>
          <t>PCGH777 - Land Use Change Analysis (Proforest Limited(PCUK GBP))</t>
        </is>
      </c>
      <c r="K1723" t="inlineStr">
        <is>
          <t xml:space="preserve">Post fieldwork analysis </t>
        </is>
      </c>
      <c r="L1723" t="b">
        <v>1</v>
      </c>
      <c r="M1723" t="inlineStr">
        <is>
          <t>Billed at a Fixed price</t>
        </is>
      </c>
      <c r="N1723" s="6">
        <f>IF(B1723="","",IF(ISNUMBER(B1723),TEXT(B1723,"YYYY-MM"),LEFT(B1723,7)))</f>
        <v/>
      </c>
    </row>
    <row r="1724">
      <c r="A1724" t="inlineStr">
        <is>
          <t>Clement Obeng-Manu</t>
        </is>
      </c>
      <c r="B1724" s="4" t="n">
        <v>46093</v>
      </c>
      <c r="C1724" t="inlineStr">
        <is>
          <t>/</t>
        </is>
      </c>
      <c r="D1724" t="inlineStr">
        <is>
          <t>Ekow Nyamekye Tawiah</t>
        </is>
      </c>
      <c r="E1724" t="inlineStr">
        <is>
          <t>OdooBot</t>
        </is>
      </c>
      <c r="F1724" s="5" t="n">
        <v>46154.70721064815</v>
      </c>
      <c r="H1724" t="inlineStr">
        <is>
          <t>PCGH777</t>
        </is>
      </c>
      <c r="I1724" t="n">
        <v>0</v>
      </c>
      <c r="J1724" t="inlineStr">
        <is>
          <t>PCGH777 - Desk Study (3) (Proforest Limited(PCUK GBP))</t>
        </is>
      </c>
      <c r="L1724" t="b">
        <v>1</v>
      </c>
      <c r="M1724" t="inlineStr">
        <is>
          <t>Billed at a Fixed price</t>
        </is>
      </c>
      <c r="N1724" s="6">
        <f>IF(B1724="","",IF(ISNUMBER(B1724),TEXT(B1724,"YYYY-MM"),LEFT(B1724,7)))</f>
        <v/>
      </c>
    </row>
    <row r="1725">
      <c r="A1725" t="inlineStr">
        <is>
          <t>Louis Defo</t>
        </is>
      </c>
      <c r="B1725" s="4" t="n">
        <v>46093</v>
      </c>
      <c r="C1725" t="inlineStr">
        <is>
          <t>Work on Hershey and  the preparation of CDC HCV-HCS assessment</t>
        </is>
      </c>
      <c r="D1725" t="inlineStr">
        <is>
          <t>Louis Defo</t>
        </is>
      </c>
      <c r="E1725" t="inlineStr">
        <is>
          <t>OdooBot</t>
        </is>
      </c>
      <c r="F1725" s="5" t="n">
        <v>46154.70721064815</v>
      </c>
      <c r="H1725" t="inlineStr">
        <is>
          <t>Non-Billable Tasks</t>
        </is>
      </c>
      <c r="I1725" t="n">
        <v>8</v>
      </c>
      <c r="L1725" t="b">
        <v>0</v>
      </c>
      <c r="M1725" t="inlineStr">
        <is>
          <t>Non-Billable</t>
        </is>
      </c>
      <c r="N1725" s="6">
        <f>IF(B1725="","",IF(ISNUMBER(B1725),TEXT(B1725,"YYYY-MM"),LEFT(B1725,7)))</f>
        <v/>
      </c>
    </row>
    <row r="1726">
      <c r="A1726" t="inlineStr">
        <is>
          <t>Joseph Isaiah Mensah</t>
        </is>
      </c>
      <c r="B1726" s="4" t="n">
        <v>46092</v>
      </c>
      <c r="C1726" t="inlineStr">
        <is>
          <t>/[Update]: Nestle Sugar PCGH Monthly Catch Up</t>
        </is>
      </c>
      <c r="D1726" t="inlineStr">
        <is>
          <t>Jacqueline Nyakutse Afua</t>
        </is>
      </c>
      <c r="E1726" t="inlineStr">
        <is>
          <t>Joseph Isaiah Mensah</t>
        </is>
      </c>
      <c r="F1726" s="5" t="n">
        <v>46162.70666666667</v>
      </c>
      <c r="H1726" t="inlineStr">
        <is>
          <t>PCGH778 - General Support</t>
        </is>
      </c>
      <c r="I1726" t="n">
        <v>2</v>
      </c>
      <c r="J1726" t="inlineStr">
        <is>
          <t>PCGH778 - Support to Other Workstreams (3) (Proforest Limited(PCUK GBP))</t>
        </is>
      </c>
      <c r="L1726" t="b">
        <v>1</v>
      </c>
      <c r="M1726" t="inlineStr">
        <is>
          <t>Billed at a Fixed price</t>
        </is>
      </c>
      <c r="N1726" s="6">
        <f>IF(B1726="","",IF(ISNUMBER(B1726),TEXT(B1726,"YYYY-MM"),LEFT(B1726,7)))</f>
        <v/>
      </c>
    </row>
    <row r="1727">
      <c r="A1727" t="inlineStr">
        <is>
          <t>Joseph Isaiah Mensah</t>
        </is>
      </c>
      <c r="B1727" s="4" t="n">
        <v>46092</v>
      </c>
      <c r="C1727" t="inlineStr">
        <is>
          <t>/</t>
        </is>
      </c>
      <c r="D1727" t="inlineStr">
        <is>
          <t>Jacqueline Nyakutse Afua</t>
        </is>
      </c>
      <c r="E1727" t="inlineStr">
        <is>
          <t>Joseph Isaiah Mensah</t>
        </is>
      </c>
      <c r="F1727" s="5" t="n">
        <v>46162.70578703703</v>
      </c>
      <c r="G1727" t="inlineStr">
        <is>
          <t>Field verification and reporting in Nigeria (3)</t>
        </is>
      </c>
      <c r="H1727" t="inlineStr">
        <is>
          <t>PCGH775 - ESDD of Valency Operations for FMO</t>
        </is>
      </c>
      <c r="I1727" t="n">
        <v>6</v>
      </c>
      <c r="J1727" t="inlineStr">
        <is>
          <t>PCGH775 - Field Verification (3) (Valency International DMCC)</t>
        </is>
      </c>
      <c r="K1727" t="inlineStr">
        <is>
          <t>Analysis and reporting in Nigeria</t>
        </is>
      </c>
      <c r="L1727" t="b">
        <v>1</v>
      </c>
      <c r="M1727" t="inlineStr">
        <is>
          <t>Billed at a Fixed price</t>
        </is>
      </c>
      <c r="N1727" s="6">
        <f>IF(B1727="","",IF(ISNUMBER(B1727),TEXT(B1727,"YYYY-MM"),LEFT(B1727,7)))</f>
        <v/>
      </c>
    </row>
    <row r="1728">
      <c r="A1728" t="inlineStr">
        <is>
          <t>James Parker Mckeown</t>
        </is>
      </c>
      <c r="B1728" s="4" t="n">
        <v>46092</v>
      </c>
      <c r="C1728" t="inlineStr">
        <is>
          <t>Catchup call with Joseph on the FCDO FGMC work</t>
        </is>
      </c>
      <c r="D1728" t="inlineStr">
        <is>
          <t>James Parker Mckeown</t>
        </is>
      </c>
      <c r="E1728" t="inlineStr">
        <is>
          <t>James Parker Mckeown</t>
        </is>
      </c>
      <c r="F1728" s="5" t="n">
        <v>46162.61495370371</v>
      </c>
      <c r="H1728" t="inlineStr">
        <is>
          <t>PCGH786 - Impact Level Baseline assessment for FGMC</t>
        </is>
      </c>
      <c r="I1728" t="n">
        <v>1.5</v>
      </c>
      <c r="K1728" t="inlineStr">
        <is>
          <t>PCGH786 - Site Assessment (3)</t>
        </is>
      </c>
      <c r="L1728" t="b">
        <v>1</v>
      </c>
      <c r="M1728" t="inlineStr">
        <is>
          <t>Non-Billable</t>
        </is>
      </c>
      <c r="N1728" s="6">
        <f>IF(B1728="","",IF(ISNUMBER(B1728),TEXT(B1728,"YYYY-MM"),LEFT(B1728,7)))</f>
        <v/>
      </c>
    </row>
    <row r="1729">
      <c r="A1729" t="inlineStr">
        <is>
          <t>James Parker Mckeown</t>
        </is>
      </c>
      <c r="B1729" s="4" t="n">
        <v>46092</v>
      </c>
      <c r="C1729" t="inlineStr">
        <is>
          <t>James-Joseph issues on Joseph's attitude on FGMC work</t>
        </is>
      </c>
      <c r="D1729" t="inlineStr">
        <is>
          <t>James Parker Mckeown</t>
        </is>
      </c>
      <c r="E1729" t="inlineStr">
        <is>
          <t>James Parker Mckeown</t>
        </is>
      </c>
      <c r="F1729" s="5" t="n">
        <v>46162.59450231482</v>
      </c>
      <c r="G1729" t="inlineStr">
        <is>
          <t>Output 4</t>
        </is>
      </c>
      <c r="H1729" t="inlineStr">
        <is>
          <t>P23AC00C00 - FGMC</t>
        </is>
      </c>
      <c r="I1729" t="n">
        <v>2</v>
      </c>
      <c r="K1729" t="inlineStr">
        <is>
          <t>P23AC03A00 - Project Management</t>
        </is>
      </c>
      <c r="L1729" t="b">
        <v>0</v>
      </c>
      <c r="M1729" t="inlineStr">
        <is>
          <t>Non-Billable</t>
        </is>
      </c>
      <c r="N1729" s="6">
        <f>IF(B1729="","",IF(ISNUMBER(B1729),TEXT(B1729,"YYYY-MM"),LEFT(B1729,7)))</f>
        <v/>
      </c>
    </row>
    <row r="1730">
      <c r="A1730" t="inlineStr">
        <is>
          <t>James Parker Mckeown</t>
        </is>
      </c>
      <c r="B1730" s="4" t="n">
        <v>46092</v>
      </c>
      <c r="C1730" t="inlineStr">
        <is>
          <t>EUDR Community of Practice Launch</t>
        </is>
      </c>
      <c r="D1730" t="inlineStr">
        <is>
          <t>James Parker Mckeown</t>
        </is>
      </c>
      <c r="E1730" t="inlineStr">
        <is>
          <t>James Parker Mckeown</t>
        </is>
      </c>
      <c r="F1730" s="5" t="n">
        <v>46162.59278935185</v>
      </c>
      <c r="G1730" t="inlineStr">
        <is>
          <t>Output 2.1</t>
        </is>
      </c>
      <c r="H1730" t="inlineStr">
        <is>
          <t>P23AC00C00 - FGMC</t>
        </is>
      </c>
      <c r="I1730" t="n">
        <v>2</v>
      </c>
      <c r="K1730" t="inlineStr">
        <is>
          <t>P23AC32A00 - Connecting Supply and Demand Side</t>
        </is>
      </c>
      <c r="L1730" t="b">
        <v>0</v>
      </c>
      <c r="M1730" t="inlineStr">
        <is>
          <t>Non-Billable</t>
        </is>
      </c>
      <c r="N1730" s="6">
        <f>IF(B1730="","",IF(ISNUMBER(B1730),TEXT(B1730,"YYYY-MM"),LEFT(B1730,7)))</f>
        <v/>
      </c>
    </row>
    <row r="1731">
      <c r="A1731" t="inlineStr">
        <is>
          <t>James Parker Mckeown</t>
        </is>
      </c>
      <c r="B1731" s="4" t="n">
        <v>46092</v>
      </c>
      <c r="C1731" t="inlineStr">
        <is>
          <t>/</t>
        </is>
      </c>
      <c r="D1731" t="inlineStr">
        <is>
          <t>James Parker Mckeown</t>
        </is>
      </c>
      <c r="E1731" t="inlineStr">
        <is>
          <t>James Parker Mckeown</t>
        </is>
      </c>
      <c r="F1731" s="5" t="n">
        <v>46162.59128472222</v>
      </c>
      <c r="H1731" t="inlineStr">
        <is>
          <t>PCGH786 - Impact Level Baseline assessment for FGMC</t>
        </is>
      </c>
      <c r="I1731" t="n">
        <v>2</v>
      </c>
      <c r="L1731" t="b">
        <v>1</v>
      </c>
      <c r="M1731" t="inlineStr">
        <is>
          <t>Non-Billable</t>
        </is>
      </c>
      <c r="N1731" s="6">
        <f>IF(B1731="","",IF(ISNUMBER(B1731),TEXT(B1731,"YYYY-MM"),LEFT(B1731,7)))</f>
        <v/>
      </c>
    </row>
    <row r="1732">
      <c r="A1732" t="inlineStr">
        <is>
          <t>James Parker Mckeown</t>
        </is>
      </c>
      <c r="B1732" s="4" t="n">
        <v>46092</v>
      </c>
      <c r="C1732" t="inlineStr">
        <is>
          <t>BRIDGE: SL/PDL catch up</t>
        </is>
      </c>
      <c r="D1732" t="inlineStr">
        <is>
          <t>James Parker Mckeown</t>
        </is>
      </c>
      <c r="E1732" t="inlineStr">
        <is>
          <t>James Parker Mckeown</t>
        </is>
      </c>
      <c r="F1732" s="5" t="n">
        <v>46162.58844907407</v>
      </c>
      <c r="G1732" t="inlineStr">
        <is>
          <t>Output 4</t>
        </is>
      </c>
      <c r="H1732" t="inlineStr">
        <is>
          <t>P23AC00C00 - FGMC</t>
        </is>
      </c>
      <c r="I1732" t="n">
        <v>1.5</v>
      </c>
      <c r="K1732" t="inlineStr">
        <is>
          <t>P23AC03A00 - Project Management</t>
        </is>
      </c>
      <c r="L1732" t="b">
        <v>0</v>
      </c>
      <c r="M1732" t="inlineStr">
        <is>
          <t>Non-Billable</t>
        </is>
      </c>
      <c r="N1732" s="6">
        <f>IF(B1732="","",IF(ISNUMBER(B1732),TEXT(B1732,"YYYY-MM"),LEFT(B1732,7)))</f>
        <v/>
      </c>
    </row>
    <row r="1733">
      <c r="A1733" t="inlineStr">
        <is>
          <t>Frederick Antwi</t>
        </is>
      </c>
      <c r="B1733" s="4" t="n">
        <v>46092</v>
      </c>
      <c r="C1733" t="inlineStr">
        <is>
          <t>/</t>
        </is>
      </c>
      <c r="D1733" t="inlineStr">
        <is>
          <t>Frederick Antwi</t>
        </is>
      </c>
      <c r="E1733" t="inlineStr">
        <is>
          <t>Frederick Antwi</t>
        </is>
      </c>
      <c r="F1733" s="5" t="n">
        <v>46160.62159722222</v>
      </c>
      <c r="H1733" t="inlineStr">
        <is>
          <t>P13PC00A00 - Private Sector Companies</t>
        </is>
      </c>
      <c r="I1733" t="n">
        <v>8</v>
      </c>
      <c r="L1733" t="b">
        <v>0</v>
      </c>
      <c r="M1733" t="inlineStr">
        <is>
          <t>Non-Billable</t>
        </is>
      </c>
      <c r="N1733" s="6">
        <f>IF(B1733="","",IF(ISNUMBER(B1733),TEXT(B1733,"YYYY-MM"),LEFT(B1733,7)))</f>
        <v/>
      </c>
    </row>
    <row r="1734">
      <c r="A1734" t="inlineStr">
        <is>
          <t>Augustus Asamoah</t>
        </is>
      </c>
      <c r="B1734" s="4" t="n">
        <v>46092</v>
      </c>
      <c r="C1734" t="inlineStr">
        <is>
          <t>/</t>
        </is>
      </c>
      <c r="D1734" t="inlineStr">
        <is>
          <t>Augustus Asamoah</t>
        </is>
      </c>
      <c r="E1734" t="inlineStr">
        <is>
          <t>Augustus Asamoah</t>
        </is>
      </c>
      <c r="F1734" s="5" t="n">
        <v>46156.65113425926</v>
      </c>
      <c r="H1734" t="inlineStr">
        <is>
          <t>PCGH784</t>
        </is>
      </c>
      <c r="I1734" t="n">
        <v>8</v>
      </c>
      <c r="J1734" t="inlineStr">
        <is>
          <t>PCGH784 - Desk Study (3) (Okeosisi Jonathan)</t>
        </is>
      </c>
      <c r="L1734" t="b">
        <v>1</v>
      </c>
      <c r="M1734" t="inlineStr">
        <is>
          <t>Billed at a Fixed price</t>
        </is>
      </c>
      <c r="N1734" s="6">
        <f>IF(B1734="","",IF(ISNUMBER(B1734),TEXT(B1734,"YYYY-MM"),LEFT(B1734,7)))</f>
        <v/>
      </c>
    </row>
    <row r="1735">
      <c r="A1735" t="inlineStr">
        <is>
          <t>Afua Serwah Akoto Prempeh</t>
        </is>
      </c>
      <c r="B1735" s="4" t="n">
        <v>46092</v>
      </c>
      <c r="C1735" t="inlineStr">
        <is>
          <t>/</t>
        </is>
      </c>
      <c r="D1735" t="inlineStr">
        <is>
          <t>Afua Serwah Akoto Prempeh</t>
        </is>
      </c>
      <c r="E1735" t="inlineStr">
        <is>
          <t>OdooBot</t>
        </is>
      </c>
      <c r="F1735" s="5" t="n">
        <v>46154.70721064815</v>
      </c>
      <c r="H1735" t="inlineStr">
        <is>
          <t>Non-Billable Tasks</t>
        </is>
      </c>
      <c r="I1735" t="n">
        <v>8</v>
      </c>
      <c r="K1735" t="inlineStr">
        <is>
          <t>Administrative Tasks</t>
        </is>
      </c>
      <c r="L1735" t="b">
        <v>0</v>
      </c>
      <c r="M1735" t="inlineStr">
        <is>
          <t>Non-Billable</t>
        </is>
      </c>
      <c r="N1735" s="6">
        <f>IF(B1735="","",IF(ISNUMBER(B1735),TEXT(B1735,"YYYY-MM"),LEFT(B1735,7)))</f>
        <v/>
      </c>
    </row>
    <row r="1736">
      <c r="A1736" t="inlineStr">
        <is>
          <t>Stephen Doso</t>
        </is>
      </c>
      <c r="B1736" s="4" t="n">
        <v>46092</v>
      </c>
      <c r="C1736" t="inlineStr">
        <is>
          <t>/</t>
        </is>
      </c>
      <c r="D1736" t="inlineStr">
        <is>
          <t>Stephen Doso</t>
        </is>
      </c>
      <c r="E1736" t="inlineStr">
        <is>
          <t>OdooBot</t>
        </is>
      </c>
      <c r="F1736" s="5" t="n">
        <v>46154.70721064815</v>
      </c>
      <c r="G1736" t="inlineStr">
        <is>
          <t>Field verification and reporting in Ivory Coast (3)</t>
        </is>
      </c>
      <c r="H1736" t="inlineStr">
        <is>
          <t>PCGH775 - ESDD of Valency Operations for FMO</t>
        </is>
      </c>
      <c r="I1736" t="n">
        <v>8</v>
      </c>
      <c r="J1736" t="inlineStr">
        <is>
          <t>PCGH775 - Field Verification (3) (Valency International DMCC)</t>
        </is>
      </c>
      <c r="K1736" t="inlineStr">
        <is>
          <t>Analysis and reporting in Ivory Coast</t>
        </is>
      </c>
      <c r="L1736" t="b">
        <v>1</v>
      </c>
      <c r="M1736" t="inlineStr">
        <is>
          <t>Billed at a Fixed price</t>
        </is>
      </c>
      <c r="N1736" s="6">
        <f>IF(B1736="","",IF(ISNUMBER(B1736),TEXT(B1736,"YYYY-MM"),LEFT(B1736,7)))</f>
        <v/>
      </c>
    </row>
    <row r="1737">
      <c r="A1737" t="inlineStr">
        <is>
          <t>Kwadwo Baniako Nti</t>
        </is>
      </c>
      <c r="B1737" s="4" t="n">
        <v>46092</v>
      </c>
      <c r="C1737" t="inlineStr">
        <is>
          <t>/</t>
        </is>
      </c>
      <c r="D1737" t="inlineStr">
        <is>
          <t>Kwadwo Baniako Nti</t>
        </is>
      </c>
      <c r="E1737" t="inlineStr">
        <is>
          <t>OdooBot</t>
        </is>
      </c>
      <c r="F1737" s="5" t="n">
        <v>46154.70721064815</v>
      </c>
      <c r="H1737" t="inlineStr">
        <is>
          <t>PCGH774 -Evaluation Deep-Dive Action Plans by Socfin Group</t>
        </is>
      </c>
      <c r="I1737" t="n">
        <v>8</v>
      </c>
      <c r="J1737" t="inlineStr">
        <is>
          <t>PCGH774 - Tier 3 (Socfinco FR SA)</t>
        </is>
      </c>
      <c r="K1737" t="inlineStr">
        <is>
          <t>SAC - Field verification/observation/community and stakeholder engagement</t>
        </is>
      </c>
      <c r="L1737" t="b">
        <v>1</v>
      </c>
      <c r="M1737" t="inlineStr">
        <is>
          <t>Billed at a Fixed price</t>
        </is>
      </c>
      <c r="N1737" s="6">
        <f>IF(B1737="","",IF(ISNUMBER(B1737),TEXT(B1737,"YYYY-MM"),LEFT(B1737,7)))</f>
        <v/>
      </c>
    </row>
    <row r="1738">
      <c r="A1738" t="inlineStr">
        <is>
          <t>Kingsley Fitz-Gerald Severine</t>
        </is>
      </c>
      <c r="B1738" s="4" t="n">
        <v>46092</v>
      </c>
      <c r="C1738" t="inlineStr">
        <is>
          <t>/</t>
        </is>
      </c>
      <c r="D1738" t="inlineStr">
        <is>
          <t>Kingsley Fitz-Gerald Severine</t>
        </is>
      </c>
      <c r="E1738" t="inlineStr">
        <is>
          <t>OdooBot</t>
        </is>
      </c>
      <c r="F1738" s="5" t="n">
        <v>46154.70721064815</v>
      </c>
      <c r="G1738" t="inlineStr">
        <is>
          <t>BOA: DESK-STUDY, GIS AND SURVEY TOOLS (3)</t>
        </is>
      </c>
      <c r="H1738" t="inlineStr">
        <is>
          <t>PCGH788 - CDC Boa &amp; Mondoni CV-HCS Scoping</t>
        </is>
      </c>
      <c r="I1738" t="n">
        <v>8</v>
      </c>
      <c r="J1738" t="inlineStr">
        <is>
          <t>PCGH788 - Desk Study (3) (CAMEROON DEVELOPMENT CORPORATION (CDC))</t>
        </is>
      </c>
      <c r="K1738" t="inlineStr">
        <is>
          <t>Due diligence</t>
        </is>
      </c>
      <c r="L1738" t="b">
        <v>1</v>
      </c>
      <c r="M1738" t="inlineStr">
        <is>
          <t>Billed at a Fixed price</t>
        </is>
      </c>
      <c r="N1738" s="6">
        <f>IF(B1738="","",IF(ISNUMBER(B1738),TEXT(B1738,"YYYY-MM"),LEFT(B1738,7)))</f>
        <v/>
      </c>
    </row>
    <row r="1739">
      <c r="A1739" t="inlineStr">
        <is>
          <t>Kingsley Fitz-Gerald Severine</t>
        </is>
      </c>
      <c r="B1739" s="4" t="n">
        <v>46092</v>
      </c>
      <c r="C1739" t="inlineStr">
        <is>
          <t>/</t>
        </is>
      </c>
      <c r="D1739" t="inlineStr">
        <is>
          <t>Kingsley Fitz-Gerald Severine</t>
        </is>
      </c>
      <c r="E1739" t="inlineStr">
        <is>
          <t>OdooBot</t>
        </is>
      </c>
      <c r="F1739" s="5" t="n">
        <v>46154.70721064815</v>
      </c>
      <c r="H1739" t="inlineStr">
        <is>
          <t>PCGH788 - CDC Boa &amp; Mondoni CV-HCS Scoping</t>
        </is>
      </c>
      <c r="I1739" t="n">
        <v>0</v>
      </c>
      <c r="J1739" t="inlineStr">
        <is>
          <t>PCGH788 - Desk Study (3) (CAMEROON DEVELOPMENT CORPORATION (CDC))</t>
        </is>
      </c>
      <c r="K1739" t="inlineStr">
        <is>
          <t>BOA: DESK-STUDY, GIS AND SURVEY TOOLS (3)</t>
        </is>
      </c>
      <c r="L1739" t="b">
        <v>1</v>
      </c>
      <c r="M1739" t="inlineStr">
        <is>
          <t>Billed at a Fixed price</t>
        </is>
      </c>
      <c r="N1739" s="6">
        <f>IF(B1739="","",IF(ISNUMBER(B1739),TEXT(B1739,"YYYY-MM"),LEFT(B1739,7)))</f>
        <v/>
      </c>
    </row>
    <row r="1740">
      <c r="A1740" t="inlineStr">
        <is>
          <t>Helena Tetteh</t>
        </is>
      </c>
      <c r="B1740" s="4" t="n">
        <v>46092</v>
      </c>
      <c r="C1740" t="inlineStr">
        <is>
          <t>/</t>
        </is>
      </c>
      <c r="D1740" t="inlineStr">
        <is>
          <t xml:space="preserve">Helena Tetteh </t>
        </is>
      </c>
      <c r="E1740" t="inlineStr">
        <is>
          <t>OdooBot</t>
        </is>
      </c>
      <c r="F1740" s="5" t="n">
        <v>46154.70721064815</v>
      </c>
      <c r="H1740" t="inlineStr">
        <is>
          <t>PCGH762 - GVL HCSA Restoration Project</t>
        </is>
      </c>
      <c r="I1740" t="n">
        <v>8</v>
      </c>
      <c r="J1740" t="inlineStr">
        <is>
          <t>PCGH763 - Desk study (Due diligence) (Jopafram Nigeria Limited)</t>
        </is>
      </c>
      <c r="K1740" t="inlineStr">
        <is>
          <t>Fundraising and proposal development</t>
        </is>
      </c>
      <c r="L1740" t="b">
        <v>1</v>
      </c>
      <c r="M1740" t="inlineStr">
        <is>
          <t>Billed at a Fixed price</t>
        </is>
      </c>
      <c r="N1740" s="6">
        <f>IF(B1740="","",IF(ISNUMBER(B1740),TEXT(B1740,"YYYY-MM"),LEFT(B1740,7)))</f>
        <v/>
      </c>
    </row>
    <row r="1741">
      <c r="A1741" t="inlineStr">
        <is>
          <t>Ekow Nyamekye Tawiah</t>
        </is>
      </c>
      <c r="B1741" s="4" t="n">
        <v>46092</v>
      </c>
      <c r="C1741" t="inlineStr">
        <is>
          <t>/</t>
        </is>
      </c>
      <c r="D1741" t="inlineStr">
        <is>
          <t>Joseph Isaiah Mensah</t>
        </is>
      </c>
      <c r="E1741" t="inlineStr">
        <is>
          <t>OdooBot</t>
        </is>
      </c>
      <c r="F1741" s="5" t="n">
        <v>46154.70721064815</v>
      </c>
      <c r="H1741" t="inlineStr">
        <is>
          <t>PCGH722</t>
        </is>
      </c>
      <c r="I1741" t="n">
        <v>4</v>
      </c>
      <c r="J1741" t="inlineStr">
        <is>
          <t>PCGH722 - Analysis and Reporting (3) (Sucrivoire SA)</t>
        </is>
      </c>
      <c r="K1741" t="inlineStr">
        <is>
          <t>Analysis and Reporting (3)</t>
        </is>
      </c>
      <c r="L1741" t="b">
        <v>1</v>
      </c>
      <c r="M1741" t="inlineStr">
        <is>
          <t>Billed at a Fixed price</t>
        </is>
      </c>
      <c r="N1741" s="6">
        <f>IF(B1741="","",IF(ISNUMBER(B1741),TEXT(B1741,"YYYY-MM"),LEFT(B1741,7)))</f>
        <v/>
      </c>
    </row>
    <row r="1742">
      <c r="A1742" t="inlineStr">
        <is>
          <t>Clement Obeng-Manu</t>
        </is>
      </c>
      <c r="B1742" s="4" t="n">
        <v>46092</v>
      </c>
      <c r="C1742" t="inlineStr">
        <is>
          <t>/</t>
        </is>
      </c>
      <c r="D1742" t="inlineStr">
        <is>
          <t>Ekow Nyamekye Tawiah</t>
        </is>
      </c>
      <c r="E1742" t="inlineStr">
        <is>
          <t>OdooBot</t>
        </is>
      </c>
      <c r="F1742" s="5" t="n">
        <v>46154.70721064815</v>
      </c>
      <c r="H1742" t="inlineStr">
        <is>
          <t>PCGH777</t>
        </is>
      </c>
      <c r="I1742" t="n">
        <v>8</v>
      </c>
      <c r="J1742" t="inlineStr">
        <is>
          <t>PCGH777 - Land Use Change Analysis (Proforest Limited(PCUK GBP))</t>
        </is>
      </c>
      <c r="K1742" t="inlineStr">
        <is>
          <t xml:space="preserve">Post fieldwork analysis </t>
        </is>
      </c>
      <c r="L1742" t="b">
        <v>1</v>
      </c>
      <c r="M1742" t="inlineStr">
        <is>
          <t>Billed at a Fixed price</t>
        </is>
      </c>
      <c r="N1742" s="6">
        <f>IF(B1742="","",IF(ISNUMBER(B1742),TEXT(B1742,"YYYY-MM"),LEFT(B1742,7)))</f>
        <v/>
      </c>
    </row>
    <row r="1743">
      <c r="A1743" t="inlineStr">
        <is>
          <t>Louis Defo</t>
        </is>
      </c>
      <c r="B1743" s="4" t="n">
        <v>46092</v>
      </c>
      <c r="C1743" t="inlineStr">
        <is>
          <t>Work on the work plan of Hershey Cameroon (PCUK1184)</t>
        </is>
      </c>
      <c r="D1743" t="inlineStr">
        <is>
          <t>Louis Defo</t>
        </is>
      </c>
      <c r="E1743" t="inlineStr">
        <is>
          <t>OdooBot</t>
        </is>
      </c>
      <c r="F1743" s="5" t="n">
        <v>46154.70721064815</v>
      </c>
      <c r="H1743" t="inlineStr">
        <is>
          <t>Non-Billable Tasks</t>
        </is>
      </c>
      <c r="I1743" t="n">
        <v>8</v>
      </c>
      <c r="L1743" t="b">
        <v>0</v>
      </c>
      <c r="M1743" t="inlineStr">
        <is>
          <t>Non-Billable</t>
        </is>
      </c>
      <c r="N1743" s="6">
        <f>IF(B1743="","",IF(ISNUMBER(B1743),TEXT(B1743,"YYYY-MM"),LEFT(B1743,7)))</f>
        <v/>
      </c>
    </row>
    <row r="1744">
      <c r="A1744" t="inlineStr">
        <is>
          <t>Joseph Isaiah Mensah</t>
        </is>
      </c>
      <c r="B1744" s="4" t="n">
        <v>46091</v>
      </c>
      <c r="C1744" t="inlineStr">
        <is>
          <t>/</t>
        </is>
      </c>
      <c r="D1744" t="inlineStr">
        <is>
          <t>Jacqueline Nyakutse Afua</t>
        </is>
      </c>
      <c r="E1744" t="inlineStr">
        <is>
          <t>Joseph Isaiah Mensah</t>
        </is>
      </c>
      <c r="F1744" s="5" t="n">
        <v>46162.70482638889</v>
      </c>
      <c r="G1744" t="inlineStr">
        <is>
          <t>Field verification and reporting in Nigeria (3)</t>
        </is>
      </c>
      <c r="H1744" t="inlineStr">
        <is>
          <t>PCGH775 - ESDD of Valency Operations for FMO</t>
        </is>
      </c>
      <c r="I1744" t="n">
        <v>7</v>
      </c>
      <c r="J1744" t="inlineStr">
        <is>
          <t>PCGH775 - Field Verification (3) (Valency International DMCC)</t>
        </is>
      </c>
      <c r="K1744" t="inlineStr">
        <is>
          <t>Analysis and reporting in Nigeria</t>
        </is>
      </c>
      <c r="L1744" t="b">
        <v>1</v>
      </c>
      <c r="M1744" t="inlineStr">
        <is>
          <t>Billed at a Fixed price</t>
        </is>
      </c>
      <c r="N1744" s="6">
        <f>IF(B1744="","",IF(ISNUMBER(B1744),TEXT(B1744,"YYYY-MM"),LEFT(B1744,7)))</f>
        <v/>
      </c>
    </row>
    <row r="1745">
      <c r="A1745" t="inlineStr">
        <is>
          <t>Joseph Isaiah Mensah</t>
        </is>
      </c>
      <c r="B1745" s="4" t="n">
        <v>46091</v>
      </c>
      <c r="C1745" t="inlineStr">
        <is>
          <t>SL/PDL Meeting</t>
        </is>
      </c>
      <c r="D1745" t="inlineStr">
        <is>
          <t>Jacqueline Nyakutse Afua</t>
        </is>
      </c>
      <c r="E1745" t="inlineStr">
        <is>
          <t>Joseph Isaiah Mensah</t>
        </is>
      </c>
      <c r="F1745" s="5" t="n">
        <v>46162.70402777778</v>
      </c>
      <c r="H1745" t="inlineStr">
        <is>
          <t>P23AC00C00 - FGMC</t>
        </is>
      </c>
      <c r="I1745" t="n">
        <v>1</v>
      </c>
      <c r="L1745" t="b">
        <v>0</v>
      </c>
      <c r="M1745" t="inlineStr">
        <is>
          <t>Non-Billable</t>
        </is>
      </c>
      <c r="N1745" s="6">
        <f>IF(B1745="","",IF(ISNUMBER(B1745),TEXT(B1745,"YYYY-MM"),LEFT(B1745,7)))</f>
        <v/>
      </c>
    </row>
    <row r="1746">
      <c r="A1746" t="inlineStr">
        <is>
          <t>James Parker Mckeown</t>
        </is>
      </c>
      <c r="B1746" s="4" t="n">
        <v>46091</v>
      </c>
      <c r="C1746" t="inlineStr">
        <is>
          <t>James:Lotte catch up</t>
        </is>
      </c>
      <c r="D1746" t="inlineStr">
        <is>
          <t>James Parker Mckeown</t>
        </is>
      </c>
      <c r="E1746" t="inlineStr">
        <is>
          <t>James Parker Mckeown</t>
        </is>
      </c>
      <c r="F1746" s="5" t="n">
        <v>46162.59011574074</v>
      </c>
      <c r="H1746" t="inlineStr">
        <is>
          <t>Non-Billable Tasks</t>
        </is>
      </c>
      <c r="I1746" t="n">
        <v>1</v>
      </c>
      <c r="K1746" t="inlineStr">
        <is>
          <t>Business Development and Networking</t>
        </is>
      </c>
      <c r="L1746" t="b">
        <v>0</v>
      </c>
      <c r="M1746" t="inlineStr">
        <is>
          <t>Non-Billable</t>
        </is>
      </c>
      <c r="N1746" s="6">
        <f>IF(B1746="","",IF(ISNUMBER(B1746),TEXT(B1746,"YYYY-MM"),LEFT(B1746,7)))</f>
        <v/>
      </c>
    </row>
    <row r="1747">
      <c r="A1747" t="inlineStr">
        <is>
          <t>James Parker Mckeown</t>
        </is>
      </c>
      <c r="B1747" s="4" t="n">
        <v>46091</v>
      </c>
      <c r="C1747" t="inlineStr">
        <is>
          <t>SMT meeting</t>
        </is>
      </c>
      <c r="D1747" t="inlineStr">
        <is>
          <t>James Parker Mckeown</t>
        </is>
      </c>
      <c r="E1747" t="inlineStr">
        <is>
          <t>James Parker Mckeown</t>
        </is>
      </c>
      <c r="F1747" s="5" t="n">
        <v>46162.58924768519</v>
      </c>
      <c r="H1747" t="inlineStr">
        <is>
          <t>Non-Billable Tasks</t>
        </is>
      </c>
      <c r="I1747" t="n">
        <v>2</v>
      </c>
      <c r="K1747" t="inlineStr">
        <is>
          <t>Senior Management Activities</t>
        </is>
      </c>
      <c r="L1747" t="b">
        <v>0</v>
      </c>
      <c r="M1747" t="inlineStr">
        <is>
          <t>Non-Billable</t>
        </is>
      </c>
      <c r="N1747" s="6">
        <f>IF(B1747="","",IF(ISNUMBER(B1747),TEXT(B1747,"YYYY-MM"),LEFT(B1747,7)))</f>
        <v/>
      </c>
    </row>
    <row r="1748">
      <c r="A1748" t="inlineStr">
        <is>
          <t>James Parker Mckeown</t>
        </is>
      </c>
      <c r="B1748" s="4" t="n">
        <v>46091</v>
      </c>
      <c r="C1748" t="inlineStr">
        <is>
          <t>GVL: Planning for trip to Liberia for GVL work</t>
        </is>
      </c>
      <c r="D1748" t="inlineStr">
        <is>
          <t>James Parker Mckeown</t>
        </is>
      </c>
      <c r="E1748" t="inlineStr">
        <is>
          <t>James Parker Mckeown</t>
        </is>
      </c>
      <c r="F1748" s="5" t="n">
        <v>46162.58498842592</v>
      </c>
      <c r="H1748" t="inlineStr">
        <is>
          <t>PCGH762 - GVL HCSA Restoration Project</t>
        </is>
      </c>
      <c r="I1748" t="n">
        <v>3</v>
      </c>
      <c r="J1748" t="inlineStr">
        <is>
          <t>PCGH762 - Baseline Socio-Economic &amp; Environmental Surveys (Golden Veroleum Liberia)</t>
        </is>
      </c>
      <c r="K1748" t="inlineStr">
        <is>
          <t>Baseline Socio-Economic &amp; Environmental Surveys</t>
        </is>
      </c>
      <c r="L1748" t="b">
        <v>1</v>
      </c>
      <c r="M1748" t="inlineStr">
        <is>
          <t>Billed at a Fixed price</t>
        </is>
      </c>
      <c r="N1748" s="6">
        <f>IF(B1748="","",IF(ISNUMBER(B1748),TEXT(B1748,"YYYY-MM"),LEFT(B1748,7)))</f>
        <v/>
      </c>
    </row>
    <row r="1749">
      <c r="A1749" t="inlineStr">
        <is>
          <t>James Parker Mckeown</t>
        </is>
      </c>
      <c r="B1749" s="4" t="n">
        <v>46091</v>
      </c>
      <c r="C1749" t="inlineStr">
        <is>
          <t>Discussions on ToR_PF/TC</t>
        </is>
      </c>
      <c r="D1749" t="inlineStr">
        <is>
          <t>James Parker Mckeown</t>
        </is>
      </c>
      <c r="E1749" t="inlineStr">
        <is>
          <t>James Parker Mckeown</t>
        </is>
      </c>
      <c r="F1749" s="5" t="n">
        <v>46162.58366898148</v>
      </c>
      <c r="G1749" t="inlineStr">
        <is>
          <t>Output 4</t>
        </is>
      </c>
      <c r="H1749" t="inlineStr">
        <is>
          <t>P23AC00C00 - FGMC</t>
        </is>
      </c>
      <c r="I1749" t="n">
        <v>1</v>
      </c>
      <c r="K1749" t="inlineStr">
        <is>
          <t>P23AC03A00 - Project Management</t>
        </is>
      </c>
      <c r="L1749" t="b">
        <v>0</v>
      </c>
      <c r="M1749" t="inlineStr">
        <is>
          <t>Non-Billable</t>
        </is>
      </c>
      <c r="N1749" s="6">
        <f>IF(B1749="","",IF(ISNUMBER(B1749),TEXT(B1749,"YYYY-MM"),LEFT(B1749,7)))</f>
        <v/>
      </c>
    </row>
    <row r="1750">
      <c r="A1750" t="inlineStr">
        <is>
          <t>James Parker Mckeown</t>
        </is>
      </c>
      <c r="B1750" s="4" t="n">
        <v>46091</v>
      </c>
      <c r="C1750" t="inlineStr">
        <is>
          <t>Draft ToR of the consultant for mapping and assessment of initiatives in Cameroon</t>
        </is>
      </c>
      <c r="D1750" t="inlineStr">
        <is>
          <t>James Parker Mckeown</t>
        </is>
      </c>
      <c r="E1750" t="inlineStr">
        <is>
          <t>James Parker Mckeown</t>
        </is>
      </c>
      <c r="F1750" s="5" t="n">
        <v>46162.57741898148</v>
      </c>
      <c r="G1750" t="inlineStr">
        <is>
          <t>Output 4</t>
        </is>
      </c>
      <c r="H1750" t="inlineStr">
        <is>
          <t>P23AC00C00 - FGMC</t>
        </is>
      </c>
      <c r="I1750" t="n">
        <v>2</v>
      </c>
      <c r="K1750" t="inlineStr">
        <is>
          <t>P23AC03A00 - Project Management</t>
        </is>
      </c>
      <c r="L1750" t="b">
        <v>0</v>
      </c>
      <c r="M1750" t="inlineStr">
        <is>
          <t>Non-Billable</t>
        </is>
      </c>
      <c r="N1750" s="6">
        <f>IF(B1750="","",IF(ISNUMBER(B1750),TEXT(B1750,"YYYY-MM"),LEFT(B1750,7)))</f>
        <v/>
      </c>
    </row>
    <row r="1751">
      <c r="A1751" t="inlineStr">
        <is>
          <t>Frederick Antwi</t>
        </is>
      </c>
      <c r="B1751" s="4" t="n">
        <v>46091</v>
      </c>
      <c r="C1751" t="inlineStr">
        <is>
          <t>/</t>
        </is>
      </c>
      <c r="D1751" t="inlineStr">
        <is>
          <t>Frederick Antwi</t>
        </is>
      </c>
      <c r="E1751" t="inlineStr">
        <is>
          <t>Frederick Antwi</t>
        </is>
      </c>
      <c r="F1751" s="5" t="n">
        <v>46160.62131944444</v>
      </c>
      <c r="H1751" t="inlineStr">
        <is>
          <t>P13PC00A00 - Private Sector Companies</t>
        </is>
      </c>
      <c r="I1751" t="n">
        <v>8</v>
      </c>
      <c r="L1751" t="b">
        <v>0</v>
      </c>
      <c r="M1751" t="inlineStr">
        <is>
          <t>Non-Billable</t>
        </is>
      </c>
      <c r="N1751" s="6">
        <f>IF(B1751="","",IF(ISNUMBER(B1751),TEXT(B1751,"YYYY-MM"),LEFT(B1751,7)))</f>
        <v/>
      </c>
    </row>
    <row r="1752">
      <c r="A1752" t="inlineStr">
        <is>
          <t>Augustus Asamoah</t>
        </is>
      </c>
      <c r="B1752" s="4" t="n">
        <v>46091</v>
      </c>
      <c r="C1752" t="inlineStr">
        <is>
          <t>/</t>
        </is>
      </c>
      <c r="D1752" t="inlineStr">
        <is>
          <t>Augustus Asamoah</t>
        </is>
      </c>
      <c r="E1752" t="inlineStr">
        <is>
          <t>Augustus Asamoah</t>
        </is>
      </c>
      <c r="F1752" s="5" t="n">
        <v>46156.64975694445</v>
      </c>
      <c r="H1752" t="inlineStr">
        <is>
          <t>P13PC00A00 - Private Sector Companies</t>
        </is>
      </c>
      <c r="I1752" t="n">
        <v>3</v>
      </c>
      <c r="L1752" t="b">
        <v>0</v>
      </c>
      <c r="M1752" t="inlineStr">
        <is>
          <t>Non-Billable</t>
        </is>
      </c>
      <c r="N1752" s="6">
        <f>IF(B1752="","",IF(ISNUMBER(B1752),TEXT(B1752,"YYYY-MM"),LEFT(B1752,7)))</f>
        <v/>
      </c>
    </row>
    <row r="1753">
      <c r="A1753" t="inlineStr">
        <is>
          <t>Augustus Asamoah</t>
        </is>
      </c>
      <c r="B1753" s="4" t="n">
        <v>46091</v>
      </c>
      <c r="C1753" t="inlineStr">
        <is>
          <t>/</t>
        </is>
      </c>
      <c r="D1753" t="inlineStr">
        <is>
          <t>Augustus Asamoah</t>
        </is>
      </c>
      <c r="E1753" t="inlineStr">
        <is>
          <t>Augustus Asamoah</t>
        </is>
      </c>
      <c r="F1753" s="5" t="n">
        <v>46156.64998842592</v>
      </c>
      <c r="H1753" t="inlineStr">
        <is>
          <t>PCGH784</t>
        </is>
      </c>
      <c r="I1753" t="n">
        <v>0</v>
      </c>
      <c r="J1753" t="inlineStr">
        <is>
          <t>PCGH784 - Desk Study (3) (Okeosisi Jonathan)</t>
        </is>
      </c>
      <c r="L1753" t="b">
        <v>1</v>
      </c>
      <c r="M1753" t="inlineStr">
        <is>
          <t>Billed at a Fixed price</t>
        </is>
      </c>
      <c r="N1753" s="6">
        <f>IF(B1753="","",IF(ISNUMBER(B1753),TEXT(B1753,"YYYY-MM"),LEFT(B1753,7)))</f>
        <v/>
      </c>
    </row>
    <row r="1754">
      <c r="A1754" t="inlineStr">
        <is>
          <t>Augustus Asamoah</t>
        </is>
      </c>
      <c r="B1754" s="4" t="n">
        <v>46091</v>
      </c>
      <c r="C1754" t="inlineStr">
        <is>
          <t>/</t>
        </is>
      </c>
      <c r="D1754" t="inlineStr">
        <is>
          <t>Augustus Asamoah</t>
        </is>
      </c>
      <c r="E1754" t="inlineStr">
        <is>
          <t>Augustus Asamoah</t>
        </is>
      </c>
      <c r="F1754" s="5" t="n">
        <v>46156.65125</v>
      </c>
      <c r="H1754" t="inlineStr">
        <is>
          <t>P13QC00A00 - EFI Programme</t>
        </is>
      </c>
      <c r="I1754" t="n">
        <v>3</v>
      </c>
      <c r="L1754" t="b">
        <v>0</v>
      </c>
      <c r="M1754" t="inlineStr">
        <is>
          <t>Non-Billable</t>
        </is>
      </c>
      <c r="N1754" s="6">
        <f>IF(B1754="","",IF(ISNUMBER(B1754),TEXT(B1754,"YYYY-MM"),LEFT(B1754,7)))</f>
        <v/>
      </c>
    </row>
    <row r="1755">
      <c r="A1755" t="inlineStr">
        <is>
          <t>Augustus Asamoah</t>
        </is>
      </c>
      <c r="B1755" s="4" t="n">
        <v>46091</v>
      </c>
      <c r="C1755" t="inlineStr">
        <is>
          <t>/</t>
        </is>
      </c>
      <c r="D1755" t="inlineStr">
        <is>
          <t>Augustus Asamoah</t>
        </is>
      </c>
      <c r="E1755" t="inlineStr">
        <is>
          <t>Augustus Asamoah</t>
        </is>
      </c>
      <c r="F1755" s="5" t="n">
        <v>46156.64854166667</v>
      </c>
      <c r="H1755" t="inlineStr">
        <is>
          <t>P13NC00A00 - WALMART II</t>
        </is>
      </c>
      <c r="I1755" t="n">
        <v>2</v>
      </c>
      <c r="L1755" t="b">
        <v>0</v>
      </c>
      <c r="M1755" t="inlineStr">
        <is>
          <t>Non-Billable</t>
        </is>
      </c>
      <c r="N1755" s="6">
        <f>IF(B1755="","",IF(ISNUMBER(B1755),TEXT(B1755,"YYYY-MM"),LEFT(B1755,7)))</f>
        <v/>
      </c>
    </row>
    <row r="1756">
      <c r="A1756" t="inlineStr">
        <is>
          <t>Afua Serwah Akoto Prempeh</t>
        </is>
      </c>
      <c r="B1756" s="4" t="n">
        <v>46091</v>
      </c>
      <c r="C1756" t="inlineStr">
        <is>
          <t>/</t>
        </is>
      </c>
      <c r="D1756" t="inlineStr">
        <is>
          <t>Afua Serwah Akoto Prempeh</t>
        </is>
      </c>
      <c r="E1756" t="inlineStr">
        <is>
          <t>OdooBot</t>
        </is>
      </c>
      <c r="F1756" s="5" t="n">
        <v>46154.70721064815</v>
      </c>
      <c r="H1756" t="inlineStr">
        <is>
          <t>Non-Billable Tasks</t>
        </is>
      </c>
      <c r="I1756" t="n">
        <v>8</v>
      </c>
      <c r="K1756" t="inlineStr">
        <is>
          <t>Administrative Tasks</t>
        </is>
      </c>
      <c r="L1756" t="b">
        <v>0</v>
      </c>
      <c r="M1756" t="inlineStr">
        <is>
          <t>Non-Billable</t>
        </is>
      </c>
      <c r="N1756" s="6">
        <f>IF(B1756="","",IF(ISNUMBER(B1756),TEXT(B1756,"YYYY-MM"),LEFT(B1756,7)))</f>
        <v/>
      </c>
    </row>
    <row r="1757">
      <c r="A1757" t="inlineStr">
        <is>
          <t>Stephen Doso</t>
        </is>
      </c>
      <c r="B1757" s="4" t="n">
        <v>46091</v>
      </c>
      <c r="C1757" t="inlineStr">
        <is>
          <t>/</t>
        </is>
      </c>
      <c r="D1757" t="inlineStr">
        <is>
          <t>Stephen Doso</t>
        </is>
      </c>
      <c r="E1757" t="inlineStr">
        <is>
          <t>OdooBot</t>
        </is>
      </c>
      <c r="F1757" s="5" t="n">
        <v>46154.70721064815</v>
      </c>
      <c r="H1757" t="inlineStr">
        <is>
          <t>PCGH774 -Evaluation Deep-Dive Action Plans by Socfin Group</t>
        </is>
      </c>
      <c r="I1757" t="n">
        <v>2</v>
      </c>
      <c r="J1757" t="inlineStr">
        <is>
          <t>PCGH774 - Tier 2 (Socfinco FR SA)</t>
        </is>
      </c>
      <c r="K1757" t="inlineStr">
        <is>
          <t>Okomu - Report review</t>
        </is>
      </c>
      <c r="L1757" t="b">
        <v>1</v>
      </c>
      <c r="M1757" t="inlineStr">
        <is>
          <t>Billed at a Fixed price</t>
        </is>
      </c>
      <c r="N1757" s="6">
        <f>IF(B1757="","",IF(ISNUMBER(B1757),TEXT(B1757,"YYYY-MM"),LEFT(B1757,7)))</f>
        <v/>
      </c>
    </row>
    <row r="1758">
      <c r="A1758" t="inlineStr">
        <is>
          <t>Stephen Doso</t>
        </is>
      </c>
      <c r="B1758" s="4" t="n">
        <v>46091</v>
      </c>
      <c r="C1758" t="inlineStr">
        <is>
          <t>/</t>
        </is>
      </c>
      <c r="D1758" t="inlineStr">
        <is>
          <t>Stephen Doso</t>
        </is>
      </c>
      <c r="E1758" t="inlineStr">
        <is>
          <t>OdooBot</t>
        </is>
      </c>
      <c r="F1758" s="5" t="n">
        <v>46154.70721064815</v>
      </c>
      <c r="H1758" t="inlineStr">
        <is>
          <t>PCGH774 -Evaluation Deep-Dive Action Plans by Socfin Group</t>
        </is>
      </c>
      <c r="I1758" t="n">
        <v>4</v>
      </c>
      <c r="J1758" t="inlineStr">
        <is>
          <t>PCGH774 - Tier 3 (Socfinco FR SA)</t>
        </is>
      </c>
      <c r="K1758" t="inlineStr">
        <is>
          <t>Liberia - Report review</t>
        </is>
      </c>
      <c r="L1758" t="b">
        <v>1</v>
      </c>
      <c r="M1758" t="inlineStr">
        <is>
          <t>Billed at a Fixed price</t>
        </is>
      </c>
      <c r="N1758" s="6">
        <f>IF(B1758="","",IF(ISNUMBER(B1758),TEXT(B1758,"YYYY-MM"),LEFT(B1758,7)))</f>
        <v/>
      </c>
    </row>
    <row r="1759">
      <c r="A1759" t="inlineStr">
        <is>
          <t>Stephen Doso</t>
        </is>
      </c>
      <c r="B1759" s="4" t="n">
        <v>46091</v>
      </c>
      <c r="C1759" t="inlineStr">
        <is>
          <t>/</t>
        </is>
      </c>
      <c r="D1759" t="inlineStr">
        <is>
          <t>Stephen Doso</t>
        </is>
      </c>
      <c r="E1759" t="inlineStr">
        <is>
          <t>OdooBot</t>
        </is>
      </c>
      <c r="F1759" s="5" t="n">
        <v>46154.70721064815</v>
      </c>
      <c r="G1759" t="inlineStr">
        <is>
          <t>Field verification and reporting in Ivory Coast (3)</t>
        </is>
      </c>
      <c r="H1759" t="inlineStr">
        <is>
          <t>PCGH775 - ESDD of Valency Operations for FMO</t>
        </is>
      </c>
      <c r="I1759" t="n">
        <v>0</v>
      </c>
      <c r="J1759" t="inlineStr">
        <is>
          <t>PCGH775 - Field Verification (3) (Valency International DMCC)</t>
        </is>
      </c>
      <c r="K1759" t="inlineStr">
        <is>
          <t>Analysis and reporting in Ivory Coast</t>
        </is>
      </c>
      <c r="L1759" t="b">
        <v>1</v>
      </c>
      <c r="M1759" t="inlineStr">
        <is>
          <t>Billed at a Fixed price</t>
        </is>
      </c>
      <c r="N1759" s="6">
        <f>IF(B1759="","",IF(ISNUMBER(B1759),TEXT(B1759,"YYYY-MM"),LEFT(B1759,7)))</f>
        <v/>
      </c>
    </row>
    <row r="1760">
      <c r="A1760" t="inlineStr">
        <is>
          <t>Stephen Doso</t>
        </is>
      </c>
      <c r="B1760" s="4" t="n">
        <v>46091</v>
      </c>
      <c r="C1760" t="inlineStr">
        <is>
          <t>/</t>
        </is>
      </c>
      <c r="D1760" t="inlineStr">
        <is>
          <t>Stephen Doso</t>
        </is>
      </c>
      <c r="E1760" t="inlineStr">
        <is>
          <t>OdooBot</t>
        </is>
      </c>
      <c r="F1760" s="5" t="n">
        <v>46154.70721064815</v>
      </c>
      <c r="H1760" t="inlineStr">
        <is>
          <t>Non-Billable Tasks</t>
        </is>
      </c>
      <c r="I1760" t="n">
        <v>2</v>
      </c>
      <c r="K1760" t="inlineStr">
        <is>
          <t>Senior Management Activities</t>
        </is>
      </c>
      <c r="L1760" t="b">
        <v>0</v>
      </c>
      <c r="M1760" t="inlineStr">
        <is>
          <t>Non-Billable</t>
        </is>
      </c>
      <c r="N1760" s="6">
        <f>IF(B1760="","",IF(ISNUMBER(B1760),TEXT(B1760,"YYYY-MM"),LEFT(B1760,7)))</f>
        <v/>
      </c>
    </row>
    <row r="1761">
      <c r="A1761" t="inlineStr">
        <is>
          <t>Kwadwo Baniako Nti</t>
        </is>
      </c>
      <c r="B1761" s="4" t="n">
        <v>46091</v>
      </c>
      <c r="C1761" t="inlineStr">
        <is>
          <t>/</t>
        </is>
      </c>
      <c r="D1761" t="inlineStr">
        <is>
          <t>Kwadwo Baniako Nti</t>
        </is>
      </c>
      <c r="E1761" t="inlineStr">
        <is>
          <t>OdooBot</t>
        </is>
      </c>
      <c r="F1761" s="5" t="n">
        <v>46154.70721064815</v>
      </c>
      <c r="H1761" t="inlineStr">
        <is>
          <t>PCGH774 -Evaluation Deep-Dive Action Plans by Socfin Group</t>
        </is>
      </c>
      <c r="I1761" t="n">
        <v>8</v>
      </c>
      <c r="J1761" t="inlineStr">
        <is>
          <t>PCGH774 - Tier 3 (Socfinco FR SA)</t>
        </is>
      </c>
      <c r="K1761" t="inlineStr">
        <is>
          <t>SAC - Field verification/observation/community and stakeholder engagement</t>
        </is>
      </c>
      <c r="L1761" t="b">
        <v>1</v>
      </c>
      <c r="M1761" t="inlineStr">
        <is>
          <t>Billed at a Fixed price</t>
        </is>
      </c>
      <c r="N1761" s="6">
        <f>IF(B1761="","",IF(ISNUMBER(B1761),TEXT(B1761,"YYYY-MM"),LEFT(B1761,7)))</f>
        <v/>
      </c>
    </row>
    <row r="1762">
      <c r="A1762" t="inlineStr">
        <is>
          <t>Kingsley Fitz-Gerald Severine</t>
        </is>
      </c>
      <c r="B1762" s="4" t="n">
        <v>46091</v>
      </c>
      <c r="C1762" t="inlineStr">
        <is>
          <t>/</t>
        </is>
      </c>
      <c r="D1762" t="inlineStr">
        <is>
          <t>Kingsley Fitz-Gerald Severine</t>
        </is>
      </c>
      <c r="E1762" t="inlineStr">
        <is>
          <t>OdooBot</t>
        </is>
      </c>
      <c r="F1762" s="5" t="n">
        <v>46154.70721064815</v>
      </c>
      <c r="G1762" t="inlineStr">
        <is>
          <t>MONDONI: DESK-STUDY, GIS AND SURVEY TOOLS (3)</t>
        </is>
      </c>
      <c r="H1762" t="inlineStr">
        <is>
          <t>PCGH788 - CDC Boa &amp; Mondoni CV-HCS Scoping</t>
        </is>
      </c>
      <c r="I1762" t="n">
        <v>8</v>
      </c>
      <c r="J1762" t="inlineStr">
        <is>
          <t>PCGH788 - Desk Study (3) (CAMEROON DEVELOPMENT CORPORATION (CDC))</t>
        </is>
      </c>
      <c r="K1762" t="inlineStr">
        <is>
          <t>GIS and mapping/development of tools</t>
        </is>
      </c>
      <c r="L1762" t="b">
        <v>1</v>
      </c>
      <c r="M1762" t="inlineStr">
        <is>
          <t>Billed at a Fixed price</t>
        </is>
      </c>
      <c r="N1762" s="6">
        <f>IF(B1762="","",IF(ISNUMBER(B1762),TEXT(B1762,"YYYY-MM"),LEFT(B1762,7)))</f>
        <v/>
      </c>
    </row>
    <row r="1763">
      <c r="A1763" t="inlineStr">
        <is>
          <t>Kingsley Fitz-Gerald Severine</t>
        </is>
      </c>
      <c r="B1763" s="4" t="n">
        <v>46091</v>
      </c>
      <c r="C1763" t="inlineStr">
        <is>
          <t>/</t>
        </is>
      </c>
      <c r="D1763" t="inlineStr">
        <is>
          <t>Kingsley Fitz-Gerald Severine</t>
        </is>
      </c>
      <c r="E1763" t="inlineStr">
        <is>
          <t>OdooBot</t>
        </is>
      </c>
      <c r="F1763" s="5" t="n">
        <v>46154.70721064815</v>
      </c>
      <c r="H1763" t="inlineStr">
        <is>
          <t>PCGH788 - CDC Boa &amp; Mondoni CV-HCS Scoping</t>
        </is>
      </c>
      <c r="I1763" t="n">
        <v>0</v>
      </c>
      <c r="J1763" t="inlineStr">
        <is>
          <t>PCGH788 - Desk Study (3) (CAMEROON DEVELOPMENT CORPORATION (CDC))</t>
        </is>
      </c>
      <c r="K1763" t="inlineStr">
        <is>
          <t>BOA: DESK-STUDY, GIS AND SURVEY TOOLS (3)</t>
        </is>
      </c>
      <c r="L1763" t="b">
        <v>1</v>
      </c>
      <c r="M1763" t="inlineStr">
        <is>
          <t>Billed at a Fixed price</t>
        </is>
      </c>
      <c r="N1763" s="6">
        <f>IF(B1763="","",IF(ISNUMBER(B1763),TEXT(B1763,"YYYY-MM"),LEFT(B1763,7)))</f>
        <v/>
      </c>
    </row>
    <row r="1764">
      <c r="A1764" t="inlineStr">
        <is>
          <t>Helena Tetteh</t>
        </is>
      </c>
      <c r="B1764" s="4" t="n">
        <v>46091</v>
      </c>
      <c r="C1764" t="inlineStr">
        <is>
          <t>/</t>
        </is>
      </c>
      <c r="D1764" t="inlineStr">
        <is>
          <t xml:space="preserve">Helena Tetteh </t>
        </is>
      </c>
      <c r="E1764" t="inlineStr">
        <is>
          <t>OdooBot</t>
        </is>
      </c>
      <c r="F1764" s="5" t="n">
        <v>46154.70721064815</v>
      </c>
      <c r="H1764" t="inlineStr">
        <is>
          <t>PCGH762 - GVL HCSA Restoration Project</t>
        </is>
      </c>
      <c r="I1764" t="n">
        <v>8</v>
      </c>
      <c r="J1764" t="inlineStr">
        <is>
          <t>PCGH763 - Desk study (Due diligence) (Jopafram Nigeria Limited)</t>
        </is>
      </c>
      <c r="K1764" t="inlineStr">
        <is>
          <t>Fundraising and proposal development</t>
        </is>
      </c>
      <c r="L1764" t="b">
        <v>1</v>
      </c>
      <c r="M1764" t="inlineStr">
        <is>
          <t>Billed at a Fixed price</t>
        </is>
      </c>
      <c r="N1764" s="6">
        <f>IF(B1764="","",IF(ISNUMBER(B1764),TEXT(B1764,"YYYY-MM"),LEFT(B1764,7)))</f>
        <v/>
      </c>
    </row>
    <row r="1765">
      <c r="A1765" t="inlineStr">
        <is>
          <t>Ekow Nyamekye Tawiah</t>
        </is>
      </c>
      <c r="B1765" s="4" t="n">
        <v>46091</v>
      </c>
      <c r="C1765" t="inlineStr">
        <is>
          <t>/</t>
        </is>
      </c>
      <c r="D1765" t="inlineStr">
        <is>
          <t>Joseph Isaiah Mensah</t>
        </is>
      </c>
      <c r="E1765" t="inlineStr">
        <is>
          <t>OdooBot</t>
        </is>
      </c>
      <c r="F1765" s="5" t="n">
        <v>46154.70721064815</v>
      </c>
      <c r="H1765" t="inlineStr">
        <is>
          <t>PCGH722</t>
        </is>
      </c>
      <c r="I1765" t="n">
        <v>3</v>
      </c>
      <c r="J1765" t="inlineStr">
        <is>
          <t>PCGH722 - Analysis and Reporting (3) (Sucrivoire SA)</t>
        </is>
      </c>
      <c r="K1765" t="inlineStr">
        <is>
          <t>Analysis and Reporting (3)</t>
        </is>
      </c>
      <c r="L1765" t="b">
        <v>1</v>
      </c>
      <c r="M1765" t="inlineStr">
        <is>
          <t>Billed at a Fixed price</t>
        </is>
      </c>
      <c r="N1765" s="6">
        <f>IF(B1765="","",IF(ISNUMBER(B1765),TEXT(B1765,"YYYY-MM"),LEFT(B1765,7)))</f>
        <v/>
      </c>
    </row>
    <row r="1766">
      <c r="A1766" t="inlineStr">
        <is>
          <t>Ekow Nyamekye Tawiah</t>
        </is>
      </c>
      <c r="B1766" s="4" t="n">
        <v>46091</v>
      </c>
      <c r="C1766" t="inlineStr">
        <is>
          <t>GIS Monitoring</t>
        </is>
      </c>
      <c r="D1766" t="inlineStr">
        <is>
          <t>Joseph Isaiah Mensah</t>
        </is>
      </c>
      <c r="E1766" t="inlineStr">
        <is>
          <t>Michael Anim</t>
        </is>
      </c>
      <c r="F1766" s="5" t="n">
        <v>46163.53046296296</v>
      </c>
      <c r="H1766" t="inlineStr">
        <is>
          <t>PCGH779 - Cote d'Ivoire）</t>
        </is>
      </c>
      <c r="I1766" t="n">
        <v>1</v>
      </c>
      <c r="J1766" t="inlineStr">
        <is>
          <t>PCGH779 - Tree Planting Project (3) (Proforest Limited(PCUK GBP))</t>
        </is>
      </c>
      <c r="L1766" t="b">
        <v>1</v>
      </c>
      <c r="M1766" t="inlineStr">
        <is>
          <t>Billed at a Fixed price</t>
        </is>
      </c>
      <c r="N1766" s="6">
        <f>IF(B1766="","",IF(ISNUMBER(B1766),TEXT(B1766,"YYYY-MM"),LEFT(B1766,7)))</f>
        <v/>
      </c>
    </row>
    <row r="1767">
      <c r="A1767" t="inlineStr">
        <is>
          <t>Clement Obeng-Manu</t>
        </is>
      </c>
      <c r="B1767" s="4" t="n">
        <v>46091</v>
      </c>
      <c r="C1767" t="inlineStr">
        <is>
          <t>/</t>
        </is>
      </c>
      <c r="D1767" t="inlineStr">
        <is>
          <t>Ekow Nyamekye Tawiah</t>
        </is>
      </c>
      <c r="E1767" t="inlineStr">
        <is>
          <t>OdooBot</t>
        </is>
      </c>
      <c r="F1767" s="5" t="n">
        <v>46154.70721064815</v>
      </c>
      <c r="H1767" t="inlineStr">
        <is>
          <t>PCGH777</t>
        </is>
      </c>
      <c r="I1767" t="n">
        <v>8</v>
      </c>
      <c r="J1767" t="inlineStr">
        <is>
          <t>PCGH777 - Land Use Change Analysis (Proforest Limited(PCUK GBP))</t>
        </is>
      </c>
      <c r="K1767" t="inlineStr">
        <is>
          <t xml:space="preserve">Post fieldwork analysis </t>
        </is>
      </c>
      <c r="L1767" t="b">
        <v>1</v>
      </c>
      <c r="M1767" t="inlineStr">
        <is>
          <t>Billed at a Fixed price</t>
        </is>
      </c>
      <c r="N1767" s="6">
        <f>IF(B1767="","",IF(ISNUMBER(B1767),TEXT(B1767,"YYYY-MM"),LEFT(B1767,7)))</f>
        <v/>
      </c>
    </row>
    <row r="1768">
      <c r="A1768" t="inlineStr">
        <is>
          <t>Louis Defo</t>
        </is>
      </c>
      <c r="B1768" s="4" t="n">
        <v>46091</v>
      </c>
      <c r="C1768" t="inlineStr">
        <is>
          <t>/</t>
        </is>
      </c>
      <c r="D1768" t="inlineStr">
        <is>
          <t>Louis Defo</t>
        </is>
      </c>
      <c r="E1768" t="inlineStr">
        <is>
          <t>OdooBot</t>
        </is>
      </c>
      <c r="F1768" s="5" t="n">
        <v>46154.70721064815</v>
      </c>
      <c r="G1768" t="inlineStr">
        <is>
          <t>Output 2.2</t>
        </is>
      </c>
      <c r="H1768" t="inlineStr">
        <is>
          <t>P23AC00C00 - FGMC</t>
        </is>
      </c>
      <c r="I1768" t="n">
        <v>8</v>
      </c>
      <c r="K1768" t="inlineStr">
        <is>
          <t>P23AC42A00 - Accelerating Implementation.</t>
        </is>
      </c>
      <c r="L1768" t="b">
        <v>0</v>
      </c>
      <c r="M1768" t="inlineStr">
        <is>
          <t>Non-Billable</t>
        </is>
      </c>
      <c r="N1768" s="6">
        <f>IF(B1768="","",IF(ISNUMBER(B1768),TEXT(B1768,"YYYY-MM"),LEFT(B1768,7)))</f>
        <v/>
      </c>
    </row>
    <row r="1769">
      <c r="A1769" t="inlineStr">
        <is>
          <t>Joseph Isaiah Mensah</t>
        </is>
      </c>
      <c r="B1769" s="4" t="n">
        <v>46090</v>
      </c>
      <c r="C1769" t="inlineStr">
        <is>
          <t>M&amp;E Check-in</t>
        </is>
      </c>
      <c r="D1769" t="inlineStr">
        <is>
          <t>Jacqueline Nyakutse Afua</t>
        </is>
      </c>
      <c r="E1769" t="inlineStr">
        <is>
          <t>Joseph Isaiah Mensah</t>
        </is>
      </c>
      <c r="F1769" s="5" t="n">
        <v>46162.7022337963</v>
      </c>
      <c r="G1769" t="inlineStr">
        <is>
          <t>Programme Personnel and Management</t>
        </is>
      </c>
      <c r="H1769" t="inlineStr">
        <is>
          <t>P13QC00A00 - EFI Programme</t>
        </is>
      </c>
      <c r="I1769" t="n">
        <v>8</v>
      </c>
      <c r="K1769" t="inlineStr">
        <is>
          <t>Programme Personnel</t>
        </is>
      </c>
      <c r="L1769" t="b">
        <v>0</v>
      </c>
      <c r="M1769" t="inlineStr">
        <is>
          <t>Non-Billable</t>
        </is>
      </c>
      <c r="N1769" s="6">
        <f>IF(B1769="","",IF(ISNUMBER(B1769),TEXT(B1769,"YYYY-MM"),LEFT(B1769,7)))</f>
        <v/>
      </c>
    </row>
    <row r="1770">
      <c r="A1770" t="inlineStr">
        <is>
          <t>James Parker Mckeown</t>
        </is>
      </c>
      <c r="B1770" s="4" t="n">
        <v>46090</v>
      </c>
      <c r="C1770" t="inlineStr">
        <is>
          <t>Kick-off meeting FGMC baseline assessment</t>
        </is>
      </c>
      <c r="D1770" t="inlineStr">
        <is>
          <t>James Parker Mckeown</t>
        </is>
      </c>
      <c r="E1770" t="inlineStr">
        <is>
          <t>James Parker Mckeown</t>
        </is>
      </c>
      <c r="F1770" s="5" t="n">
        <v>46162.58706018519</v>
      </c>
      <c r="H1770" t="inlineStr">
        <is>
          <t>PCGH786 - Impact Level Baseline assessment for FGMC</t>
        </is>
      </c>
      <c r="I1770" t="n">
        <v>1</v>
      </c>
      <c r="J1770" t="inlineStr">
        <is>
          <t>PCGH786 - Reporting (3) (NIRAS Group (UK) Ltd)</t>
        </is>
      </c>
      <c r="L1770" t="b">
        <v>1</v>
      </c>
      <c r="M1770" t="inlineStr">
        <is>
          <t>Billed at a Fixed price</t>
        </is>
      </c>
      <c r="N1770" s="6">
        <f>IF(B1770="","",IF(ISNUMBER(B1770),TEXT(B1770,"YYYY-MM"),LEFT(B1770,7)))</f>
        <v/>
      </c>
    </row>
    <row r="1771">
      <c r="A1771" t="inlineStr">
        <is>
          <t>James Parker Mckeown</t>
        </is>
      </c>
      <c r="B1771" s="4" t="n">
        <v>46090</v>
      </c>
      <c r="C1771" t="inlineStr">
        <is>
          <t>/</t>
        </is>
      </c>
      <c r="D1771" t="inlineStr">
        <is>
          <t>James Parker Mckeown</t>
        </is>
      </c>
      <c r="E1771" t="inlineStr">
        <is>
          <t>James Parker Mckeown</t>
        </is>
      </c>
      <c r="F1771" s="5" t="n">
        <v>46162.57863425926</v>
      </c>
      <c r="G1771" t="inlineStr">
        <is>
          <t>Output 4</t>
        </is>
      </c>
      <c r="H1771" t="inlineStr">
        <is>
          <t>P23AC00C00 - FGMC</t>
        </is>
      </c>
      <c r="I1771" t="n">
        <v>2</v>
      </c>
      <c r="K1771" t="inlineStr">
        <is>
          <t>P23AC03A00 - Project Management</t>
        </is>
      </c>
      <c r="L1771" t="b">
        <v>0</v>
      </c>
      <c r="M1771" t="inlineStr">
        <is>
          <t>Non-Billable</t>
        </is>
      </c>
      <c r="N1771" s="6">
        <f>IF(B1771="","",IF(ISNUMBER(B1771),TEXT(B1771,"YYYY-MM"),LEFT(B1771,7)))</f>
        <v/>
      </c>
    </row>
    <row r="1772">
      <c r="A1772" t="inlineStr">
        <is>
          <t>James Parker Mckeown</t>
        </is>
      </c>
      <c r="B1772" s="4" t="n">
        <v>46090</v>
      </c>
      <c r="C1772" t="inlineStr">
        <is>
          <t xml:space="preserve">Meeting with Yuda on GVL reports
</t>
        </is>
      </c>
      <c r="D1772" t="inlineStr">
        <is>
          <t>James Parker Mckeown</t>
        </is>
      </c>
      <c r="E1772" t="inlineStr">
        <is>
          <t>James Parker Mckeown</t>
        </is>
      </c>
      <c r="F1772" s="5" t="n">
        <v>46162.571875</v>
      </c>
      <c r="H1772" t="inlineStr">
        <is>
          <t>PCGH762 - GVL HCSA Restoration Project</t>
        </is>
      </c>
      <c r="I1772" t="n">
        <v>1</v>
      </c>
      <c r="J1772" t="inlineStr">
        <is>
          <t>PCGH762 - Development and Implementation of MEL Framework (Golden Veroleum Liberia)</t>
        </is>
      </c>
      <c r="K1772" t="inlineStr">
        <is>
          <t>Development and Implementation of MEL Framework</t>
        </is>
      </c>
      <c r="L1772" t="b">
        <v>1</v>
      </c>
      <c r="M1772" t="inlineStr">
        <is>
          <t>Billed at a Fixed price</t>
        </is>
      </c>
      <c r="N1772" s="6">
        <f>IF(B1772="","",IF(ISNUMBER(B1772),TEXT(B1772,"YYYY-MM"),LEFT(B1772,7)))</f>
        <v/>
      </c>
    </row>
    <row r="1773">
      <c r="A1773" t="inlineStr">
        <is>
          <t>James Parker Mckeown</t>
        </is>
      </c>
      <c r="B1773" s="4" t="n">
        <v>46090</v>
      </c>
      <c r="C1773" t="inlineStr">
        <is>
          <t>FGMC II: Revising ToR for consultancy in Cameroon</t>
        </is>
      </c>
      <c r="D1773" t="inlineStr">
        <is>
          <t>James Parker Mckeown</t>
        </is>
      </c>
      <c r="E1773" t="inlineStr">
        <is>
          <t>James Parker Mckeown</t>
        </is>
      </c>
      <c r="F1773" s="5" t="n">
        <v>46162.56994212963</v>
      </c>
      <c r="G1773" t="inlineStr">
        <is>
          <t>Output 2.3</t>
        </is>
      </c>
      <c r="H1773" t="inlineStr">
        <is>
          <t>P23AC00C00 - FGMC</t>
        </is>
      </c>
      <c r="I1773" t="n">
        <v>3</v>
      </c>
      <c r="K1773" t="inlineStr">
        <is>
          <t>P23AC22A00 - Output Two (Elevating Local Solutions - West Africa)</t>
        </is>
      </c>
      <c r="L1773" t="b">
        <v>0</v>
      </c>
      <c r="M1773" t="inlineStr">
        <is>
          <t>Non-Billable</t>
        </is>
      </c>
      <c r="N1773" s="6">
        <f>IF(B1773="","",IF(ISNUMBER(B1773),TEXT(B1773,"YYYY-MM"),LEFT(B1773,7)))</f>
        <v/>
      </c>
    </row>
    <row r="1774">
      <c r="A1774" t="inlineStr">
        <is>
          <t>James Parker Mckeown</t>
        </is>
      </c>
      <c r="B1774" s="4" t="n">
        <v>46090</v>
      </c>
      <c r="C1774" t="inlineStr">
        <is>
          <t xml:space="preserve">Discussing plans for FCDO Assignments </t>
        </is>
      </c>
      <c r="D1774" t="inlineStr">
        <is>
          <t>James Parker Mckeown</t>
        </is>
      </c>
      <c r="E1774" t="inlineStr">
        <is>
          <t>James Parker Mckeown</t>
        </is>
      </c>
      <c r="F1774" s="5" t="n">
        <v>46162.56884259259</v>
      </c>
      <c r="H1774" t="inlineStr">
        <is>
          <t>PCGH786 - Impact Level Baseline assessment for FGMC</t>
        </is>
      </c>
      <c r="I1774" t="n">
        <v>1</v>
      </c>
      <c r="J1774" t="inlineStr">
        <is>
          <t>PCGH786 - Site Assessment (3) (NIRAS Group (UK) Ltd)</t>
        </is>
      </c>
      <c r="K1774" t="inlineStr">
        <is>
          <t>PCGH786 - Site Assessment (3)</t>
        </is>
      </c>
      <c r="L1774" t="b">
        <v>1</v>
      </c>
      <c r="M1774" t="inlineStr">
        <is>
          <t>Billed at a Fixed price</t>
        </is>
      </c>
      <c r="N1774" s="6">
        <f>IF(B1774="","",IF(ISNUMBER(B1774),TEXT(B1774,"YYYY-MM"),LEFT(B1774,7)))</f>
        <v/>
      </c>
    </row>
    <row r="1775">
      <c r="A1775" t="inlineStr">
        <is>
          <t>James Parker Mckeown</t>
        </is>
      </c>
      <c r="B1775" s="4" t="n">
        <v>46090</v>
      </c>
      <c r="C1775" t="inlineStr">
        <is>
          <t xml:space="preserve">Proforest's BRIDGE Programme discussions with Potential consultants in Liberia  </t>
        </is>
      </c>
      <c r="D1775" t="inlineStr">
        <is>
          <t>James Parker Mckeown</t>
        </is>
      </c>
      <c r="E1775" t="inlineStr">
        <is>
          <t>James Parker Mckeown</t>
        </is>
      </c>
      <c r="F1775" s="5" t="n">
        <v>46162.56719907407</v>
      </c>
      <c r="G1775" t="inlineStr">
        <is>
          <t>Output 2.3</t>
        </is>
      </c>
      <c r="H1775" t="inlineStr">
        <is>
          <t>P23AC00C00 - FGMC</t>
        </is>
      </c>
      <c r="I1775" t="n">
        <v>1</v>
      </c>
      <c r="K1775" t="inlineStr">
        <is>
          <t>P23AC22A00 - Output Two (Elevating Local Solutions - West Africa)</t>
        </is>
      </c>
      <c r="L1775" t="b">
        <v>0</v>
      </c>
      <c r="M1775" t="inlineStr">
        <is>
          <t>Non-Billable</t>
        </is>
      </c>
      <c r="N1775" s="6">
        <f>IF(B1775="","",IF(ISNUMBER(B1775),TEXT(B1775,"YYYY-MM"),LEFT(B1775,7)))</f>
        <v/>
      </c>
    </row>
    <row r="1776">
      <c r="A1776" t="inlineStr">
        <is>
          <t>Frederick Antwi</t>
        </is>
      </c>
      <c r="B1776" s="4" t="n">
        <v>46090</v>
      </c>
      <c r="C1776" t="inlineStr">
        <is>
          <t>/</t>
        </is>
      </c>
      <c r="D1776" t="inlineStr">
        <is>
          <t>Frederick Antwi</t>
        </is>
      </c>
      <c r="E1776" t="inlineStr">
        <is>
          <t>Frederick Antwi</t>
        </is>
      </c>
      <c r="F1776" s="5" t="n">
        <v>46160.6212037037</v>
      </c>
      <c r="H1776" t="inlineStr">
        <is>
          <t>P13PC00A00 - Private Sector Companies</t>
        </is>
      </c>
      <c r="I1776" t="n">
        <v>8</v>
      </c>
      <c r="L1776" t="b">
        <v>0</v>
      </c>
      <c r="M1776" t="inlineStr">
        <is>
          <t>Non-Billable</t>
        </is>
      </c>
      <c r="N1776" s="6">
        <f>IF(B1776="","",IF(ISNUMBER(B1776),TEXT(B1776,"YYYY-MM"),LEFT(B1776,7)))</f>
        <v/>
      </c>
    </row>
    <row r="1777">
      <c r="A1777" t="inlineStr">
        <is>
          <t>Augustus Asamoah</t>
        </is>
      </c>
      <c r="B1777" s="4" t="n">
        <v>46090</v>
      </c>
      <c r="C1777" t="inlineStr">
        <is>
          <t>Field Fauna Study</t>
        </is>
      </c>
      <c r="D1777" t="inlineStr">
        <is>
          <t>Augustus Asamoah</t>
        </is>
      </c>
      <c r="E1777" t="inlineStr">
        <is>
          <t>Augustus Asamoah</t>
        </is>
      </c>
      <c r="F1777" s="5" t="n">
        <v>46156.6509375</v>
      </c>
      <c r="H1777" t="inlineStr">
        <is>
          <t>PCGH784</t>
        </is>
      </c>
      <c r="I1777" t="n">
        <v>0</v>
      </c>
      <c r="J1777" t="inlineStr">
        <is>
          <t>PCGH784 - Desk Study (3) (Okeosisi Jonathan)</t>
        </is>
      </c>
      <c r="L1777" t="b">
        <v>1</v>
      </c>
      <c r="M1777" t="inlineStr">
        <is>
          <t>Billed at a Fixed price</t>
        </is>
      </c>
      <c r="N1777" s="6">
        <f>IF(B1777="","",IF(ISNUMBER(B1777),TEXT(B1777,"YYYY-MM"),LEFT(B1777,7)))</f>
        <v/>
      </c>
    </row>
    <row r="1778">
      <c r="A1778" t="inlineStr">
        <is>
          <t>Augustus Asamoah</t>
        </is>
      </c>
      <c r="B1778" s="4" t="n">
        <v>46090</v>
      </c>
      <c r="C1778" t="inlineStr">
        <is>
          <t>/</t>
        </is>
      </c>
      <c r="D1778" t="inlineStr">
        <is>
          <t>Augustus Asamoah</t>
        </is>
      </c>
      <c r="E1778" t="inlineStr">
        <is>
          <t>Augustus Asamoah</t>
        </is>
      </c>
      <c r="F1778" s="5" t="n">
        <v>46156.64983796296</v>
      </c>
      <c r="H1778" t="inlineStr">
        <is>
          <t>P13PC00A00 - Private Sector Companies</t>
        </is>
      </c>
      <c r="I1778" t="n">
        <v>0</v>
      </c>
      <c r="L1778" t="b">
        <v>0</v>
      </c>
      <c r="M1778" t="inlineStr">
        <is>
          <t>Non-Billable</t>
        </is>
      </c>
      <c r="N1778" s="6">
        <f>IF(B1778="","",IF(ISNUMBER(B1778),TEXT(B1778,"YYYY-MM"),LEFT(B1778,7)))</f>
        <v/>
      </c>
    </row>
    <row r="1779">
      <c r="A1779" t="inlineStr">
        <is>
          <t>Augustus Asamoah</t>
        </is>
      </c>
      <c r="B1779" s="4" t="n">
        <v>46090</v>
      </c>
      <c r="C1779" t="inlineStr">
        <is>
          <t>/</t>
        </is>
      </c>
      <c r="D1779" t="inlineStr">
        <is>
          <t>Augustus Asamoah</t>
        </is>
      </c>
      <c r="E1779" t="inlineStr">
        <is>
          <t>Augustus Asamoah</t>
        </is>
      </c>
      <c r="F1779" s="5" t="n">
        <v>46156.64982638889</v>
      </c>
      <c r="H1779" t="inlineStr">
        <is>
          <t>P13NC00A00 - WALMART II</t>
        </is>
      </c>
      <c r="I1779" t="n">
        <v>0</v>
      </c>
      <c r="L1779" t="b">
        <v>0</v>
      </c>
      <c r="M1779" t="inlineStr">
        <is>
          <t>Non-Billable</t>
        </is>
      </c>
      <c r="N1779" s="6">
        <f>IF(B1779="","",IF(ISNUMBER(B1779),TEXT(B1779,"YYYY-MM"),LEFT(B1779,7)))</f>
        <v/>
      </c>
    </row>
    <row r="1780">
      <c r="A1780" t="inlineStr">
        <is>
          <t>Augustus Asamoah</t>
        </is>
      </c>
      <c r="B1780" s="4" t="n">
        <v>46090</v>
      </c>
      <c r="C1780" t="inlineStr">
        <is>
          <t>EFI M&amp;E Framework</t>
        </is>
      </c>
      <c r="D1780" t="inlineStr">
        <is>
          <t>Augustus Asamoah</t>
        </is>
      </c>
      <c r="E1780" t="inlineStr">
        <is>
          <t>Augustus Asamoah</t>
        </is>
      </c>
      <c r="F1780" s="5" t="n">
        <v>46156.64989583333</v>
      </c>
      <c r="H1780" t="inlineStr">
        <is>
          <t>P13QC00A00 - EFI Programme</t>
        </is>
      </c>
      <c r="I1780" t="n">
        <v>0</v>
      </c>
      <c r="L1780" t="b">
        <v>0</v>
      </c>
      <c r="M1780" t="inlineStr">
        <is>
          <t>Non-Billable</t>
        </is>
      </c>
      <c r="N1780" s="6">
        <f>IF(B1780="","",IF(ISNUMBER(B1780),TEXT(B1780,"YYYY-MM"),LEFT(B1780,7)))</f>
        <v/>
      </c>
    </row>
    <row r="1781">
      <c r="A1781" t="inlineStr">
        <is>
          <t>Augustus Asamoah</t>
        </is>
      </c>
      <c r="B1781" s="4" t="n">
        <v>46090</v>
      </c>
      <c r="C1781" t="inlineStr">
        <is>
          <t>Field Fauna Study</t>
        </is>
      </c>
      <c r="D1781" t="inlineStr">
        <is>
          <t>Augustus Asamoah</t>
        </is>
      </c>
      <c r="E1781" t="inlineStr">
        <is>
          <t>Augustus Asamoah</t>
        </is>
      </c>
      <c r="F1781" s="5" t="n">
        <v>46156.64973379629</v>
      </c>
      <c r="H1781" t="inlineStr">
        <is>
          <t>PCGH784</t>
        </is>
      </c>
      <c r="I1781" t="n">
        <v>8</v>
      </c>
      <c r="J1781" t="inlineStr">
        <is>
          <t>PCGH784 - Desk Study (3) (Okeosisi Jonathan)</t>
        </is>
      </c>
      <c r="L1781" t="b">
        <v>1</v>
      </c>
      <c r="M1781" t="inlineStr">
        <is>
          <t>Billed at a Fixed price</t>
        </is>
      </c>
      <c r="N1781" s="6">
        <f>IF(B1781="","",IF(ISNUMBER(B1781),TEXT(B1781,"YYYY-MM"),LEFT(B1781,7)))</f>
        <v/>
      </c>
    </row>
    <row r="1782">
      <c r="A1782" t="inlineStr">
        <is>
          <t>Afua Serwah Akoto Prempeh</t>
        </is>
      </c>
      <c r="B1782" s="4" t="n">
        <v>46090</v>
      </c>
      <c r="C1782" t="inlineStr">
        <is>
          <t>/</t>
        </is>
      </c>
      <c r="D1782" t="inlineStr">
        <is>
          <t>Afua Serwah Akoto Prempeh</t>
        </is>
      </c>
      <c r="E1782" t="inlineStr">
        <is>
          <t>OdooBot</t>
        </is>
      </c>
      <c r="F1782" s="5" t="n">
        <v>46154.70721064815</v>
      </c>
      <c r="H1782" t="inlineStr">
        <is>
          <t>Non-Billable Tasks</t>
        </is>
      </c>
      <c r="I1782" t="n">
        <v>8</v>
      </c>
      <c r="K1782" t="inlineStr">
        <is>
          <t>Administrative Tasks</t>
        </is>
      </c>
      <c r="L1782" t="b">
        <v>0</v>
      </c>
      <c r="M1782" t="inlineStr">
        <is>
          <t>Non-Billable</t>
        </is>
      </c>
      <c r="N1782" s="6">
        <f>IF(B1782="","",IF(ISNUMBER(B1782),TEXT(B1782,"YYYY-MM"),LEFT(B1782,7)))</f>
        <v/>
      </c>
    </row>
    <row r="1783">
      <c r="A1783" t="inlineStr">
        <is>
          <t>Stephen Doso</t>
        </is>
      </c>
      <c r="B1783" s="4" t="n">
        <v>46090</v>
      </c>
      <c r="C1783" t="inlineStr">
        <is>
          <t>/</t>
        </is>
      </c>
      <c r="D1783" t="inlineStr">
        <is>
          <t>Stephen Doso</t>
        </is>
      </c>
      <c r="E1783" t="inlineStr">
        <is>
          <t>OdooBot</t>
        </is>
      </c>
      <c r="F1783" s="5" t="n">
        <v>46154.70721064815</v>
      </c>
      <c r="H1783" t="inlineStr">
        <is>
          <t>PCGH774 -Evaluation Deep-Dive Action Plans by Socfin Group</t>
        </is>
      </c>
      <c r="I1783" t="n">
        <v>4</v>
      </c>
      <c r="J1783" t="inlineStr">
        <is>
          <t>PCGH774 - Tier 2 (Socfinco FR SA)</t>
        </is>
      </c>
      <c r="K1783" t="inlineStr">
        <is>
          <t>SAC - Report review</t>
        </is>
      </c>
      <c r="L1783" t="b">
        <v>1</v>
      </c>
      <c r="M1783" t="inlineStr">
        <is>
          <t>Billed at a Fixed price</t>
        </is>
      </c>
      <c r="N1783" s="6">
        <f>IF(B1783="","",IF(ISNUMBER(B1783),TEXT(B1783,"YYYY-MM"),LEFT(B1783,7)))</f>
        <v/>
      </c>
    </row>
    <row r="1784">
      <c r="A1784" t="inlineStr">
        <is>
          <t>Stephen Doso</t>
        </is>
      </c>
      <c r="B1784" s="4" t="n">
        <v>46090</v>
      </c>
      <c r="C1784" t="inlineStr">
        <is>
          <t>/</t>
        </is>
      </c>
      <c r="D1784" t="inlineStr">
        <is>
          <t>Stephen Doso</t>
        </is>
      </c>
      <c r="E1784" t="inlineStr">
        <is>
          <t>OdooBot</t>
        </is>
      </c>
      <c r="F1784" s="5" t="n">
        <v>46154.70721064815</v>
      </c>
      <c r="G1784" t="inlineStr">
        <is>
          <t>Field verification and reporting in Nigeria  (2)</t>
        </is>
      </c>
      <c r="H1784" t="inlineStr">
        <is>
          <t>PCGH775 - ESDD of Valency Operations for FMO</t>
        </is>
      </c>
      <c r="I1784" t="n">
        <v>4</v>
      </c>
      <c r="J1784" t="inlineStr">
        <is>
          <t>PCGH775 - Field Verification (2) (Valency International DMCC)</t>
        </is>
      </c>
      <c r="K1784" t="inlineStr">
        <is>
          <t>Analysis and reporting in Nigeria</t>
        </is>
      </c>
      <c r="L1784" t="b">
        <v>1</v>
      </c>
      <c r="M1784" t="inlineStr">
        <is>
          <t>Billed at a Fixed price</t>
        </is>
      </c>
      <c r="N1784" s="6">
        <f>IF(B1784="","",IF(ISNUMBER(B1784),TEXT(B1784,"YYYY-MM"),LEFT(B1784,7)))</f>
        <v/>
      </c>
    </row>
    <row r="1785">
      <c r="A1785" t="inlineStr">
        <is>
          <t>Kwadwo Baniako Nti</t>
        </is>
      </c>
      <c r="B1785" s="4" t="n">
        <v>46090</v>
      </c>
      <c r="C1785" t="inlineStr">
        <is>
          <t>/</t>
        </is>
      </c>
      <c r="D1785" t="inlineStr">
        <is>
          <t>Kwadwo Baniako Nti</t>
        </is>
      </c>
      <c r="E1785" t="inlineStr">
        <is>
          <t>OdooBot</t>
        </is>
      </c>
      <c r="F1785" s="5" t="n">
        <v>46154.70721064815</v>
      </c>
      <c r="H1785" t="inlineStr">
        <is>
          <t>PCGH774 -Evaluation Deep-Dive Action Plans by Socfin Group</t>
        </is>
      </c>
      <c r="I1785" t="n">
        <v>8</v>
      </c>
      <c r="J1785" t="inlineStr">
        <is>
          <t>PCGH774 - Tier 3 (Socfinco FR SA)</t>
        </is>
      </c>
      <c r="K1785" t="inlineStr">
        <is>
          <t>SAC - Field verification/observation/community and stakeholder engagement</t>
        </is>
      </c>
      <c r="L1785" t="b">
        <v>1</v>
      </c>
      <c r="M1785" t="inlineStr">
        <is>
          <t>Billed at a Fixed price</t>
        </is>
      </c>
      <c r="N1785" s="6">
        <f>IF(B1785="","",IF(ISNUMBER(B1785),TEXT(B1785,"YYYY-MM"),LEFT(B1785,7)))</f>
        <v/>
      </c>
    </row>
    <row r="1786">
      <c r="A1786" t="inlineStr">
        <is>
          <t>Kingsley Fitz-Gerald Severine</t>
        </is>
      </c>
      <c r="B1786" s="4" t="n">
        <v>46090</v>
      </c>
      <c r="C1786" t="inlineStr">
        <is>
          <t>/</t>
        </is>
      </c>
      <c r="D1786" t="inlineStr">
        <is>
          <t>Kingsley Fitz-Gerald Severine</t>
        </is>
      </c>
      <c r="E1786" t="inlineStr">
        <is>
          <t>OdooBot</t>
        </is>
      </c>
      <c r="F1786" s="5" t="n">
        <v>46154.70721064815</v>
      </c>
      <c r="G1786" t="inlineStr">
        <is>
          <t>MONDONI: DESK-STUDY, GIS AND SURVEY TOOLS (3)</t>
        </is>
      </c>
      <c r="H1786" t="inlineStr">
        <is>
          <t>PCGH788 - CDC Boa &amp; Mondoni CV-HCS Scoping</t>
        </is>
      </c>
      <c r="I1786" t="n">
        <v>8</v>
      </c>
      <c r="J1786" t="inlineStr">
        <is>
          <t>PCGH788 - Desk Study (3) (CAMEROON DEVELOPMENT CORPORATION (CDC))</t>
        </is>
      </c>
      <c r="K1786" t="inlineStr">
        <is>
          <t>Due Diligence</t>
        </is>
      </c>
      <c r="L1786" t="b">
        <v>1</v>
      </c>
      <c r="M1786" t="inlineStr">
        <is>
          <t>Billed at a Fixed price</t>
        </is>
      </c>
      <c r="N1786" s="6">
        <f>IF(B1786="","",IF(ISNUMBER(B1786),TEXT(B1786,"YYYY-MM"),LEFT(B1786,7)))</f>
        <v/>
      </c>
    </row>
    <row r="1787">
      <c r="A1787" t="inlineStr">
        <is>
          <t>Kingsley Fitz-Gerald Severine</t>
        </is>
      </c>
      <c r="B1787" s="4" t="n">
        <v>46090</v>
      </c>
      <c r="C1787" t="inlineStr">
        <is>
          <t>/</t>
        </is>
      </c>
      <c r="D1787" t="inlineStr">
        <is>
          <t>Kingsley Fitz-Gerald Severine</t>
        </is>
      </c>
      <c r="E1787" t="inlineStr">
        <is>
          <t>OdooBot</t>
        </is>
      </c>
      <c r="F1787" s="5" t="n">
        <v>46154.70721064815</v>
      </c>
      <c r="H1787" t="inlineStr">
        <is>
          <t>PCGH788 - CDC Boa &amp; Mondoni CV-HCS Scoping</t>
        </is>
      </c>
      <c r="I1787" t="n">
        <v>0</v>
      </c>
      <c r="J1787" t="inlineStr">
        <is>
          <t>PCGH788 - Desk Study (3) (CAMEROON DEVELOPMENT CORPORATION (CDC))</t>
        </is>
      </c>
      <c r="K1787" t="inlineStr">
        <is>
          <t>BOA: DESK-STUDY, GIS AND SURVEY TOOLS (3)</t>
        </is>
      </c>
      <c r="L1787" t="b">
        <v>1</v>
      </c>
      <c r="M1787" t="inlineStr">
        <is>
          <t>Billed at a Fixed price</t>
        </is>
      </c>
      <c r="N1787" s="6">
        <f>IF(B1787="","",IF(ISNUMBER(B1787),TEXT(B1787,"YYYY-MM"),LEFT(B1787,7)))</f>
        <v/>
      </c>
    </row>
    <row r="1788">
      <c r="A1788" t="inlineStr">
        <is>
          <t>Helena Tetteh</t>
        </is>
      </c>
      <c r="B1788" s="4" t="n">
        <v>46090</v>
      </c>
      <c r="C1788" t="inlineStr">
        <is>
          <t>/</t>
        </is>
      </c>
      <c r="D1788" t="inlineStr">
        <is>
          <t xml:space="preserve">Helena Tetteh </t>
        </is>
      </c>
      <c r="E1788" t="inlineStr">
        <is>
          <t>OdooBot</t>
        </is>
      </c>
      <c r="F1788" s="5" t="n">
        <v>46154.70721064815</v>
      </c>
      <c r="H1788" t="inlineStr">
        <is>
          <t>P23AC00C00 - FGMC</t>
        </is>
      </c>
      <c r="I1788" t="n">
        <v>-8</v>
      </c>
      <c r="K1788" t="inlineStr">
        <is>
          <t>Output 2.3</t>
        </is>
      </c>
      <c r="L1788" t="b">
        <v>0</v>
      </c>
      <c r="M1788" t="inlineStr">
        <is>
          <t>Non-Billable</t>
        </is>
      </c>
      <c r="N1788" s="6">
        <f>IF(B1788="","",IF(ISNUMBER(B1788),TEXT(B1788,"YYYY-MM"),LEFT(B1788,7)))</f>
        <v/>
      </c>
    </row>
    <row r="1789">
      <c r="A1789" t="inlineStr">
        <is>
          <t>Helena Tetteh</t>
        </is>
      </c>
      <c r="B1789" s="4" t="n">
        <v>46090</v>
      </c>
      <c r="C1789" t="inlineStr">
        <is>
          <t>Proforest's BRIDGE Programme discussions with Potential consultants in Liberia, next steps, programme overview to TC and mapping review</t>
        </is>
      </c>
      <c r="D1789" t="inlineStr">
        <is>
          <t xml:space="preserve">Helena Tetteh </t>
        </is>
      </c>
      <c r="E1789" t="inlineStr">
        <is>
          <t>OdooBot</t>
        </is>
      </c>
      <c r="F1789" s="5" t="n">
        <v>46154.70721064815</v>
      </c>
      <c r="H1789" t="inlineStr">
        <is>
          <t>P23AC00C00 - FGMC</t>
        </is>
      </c>
      <c r="I1789" t="n">
        <v>8</v>
      </c>
      <c r="K1789" t="inlineStr">
        <is>
          <t>Output 2.3</t>
        </is>
      </c>
      <c r="L1789" t="b">
        <v>0</v>
      </c>
      <c r="M1789" t="inlineStr">
        <is>
          <t>Non-Billable</t>
        </is>
      </c>
      <c r="N1789" s="6">
        <f>IF(B1789="","",IF(ISNUMBER(B1789),TEXT(B1789,"YYYY-MM"),LEFT(B1789,7)))</f>
        <v/>
      </c>
    </row>
    <row r="1790">
      <c r="A1790" t="inlineStr">
        <is>
          <t>Helena Tetteh</t>
        </is>
      </c>
      <c r="B1790" s="4" t="n">
        <v>46090</v>
      </c>
      <c r="C1790" t="inlineStr">
        <is>
          <t>EU CSO Support CFP Check-in, proposal development</t>
        </is>
      </c>
      <c r="D1790" t="inlineStr">
        <is>
          <t xml:space="preserve">Helena Tetteh </t>
        </is>
      </c>
      <c r="E1790" t="inlineStr">
        <is>
          <t>OdooBot</t>
        </is>
      </c>
      <c r="F1790" s="5" t="n">
        <v>46154.70721064815</v>
      </c>
      <c r="H1790" t="inlineStr">
        <is>
          <t>PCGH762 - GVL HCSA Restoration Project</t>
        </is>
      </c>
      <c r="I1790" t="n">
        <v>0</v>
      </c>
      <c r="J1790" t="inlineStr">
        <is>
          <t>PCGH763 - Desk study (Due diligence) (Jopafram Nigeria Limited)</t>
        </is>
      </c>
      <c r="K1790" t="inlineStr">
        <is>
          <t>Fundraising and proposal development</t>
        </is>
      </c>
      <c r="L1790" t="b">
        <v>1</v>
      </c>
      <c r="M1790" t="inlineStr">
        <is>
          <t>Billed at a Fixed price</t>
        </is>
      </c>
      <c r="N1790" s="6">
        <f>IF(B1790="","",IF(ISNUMBER(B1790),TEXT(B1790,"YYYY-MM"),LEFT(B1790,7)))</f>
        <v/>
      </c>
    </row>
    <row r="1791">
      <c r="A1791" t="inlineStr">
        <is>
          <t>Helena Tetteh</t>
        </is>
      </c>
      <c r="B1791" s="4" t="n">
        <v>46090</v>
      </c>
      <c r="C1791" t="inlineStr">
        <is>
          <t>Draft ToR of the consultant for mapping and assessment of initiatives in Cameroon, Discussions on ToR_PF/TC, PFAFR BRIDGE: Weekly Catch-up, PFAFR BRIDGE Monthly Catch-Up</t>
        </is>
      </c>
      <c r="D1791" t="inlineStr">
        <is>
          <t xml:space="preserve">Helena Tetteh </t>
        </is>
      </c>
      <c r="E1791" t="inlineStr">
        <is>
          <t>OdooBot</t>
        </is>
      </c>
      <c r="F1791" s="5" t="n">
        <v>46154.70721064815</v>
      </c>
      <c r="H1791" t="inlineStr">
        <is>
          <t>P23AC00C00 - FGMC</t>
        </is>
      </c>
      <c r="I1791" t="n">
        <v>8</v>
      </c>
      <c r="K1791" t="inlineStr">
        <is>
          <t>Output 2.3</t>
        </is>
      </c>
      <c r="L1791" t="b">
        <v>0</v>
      </c>
      <c r="M1791" t="inlineStr">
        <is>
          <t>Non-Billable</t>
        </is>
      </c>
      <c r="N1791" s="6">
        <f>IF(B1791="","",IF(ISNUMBER(B1791),TEXT(B1791,"YYYY-MM"),LEFT(B1791,7)))</f>
        <v/>
      </c>
    </row>
    <row r="1792">
      <c r="A1792" t="inlineStr">
        <is>
          <t>Ekow Nyamekye Tawiah</t>
        </is>
      </c>
      <c r="B1792" s="4" t="n">
        <v>46090</v>
      </c>
      <c r="C1792" t="inlineStr">
        <is>
          <t>Borotou Koro Final Reporting</t>
        </is>
      </c>
      <c r="D1792" t="inlineStr">
        <is>
          <t>Joseph Isaiah Mensah</t>
        </is>
      </c>
      <c r="E1792" t="inlineStr">
        <is>
          <t>OdooBot</t>
        </is>
      </c>
      <c r="F1792" s="5" t="n">
        <v>46154.70721064815</v>
      </c>
      <c r="H1792" t="inlineStr">
        <is>
          <t>PCGH722</t>
        </is>
      </c>
      <c r="I1792" t="n">
        <v>4</v>
      </c>
      <c r="J1792" t="inlineStr">
        <is>
          <t>PCGH722 - Analysis and Reporting (3) (Sucrivoire SA)</t>
        </is>
      </c>
      <c r="K1792" t="inlineStr">
        <is>
          <t>Analysis and Reporting (3)</t>
        </is>
      </c>
      <c r="L1792" t="b">
        <v>1</v>
      </c>
      <c r="M1792" t="inlineStr">
        <is>
          <t>Billed at a Fixed price</t>
        </is>
      </c>
      <c r="N1792" s="6">
        <f>IF(B1792="","",IF(ISNUMBER(B1792),TEXT(B1792,"YYYY-MM"),LEFT(B1792,7)))</f>
        <v/>
      </c>
    </row>
    <row r="1793">
      <c r="A1793" t="inlineStr">
        <is>
          <t>Clement Obeng-Manu</t>
        </is>
      </c>
      <c r="B1793" s="4" t="n">
        <v>46090</v>
      </c>
      <c r="C1793" t="inlineStr">
        <is>
          <t>/</t>
        </is>
      </c>
      <c r="D1793" t="inlineStr">
        <is>
          <t>Ekow Nyamekye Tawiah</t>
        </is>
      </c>
      <c r="E1793" t="inlineStr">
        <is>
          <t>OdooBot</t>
        </is>
      </c>
      <c r="F1793" s="5" t="n">
        <v>46154.70721064815</v>
      </c>
      <c r="G1793" t="inlineStr">
        <is>
          <t>Fieldwork – stakeholder engagement</t>
        </is>
      </c>
      <c r="H1793" t="inlineStr">
        <is>
          <t>PCGH777</t>
        </is>
      </c>
      <c r="I1793" t="n">
        <v>8</v>
      </c>
      <c r="J1793" t="inlineStr">
        <is>
          <t>PCGH777 - Field work  (3) (Proforest Limited(PCUK GBP))</t>
        </is>
      </c>
      <c r="K1793" t="inlineStr">
        <is>
          <t>Fieldwork – stakeholder engagement</t>
        </is>
      </c>
      <c r="L1793" t="b">
        <v>1</v>
      </c>
      <c r="M1793" t="inlineStr">
        <is>
          <t>Billed at a Fixed price</t>
        </is>
      </c>
      <c r="N1793" s="6">
        <f>IF(B1793="","",IF(ISNUMBER(B1793),TEXT(B1793,"YYYY-MM"),LEFT(B1793,7)))</f>
        <v/>
      </c>
    </row>
    <row r="1794">
      <c r="A1794" t="inlineStr">
        <is>
          <t>Clement Obeng-Manu</t>
        </is>
      </c>
      <c r="B1794" s="4" t="n">
        <v>46090</v>
      </c>
      <c r="C1794" t="inlineStr">
        <is>
          <t>/</t>
        </is>
      </c>
      <c r="D1794" t="inlineStr">
        <is>
          <t>Ekow Nyamekye Tawiah</t>
        </is>
      </c>
      <c r="E1794" t="inlineStr">
        <is>
          <t>OdooBot</t>
        </is>
      </c>
      <c r="F1794" s="5" t="n">
        <v>46154.70721064815</v>
      </c>
      <c r="H1794" t="inlineStr">
        <is>
          <t>PCGH777</t>
        </is>
      </c>
      <c r="I1794" t="n">
        <v>-8</v>
      </c>
      <c r="J1794" t="inlineStr">
        <is>
          <t>PCGH750 - Data Analysis (Proforest Limited(PCUK GBP))</t>
        </is>
      </c>
      <c r="L1794" t="b">
        <v>1</v>
      </c>
      <c r="M1794" t="inlineStr">
        <is>
          <t>Billed at a Fixed price</t>
        </is>
      </c>
      <c r="N1794" s="6">
        <f>IF(B1794="","",IF(ISNUMBER(B1794),TEXT(B1794,"YYYY-MM"),LEFT(B1794,7)))</f>
        <v/>
      </c>
    </row>
    <row r="1795">
      <c r="A1795" t="inlineStr">
        <is>
          <t>Clement Obeng-Manu</t>
        </is>
      </c>
      <c r="B1795" s="4" t="n">
        <v>46090</v>
      </c>
      <c r="C1795" t="inlineStr">
        <is>
          <t>/</t>
        </is>
      </c>
      <c r="D1795" t="inlineStr">
        <is>
          <t>Ekow Nyamekye Tawiah</t>
        </is>
      </c>
      <c r="E1795" t="inlineStr">
        <is>
          <t>OdooBot</t>
        </is>
      </c>
      <c r="F1795" s="5" t="n">
        <v>46154.70721064815</v>
      </c>
      <c r="H1795" t="inlineStr">
        <is>
          <t>PCGH777</t>
        </is>
      </c>
      <c r="I1795" t="n">
        <v>0</v>
      </c>
      <c r="J1795" t="inlineStr">
        <is>
          <t>PCGH777 - Land Use Change Analysis (Proforest Limited(PCUK GBP))</t>
        </is>
      </c>
      <c r="K1795" t="inlineStr">
        <is>
          <t xml:space="preserve">Post fieldwork analysis </t>
        </is>
      </c>
      <c r="L1795" t="b">
        <v>1</v>
      </c>
      <c r="M1795" t="inlineStr">
        <is>
          <t>Billed at a Fixed price</t>
        </is>
      </c>
      <c r="N1795" s="6">
        <f>IF(B1795="","",IF(ISNUMBER(B1795),TEXT(B1795,"YYYY-MM"),LEFT(B1795,7)))</f>
        <v/>
      </c>
    </row>
    <row r="1796">
      <c r="A1796" t="inlineStr">
        <is>
          <t>Clement Obeng-Manu</t>
        </is>
      </c>
      <c r="B1796" s="4" t="n">
        <v>46090</v>
      </c>
      <c r="C1796" t="inlineStr">
        <is>
          <t>/</t>
        </is>
      </c>
      <c r="D1796" t="inlineStr">
        <is>
          <t>Ekow Nyamekye Tawiah</t>
        </is>
      </c>
      <c r="E1796" t="inlineStr">
        <is>
          <t>OdooBot</t>
        </is>
      </c>
      <c r="F1796" s="5" t="n">
        <v>46154.70721064815</v>
      </c>
      <c r="H1796" t="inlineStr">
        <is>
          <t>PCGH777</t>
        </is>
      </c>
      <c r="I1796" t="n">
        <v>0</v>
      </c>
      <c r="J1796" t="inlineStr">
        <is>
          <t>PCGH750 - Data Analysis (Proforest Limited(PCUK GBP))</t>
        </is>
      </c>
      <c r="L1796" t="b">
        <v>1</v>
      </c>
      <c r="M1796" t="inlineStr">
        <is>
          <t>Billed at a Fixed price</t>
        </is>
      </c>
      <c r="N1796" s="6">
        <f>IF(B1796="","",IF(ISNUMBER(B1796),TEXT(B1796,"YYYY-MM"),LEFT(B1796,7)))</f>
        <v/>
      </c>
    </row>
    <row r="1797">
      <c r="A1797" t="inlineStr">
        <is>
          <t>Clement Obeng-Manu</t>
        </is>
      </c>
      <c r="B1797" s="4" t="n">
        <v>46090</v>
      </c>
      <c r="C1797" t="inlineStr">
        <is>
          <t>/</t>
        </is>
      </c>
      <c r="D1797" t="inlineStr">
        <is>
          <t>Ekow Nyamekye Tawiah</t>
        </is>
      </c>
      <c r="E1797" t="inlineStr">
        <is>
          <t>OdooBot</t>
        </is>
      </c>
      <c r="F1797" s="5" t="n">
        <v>46154.70721064815</v>
      </c>
      <c r="H1797" t="inlineStr">
        <is>
          <t>PCGH777</t>
        </is>
      </c>
      <c r="I1797" t="n">
        <v>8</v>
      </c>
      <c r="J1797" t="inlineStr">
        <is>
          <t>PCGH750 - Data Analysis (Proforest Limited(PCUK GBP))</t>
        </is>
      </c>
      <c r="L1797" t="b">
        <v>1</v>
      </c>
      <c r="M1797" t="inlineStr">
        <is>
          <t>Billed at a Fixed price</t>
        </is>
      </c>
      <c r="N1797" s="6">
        <f>IF(B1797="","",IF(ISNUMBER(B1797),TEXT(B1797,"YYYY-MM"),LEFT(B1797,7)))</f>
        <v/>
      </c>
    </row>
    <row r="1798">
      <c r="A1798" t="inlineStr">
        <is>
          <t>Clement Obeng-Manu</t>
        </is>
      </c>
      <c r="B1798" s="4" t="n">
        <v>46090</v>
      </c>
      <c r="C1798" t="inlineStr">
        <is>
          <t>/</t>
        </is>
      </c>
      <c r="D1798" t="inlineStr">
        <is>
          <t>Ekow Nyamekye Tawiah</t>
        </is>
      </c>
      <c r="E1798" t="inlineStr">
        <is>
          <t>OdooBot</t>
        </is>
      </c>
      <c r="F1798" s="5" t="n">
        <v>46154.70721064815</v>
      </c>
      <c r="H1798" t="inlineStr">
        <is>
          <t>PCGH777</t>
        </is>
      </c>
      <c r="I1798" t="n">
        <v>0</v>
      </c>
      <c r="J1798" t="inlineStr">
        <is>
          <t>PCGH750 - Field work (Proforest Limited(PCUK GBP))</t>
        </is>
      </c>
      <c r="L1798" t="b">
        <v>1</v>
      </c>
      <c r="M1798" t="inlineStr">
        <is>
          <t>Billed at a Fixed price</t>
        </is>
      </c>
      <c r="N1798" s="6">
        <f>IF(B1798="","",IF(ISNUMBER(B1798),TEXT(B1798,"YYYY-MM"),LEFT(B1798,7)))</f>
        <v/>
      </c>
    </row>
    <row r="1799">
      <c r="A1799" t="inlineStr">
        <is>
          <t>Louis Defo</t>
        </is>
      </c>
      <c r="B1799" s="4" t="n">
        <v>46090</v>
      </c>
      <c r="C1799" t="inlineStr">
        <is>
          <t>/</t>
        </is>
      </c>
      <c r="D1799" t="inlineStr">
        <is>
          <t>Louis Defo</t>
        </is>
      </c>
      <c r="E1799" t="inlineStr">
        <is>
          <t>OdooBot</t>
        </is>
      </c>
      <c r="F1799" s="5" t="n">
        <v>46154.70721064815</v>
      </c>
      <c r="G1799" t="inlineStr">
        <is>
          <t>Output 2.2</t>
        </is>
      </c>
      <c r="H1799" t="inlineStr">
        <is>
          <t>P23AC00C00 - FGMC</t>
        </is>
      </c>
      <c r="I1799" t="n">
        <v>8</v>
      </c>
      <c r="K1799" t="inlineStr">
        <is>
          <t>P23AC42A00 - Accelerating Implementation.</t>
        </is>
      </c>
      <c r="L1799" t="b">
        <v>0</v>
      </c>
      <c r="M1799" t="inlineStr">
        <is>
          <t>Non-Billable</t>
        </is>
      </c>
      <c r="N1799" s="6">
        <f>IF(B1799="","",IF(ISNUMBER(B1799),TEXT(B1799,"YYYY-MM"),LEFT(B1799,7)))</f>
        <v/>
      </c>
    </row>
    <row r="1800">
      <c r="A1800" t="inlineStr">
        <is>
          <t>Augustus Asamoah</t>
        </is>
      </c>
      <c r="B1800" s="4" t="n">
        <v>46089</v>
      </c>
      <c r="C1800" t="inlineStr">
        <is>
          <t>/</t>
        </is>
      </c>
      <c r="D1800" t="inlineStr">
        <is>
          <t>Augustus Asamoah</t>
        </is>
      </c>
      <c r="E1800" t="inlineStr">
        <is>
          <t>Augustus Asamoah</t>
        </is>
      </c>
      <c r="F1800" s="5" t="n">
        <v>46156.64862268518</v>
      </c>
      <c r="H1800" t="inlineStr">
        <is>
          <t>PCGH784</t>
        </is>
      </c>
      <c r="I1800" t="n">
        <v>0</v>
      </c>
      <c r="J1800" t="inlineStr">
        <is>
          <t>PCGH784 - Desk Study (3) (Okeosisi Jonathan)</t>
        </is>
      </c>
      <c r="L1800" t="b">
        <v>1</v>
      </c>
      <c r="M1800" t="inlineStr">
        <is>
          <t>Billed at a Fixed price</t>
        </is>
      </c>
      <c r="N1800" s="6">
        <f>IF(B1800="","",IF(ISNUMBER(B1800),TEXT(B1800,"YYYY-MM"),LEFT(B1800,7)))</f>
        <v/>
      </c>
    </row>
    <row r="1801">
      <c r="A1801" t="inlineStr">
        <is>
          <t>Joseph Isaiah Mensah</t>
        </is>
      </c>
      <c r="B1801" s="4" t="n">
        <v>46087</v>
      </c>
      <c r="C1801" t="inlineStr">
        <is>
          <t>/</t>
        </is>
      </c>
      <c r="D1801" t="inlineStr">
        <is>
          <t>Jacqueline Nyakutse Afua</t>
        </is>
      </c>
      <c r="E1801" t="inlineStr">
        <is>
          <t>Joseph Isaiah Mensah</t>
        </is>
      </c>
      <c r="F1801" s="5" t="n">
        <v>46162.68083333333</v>
      </c>
      <c r="H1801" t="inlineStr">
        <is>
          <t>Non-Billable Tasks</t>
        </is>
      </c>
      <c r="I1801" t="n">
        <v>8</v>
      </c>
      <c r="K1801" t="inlineStr">
        <is>
          <t>Public Holiday</t>
        </is>
      </c>
      <c r="L1801" t="b">
        <v>0</v>
      </c>
      <c r="M1801" t="inlineStr">
        <is>
          <t>Non-Billable</t>
        </is>
      </c>
      <c r="N1801" s="6">
        <f>IF(B1801="","",IF(ISNUMBER(B1801),TEXT(B1801,"YYYY-MM"),LEFT(B1801,7)))</f>
        <v/>
      </c>
    </row>
    <row r="1802">
      <c r="A1802" t="inlineStr">
        <is>
          <t>Patricia Offei</t>
        </is>
      </c>
      <c r="B1802" s="4" t="n">
        <v>46087</v>
      </c>
      <c r="C1802" t="inlineStr">
        <is>
          <t>/</t>
        </is>
      </c>
      <c r="D1802" t="inlineStr">
        <is>
          <t>Patricia Offei</t>
        </is>
      </c>
      <c r="E1802" t="inlineStr">
        <is>
          <t>Patricia Offei</t>
        </is>
      </c>
      <c r="F1802" s="5" t="n">
        <v>46162.60875</v>
      </c>
      <c r="H1802" t="inlineStr">
        <is>
          <t>Non-Billable Tasks</t>
        </is>
      </c>
      <c r="I1802" t="n">
        <v>8</v>
      </c>
      <c r="K1802" t="inlineStr">
        <is>
          <t>Public Holiday</t>
        </is>
      </c>
      <c r="L1802" t="b">
        <v>0</v>
      </c>
      <c r="M1802" t="inlineStr">
        <is>
          <t>Non-Billable</t>
        </is>
      </c>
      <c r="N1802" s="6">
        <f>IF(B1802="","",IF(ISNUMBER(B1802),TEXT(B1802,"YYYY-MM"),LEFT(B1802,7)))</f>
        <v/>
      </c>
    </row>
    <row r="1803">
      <c r="A1803" t="inlineStr">
        <is>
          <t>James Parker Mckeown</t>
        </is>
      </c>
      <c r="B1803" s="4" t="n">
        <v>46087</v>
      </c>
      <c r="C1803" t="inlineStr">
        <is>
          <t xml:space="preserve">Independent day </t>
        </is>
      </c>
      <c r="D1803" t="inlineStr">
        <is>
          <t>James Parker Mckeown</t>
        </is>
      </c>
      <c r="E1803" t="inlineStr">
        <is>
          <t>James Parker Mckeown</t>
        </is>
      </c>
      <c r="F1803" s="5" t="n">
        <v>46162.56138888889</v>
      </c>
      <c r="H1803" t="inlineStr">
        <is>
          <t>Non-Billable Tasks</t>
        </is>
      </c>
      <c r="I1803" t="n">
        <v>8</v>
      </c>
      <c r="K1803" t="inlineStr">
        <is>
          <t>Public Holiday</t>
        </is>
      </c>
      <c r="L1803" t="b">
        <v>0</v>
      </c>
      <c r="M1803" t="inlineStr">
        <is>
          <t>Non-Billable</t>
        </is>
      </c>
      <c r="N1803" s="6">
        <f>IF(B1803="","",IF(ISNUMBER(B1803),TEXT(B1803,"YYYY-MM"),LEFT(B1803,7)))</f>
        <v/>
      </c>
    </row>
    <row r="1804">
      <c r="A1804" t="inlineStr">
        <is>
          <t>Frederick Antwi</t>
        </is>
      </c>
      <c r="B1804" s="4" t="n">
        <v>46087</v>
      </c>
      <c r="C1804" t="inlineStr">
        <is>
          <t xml:space="preserve">Independence Day  </t>
        </is>
      </c>
      <c r="D1804" t="inlineStr">
        <is>
          <t>Frederick Antwi</t>
        </is>
      </c>
      <c r="E1804" t="inlineStr">
        <is>
          <t>Frederick Antwi</t>
        </is>
      </c>
      <c r="F1804" s="5" t="n">
        <v>46160.58938657407</v>
      </c>
      <c r="H1804" t="inlineStr">
        <is>
          <t>Non-Billable Tasks</t>
        </is>
      </c>
      <c r="I1804" t="n">
        <v>8</v>
      </c>
      <c r="K1804" t="inlineStr">
        <is>
          <t>Public Holiday</t>
        </is>
      </c>
      <c r="L1804" t="b">
        <v>0</v>
      </c>
      <c r="M1804" t="inlineStr">
        <is>
          <t>Non-Billable</t>
        </is>
      </c>
      <c r="N1804" s="6">
        <f>IF(B1804="","",IF(ISNUMBER(B1804),TEXT(B1804,"YYYY-MM"),LEFT(B1804,7)))</f>
        <v/>
      </c>
    </row>
    <row r="1805">
      <c r="A1805" t="inlineStr">
        <is>
          <t>Augustus Asamoah</t>
        </is>
      </c>
      <c r="B1805" s="4" t="n">
        <v>46087</v>
      </c>
      <c r="C1805" t="inlineStr">
        <is>
          <t>/</t>
        </is>
      </c>
      <c r="D1805" t="inlineStr">
        <is>
          <t>Augustus Asamoah</t>
        </is>
      </c>
      <c r="E1805" t="inlineStr">
        <is>
          <t>Augustus Asamoah</t>
        </is>
      </c>
      <c r="F1805" s="5" t="n">
        <v>46156.64260416666</v>
      </c>
      <c r="H1805" t="inlineStr">
        <is>
          <t>PCGH784</t>
        </is>
      </c>
      <c r="I1805" t="n">
        <v>8</v>
      </c>
      <c r="J1805" t="inlineStr">
        <is>
          <t>PCGH784 - Desk Study (3) (Okeosisi Jonathan)</t>
        </is>
      </c>
      <c r="L1805" t="b">
        <v>1</v>
      </c>
      <c r="M1805" t="inlineStr">
        <is>
          <t>Billed at a Fixed price</t>
        </is>
      </c>
      <c r="N1805" s="6">
        <f>IF(B1805="","",IF(ISNUMBER(B1805),TEXT(B1805,"YYYY-MM"),LEFT(B1805,7)))</f>
        <v/>
      </c>
    </row>
    <row r="1806">
      <c r="A1806" t="inlineStr">
        <is>
          <t>Afua Serwah Akoto Prempeh</t>
        </is>
      </c>
      <c r="B1806" s="4" t="n">
        <v>46087</v>
      </c>
      <c r="C1806" t="inlineStr">
        <is>
          <t>/</t>
        </is>
      </c>
      <c r="D1806" t="inlineStr">
        <is>
          <t>Afua Serwah Akoto Prempeh</t>
        </is>
      </c>
      <c r="E1806" t="inlineStr">
        <is>
          <t>OdooBot</t>
        </is>
      </c>
      <c r="F1806" s="5" t="n">
        <v>46154.70721064815</v>
      </c>
      <c r="H1806" t="inlineStr">
        <is>
          <t>Non-Billable Tasks</t>
        </is>
      </c>
      <c r="I1806" t="n">
        <v>8</v>
      </c>
      <c r="K1806" t="inlineStr">
        <is>
          <t>Public Holiday</t>
        </is>
      </c>
      <c r="L1806" t="b">
        <v>0</v>
      </c>
      <c r="M1806" t="inlineStr">
        <is>
          <t>Non-Billable</t>
        </is>
      </c>
      <c r="N1806" s="6">
        <f>IF(B1806="","",IF(ISNUMBER(B1806),TEXT(B1806,"YYYY-MM"),LEFT(B1806,7)))</f>
        <v/>
      </c>
    </row>
    <row r="1807">
      <c r="A1807" t="inlineStr">
        <is>
          <t>Stephen Doso</t>
        </is>
      </c>
      <c r="B1807" s="4" t="n">
        <v>46087</v>
      </c>
      <c r="C1807" t="inlineStr">
        <is>
          <t>Independence day</t>
        </is>
      </c>
      <c r="D1807" t="inlineStr">
        <is>
          <t>Stephen Doso</t>
        </is>
      </c>
      <c r="E1807" t="inlineStr">
        <is>
          <t>OdooBot</t>
        </is>
      </c>
      <c r="F1807" s="5" t="n">
        <v>46154.70721064815</v>
      </c>
      <c r="H1807" t="inlineStr">
        <is>
          <t>Internal</t>
        </is>
      </c>
      <c r="I1807" t="n">
        <v>8</v>
      </c>
      <c r="K1807" t="inlineStr">
        <is>
          <t>Public Holiday</t>
        </is>
      </c>
      <c r="L1807" t="b">
        <v>0</v>
      </c>
      <c r="M1807" t="inlineStr">
        <is>
          <t>Non-Billable</t>
        </is>
      </c>
      <c r="N1807" s="6">
        <f>IF(B1807="","",IF(ISNUMBER(B1807),TEXT(B1807,"YYYY-MM"),LEFT(B1807,7)))</f>
        <v/>
      </c>
    </row>
    <row r="1808">
      <c r="A1808" t="inlineStr">
        <is>
          <t>Kwadwo Baniako Nti</t>
        </is>
      </c>
      <c r="B1808" s="4" t="n">
        <v>46087</v>
      </c>
      <c r="C1808" t="inlineStr">
        <is>
          <t>/</t>
        </is>
      </c>
      <c r="D1808" t="inlineStr">
        <is>
          <t>Kwadwo Baniako Nti</t>
        </is>
      </c>
      <c r="E1808" t="inlineStr">
        <is>
          <t>OdooBot</t>
        </is>
      </c>
      <c r="F1808" s="5" t="n">
        <v>46154.70721064815</v>
      </c>
      <c r="H1808" t="inlineStr">
        <is>
          <t>Non-Billable Tasks</t>
        </is>
      </c>
      <c r="I1808" t="n">
        <v>8</v>
      </c>
      <c r="K1808" t="inlineStr">
        <is>
          <t>Public Holiday</t>
        </is>
      </c>
      <c r="L1808" t="b">
        <v>0</v>
      </c>
      <c r="M1808" t="inlineStr">
        <is>
          <t>Non-Billable</t>
        </is>
      </c>
      <c r="N1808" s="6">
        <f>IF(B1808="","",IF(ISNUMBER(B1808),TEXT(B1808,"YYYY-MM"),LEFT(B1808,7)))</f>
        <v/>
      </c>
    </row>
    <row r="1809">
      <c r="A1809" t="inlineStr">
        <is>
          <t>Helena Tetteh</t>
        </is>
      </c>
      <c r="B1809" s="4" t="n">
        <v>46087</v>
      </c>
      <c r="C1809" t="inlineStr">
        <is>
          <t>/</t>
        </is>
      </c>
      <c r="D1809" t="inlineStr">
        <is>
          <t xml:space="preserve">Helena Tetteh </t>
        </is>
      </c>
      <c r="E1809" t="inlineStr">
        <is>
          <t>OdooBot</t>
        </is>
      </c>
      <c r="F1809" s="5" t="n">
        <v>46154.70721064815</v>
      </c>
      <c r="H1809" t="inlineStr">
        <is>
          <t>P23AC00C00 - FGMC</t>
        </is>
      </c>
      <c r="I1809" t="n">
        <v>8</v>
      </c>
      <c r="K1809" t="inlineStr">
        <is>
          <t>Output 2.3</t>
        </is>
      </c>
      <c r="L1809" t="b">
        <v>0</v>
      </c>
      <c r="M1809" t="inlineStr">
        <is>
          <t>Non-Billable</t>
        </is>
      </c>
      <c r="N1809" s="6">
        <f>IF(B1809="","",IF(ISNUMBER(B1809),TEXT(B1809,"YYYY-MM"),LEFT(B1809,7)))</f>
        <v/>
      </c>
    </row>
    <row r="1810">
      <c r="A1810" t="inlineStr">
        <is>
          <t>Ekow Nyamekye Tawiah</t>
        </is>
      </c>
      <c r="B1810" s="4" t="n">
        <v>46087</v>
      </c>
      <c r="C1810" t="inlineStr">
        <is>
          <t>/</t>
        </is>
      </c>
      <c r="D1810" t="inlineStr">
        <is>
          <t>Joseph Isaiah Mensah</t>
        </is>
      </c>
      <c r="E1810" t="inlineStr">
        <is>
          <t>Ekow Nyamekye Tawiah</t>
        </is>
      </c>
      <c r="F1810" s="5" t="n">
        <v>46162.82615740741</v>
      </c>
      <c r="H1810" t="inlineStr">
        <is>
          <t>Non-Billable Tasks</t>
        </is>
      </c>
      <c r="I1810" t="n">
        <v>4</v>
      </c>
      <c r="K1810" t="inlineStr">
        <is>
          <t>Public Holiday</t>
        </is>
      </c>
      <c r="L1810" t="b">
        <v>0</v>
      </c>
      <c r="M1810" t="inlineStr">
        <is>
          <t>Non-Billable</t>
        </is>
      </c>
      <c r="N1810" s="6">
        <f>IF(B1810="","",IF(ISNUMBER(B1810),TEXT(B1810,"YYYY-MM"),LEFT(B1810,7)))</f>
        <v/>
      </c>
    </row>
    <row r="1811">
      <c r="A1811" t="inlineStr">
        <is>
          <t>Ekow Nyamekye Tawiah</t>
        </is>
      </c>
      <c r="B1811" s="4" t="n">
        <v>46087</v>
      </c>
      <c r="C1811" t="inlineStr">
        <is>
          <t>/</t>
        </is>
      </c>
      <c r="D1811" t="inlineStr">
        <is>
          <t>Joseph Isaiah Mensah</t>
        </is>
      </c>
      <c r="E1811" t="inlineStr">
        <is>
          <t>OdooBot</t>
        </is>
      </c>
      <c r="F1811" s="5" t="n">
        <v>46154.70721064815</v>
      </c>
      <c r="H1811" t="inlineStr">
        <is>
          <t>PCGH722</t>
        </is>
      </c>
      <c r="I1811" t="n">
        <v>0</v>
      </c>
      <c r="J1811" t="inlineStr">
        <is>
          <t>PCGH722 - Analysis and Reporting (3) (Sucrivoire SA)</t>
        </is>
      </c>
      <c r="K1811" t="inlineStr">
        <is>
          <t>Analysis and Reporting (3)</t>
        </is>
      </c>
      <c r="L1811" t="b">
        <v>1</v>
      </c>
      <c r="M1811" t="inlineStr">
        <is>
          <t>Billed at a Fixed price</t>
        </is>
      </c>
      <c r="N1811" s="6">
        <f>IF(B1811="","",IF(ISNUMBER(B1811),TEXT(B1811,"YYYY-MM"),LEFT(B1811,7)))</f>
        <v/>
      </c>
    </row>
    <row r="1812">
      <c r="A1812" t="inlineStr">
        <is>
          <t>Clement Obeng-Manu</t>
        </is>
      </c>
      <c r="B1812" s="4" t="n">
        <v>46087</v>
      </c>
      <c r="C1812" t="inlineStr">
        <is>
          <t>/</t>
        </is>
      </c>
      <c r="D1812" t="inlineStr">
        <is>
          <t>Ekow Nyamekye Tawiah</t>
        </is>
      </c>
      <c r="E1812" t="inlineStr">
        <is>
          <t>OdooBot</t>
        </is>
      </c>
      <c r="F1812" s="5" t="n">
        <v>46154.70721064815</v>
      </c>
      <c r="H1812" t="inlineStr">
        <is>
          <t>PCGH777</t>
        </is>
      </c>
      <c r="I1812" t="n">
        <v>8</v>
      </c>
      <c r="J1812" t="inlineStr">
        <is>
          <t>PCGH777 - Field work  (3) (Proforest Limited(PCUK GBP))</t>
        </is>
      </c>
      <c r="K1812" t="inlineStr">
        <is>
          <t>Fieldwork – stakeholder engagement</t>
        </is>
      </c>
      <c r="L1812" t="b">
        <v>1</v>
      </c>
      <c r="M1812" t="inlineStr">
        <is>
          <t>Billed at a Fixed price</t>
        </is>
      </c>
      <c r="N1812" s="6">
        <f>IF(B1812="","",IF(ISNUMBER(B1812),TEXT(B1812,"YYYY-MM"),LEFT(B1812,7)))</f>
        <v/>
      </c>
    </row>
    <row r="1813">
      <c r="A1813" t="inlineStr">
        <is>
          <t>Louis Defo</t>
        </is>
      </c>
      <c r="B1813" s="4" t="n">
        <v>46087</v>
      </c>
      <c r="C1813" t="inlineStr">
        <is>
          <t>Annual leave</t>
        </is>
      </c>
      <c r="D1813" t="inlineStr">
        <is>
          <t>Louis Defo</t>
        </is>
      </c>
      <c r="E1813" t="inlineStr">
        <is>
          <t>OdooBot</t>
        </is>
      </c>
      <c r="F1813" s="5" t="n">
        <v>46154.70721064815</v>
      </c>
      <c r="H1813" t="inlineStr">
        <is>
          <t>Non-Billable Tasks</t>
        </is>
      </c>
      <c r="I1813" t="n">
        <v>8</v>
      </c>
      <c r="L1813" t="b">
        <v>0</v>
      </c>
      <c r="M1813" t="inlineStr">
        <is>
          <t>Non-Billable</t>
        </is>
      </c>
      <c r="N1813" s="6">
        <f>IF(B1813="","",IF(ISNUMBER(B1813),TEXT(B1813,"YYYY-MM"),LEFT(B1813,7)))</f>
        <v/>
      </c>
    </row>
    <row r="1814">
      <c r="A1814" t="inlineStr">
        <is>
          <t>Kingsley Fitz-Gerald Severine</t>
        </is>
      </c>
      <c r="B1814" s="4" t="n">
        <v>46087</v>
      </c>
      <c r="C1814" t="inlineStr">
        <is>
          <t>/</t>
        </is>
      </c>
      <c r="D1814" t="inlineStr">
        <is>
          <t>Kingsley Fitz-Gerald Severine</t>
        </is>
      </c>
      <c r="E1814" t="inlineStr">
        <is>
          <t>OdooBot</t>
        </is>
      </c>
      <c r="F1814" s="5" t="n">
        <v>46154.70721064815</v>
      </c>
      <c r="G1814" t="inlineStr">
        <is>
          <t>Field Visit and Data Collection</t>
        </is>
      </c>
      <c r="H1814" t="inlineStr">
        <is>
          <t>PCGH785</t>
        </is>
      </c>
      <c r="I1814" t="n">
        <v>8</v>
      </c>
      <c r="J1814" t="inlineStr">
        <is>
          <t>PCGH785 -  Field data collection  (3) (Okeosisi Jonathan)</t>
        </is>
      </c>
      <c r="K1814" t="inlineStr">
        <is>
          <t>Ground-truthing and mapping</t>
        </is>
      </c>
      <c r="L1814" t="b">
        <v>1</v>
      </c>
      <c r="M1814" t="inlineStr">
        <is>
          <t>Billed at a Fixed price</t>
        </is>
      </c>
      <c r="N1814" s="6">
        <f>IF(B1814="","",IF(ISNUMBER(B1814),TEXT(B1814,"YYYY-MM"),LEFT(B1814,7)))</f>
        <v/>
      </c>
    </row>
    <row r="1815">
      <c r="A1815" t="inlineStr">
        <is>
          <t>Joseph Isaiah Mensah</t>
        </is>
      </c>
      <c r="B1815" s="4" t="n">
        <v>46086</v>
      </c>
      <c r="C1815" t="inlineStr">
        <is>
          <t>EU Proposal draft</t>
        </is>
      </c>
      <c r="D1815" t="inlineStr">
        <is>
          <t>Jacqueline Nyakutse Afua</t>
        </is>
      </c>
      <c r="E1815" t="inlineStr">
        <is>
          <t>Joseph Isaiah Mensah</t>
        </is>
      </c>
      <c r="F1815" s="5" t="n">
        <v>46162.7328587963</v>
      </c>
      <c r="H1815" t="inlineStr">
        <is>
          <t>Non-Billable Tasks</t>
        </is>
      </c>
      <c r="I1815" t="n">
        <v>3</v>
      </c>
      <c r="K1815" t="inlineStr">
        <is>
          <t>Business Development and Networking</t>
        </is>
      </c>
      <c r="L1815" t="b">
        <v>0</v>
      </c>
      <c r="M1815" t="inlineStr">
        <is>
          <t>Non-Billable</t>
        </is>
      </c>
      <c r="N1815" s="6">
        <f>IF(B1815="","",IF(ISNUMBER(B1815),TEXT(B1815,"YYYY-MM"),LEFT(B1815,7)))</f>
        <v/>
      </c>
    </row>
    <row r="1816">
      <c r="A1816" t="inlineStr">
        <is>
          <t>Joseph Isaiah Mensah</t>
        </is>
      </c>
      <c r="B1816" s="4" t="n">
        <v>46086</v>
      </c>
      <c r="C1816" t="inlineStr">
        <is>
          <t>/[Update]: Sunti Kick-off call</t>
        </is>
      </c>
      <c r="D1816" t="inlineStr">
        <is>
          <t>Jacqueline Nyakutse Afua</t>
        </is>
      </c>
      <c r="E1816" t="inlineStr">
        <is>
          <t>Joseph Isaiah Mensah</t>
        </is>
      </c>
      <c r="F1816" s="5" t="n">
        <v>46162.6796875</v>
      </c>
      <c r="H1816" t="inlineStr">
        <is>
          <t>PCGH780 - Nigeria</t>
        </is>
      </c>
      <c r="I1816" t="n">
        <v>1.5</v>
      </c>
      <c r="J1816" t="inlineStr">
        <is>
          <t>PCGH780 - Tree Planting Project (2) (Proforest Limited(PCUK GBP))</t>
        </is>
      </c>
      <c r="L1816" t="b">
        <v>1</v>
      </c>
      <c r="M1816" t="inlineStr">
        <is>
          <t>Billed at a Fixed price</t>
        </is>
      </c>
      <c r="N1816" s="6">
        <f>IF(B1816="","",IF(ISNUMBER(B1816),TEXT(B1816,"YYYY-MM"),LEFT(B1816,7)))</f>
        <v/>
      </c>
    </row>
    <row r="1817">
      <c r="A1817" t="inlineStr">
        <is>
          <t>Joseph Isaiah Mensah</t>
        </is>
      </c>
      <c r="B1817" s="4" t="n">
        <v>46086</v>
      </c>
      <c r="C1817" t="inlineStr">
        <is>
          <t>BRIDGE Catch-up calls</t>
        </is>
      </c>
      <c r="D1817" t="inlineStr">
        <is>
          <t>Jacqueline Nyakutse Afua</t>
        </is>
      </c>
      <c r="E1817" t="inlineStr">
        <is>
          <t>Joseph Isaiah Mensah</t>
        </is>
      </c>
      <c r="F1817" s="5" t="n">
        <v>46162.67840277778</v>
      </c>
      <c r="H1817" t="inlineStr">
        <is>
          <t>P23AC00C00 - FGMC</t>
        </is>
      </c>
      <c r="I1817" t="n">
        <v>3.5</v>
      </c>
      <c r="L1817" t="b">
        <v>0</v>
      </c>
      <c r="M1817" t="inlineStr">
        <is>
          <t>Non-Billable</t>
        </is>
      </c>
      <c r="N1817" s="6">
        <f>IF(B1817="","",IF(ISNUMBER(B1817),TEXT(B1817,"YYYY-MM"),LEFT(B1817,7)))</f>
        <v/>
      </c>
    </row>
    <row r="1818">
      <c r="A1818" t="inlineStr">
        <is>
          <t>James Parker Mckeown</t>
        </is>
      </c>
      <c r="B1818" s="4" t="n">
        <v>46086</v>
      </c>
      <c r="C1818" t="inlineStr">
        <is>
          <t>Follow up call on InFIT, China</t>
        </is>
      </c>
      <c r="D1818" t="inlineStr">
        <is>
          <t>James Parker Mckeown</t>
        </is>
      </c>
      <c r="E1818" t="inlineStr">
        <is>
          <t>James Parker Mckeown</t>
        </is>
      </c>
      <c r="F1818" s="5" t="n">
        <v>46162.56034722222</v>
      </c>
      <c r="G1818" t="inlineStr">
        <is>
          <t>Output 2.1</t>
        </is>
      </c>
      <c r="H1818" t="inlineStr">
        <is>
          <t>P23AC00C00 - FGMC</t>
        </is>
      </c>
      <c r="I1818" t="n">
        <v>1</v>
      </c>
      <c r="K1818" t="inlineStr">
        <is>
          <t>P23AC32A00 - Connecting Supply and Demand Side</t>
        </is>
      </c>
      <c r="L1818" t="b">
        <v>0</v>
      </c>
      <c r="M1818" t="inlineStr">
        <is>
          <t>Non-Billable</t>
        </is>
      </c>
      <c r="N1818" s="6">
        <f>IF(B1818="","",IF(ISNUMBER(B1818),TEXT(B1818,"YYYY-MM"),LEFT(B1818,7)))</f>
        <v/>
      </c>
    </row>
    <row r="1819">
      <c r="A1819" t="inlineStr">
        <is>
          <t>James Parker Mckeown</t>
        </is>
      </c>
      <c r="B1819" s="4" t="n">
        <v>46086</v>
      </c>
      <c r="C1819" t="inlineStr">
        <is>
          <t>Monthly Landscape Focal Points</t>
        </is>
      </c>
      <c r="D1819" t="inlineStr">
        <is>
          <t>James Parker Mckeown</t>
        </is>
      </c>
      <c r="E1819" t="inlineStr">
        <is>
          <t>James Parker Mckeown</t>
        </is>
      </c>
      <c r="F1819" s="5" t="n">
        <v>46162.55908564815</v>
      </c>
      <c r="H1819" t="inlineStr">
        <is>
          <t>Non-Billable Tasks</t>
        </is>
      </c>
      <c r="I1819" t="n">
        <v>1</v>
      </c>
      <c r="K1819" t="inlineStr">
        <is>
          <t>Internal Focal points and workstreams</t>
        </is>
      </c>
      <c r="L1819" t="b">
        <v>0</v>
      </c>
      <c r="M1819" t="inlineStr">
        <is>
          <t>Non-Billable</t>
        </is>
      </c>
      <c r="N1819" s="6">
        <f>IF(B1819="","",IF(ISNUMBER(B1819),TEXT(B1819,"YYYY-MM"),LEFT(B1819,7)))</f>
        <v/>
      </c>
    </row>
    <row r="1820">
      <c r="A1820" t="inlineStr">
        <is>
          <t>James Parker Mckeown</t>
        </is>
      </c>
      <c r="B1820" s="4" t="n">
        <v>46086</v>
      </c>
      <c r="C1820" t="inlineStr">
        <is>
          <t>LEW core group</t>
        </is>
      </c>
      <c r="D1820" t="inlineStr">
        <is>
          <t>James Parker Mckeown</t>
        </is>
      </c>
      <c r="E1820" t="inlineStr">
        <is>
          <t>James Parker Mckeown</t>
        </is>
      </c>
      <c r="F1820" s="5" t="n">
        <v>46162.55799768519</v>
      </c>
      <c r="H1820" t="inlineStr">
        <is>
          <t>Non-Billable Tasks</t>
        </is>
      </c>
      <c r="I1820" t="n">
        <v>1</v>
      </c>
      <c r="K1820" t="inlineStr">
        <is>
          <t>Internal Focal points and workstreams</t>
        </is>
      </c>
      <c r="L1820" t="b">
        <v>0</v>
      </c>
      <c r="M1820" t="inlineStr">
        <is>
          <t>Non-Billable</t>
        </is>
      </c>
      <c r="N1820" s="6">
        <f>IF(B1820="","",IF(ISNUMBER(B1820),TEXT(B1820,"YYYY-MM"),LEFT(B1820,7)))</f>
        <v/>
      </c>
    </row>
    <row r="1821">
      <c r="A1821" t="inlineStr">
        <is>
          <t>James Parker Mckeown</t>
        </is>
      </c>
      <c r="B1821" s="4" t="n">
        <v>46086</v>
      </c>
      <c r="C1821" t="inlineStr">
        <is>
          <t>PFAFR BRIDGE: Weekly Catch-up</t>
        </is>
      </c>
      <c r="D1821" t="inlineStr">
        <is>
          <t>James Parker Mckeown</t>
        </is>
      </c>
      <c r="E1821" t="inlineStr">
        <is>
          <t>James Parker Mckeown</t>
        </is>
      </c>
      <c r="F1821" s="5" t="n">
        <v>46162.5571875</v>
      </c>
      <c r="G1821" t="inlineStr">
        <is>
          <t>Output 4</t>
        </is>
      </c>
      <c r="H1821" t="inlineStr">
        <is>
          <t>P23AC00C00 - FGMC</t>
        </is>
      </c>
      <c r="I1821" t="n">
        <v>2</v>
      </c>
      <c r="K1821" t="inlineStr">
        <is>
          <t>P23AC03A00 - Project Management</t>
        </is>
      </c>
      <c r="L1821" t="b">
        <v>0</v>
      </c>
      <c r="M1821" t="inlineStr">
        <is>
          <t>Non-Billable</t>
        </is>
      </c>
      <c r="N1821" s="6">
        <f>IF(B1821="","",IF(ISNUMBER(B1821),TEXT(B1821,"YYYY-MM"),LEFT(B1821,7)))</f>
        <v/>
      </c>
    </row>
    <row r="1822">
      <c r="A1822" t="inlineStr">
        <is>
          <t>James Parker Mckeown</t>
        </is>
      </c>
      <c r="B1822" s="4" t="n">
        <v>46086</v>
      </c>
      <c r="C1822" t="inlineStr">
        <is>
          <t>BRIDGE cross cutting issues (gender &amp; social inclusion)</t>
        </is>
      </c>
      <c r="D1822" t="inlineStr">
        <is>
          <t>James Parker Mckeown</t>
        </is>
      </c>
      <c r="E1822" t="inlineStr">
        <is>
          <t>James Parker Mckeown</t>
        </is>
      </c>
      <c r="F1822" s="5" t="n">
        <v>46162.55606481482</v>
      </c>
      <c r="G1822" t="inlineStr">
        <is>
          <t>Output 2.1</t>
        </is>
      </c>
      <c r="H1822" t="inlineStr">
        <is>
          <t>P23AC00C00 - FGMC</t>
        </is>
      </c>
      <c r="I1822" t="n">
        <v>1</v>
      </c>
      <c r="K1822" t="inlineStr">
        <is>
          <t>P23AC32A00 - Connecting Supply and Demand Side</t>
        </is>
      </c>
      <c r="L1822" t="b">
        <v>0</v>
      </c>
      <c r="M1822" t="inlineStr">
        <is>
          <t>Non-Billable</t>
        </is>
      </c>
      <c r="N1822" s="6">
        <f>IF(B1822="","",IF(ISNUMBER(B1822),TEXT(B1822,"YYYY-MM"),LEFT(B1822,7)))</f>
        <v/>
      </c>
    </row>
    <row r="1823">
      <c r="A1823" t="inlineStr">
        <is>
          <t>James Parker Mckeown</t>
        </is>
      </c>
      <c r="B1823" s="4" t="n">
        <v>46086</v>
      </c>
      <c r="C1823" t="inlineStr">
        <is>
          <t>/</t>
        </is>
      </c>
      <c r="D1823" t="inlineStr">
        <is>
          <t>James Parker Mckeown</t>
        </is>
      </c>
      <c r="E1823" t="inlineStr">
        <is>
          <t>James Parker Mckeown</t>
        </is>
      </c>
      <c r="F1823" s="5" t="n">
        <v>46162.55401620371</v>
      </c>
      <c r="G1823" t="inlineStr">
        <is>
          <t>Output 2.3</t>
        </is>
      </c>
      <c r="H1823" t="inlineStr">
        <is>
          <t>P23AC00C00 - FGMC</t>
        </is>
      </c>
      <c r="I1823" t="n">
        <v>2</v>
      </c>
      <c r="K1823" t="inlineStr">
        <is>
          <t>P23AC22A00 - Output Two (Elevating Local Solutions - West Africa)</t>
        </is>
      </c>
      <c r="L1823" t="b">
        <v>0</v>
      </c>
      <c r="M1823" t="inlineStr">
        <is>
          <t>Non-Billable</t>
        </is>
      </c>
      <c r="N1823" s="6">
        <f>IF(B1823="","",IF(ISNUMBER(B1823),TEXT(B1823,"YYYY-MM"),LEFT(B1823,7)))</f>
        <v/>
      </c>
    </row>
    <row r="1824">
      <c r="A1824" t="inlineStr">
        <is>
          <t>Frederick Antwi</t>
        </is>
      </c>
      <c r="B1824" s="4" t="n">
        <v>46086</v>
      </c>
      <c r="C1824" t="inlineStr">
        <is>
          <t>/</t>
        </is>
      </c>
      <c r="D1824" t="inlineStr">
        <is>
          <t>Frederick Antwi</t>
        </is>
      </c>
      <c r="E1824" t="inlineStr">
        <is>
          <t>Frederick Antwi</t>
        </is>
      </c>
      <c r="F1824" s="5" t="n">
        <v>46160.58677083333</v>
      </c>
      <c r="H1824" t="inlineStr">
        <is>
          <t>P13PC00A00 - Private Sector Companies</t>
        </is>
      </c>
      <c r="I1824" t="n">
        <v>6</v>
      </c>
      <c r="L1824" t="b">
        <v>0</v>
      </c>
      <c r="M1824" t="inlineStr">
        <is>
          <t>Non-Billable</t>
        </is>
      </c>
      <c r="N1824" s="6">
        <f>IF(B1824="","",IF(ISNUMBER(B1824),TEXT(B1824,"YYYY-MM"),LEFT(B1824,7)))</f>
        <v/>
      </c>
    </row>
    <row r="1825">
      <c r="A1825" t="inlineStr">
        <is>
          <t>Frederick Antwi</t>
        </is>
      </c>
      <c r="B1825" s="4" t="n">
        <v>46086</v>
      </c>
      <c r="C1825" t="inlineStr">
        <is>
          <t>/</t>
        </is>
      </c>
      <c r="D1825" t="inlineStr">
        <is>
          <t>Frederick Antwi</t>
        </is>
      </c>
      <c r="E1825" t="inlineStr">
        <is>
          <t>Frederick Antwi</t>
        </is>
      </c>
      <c r="F1825" s="5" t="n">
        <v>46160.58657407408</v>
      </c>
      <c r="H1825" t="inlineStr">
        <is>
          <t>PCGH774 -Evaluation Deep-Dive Action Plans by Socfin Group</t>
        </is>
      </c>
      <c r="I1825" t="n">
        <v>2</v>
      </c>
      <c r="J1825" t="inlineStr">
        <is>
          <t>PCGH774 - Project Management (2) (Socfinco FR SA)</t>
        </is>
      </c>
      <c r="L1825" t="b">
        <v>1</v>
      </c>
      <c r="M1825" t="inlineStr">
        <is>
          <t>Billed at a Fixed price</t>
        </is>
      </c>
      <c r="N1825" s="6">
        <f>IF(B1825="","",IF(ISNUMBER(B1825),TEXT(B1825,"YYYY-MM"),LEFT(B1825,7)))</f>
        <v/>
      </c>
    </row>
    <row r="1826">
      <c r="A1826" t="inlineStr">
        <is>
          <t>Augustus Asamoah</t>
        </is>
      </c>
      <c r="B1826" s="4" t="n">
        <v>46086</v>
      </c>
      <c r="C1826" t="inlineStr">
        <is>
          <t>/</t>
        </is>
      </c>
      <c r="D1826" t="inlineStr">
        <is>
          <t>Augustus Asamoah</t>
        </is>
      </c>
      <c r="E1826" t="inlineStr">
        <is>
          <t>Augustus Asamoah</t>
        </is>
      </c>
      <c r="F1826" s="5" t="n">
        <v>46156.64261574074</v>
      </c>
      <c r="H1826" t="inlineStr">
        <is>
          <t>PCGH784</t>
        </is>
      </c>
      <c r="I1826" t="n">
        <v>8</v>
      </c>
      <c r="J1826" t="inlineStr">
        <is>
          <t>PCGH784 - Desk Study (3) (Okeosisi Jonathan)</t>
        </is>
      </c>
      <c r="L1826" t="b">
        <v>1</v>
      </c>
      <c r="M1826" t="inlineStr">
        <is>
          <t>Billed at a Fixed price</t>
        </is>
      </c>
      <c r="N1826" s="6">
        <f>IF(B1826="","",IF(ISNUMBER(B1826),TEXT(B1826,"YYYY-MM"),LEFT(B1826,7)))</f>
        <v/>
      </c>
    </row>
    <row r="1827">
      <c r="A1827" t="inlineStr">
        <is>
          <t>Afua Serwah Akoto Prempeh</t>
        </is>
      </c>
      <c r="B1827" s="4" t="n">
        <v>46086</v>
      </c>
      <c r="C1827" t="inlineStr">
        <is>
          <t>/</t>
        </is>
      </c>
      <c r="D1827" t="inlineStr">
        <is>
          <t>Afua Serwah Akoto Prempeh</t>
        </is>
      </c>
      <c r="E1827" t="inlineStr">
        <is>
          <t>OdooBot</t>
        </is>
      </c>
      <c r="F1827" s="5" t="n">
        <v>46154.70721064815</v>
      </c>
      <c r="H1827" t="inlineStr">
        <is>
          <t>P23AC00C00 - FGMC</t>
        </is>
      </c>
      <c r="I1827" t="n">
        <v>3</v>
      </c>
      <c r="L1827" t="b">
        <v>0</v>
      </c>
      <c r="M1827" t="inlineStr">
        <is>
          <t>Non-Billable</t>
        </is>
      </c>
      <c r="N1827" s="6">
        <f>IF(B1827="","",IF(ISNUMBER(B1827),TEXT(B1827,"YYYY-MM"),LEFT(B1827,7)))</f>
        <v/>
      </c>
    </row>
    <row r="1828">
      <c r="A1828" t="inlineStr">
        <is>
          <t>Afua Serwah Akoto Prempeh</t>
        </is>
      </c>
      <c r="B1828" s="4" t="n">
        <v>46086</v>
      </c>
      <c r="C1828" t="inlineStr">
        <is>
          <t>/</t>
        </is>
      </c>
      <c r="D1828" t="inlineStr">
        <is>
          <t>Afua Serwah Akoto Prempeh</t>
        </is>
      </c>
      <c r="E1828" t="inlineStr">
        <is>
          <t>OdooBot</t>
        </is>
      </c>
      <c r="F1828" s="5" t="n">
        <v>46154.70721064815</v>
      </c>
      <c r="H1828" t="inlineStr">
        <is>
          <t>Non-Billable Tasks</t>
        </is>
      </c>
      <c r="I1828" t="n">
        <v>3</v>
      </c>
      <c r="K1828" t="inlineStr">
        <is>
          <t>Administrative Tasks</t>
        </is>
      </c>
      <c r="L1828" t="b">
        <v>0</v>
      </c>
      <c r="M1828" t="inlineStr">
        <is>
          <t>Non-Billable</t>
        </is>
      </c>
      <c r="N1828" s="6">
        <f>IF(B1828="","",IF(ISNUMBER(B1828),TEXT(B1828,"YYYY-MM"),LEFT(B1828,7)))</f>
        <v/>
      </c>
    </row>
    <row r="1829">
      <c r="A1829" t="inlineStr">
        <is>
          <t>Afua Serwah Akoto Prempeh</t>
        </is>
      </c>
      <c r="B1829" s="4" t="n">
        <v>46086</v>
      </c>
      <c r="C1829" t="inlineStr">
        <is>
          <t>/</t>
        </is>
      </c>
      <c r="D1829" t="inlineStr">
        <is>
          <t>Afua Serwah Akoto Prempeh</t>
        </is>
      </c>
      <c r="E1829" t="inlineStr">
        <is>
          <t>OdooBot</t>
        </is>
      </c>
      <c r="F1829" s="5" t="n">
        <v>46154.70721064815</v>
      </c>
      <c r="H1829" t="inlineStr">
        <is>
          <t>Non-Billable Tasks</t>
        </is>
      </c>
      <c r="I1829" t="n">
        <v>2</v>
      </c>
      <c r="K1829" t="inlineStr">
        <is>
          <t>Professional development and Knowledge sharing(training,global knowledge calls,exchange weeks)</t>
        </is>
      </c>
      <c r="L1829" t="b">
        <v>0</v>
      </c>
      <c r="M1829" t="inlineStr">
        <is>
          <t>Non-Billable</t>
        </is>
      </c>
      <c r="N1829" s="6">
        <f>IF(B1829="","",IF(ISNUMBER(B1829),TEXT(B1829,"YYYY-MM"),LEFT(B1829,7)))</f>
        <v/>
      </c>
    </row>
    <row r="1830">
      <c r="A1830" t="inlineStr">
        <is>
          <t>Stephen Doso</t>
        </is>
      </c>
      <c r="B1830" s="4" t="n">
        <v>46086</v>
      </c>
      <c r="C1830" t="inlineStr">
        <is>
          <t>/</t>
        </is>
      </c>
      <c r="D1830" t="inlineStr">
        <is>
          <t>Stephen Doso</t>
        </is>
      </c>
      <c r="E1830" t="inlineStr">
        <is>
          <t>OdooBot</t>
        </is>
      </c>
      <c r="F1830" s="5" t="n">
        <v>46154.70721064815</v>
      </c>
      <c r="H1830" t="inlineStr">
        <is>
          <t>PCGH774 -Evaluation Deep-Dive Action Plans by Socfin Group</t>
        </is>
      </c>
      <c r="I1830" t="n">
        <v>8</v>
      </c>
      <c r="J1830" t="inlineStr">
        <is>
          <t>PCGH774 - Tier 2 (Socfinco FR SA)</t>
        </is>
      </c>
      <c r="K1830" t="inlineStr">
        <is>
          <t>Okomu - Report review</t>
        </is>
      </c>
      <c r="L1830" t="b">
        <v>1</v>
      </c>
      <c r="M1830" t="inlineStr">
        <is>
          <t>Billed at a Fixed price</t>
        </is>
      </c>
      <c r="N1830" s="6">
        <f>IF(B1830="","",IF(ISNUMBER(B1830),TEXT(B1830,"YYYY-MM"),LEFT(B1830,7)))</f>
        <v/>
      </c>
    </row>
    <row r="1831">
      <c r="A1831" t="inlineStr">
        <is>
          <t>Kwadwo Baniako Nti</t>
        </is>
      </c>
      <c r="B1831" s="4" t="n">
        <v>46086</v>
      </c>
      <c r="C1831" t="inlineStr">
        <is>
          <t>/</t>
        </is>
      </c>
      <c r="D1831" t="inlineStr">
        <is>
          <t>Kwadwo Baniako Nti</t>
        </is>
      </c>
      <c r="E1831" t="inlineStr">
        <is>
          <t>OdooBot</t>
        </is>
      </c>
      <c r="F1831" s="5" t="n">
        <v>46154.70721064815</v>
      </c>
      <c r="H1831" t="inlineStr">
        <is>
          <t>PCGH774 -Evaluation Deep-Dive Action Plans by Socfin Group</t>
        </is>
      </c>
      <c r="I1831" t="n">
        <v>8</v>
      </c>
      <c r="J1831" t="inlineStr">
        <is>
          <t>PCGH774 - Management and Monitoring (3) (Socfinco FR SA)</t>
        </is>
      </c>
      <c r="K1831" t="inlineStr">
        <is>
          <t>Okomu - Analysis and reporting</t>
        </is>
      </c>
      <c r="L1831" t="b">
        <v>1</v>
      </c>
      <c r="M1831" t="inlineStr">
        <is>
          <t>Billed at a Fixed price</t>
        </is>
      </c>
      <c r="N1831" s="6">
        <f>IF(B1831="","",IF(ISNUMBER(B1831),TEXT(B1831,"YYYY-MM"),LEFT(B1831,7)))</f>
        <v/>
      </c>
    </row>
    <row r="1832">
      <c r="A1832" t="inlineStr">
        <is>
          <t>Kingsley Fitz-Gerald Severine</t>
        </is>
      </c>
      <c r="B1832" s="4" t="n">
        <v>46086</v>
      </c>
      <c r="C1832" t="inlineStr">
        <is>
          <t>/</t>
        </is>
      </c>
      <c r="D1832" t="inlineStr">
        <is>
          <t>Kingsley Fitz-Gerald Severine</t>
        </is>
      </c>
      <c r="E1832" t="inlineStr">
        <is>
          <t>OdooBot</t>
        </is>
      </c>
      <c r="F1832" s="5" t="n">
        <v>46154.70721064815</v>
      </c>
      <c r="H1832" t="inlineStr">
        <is>
          <t>PCGH788 - CDC Boa &amp; Mondoni CV-HCS Scoping</t>
        </is>
      </c>
      <c r="I1832" t="n">
        <v>0</v>
      </c>
      <c r="J1832" t="inlineStr">
        <is>
          <t>PCGH788 - Desk Study (3) (CAMEROON DEVELOPMENT CORPORATION (CDC))</t>
        </is>
      </c>
      <c r="K1832" t="inlineStr">
        <is>
          <t>MONDONI: DESK-STUDY, GIS AND SURVEY TOOLS (3)</t>
        </is>
      </c>
      <c r="L1832" t="b">
        <v>1</v>
      </c>
      <c r="M1832" t="inlineStr">
        <is>
          <t>Billed at a Fixed price</t>
        </is>
      </c>
      <c r="N1832" s="6">
        <f>IF(B1832="","",IF(ISNUMBER(B1832),TEXT(B1832,"YYYY-MM"),LEFT(B1832,7)))</f>
        <v/>
      </c>
    </row>
    <row r="1833">
      <c r="A1833" t="inlineStr">
        <is>
          <t>Helena Tetteh</t>
        </is>
      </c>
      <c r="B1833" s="4" t="n">
        <v>46086</v>
      </c>
      <c r="C1833" t="inlineStr">
        <is>
          <t>/</t>
        </is>
      </c>
      <c r="D1833" t="inlineStr">
        <is>
          <t xml:space="preserve">Helena Tetteh </t>
        </is>
      </c>
      <c r="E1833" t="inlineStr">
        <is>
          <t>OdooBot</t>
        </is>
      </c>
      <c r="F1833" s="5" t="n">
        <v>46154.70721064815</v>
      </c>
      <c r="H1833" t="inlineStr">
        <is>
          <t>Non-Billable Tasks</t>
        </is>
      </c>
      <c r="I1833" t="n">
        <v>8</v>
      </c>
      <c r="K1833" t="inlineStr">
        <is>
          <t>Portfolio Team Management</t>
        </is>
      </c>
      <c r="L1833" t="b">
        <v>0</v>
      </c>
      <c r="M1833" t="inlineStr">
        <is>
          <t>Non-Billable</t>
        </is>
      </c>
      <c r="N1833" s="6">
        <f>IF(B1833="","",IF(ISNUMBER(B1833),TEXT(B1833,"YYYY-MM"),LEFT(B1833,7)))</f>
        <v/>
      </c>
    </row>
    <row r="1834">
      <c r="A1834" t="inlineStr">
        <is>
          <t>Ekow Nyamekye Tawiah</t>
        </is>
      </c>
      <c r="B1834" s="4" t="n">
        <v>46086</v>
      </c>
      <c r="C1834" t="inlineStr">
        <is>
          <t>/</t>
        </is>
      </c>
      <c r="D1834" t="inlineStr">
        <is>
          <t>Joseph Isaiah Mensah</t>
        </is>
      </c>
      <c r="E1834" t="inlineStr">
        <is>
          <t>OdooBot</t>
        </is>
      </c>
      <c r="F1834" s="5" t="n">
        <v>46154.70721064815</v>
      </c>
      <c r="H1834" t="inlineStr">
        <is>
          <t>PCGH722</t>
        </is>
      </c>
      <c r="I1834" t="n">
        <v>4</v>
      </c>
      <c r="J1834" t="inlineStr">
        <is>
          <t>PCGH722 - Analysis and Reporting (3) (Sucrivoire SA)</t>
        </is>
      </c>
      <c r="K1834" t="inlineStr">
        <is>
          <t>Analysis and Reporting (3)</t>
        </is>
      </c>
      <c r="L1834" t="b">
        <v>1</v>
      </c>
      <c r="M1834" t="inlineStr">
        <is>
          <t>Billed at a Fixed price</t>
        </is>
      </c>
      <c r="N1834" s="6">
        <f>IF(B1834="","",IF(ISNUMBER(B1834),TEXT(B1834,"YYYY-MM"),LEFT(B1834,7)))</f>
        <v/>
      </c>
    </row>
    <row r="1835">
      <c r="A1835" t="inlineStr">
        <is>
          <t>Louis Defo</t>
        </is>
      </c>
      <c r="B1835" s="4" t="n">
        <v>46086</v>
      </c>
      <c r="C1835" t="inlineStr">
        <is>
          <t>Work on Draft work plan for upcoming HERSHEY Project in cameroon</t>
        </is>
      </c>
      <c r="D1835" t="inlineStr">
        <is>
          <t>Louis Defo</t>
        </is>
      </c>
      <c r="E1835" t="inlineStr">
        <is>
          <t>OdooBot</t>
        </is>
      </c>
      <c r="F1835" s="5" t="n">
        <v>46154.70721064815</v>
      </c>
      <c r="H1835" t="inlineStr">
        <is>
          <t>Non-Billable Tasks</t>
        </is>
      </c>
      <c r="I1835" t="n">
        <v>8</v>
      </c>
      <c r="L1835" t="b">
        <v>0</v>
      </c>
      <c r="M1835" t="inlineStr">
        <is>
          <t>Non-Billable</t>
        </is>
      </c>
      <c r="N1835" s="6">
        <f>IF(B1835="","",IF(ISNUMBER(B1835),TEXT(B1835,"YYYY-MM"),LEFT(B1835,7)))</f>
        <v/>
      </c>
    </row>
    <row r="1836">
      <c r="A1836" t="inlineStr">
        <is>
          <t>Clement Obeng-Manu</t>
        </is>
      </c>
      <c r="B1836" s="4" t="n">
        <v>46086</v>
      </c>
      <c r="C1836" t="inlineStr">
        <is>
          <t>/</t>
        </is>
      </c>
      <c r="D1836" t="inlineStr">
        <is>
          <t>Ekow Nyamekye Tawiah</t>
        </is>
      </c>
      <c r="E1836" t="inlineStr">
        <is>
          <t>OdooBot</t>
        </is>
      </c>
      <c r="F1836" s="5" t="n">
        <v>46154.70721064815</v>
      </c>
      <c r="H1836" t="inlineStr">
        <is>
          <t>PCGH777</t>
        </is>
      </c>
      <c r="I1836" t="n">
        <v>8</v>
      </c>
      <c r="J1836" t="inlineStr">
        <is>
          <t>PCGH777 - Field work  (3) (Proforest Limited(PCUK GBP))</t>
        </is>
      </c>
      <c r="K1836" t="inlineStr">
        <is>
          <t>Fieldwork – stakeholder engagement</t>
        </is>
      </c>
      <c r="L1836" t="b">
        <v>1</v>
      </c>
      <c r="M1836" t="inlineStr">
        <is>
          <t>Billed at a Fixed price</t>
        </is>
      </c>
      <c r="N1836" s="6">
        <f>IF(B1836="","",IF(ISNUMBER(B1836),TEXT(B1836,"YYYY-MM"),LEFT(B1836,7)))</f>
        <v/>
      </c>
    </row>
    <row r="1837">
      <c r="A1837" t="inlineStr">
        <is>
          <t>Kingsley Fitz-Gerald Severine</t>
        </is>
      </c>
      <c r="B1837" s="4" t="n">
        <v>46086</v>
      </c>
      <c r="C1837" t="inlineStr">
        <is>
          <t>/</t>
        </is>
      </c>
      <c r="D1837" t="inlineStr">
        <is>
          <t>Kingsley Fitz-Gerald Severine</t>
        </is>
      </c>
      <c r="E1837" t="inlineStr">
        <is>
          <t>OdooBot</t>
        </is>
      </c>
      <c r="F1837" s="5" t="n">
        <v>46154.70721064815</v>
      </c>
      <c r="G1837" t="inlineStr">
        <is>
          <t>Field Visit and Data Collection</t>
        </is>
      </c>
      <c r="H1837" t="inlineStr">
        <is>
          <t>PCGH785</t>
        </is>
      </c>
      <c r="I1837" t="n">
        <v>8</v>
      </c>
      <c r="J1837" t="inlineStr">
        <is>
          <t>PCGH785 -  Field data collection  (3) (Okeosisi Jonathan)</t>
        </is>
      </c>
      <c r="K1837" t="inlineStr">
        <is>
          <t>Institutional engagements</t>
        </is>
      </c>
      <c r="L1837" t="b">
        <v>1</v>
      </c>
      <c r="M1837" t="inlineStr">
        <is>
          <t>Billed at a Fixed price</t>
        </is>
      </c>
      <c r="N1837" s="6">
        <f>IF(B1837="","",IF(ISNUMBER(B1837),TEXT(B1837,"YYYY-MM"),LEFT(B1837,7)))</f>
        <v/>
      </c>
    </row>
    <row r="1838">
      <c r="A1838" t="inlineStr">
        <is>
          <t>Joseph Isaiah Mensah</t>
        </is>
      </c>
      <c r="B1838" s="4" t="n">
        <v>46085</v>
      </c>
      <c r="C1838" t="inlineStr">
        <is>
          <t>/</t>
        </is>
      </c>
      <c r="D1838" t="inlineStr">
        <is>
          <t>Jacqueline Nyakutse Afua</t>
        </is>
      </c>
      <c r="E1838" t="inlineStr">
        <is>
          <t>Joseph Isaiah Mensah</t>
        </is>
      </c>
      <c r="F1838" s="5" t="n">
        <v>46162.67835648148</v>
      </c>
      <c r="G1838" t="inlineStr">
        <is>
          <t>Field verification and reporting in Nigeria (3)</t>
        </is>
      </c>
      <c r="H1838" t="inlineStr">
        <is>
          <t>PCGH775 - ESDD of Valency Operations for FMO</t>
        </is>
      </c>
      <c r="I1838" t="n">
        <v>5.5</v>
      </c>
      <c r="J1838" t="inlineStr">
        <is>
          <t>PCGH775 - Field Verification (3) (Valency International DMCC)</t>
        </is>
      </c>
      <c r="K1838" t="inlineStr">
        <is>
          <t>Analysis and reporting in Nigeria</t>
        </is>
      </c>
      <c r="L1838" t="b">
        <v>1</v>
      </c>
      <c r="M1838" t="inlineStr">
        <is>
          <t>Billed at a Fixed price</t>
        </is>
      </c>
      <c r="N1838" s="6">
        <f>IF(B1838="","",IF(ISNUMBER(B1838),TEXT(B1838,"YYYY-MM"),LEFT(B1838,7)))</f>
        <v/>
      </c>
    </row>
    <row r="1839">
      <c r="A1839" t="inlineStr">
        <is>
          <t>Joseph Isaiah Mensah</t>
        </is>
      </c>
      <c r="B1839" s="4" t="n">
        <v>46085</v>
      </c>
      <c r="C1839" t="inlineStr">
        <is>
          <t>/M&amp;E check-in</t>
        </is>
      </c>
      <c r="D1839" t="inlineStr">
        <is>
          <t>Jacqueline Nyakutse Afua</t>
        </is>
      </c>
      <c r="E1839" t="inlineStr">
        <is>
          <t>Joseph Isaiah Mensah</t>
        </is>
      </c>
      <c r="F1839" s="5" t="n">
        <v>46162.67590277778</v>
      </c>
      <c r="G1839" t="inlineStr">
        <is>
          <t>Programme Personnel and Management</t>
        </is>
      </c>
      <c r="H1839" t="inlineStr">
        <is>
          <t>P13QC00A00 - EFI Programme</t>
        </is>
      </c>
      <c r="I1839" t="n">
        <v>1.5</v>
      </c>
      <c r="K1839" t="inlineStr">
        <is>
          <t>Programme Personnel</t>
        </is>
      </c>
      <c r="L1839" t="b">
        <v>0</v>
      </c>
      <c r="M1839" t="inlineStr">
        <is>
          <t>Non-Billable</t>
        </is>
      </c>
      <c r="N1839" s="6">
        <f>IF(B1839="","",IF(ISNUMBER(B1839),TEXT(B1839,"YYYY-MM"),LEFT(B1839,7)))</f>
        <v/>
      </c>
    </row>
    <row r="1840">
      <c r="A1840" t="inlineStr">
        <is>
          <t>Joseph Isaiah Mensah</t>
        </is>
      </c>
      <c r="B1840" s="4" t="n">
        <v>46085</v>
      </c>
      <c r="C1840" t="inlineStr">
        <is>
          <t>/Kick-off meeting</t>
        </is>
      </c>
      <c r="D1840" t="inlineStr">
        <is>
          <t>Jacqueline Nyakutse Afua</t>
        </is>
      </c>
      <c r="E1840" t="inlineStr">
        <is>
          <t>Joseph Isaiah Mensah</t>
        </is>
      </c>
      <c r="F1840" s="5" t="n">
        <v>46162.67415509259</v>
      </c>
      <c r="H1840" t="inlineStr">
        <is>
          <t>PCGH774 -Evaluation Deep-Dive Action Plans by Socfin Group</t>
        </is>
      </c>
      <c r="I1840" t="n">
        <v>1</v>
      </c>
      <c r="J1840" t="inlineStr">
        <is>
          <t>PCGH774 - Project Management (2) (Socfinco FR SA)</t>
        </is>
      </c>
      <c r="L1840" t="b">
        <v>1</v>
      </c>
      <c r="M1840" t="inlineStr">
        <is>
          <t>Billed at a Fixed price</t>
        </is>
      </c>
      <c r="N1840" s="6">
        <f>IF(B1840="","",IF(ISNUMBER(B1840),TEXT(B1840,"YYYY-MM"),LEFT(B1840,7)))</f>
        <v/>
      </c>
    </row>
    <row r="1841">
      <c r="A1841" t="inlineStr">
        <is>
          <t>James Parker Mckeown</t>
        </is>
      </c>
      <c r="B1841" s="4" t="n">
        <v>46085</v>
      </c>
      <c r="C1841" t="inlineStr">
        <is>
          <t>/</t>
        </is>
      </c>
      <c r="D1841" t="inlineStr">
        <is>
          <t>James Parker Mckeown</t>
        </is>
      </c>
      <c r="E1841" t="inlineStr">
        <is>
          <t>James Parker Mckeown</t>
        </is>
      </c>
      <c r="F1841" s="5" t="n">
        <v>46162.55321759259</v>
      </c>
      <c r="G1841" t="inlineStr">
        <is>
          <t>Output 2.3</t>
        </is>
      </c>
      <c r="H1841" t="inlineStr">
        <is>
          <t>P23AC00C00 - FGMC</t>
        </is>
      </c>
      <c r="I1841" t="n">
        <v>8</v>
      </c>
      <c r="K1841" t="inlineStr">
        <is>
          <t>P23AC22A00 - Output Two (Elevating Local Solutions - West Africa)</t>
        </is>
      </c>
      <c r="L1841" t="b">
        <v>0</v>
      </c>
      <c r="M1841" t="inlineStr">
        <is>
          <t>Non-Billable</t>
        </is>
      </c>
      <c r="N1841" s="6">
        <f>IF(B1841="","",IF(ISNUMBER(B1841),TEXT(B1841,"YYYY-MM"),LEFT(B1841,7)))</f>
        <v/>
      </c>
    </row>
    <row r="1842">
      <c r="A1842" t="inlineStr">
        <is>
          <t>Daleba Bernard Kpenahi Raymond</t>
        </is>
      </c>
      <c r="B1842" s="4" t="n">
        <v>46085</v>
      </c>
      <c r="C1842" t="inlineStr">
        <is>
          <t>/</t>
        </is>
      </c>
      <c r="D1842" t="inlineStr">
        <is>
          <t>Daleba Bernard Kpenahi Raymond</t>
        </is>
      </c>
      <c r="E1842" t="inlineStr">
        <is>
          <t>Daleba Bernard Kpenahi Raymond</t>
        </is>
      </c>
      <c r="F1842" s="5" t="n">
        <v>46160.89741898148</v>
      </c>
      <c r="H1842" t="inlineStr">
        <is>
          <t>PCGH774 -Evaluation Deep-Dive Action Plans by Socfin Group</t>
        </is>
      </c>
      <c r="I1842" t="n">
        <v>4</v>
      </c>
      <c r="J1842" t="inlineStr">
        <is>
          <t>PCGH774 - Management and staff meetings (Socfinco FR SA)</t>
        </is>
      </c>
      <c r="K1842" t="inlineStr">
        <is>
          <t>SOGB - Review of operational documents</t>
        </is>
      </c>
      <c r="L1842" t="b">
        <v>1</v>
      </c>
      <c r="M1842" t="inlineStr">
        <is>
          <t>Billed at a Fixed price</t>
        </is>
      </c>
      <c r="N1842" s="6">
        <f>IF(B1842="","",IF(ISNUMBER(B1842),TEXT(B1842,"YYYY-MM"),LEFT(B1842,7)))</f>
        <v/>
      </c>
    </row>
    <row r="1843">
      <c r="A1843" t="inlineStr">
        <is>
          <t>Frederick Antwi</t>
        </is>
      </c>
      <c r="B1843" s="4" t="n">
        <v>46085</v>
      </c>
      <c r="C1843" t="inlineStr">
        <is>
          <t>/</t>
        </is>
      </c>
      <c r="D1843" t="inlineStr">
        <is>
          <t>Frederick Antwi</t>
        </is>
      </c>
      <c r="E1843" t="inlineStr">
        <is>
          <t>Frederick Antwi</t>
        </is>
      </c>
      <c r="F1843" s="5" t="n">
        <v>46160.58679398148</v>
      </c>
      <c r="H1843" t="inlineStr">
        <is>
          <t>P13PC00A00 - Private Sector Companies</t>
        </is>
      </c>
      <c r="I1843" t="n">
        <v>6</v>
      </c>
      <c r="L1843" t="b">
        <v>0</v>
      </c>
      <c r="M1843" t="inlineStr">
        <is>
          <t>Non-Billable</t>
        </is>
      </c>
      <c r="N1843" s="6">
        <f>IF(B1843="","",IF(ISNUMBER(B1843),TEXT(B1843,"YYYY-MM"),LEFT(B1843,7)))</f>
        <v/>
      </c>
    </row>
    <row r="1844">
      <c r="A1844" t="inlineStr">
        <is>
          <t>Frederick Antwi</t>
        </is>
      </c>
      <c r="B1844" s="4" t="n">
        <v>46085</v>
      </c>
      <c r="C1844" t="inlineStr">
        <is>
          <t xml:space="preserve">Project team meeting </t>
        </is>
      </c>
      <c r="D1844" t="inlineStr">
        <is>
          <t>Frederick Antwi</t>
        </is>
      </c>
      <c r="E1844" t="inlineStr">
        <is>
          <t>Frederick Antwi</t>
        </is>
      </c>
      <c r="F1844" s="5" t="n">
        <v>46160.58693287037</v>
      </c>
      <c r="H1844" t="inlineStr">
        <is>
          <t>PCGH774 -Evaluation Deep-Dive Action Plans by Socfin Group</t>
        </is>
      </c>
      <c r="I1844" t="n">
        <v>2</v>
      </c>
      <c r="J1844" t="inlineStr">
        <is>
          <t>PCGH774 - Project Management (2) (Socfinco FR SA)</t>
        </is>
      </c>
      <c r="L1844" t="b">
        <v>1</v>
      </c>
      <c r="M1844" t="inlineStr">
        <is>
          <t>Billed at a Fixed price</t>
        </is>
      </c>
      <c r="N1844" s="6">
        <f>IF(B1844="","",IF(ISNUMBER(B1844),TEXT(B1844,"YYYY-MM"),LEFT(B1844,7)))</f>
        <v/>
      </c>
    </row>
    <row r="1845">
      <c r="A1845" t="inlineStr">
        <is>
          <t>Augustus Asamoah</t>
        </is>
      </c>
      <c r="B1845" s="4" t="n">
        <v>46085</v>
      </c>
      <c r="C1845" t="inlineStr">
        <is>
          <t>/</t>
        </is>
      </c>
      <c r="D1845" t="inlineStr">
        <is>
          <t>Augustus Asamoah</t>
        </is>
      </c>
      <c r="E1845" t="inlineStr">
        <is>
          <t>Augustus Asamoah</t>
        </is>
      </c>
      <c r="F1845" s="5" t="n">
        <v>46156.64256944445</v>
      </c>
      <c r="H1845" t="inlineStr">
        <is>
          <t>PCGH784</t>
        </is>
      </c>
      <c r="I1845" t="n">
        <v>8</v>
      </c>
      <c r="J1845" t="inlineStr">
        <is>
          <t>PCGH784 - Desk Study (3) (Okeosisi Jonathan)</t>
        </is>
      </c>
      <c r="L1845" t="b">
        <v>1</v>
      </c>
      <c r="M1845" t="inlineStr">
        <is>
          <t>Billed at a Fixed price</t>
        </is>
      </c>
      <c r="N1845" s="6">
        <f>IF(B1845="","",IF(ISNUMBER(B1845),TEXT(B1845,"YYYY-MM"),LEFT(B1845,7)))</f>
        <v/>
      </c>
    </row>
    <row r="1846">
      <c r="A1846" t="inlineStr">
        <is>
          <t>Stephen Doso</t>
        </is>
      </c>
      <c r="B1846" s="4" t="n">
        <v>46085</v>
      </c>
      <c r="C1846" t="inlineStr">
        <is>
          <t>/</t>
        </is>
      </c>
      <c r="D1846" t="inlineStr">
        <is>
          <t>Stephen Doso</t>
        </is>
      </c>
      <c r="E1846" t="inlineStr">
        <is>
          <t>OdooBot</t>
        </is>
      </c>
      <c r="F1846" s="5" t="n">
        <v>46154.70721064815</v>
      </c>
      <c r="G1846" t="inlineStr">
        <is>
          <t>Field verification and reporting in Nigeria  (2)</t>
        </is>
      </c>
      <c r="H1846" t="inlineStr">
        <is>
          <t>PCGH775 - ESDD of Valency Operations for FMO</t>
        </is>
      </c>
      <c r="I1846" t="n">
        <v>8</v>
      </c>
      <c r="J1846" t="inlineStr">
        <is>
          <t>PCGH775 - Field Verification (2) (Valency International DMCC)</t>
        </is>
      </c>
      <c r="K1846" t="inlineStr">
        <is>
          <t>Analysis and reporting in Nigeria</t>
        </is>
      </c>
      <c r="L1846" t="b">
        <v>1</v>
      </c>
      <c r="M1846" t="inlineStr">
        <is>
          <t>Billed at a Fixed price</t>
        </is>
      </c>
      <c r="N1846" s="6">
        <f>IF(B1846="","",IF(ISNUMBER(B1846),TEXT(B1846,"YYYY-MM"),LEFT(B1846,7)))</f>
        <v/>
      </c>
    </row>
    <row r="1847">
      <c r="A1847" t="inlineStr">
        <is>
          <t>Kwadwo Baniako Nti</t>
        </is>
      </c>
      <c r="B1847" s="4" t="n">
        <v>46085</v>
      </c>
      <c r="C1847" t="inlineStr">
        <is>
          <t>/</t>
        </is>
      </c>
      <c r="D1847" t="inlineStr">
        <is>
          <t>Kwadwo Baniako Nti</t>
        </is>
      </c>
      <c r="E1847" t="inlineStr">
        <is>
          <t>OdooBot</t>
        </is>
      </c>
      <c r="F1847" s="5" t="n">
        <v>46154.70721064815</v>
      </c>
      <c r="H1847" t="inlineStr">
        <is>
          <t>PCGH774 -Evaluation Deep-Dive Action Plans by Socfin Group</t>
        </is>
      </c>
      <c r="I1847" t="n">
        <v>8</v>
      </c>
      <c r="J1847" t="inlineStr">
        <is>
          <t>PCGH774 - Tier 3 (Socfinco FR SA)</t>
        </is>
      </c>
      <c r="K1847" t="inlineStr">
        <is>
          <t>SAC - Review of operational documents</t>
        </is>
      </c>
      <c r="L1847" t="b">
        <v>1</v>
      </c>
      <c r="M1847" t="inlineStr">
        <is>
          <t>Billed at a Fixed price</t>
        </is>
      </c>
      <c r="N1847" s="6">
        <f>IF(B1847="","",IF(ISNUMBER(B1847),TEXT(B1847,"YYYY-MM"),LEFT(B1847,7)))</f>
        <v/>
      </c>
    </row>
    <row r="1848">
      <c r="A1848" t="inlineStr">
        <is>
          <t>Kwadwo Baniako Nti</t>
        </is>
      </c>
      <c r="B1848" s="4" t="n">
        <v>46085</v>
      </c>
      <c r="C1848" t="inlineStr">
        <is>
          <t>/</t>
        </is>
      </c>
      <c r="D1848" t="inlineStr">
        <is>
          <t>Kwadwo Baniako Nti</t>
        </is>
      </c>
      <c r="E1848" t="inlineStr">
        <is>
          <t>OdooBot</t>
        </is>
      </c>
      <c r="F1848" s="5" t="n">
        <v>46154.70721064815</v>
      </c>
      <c r="H1848" t="inlineStr">
        <is>
          <t>PCGH774 -Evaluation Deep-Dive Action Plans by Socfin Group</t>
        </is>
      </c>
      <c r="I1848" t="n">
        <v>0</v>
      </c>
      <c r="J1848" t="inlineStr">
        <is>
          <t>PCGH774 - Management and Monitoring (3) (Socfinco FR SA)</t>
        </is>
      </c>
      <c r="K1848" t="inlineStr">
        <is>
          <t>Okomu - Analysis and reporting</t>
        </is>
      </c>
      <c r="L1848" t="b">
        <v>1</v>
      </c>
      <c r="M1848" t="inlineStr">
        <is>
          <t>Billed at a Fixed price</t>
        </is>
      </c>
      <c r="N1848" s="6">
        <f>IF(B1848="","",IF(ISNUMBER(B1848),TEXT(B1848,"YYYY-MM"),LEFT(B1848,7)))</f>
        <v/>
      </c>
    </row>
    <row r="1849">
      <c r="A1849" t="inlineStr">
        <is>
          <t>Helena Tetteh</t>
        </is>
      </c>
      <c r="B1849" s="4" t="n">
        <v>46085</v>
      </c>
      <c r="C1849" t="inlineStr">
        <is>
          <t>/</t>
        </is>
      </c>
      <c r="D1849" t="inlineStr">
        <is>
          <t xml:space="preserve">Helena Tetteh </t>
        </is>
      </c>
      <c r="E1849" t="inlineStr">
        <is>
          <t>OdooBot</t>
        </is>
      </c>
      <c r="F1849" s="5" t="n">
        <v>46154.70721064815</v>
      </c>
      <c r="H1849" t="inlineStr">
        <is>
          <t>P23AC00C00 - FGMC</t>
        </is>
      </c>
      <c r="I1849" t="n">
        <v>8</v>
      </c>
      <c r="K1849" t="inlineStr">
        <is>
          <t>Output 2.3</t>
        </is>
      </c>
      <c r="L1849" t="b">
        <v>0</v>
      </c>
      <c r="M1849" t="inlineStr">
        <is>
          <t>Non-Billable</t>
        </is>
      </c>
      <c r="N1849" s="6">
        <f>IF(B1849="","",IF(ISNUMBER(B1849),TEXT(B1849,"YYYY-MM"),LEFT(B1849,7)))</f>
        <v/>
      </c>
    </row>
    <row r="1850">
      <c r="A1850" t="inlineStr">
        <is>
          <t>Ekow Nyamekye Tawiah</t>
        </is>
      </c>
      <c r="B1850" s="4" t="n">
        <v>46085</v>
      </c>
      <c r="C1850" t="inlineStr">
        <is>
          <t>/</t>
        </is>
      </c>
      <c r="D1850" t="inlineStr">
        <is>
          <t>Joseph Isaiah Mensah</t>
        </is>
      </c>
      <c r="E1850" t="inlineStr">
        <is>
          <t>OdooBot</t>
        </is>
      </c>
      <c r="F1850" s="5" t="n">
        <v>46154.70721064815</v>
      </c>
      <c r="H1850" t="inlineStr">
        <is>
          <t>PCGH722</t>
        </is>
      </c>
      <c r="I1850" t="n">
        <v>4</v>
      </c>
      <c r="J1850" t="inlineStr">
        <is>
          <t>PCGH722 - Analysis and Reporting (3) (Sucrivoire SA)</t>
        </is>
      </c>
      <c r="K1850" t="inlineStr">
        <is>
          <t>Analysis and Reporting (3)</t>
        </is>
      </c>
      <c r="L1850" t="b">
        <v>1</v>
      </c>
      <c r="M1850" t="inlineStr">
        <is>
          <t>Billed at a Fixed price</t>
        </is>
      </c>
      <c r="N1850" s="6">
        <f>IF(B1850="","",IF(ISNUMBER(B1850),TEXT(B1850,"YYYY-MM"),LEFT(B1850,7)))</f>
        <v/>
      </c>
    </row>
    <row r="1851">
      <c r="A1851" t="inlineStr">
        <is>
          <t>Louis Defo</t>
        </is>
      </c>
      <c r="B1851" s="4" t="n">
        <v>46085</v>
      </c>
      <c r="C1851" t="inlineStr">
        <is>
          <t>/</t>
        </is>
      </c>
      <c r="D1851" t="inlineStr">
        <is>
          <t>Louis Defo</t>
        </is>
      </c>
      <c r="E1851" t="inlineStr">
        <is>
          <t>OdooBot</t>
        </is>
      </c>
      <c r="F1851" s="5" t="n">
        <v>46154.70721064815</v>
      </c>
      <c r="G1851" t="inlineStr">
        <is>
          <t>Output 2.2</t>
        </is>
      </c>
      <c r="H1851" t="inlineStr">
        <is>
          <t>P23AC00C00 - FGMC</t>
        </is>
      </c>
      <c r="I1851" t="n">
        <v>8</v>
      </c>
      <c r="K1851" t="inlineStr">
        <is>
          <t>P23AC42A00 - Accelerating Implementation.</t>
        </is>
      </c>
      <c r="L1851" t="b">
        <v>0</v>
      </c>
      <c r="M1851" t="inlineStr">
        <is>
          <t>Non-Billable</t>
        </is>
      </c>
      <c r="N1851" s="6">
        <f>IF(B1851="","",IF(ISNUMBER(B1851),TEXT(B1851,"YYYY-MM"),LEFT(B1851,7)))</f>
        <v/>
      </c>
    </row>
    <row r="1852">
      <c r="A1852" t="inlineStr">
        <is>
          <t>Clement Obeng-Manu</t>
        </is>
      </c>
      <c r="B1852" s="4" t="n">
        <v>46085</v>
      </c>
      <c r="C1852" t="inlineStr">
        <is>
          <t>/</t>
        </is>
      </c>
      <c r="D1852" t="inlineStr">
        <is>
          <t>Ekow Nyamekye Tawiah</t>
        </is>
      </c>
      <c r="E1852" t="inlineStr">
        <is>
          <t>OdooBot</t>
        </is>
      </c>
      <c r="F1852" s="5" t="n">
        <v>46154.70721064815</v>
      </c>
      <c r="H1852" t="inlineStr">
        <is>
          <t>PCGH777</t>
        </is>
      </c>
      <c r="I1852" t="n">
        <v>8</v>
      </c>
      <c r="J1852" t="inlineStr">
        <is>
          <t>PCGH777 - Field work  (3) (Proforest Limited(PCUK GBP))</t>
        </is>
      </c>
      <c r="K1852" t="inlineStr">
        <is>
          <t>Fieldwork – stakeholder engagement</t>
        </is>
      </c>
      <c r="L1852" t="b">
        <v>1</v>
      </c>
      <c r="M1852" t="inlineStr">
        <is>
          <t>Billed at a Fixed price</t>
        </is>
      </c>
      <c r="N1852" s="6">
        <f>IF(B1852="","",IF(ISNUMBER(B1852),TEXT(B1852,"YYYY-MM"),LEFT(B1852,7)))</f>
        <v/>
      </c>
    </row>
    <row r="1853">
      <c r="A1853" t="inlineStr">
        <is>
          <t>Kingsley Fitz-Gerald Severine</t>
        </is>
      </c>
      <c r="B1853" s="4" t="n">
        <v>46085</v>
      </c>
      <c r="C1853" t="inlineStr">
        <is>
          <t>/</t>
        </is>
      </c>
      <c r="D1853" t="inlineStr">
        <is>
          <t>Kingsley Fitz-Gerald Severine</t>
        </is>
      </c>
      <c r="E1853" t="inlineStr">
        <is>
          <t>OdooBot</t>
        </is>
      </c>
      <c r="F1853" s="5" t="n">
        <v>46154.70721064815</v>
      </c>
      <c r="G1853" t="inlineStr">
        <is>
          <t>Field Visit and Data Collection</t>
        </is>
      </c>
      <c r="H1853" t="inlineStr">
        <is>
          <t>PCGH785</t>
        </is>
      </c>
      <c r="I1853" t="n">
        <v>8</v>
      </c>
      <c r="J1853" t="inlineStr">
        <is>
          <t>PCGH785 -  Field data collection  (3) (Okeosisi Jonathan)</t>
        </is>
      </c>
      <c r="K1853" t="inlineStr">
        <is>
          <t>Ground-truthing and mapping</t>
        </is>
      </c>
      <c r="L1853" t="b">
        <v>1</v>
      </c>
      <c r="M1853" t="inlineStr">
        <is>
          <t>Billed at a Fixed price</t>
        </is>
      </c>
      <c r="N1853" s="6">
        <f>IF(B1853="","",IF(ISNUMBER(B1853),TEXT(B1853,"YYYY-MM"),LEFT(B1853,7)))</f>
        <v/>
      </c>
    </row>
    <row r="1854">
      <c r="A1854" t="inlineStr">
        <is>
          <t>Kingsley Fitz-Gerald Severine</t>
        </is>
      </c>
      <c r="B1854" s="4" t="n">
        <v>46085</v>
      </c>
      <c r="C1854" t="inlineStr">
        <is>
          <t>/</t>
        </is>
      </c>
      <c r="D1854" t="inlineStr">
        <is>
          <t>Kingsley Fitz-Gerald Severine</t>
        </is>
      </c>
      <c r="E1854" t="inlineStr">
        <is>
          <t>OdooBot</t>
        </is>
      </c>
      <c r="F1854" s="5" t="n">
        <v>46154.70721064815</v>
      </c>
      <c r="G1854" t="inlineStr">
        <is>
          <t>Field Visit and Data Collection</t>
        </is>
      </c>
      <c r="H1854" t="inlineStr">
        <is>
          <t>PCGH785</t>
        </is>
      </c>
      <c r="I1854" t="n">
        <v>0</v>
      </c>
      <c r="J1854" t="inlineStr">
        <is>
          <t>PCGH785 -  Field data collection  (3) (Okeosisi Jonathan)</t>
        </is>
      </c>
      <c r="K1854" t="inlineStr">
        <is>
          <t>Institutional engagements</t>
        </is>
      </c>
      <c r="L1854" t="b">
        <v>1</v>
      </c>
      <c r="M1854" t="inlineStr">
        <is>
          <t>Billed at a Fixed price</t>
        </is>
      </c>
      <c r="N1854" s="6">
        <f>IF(B1854="","",IF(ISNUMBER(B1854),TEXT(B1854,"YYYY-MM"),LEFT(B1854,7)))</f>
        <v/>
      </c>
    </row>
    <row r="1855">
      <c r="A1855" t="inlineStr">
        <is>
          <t>Joseph Isaiah Mensah</t>
        </is>
      </c>
      <c r="B1855" s="4" t="n">
        <v>46084</v>
      </c>
      <c r="C1855" t="inlineStr">
        <is>
          <t>Crabbe Workshop</t>
        </is>
      </c>
      <c r="D1855" t="inlineStr">
        <is>
          <t>Jacqueline Nyakutse Afua</t>
        </is>
      </c>
      <c r="E1855" t="inlineStr">
        <is>
          <t>Joseph Isaiah Mensah</t>
        </is>
      </c>
      <c r="F1855" s="5" t="n">
        <v>46162.67167824074</v>
      </c>
      <c r="G1855" t="inlineStr">
        <is>
          <t>Output 1</t>
        </is>
      </c>
      <c r="H1855" t="inlineStr">
        <is>
          <t>P23AC00C00 - FGMC</t>
        </is>
      </c>
      <c r="I1855" t="n">
        <v>8</v>
      </c>
      <c r="K1855" t="inlineStr">
        <is>
          <t>P23AC23A00 - Output Two (Elevating Local Solutions - Cameroon)</t>
        </is>
      </c>
      <c r="L1855" t="b">
        <v>0</v>
      </c>
      <c r="M1855" t="inlineStr">
        <is>
          <t>Non-Billable</t>
        </is>
      </c>
      <c r="N1855" s="6">
        <f>IF(B1855="","",IF(ISNUMBER(B1855),TEXT(B1855,"YYYY-MM"),LEFT(B1855,7)))</f>
        <v/>
      </c>
    </row>
    <row r="1856">
      <c r="A1856" t="inlineStr">
        <is>
          <t>James Parker Mckeown</t>
        </is>
      </c>
      <c r="B1856" s="4" t="n">
        <v>46084</v>
      </c>
      <c r="C1856" t="inlineStr">
        <is>
          <t>/</t>
        </is>
      </c>
      <c r="D1856" t="inlineStr">
        <is>
          <t>James Parker Mckeown</t>
        </is>
      </c>
      <c r="E1856" t="inlineStr">
        <is>
          <t>James Parker Mckeown</t>
        </is>
      </c>
      <c r="F1856" s="5" t="n">
        <v>46162.5534375</v>
      </c>
      <c r="G1856" t="inlineStr">
        <is>
          <t>Output 2.3</t>
        </is>
      </c>
      <c r="H1856" t="inlineStr">
        <is>
          <t>P23AC00C00 - FGMC</t>
        </is>
      </c>
      <c r="I1856" t="n">
        <v>8</v>
      </c>
      <c r="K1856" t="inlineStr">
        <is>
          <t>P23AC22A00 - Output Two (Elevating Local Solutions - West Africa)</t>
        </is>
      </c>
      <c r="L1856" t="b">
        <v>0</v>
      </c>
      <c r="M1856" t="inlineStr">
        <is>
          <t>Non-Billable</t>
        </is>
      </c>
      <c r="N1856" s="6">
        <f>IF(B1856="","",IF(ISNUMBER(B1856),TEXT(B1856,"YYYY-MM"),LEFT(B1856,7)))</f>
        <v/>
      </c>
    </row>
    <row r="1857">
      <c r="A1857" t="inlineStr">
        <is>
          <t>Daleba Bernard Kpenahi Raymond</t>
        </is>
      </c>
      <c r="B1857" s="4" t="n">
        <v>46084</v>
      </c>
      <c r="C1857" t="inlineStr">
        <is>
          <t>/</t>
        </is>
      </c>
      <c r="D1857" t="inlineStr">
        <is>
          <t>Daleba Bernard Kpenahi Raymond</t>
        </is>
      </c>
      <c r="E1857" t="inlineStr">
        <is>
          <t>Daleba Bernard Kpenahi Raymond</t>
        </is>
      </c>
      <c r="F1857" s="5" t="n">
        <v>46160.89734953704</v>
      </c>
      <c r="H1857" t="inlineStr">
        <is>
          <t>Non-Billable Tasks</t>
        </is>
      </c>
      <c r="I1857" t="n">
        <v>8</v>
      </c>
      <c r="K1857" t="inlineStr">
        <is>
          <t>Business Development and Networking</t>
        </is>
      </c>
      <c r="L1857" t="b">
        <v>0</v>
      </c>
      <c r="M1857" t="inlineStr">
        <is>
          <t>Non-Billable</t>
        </is>
      </c>
      <c r="N1857" s="6">
        <f>IF(B1857="","",IF(ISNUMBER(B1857),TEXT(B1857,"YYYY-MM"),LEFT(B1857,7)))</f>
        <v/>
      </c>
    </row>
    <row r="1858">
      <c r="A1858" t="inlineStr">
        <is>
          <t>Frederick Antwi</t>
        </is>
      </c>
      <c r="B1858" s="4" t="n">
        <v>46084</v>
      </c>
      <c r="C1858" t="inlineStr">
        <is>
          <t>/</t>
        </is>
      </c>
      <c r="D1858" t="inlineStr">
        <is>
          <t>Frederick Antwi</t>
        </is>
      </c>
      <c r="E1858" t="inlineStr">
        <is>
          <t>Frederick Antwi</t>
        </is>
      </c>
      <c r="F1858" s="5" t="n">
        <v>46160.58579861111</v>
      </c>
      <c r="H1858" t="inlineStr">
        <is>
          <t>PCGH768</t>
        </is>
      </c>
      <c r="I1858" t="n">
        <v>8</v>
      </c>
      <c r="L1858" t="b">
        <v>1</v>
      </c>
      <c r="M1858" t="inlineStr">
        <is>
          <t>Non-Billable</t>
        </is>
      </c>
      <c r="N1858" s="6">
        <f>IF(B1858="","",IF(ISNUMBER(B1858),TEXT(B1858,"YYYY-MM"),LEFT(B1858,7)))</f>
        <v/>
      </c>
    </row>
    <row r="1859">
      <c r="A1859" t="inlineStr">
        <is>
          <t>Augustus Asamoah</t>
        </is>
      </c>
      <c r="B1859" s="4" t="n">
        <v>46084</v>
      </c>
      <c r="C1859" t="inlineStr">
        <is>
          <t>/</t>
        </is>
      </c>
      <c r="D1859" t="inlineStr">
        <is>
          <t>Augustus Asamoah</t>
        </is>
      </c>
      <c r="E1859" t="inlineStr">
        <is>
          <t>Augustus Asamoah</t>
        </is>
      </c>
      <c r="F1859" s="5" t="n">
        <v>46156.64252314815</v>
      </c>
      <c r="H1859" t="inlineStr">
        <is>
          <t>PCGH784</t>
        </is>
      </c>
      <c r="I1859" t="n">
        <v>8</v>
      </c>
      <c r="J1859" t="inlineStr">
        <is>
          <t>PCGH784 - Desk Study (3) (Okeosisi Jonathan)</t>
        </is>
      </c>
      <c r="L1859" t="b">
        <v>1</v>
      </c>
      <c r="M1859" t="inlineStr">
        <is>
          <t>Billed at a Fixed price</t>
        </is>
      </c>
      <c r="N1859" s="6">
        <f>IF(B1859="","",IF(ISNUMBER(B1859),TEXT(B1859,"YYYY-MM"),LEFT(B1859,7)))</f>
        <v/>
      </c>
    </row>
    <row r="1860">
      <c r="A1860" t="inlineStr">
        <is>
          <t>Afua Serwah Akoto Prempeh</t>
        </is>
      </c>
      <c r="B1860" s="4" t="n">
        <v>46084</v>
      </c>
      <c r="C1860" t="inlineStr">
        <is>
          <t>/</t>
        </is>
      </c>
      <c r="D1860" t="inlineStr">
        <is>
          <t>Afua Serwah Akoto Prempeh</t>
        </is>
      </c>
      <c r="E1860" t="inlineStr">
        <is>
          <t>OdooBot</t>
        </is>
      </c>
      <c r="F1860" s="5" t="n">
        <v>46154.70721064815</v>
      </c>
      <c r="H1860" t="inlineStr">
        <is>
          <t>Non-Billable Tasks</t>
        </is>
      </c>
      <c r="I1860" t="n">
        <v>4</v>
      </c>
      <c r="K1860" t="inlineStr">
        <is>
          <t>Administrative Tasks</t>
        </is>
      </c>
      <c r="L1860" t="b">
        <v>0</v>
      </c>
      <c r="M1860" t="inlineStr">
        <is>
          <t>Non-Billable</t>
        </is>
      </c>
      <c r="N1860" s="6">
        <f>IF(B1860="","",IF(ISNUMBER(B1860),TEXT(B1860,"YYYY-MM"),LEFT(B1860,7)))</f>
        <v/>
      </c>
    </row>
    <row r="1861">
      <c r="A1861" t="inlineStr">
        <is>
          <t>Afua Serwah Akoto Prempeh</t>
        </is>
      </c>
      <c r="B1861" s="4" t="n">
        <v>46084</v>
      </c>
      <c r="C1861" t="inlineStr">
        <is>
          <t>/</t>
        </is>
      </c>
      <c r="D1861" t="inlineStr">
        <is>
          <t>Afua Serwah Akoto Prempeh</t>
        </is>
      </c>
      <c r="E1861" t="inlineStr">
        <is>
          <t>OdooBot</t>
        </is>
      </c>
      <c r="F1861" s="5" t="n">
        <v>46154.70721064815</v>
      </c>
      <c r="H1861" t="inlineStr">
        <is>
          <t>P23AC00C00 - FGMC</t>
        </is>
      </c>
      <c r="I1861" t="n">
        <v>4</v>
      </c>
      <c r="L1861" t="b">
        <v>0</v>
      </c>
      <c r="M1861" t="inlineStr">
        <is>
          <t>Non-Billable</t>
        </is>
      </c>
      <c r="N1861" s="6">
        <f>IF(B1861="","",IF(ISNUMBER(B1861),TEXT(B1861,"YYYY-MM"),LEFT(B1861,7)))</f>
        <v/>
      </c>
    </row>
    <row r="1862">
      <c r="A1862" t="inlineStr">
        <is>
          <t>Stephen Doso</t>
        </is>
      </c>
      <c r="B1862" s="4" t="n">
        <v>46084</v>
      </c>
      <c r="C1862" t="inlineStr">
        <is>
          <t>/</t>
        </is>
      </c>
      <c r="D1862" t="inlineStr">
        <is>
          <t>Stephen Doso</t>
        </is>
      </c>
      <c r="E1862" t="inlineStr">
        <is>
          <t>OdooBot</t>
        </is>
      </c>
      <c r="F1862" s="5" t="n">
        <v>46154.70721064815</v>
      </c>
      <c r="G1862" t="inlineStr">
        <is>
          <t>Field verification and reporting in Nigeria  (2)</t>
        </is>
      </c>
      <c r="H1862" t="inlineStr">
        <is>
          <t>PCGH775 - ESDD of Valency Operations for FMO</t>
        </is>
      </c>
      <c r="I1862" t="n">
        <v>4</v>
      </c>
      <c r="J1862" t="inlineStr">
        <is>
          <t>PCGH775 - Field Verification (2) (Valency International DMCC)</t>
        </is>
      </c>
      <c r="K1862" t="inlineStr">
        <is>
          <t>Analysis and reporting in Nigeria</t>
        </is>
      </c>
      <c r="L1862" t="b">
        <v>1</v>
      </c>
      <c r="M1862" t="inlineStr">
        <is>
          <t>Billed at a Fixed price</t>
        </is>
      </c>
      <c r="N1862" s="6">
        <f>IF(B1862="","",IF(ISNUMBER(B1862),TEXT(B1862,"YYYY-MM"),LEFT(B1862,7)))</f>
        <v/>
      </c>
    </row>
    <row r="1863">
      <c r="A1863" t="inlineStr">
        <is>
          <t>Stephen Doso</t>
        </is>
      </c>
      <c r="B1863" s="4" t="n">
        <v>46084</v>
      </c>
      <c r="C1863" t="inlineStr">
        <is>
          <t>/</t>
        </is>
      </c>
      <c r="D1863" t="inlineStr">
        <is>
          <t>Stephen Doso</t>
        </is>
      </c>
      <c r="E1863" t="inlineStr">
        <is>
          <t>OdooBot</t>
        </is>
      </c>
      <c r="F1863" s="5" t="n">
        <v>46154.70721064815</v>
      </c>
      <c r="G1863" t="inlineStr">
        <is>
          <t>Desk study, development of assessment framework &amp; online meetings (2)</t>
        </is>
      </c>
      <c r="H1863" t="inlineStr">
        <is>
          <t>PCGH775 - ESDD of Valency Operations for FMO</t>
        </is>
      </c>
      <c r="I1863" t="n">
        <v>4</v>
      </c>
      <c r="J1863" t="inlineStr">
        <is>
          <t>PCGH775 - Development of Assessment Framework (2) (Valency International DMCC)</t>
        </is>
      </c>
      <c r="K1863" t="inlineStr">
        <is>
          <t>Development of assessment framework</t>
        </is>
      </c>
      <c r="L1863" t="b">
        <v>1</v>
      </c>
      <c r="M1863" t="inlineStr">
        <is>
          <t>Billed at a Fixed price</t>
        </is>
      </c>
      <c r="N1863" s="6">
        <f>IF(B1863="","",IF(ISNUMBER(B1863),TEXT(B1863,"YYYY-MM"),LEFT(B1863,7)))</f>
        <v/>
      </c>
    </row>
    <row r="1864">
      <c r="A1864" t="inlineStr">
        <is>
          <t>Kwadwo Baniako Nti</t>
        </is>
      </c>
      <c r="B1864" s="4" t="n">
        <v>46084</v>
      </c>
      <c r="C1864" t="inlineStr">
        <is>
          <t>/</t>
        </is>
      </c>
      <c r="D1864" t="inlineStr">
        <is>
          <t>Kwadwo Baniako Nti</t>
        </is>
      </c>
      <c r="E1864" t="inlineStr">
        <is>
          <t>OdooBot</t>
        </is>
      </c>
      <c r="F1864" s="5" t="n">
        <v>46154.70721064815</v>
      </c>
      <c r="H1864" t="inlineStr">
        <is>
          <t>PCGH774 -Evaluation Deep-Dive Action Plans by Socfin Group</t>
        </is>
      </c>
      <c r="I1864" t="n">
        <v>8</v>
      </c>
      <c r="J1864" t="inlineStr">
        <is>
          <t>PCGH774 - Management and Monitoring (3) (Socfinco FR SA)</t>
        </is>
      </c>
      <c r="K1864" t="inlineStr">
        <is>
          <t>Okomu - Analysis and reporting</t>
        </is>
      </c>
      <c r="L1864" t="b">
        <v>1</v>
      </c>
      <c r="M1864" t="inlineStr">
        <is>
          <t>Billed at a Fixed price</t>
        </is>
      </c>
      <c r="N1864" s="6">
        <f>IF(B1864="","",IF(ISNUMBER(B1864),TEXT(B1864,"YYYY-MM"),LEFT(B1864,7)))</f>
        <v/>
      </c>
    </row>
    <row r="1865">
      <c r="A1865" t="inlineStr">
        <is>
          <t>Helena Tetteh</t>
        </is>
      </c>
      <c r="B1865" s="4" t="n">
        <v>46084</v>
      </c>
      <c r="C1865" t="inlineStr">
        <is>
          <t>/</t>
        </is>
      </c>
      <c r="D1865" t="inlineStr">
        <is>
          <t xml:space="preserve">Helena Tetteh </t>
        </is>
      </c>
      <c r="E1865" t="inlineStr">
        <is>
          <t>OdooBot</t>
        </is>
      </c>
      <c r="F1865" s="5" t="n">
        <v>46154.70721064815</v>
      </c>
      <c r="H1865" t="inlineStr">
        <is>
          <t>Non-Billable Tasks</t>
        </is>
      </c>
      <c r="I1865" t="n">
        <v>8</v>
      </c>
      <c r="K1865" t="inlineStr">
        <is>
          <t>Portfolio Team Management</t>
        </is>
      </c>
      <c r="L1865" t="b">
        <v>0</v>
      </c>
      <c r="M1865" t="inlineStr">
        <is>
          <t>Non-Billable</t>
        </is>
      </c>
      <c r="N1865" s="6">
        <f>IF(B1865="","",IF(ISNUMBER(B1865),TEXT(B1865,"YYYY-MM"),LEFT(B1865,7)))</f>
        <v/>
      </c>
    </row>
    <row r="1866">
      <c r="A1866" t="inlineStr">
        <is>
          <t>Ekow Nyamekye Tawiah</t>
        </is>
      </c>
      <c r="B1866" s="4" t="n">
        <v>46084</v>
      </c>
      <c r="C1866" t="inlineStr">
        <is>
          <t>/</t>
        </is>
      </c>
      <c r="D1866" t="inlineStr">
        <is>
          <t>Joseph Isaiah Mensah</t>
        </is>
      </c>
      <c r="E1866" t="inlineStr">
        <is>
          <t>OdooBot</t>
        </is>
      </c>
      <c r="F1866" s="5" t="n">
        <v>46154.70721064815</v>
      </c>
      <c r="H1866" t="inlineStr">
        <is>
          <t>PCGH722</t>
        </is>
      </c>
      <c r="I1866" t="n">
        <v>4</v>
      </c>
      <c r="J1866" t="inlineStr">
        <is>
          <t>PCGH722 - Analysis and Reporting (3) (Sucrivoire SA)</t>
        </is>
      </c>
      <c r="K1866" t="inlineStr">
        <is>
          <t>Analysis and Reporting (3)</t>
        </is>
      </c>
      <c r="L1866" t="b">
        <v>1</v>
      </c>
      <c r="M1866" t="inlineStr">
        <is>
          <t>Billed at a Fixed price</t>
        </is>
      </c>
      <c r="N1866" s="6">
        <f>IF(B1866="","",IF(ISNUMBER(B1866),TEXT(B1866,"YYYY-MM"),LEFT(B1866,7)))</f>
        <v/>
      </c>
    </row>
    <row r="1867">
      <c r="A1867" t="inlineStr">
        <is>
          <t>Louis Defo</t>
        </is>
      </c>
      <c r="B1867" s="4" t="n">
        <v>46084</v>
      </c>
      <c r="C1867" t="inlineStr">
        <is>
          <t>follow-up PF registration process</t>
        </is>
      </c>
      <c r="D1867" t="inlineStr">
        <is>
          <t>Louis Defo</t>
        </is>
      </c>
      <c r="E1867" t="inlineStr">
        <is>
          <t>OdooBot</t>
        </is>
      </c>
      <c r="F1867" s="5" t="n">
        <v>46154.70721064815</v>
      </c>
      <c r="H1867" t="inlineStr">
        <is>
          <t>Non-Billable Tasks</t>
        </is>
      </c>
      <c r="I1867" t="n">
        <v>8</v>
      </c>
      <c r="L1867" t="b">
        <v>0</v>
      </c>
      <c r="M1867" t="inlineStr">
        <is>
          <t>Non-Billable</t>
        </is>
      </c>
      <c r="N1867" s="6">
        <f>IF(B1867="","",IF(ISNUMBER(B1867),TEXT(B1867,"YYYY-MM"),LEFT(B1867,7)))</f>
        <v/>
      </c>
    </row>
    <row r="1868">
      <c r="A1868" t="inlineStr">
        <is>
          <t>Clement Obeng-Manu</t>
        </is>
      </c>
      <c r="B1868" s="4" t="n">
        <v>46084</v>
      </c>
      <c r="C1868" t="inlineStr">
        <is>
          <t>/</t>
        </is>
      </c>
      <c r="D1868" t="inlineStr">
        <is>
          <t>Ekow Nyamekye Tawiah</t>
        </is>
      </c>
      <c r="E1868" t="inlineStr">
        <is>
          <t>OdooBot</t>
        </is>
      </c>
      <c r="F1868" s="5" t="n">
        <v>46154.70721064815</v>
      </c>
      <c r="H1868" t="inlineStr">
        <is>
          <t>PCGH777</t>
        </is>
      </c>
      <c r="I1868" t="n">
        <v>8</v>
      </c>
      <c r="J1868" t="inlineStr">
        <is>
          <t>PCGH777 - Field work  (3) (Proforest Limited(PCUK GBP))</t>
        </is>
      </c>
      <c r="K1868" t="inlineStr">
        <is>
          <t>Fieldwork – stakeholder engagement</t>
        </is>
      </c>
      <c r="L1868" t="b">
        <v>1</v>
      </c>
      <c r="M1868" t="inlineStr">
        <is>
          <t>Billed at a Fixed price</t>
        </is>
      </c>
      <c r="N1868" s="6">
        <f>IF(B1868="","",IF(ISNUMBER(B1868),TEXT(B1868,"YYYY-MM"),LEFT(B1868,7)))</f>
        <v/>
      </c>
    </row>
    <row r="1869">
      <c r="A1869" t="inlineStr">
        <is>
          <t>Mawuse Agblobi</t>
        </is>
      </c>
      <c r="B1869" s="4" t="n">
        <v>46084</v>
      </c>
      <c r="C1869" t="inlineStr">
        <is>
          <t>Time Off (7/7)</t>
        </is>
      </c>
      <c r="D1869" t="inlineStr">
        <is>
          <t>Adwoa Fremah Ntosour-Amponsem</t>
        </is>
      </c>
      <c r="E1869" t="inlineStr">
        <is>
          <t>OdooBot</t>
        </is>
      </c>
      <c r="F1869" s="5" t="n">
        <v>46154.70721064815</v>
      </c>
      <c r="H1869" t="inlineStr">
        <is>
          <t>Internal</t>
        </is>
      </c>
      <c r="I1869" t="n">
        <v>8</v>
      </c>
      <c r="K1869" t="inlineStr">
        <is>
          <t>Time Off</t>
        </is>
      </c>
      <c r="L1869" t="b">
        <v>0</v>
      </c>
      <c r="M1869" t="inlineStr">
        <is>
          <t>Non-Billable</t>
        </is>
      </c>
      <c r="N1869" s="6">
        <f>IF(B1869="","",IF(ISNUMBER(B1869),TEXT(B1869,"YYYY-MM"),LEFT(B1869,7)))</f>
        <v/>
      </c>
    </row>
    <row r="1870">
      <c r="A1870" t="inlineStr">
        <is>
          <t>Kingsley Fitz-Gerald Severine</t>
        </is>
      </c>
      <c r="B1870" s="4" t="n">
        <v>46084</v>
      </c>
      <c r="C1870" t="inlineStr">
        <is>
          <t>/</t>
        </is>
      </c>
      <c r="D1870" t="inlineStr">
        <is>
          <t>Kingsley Fitz-Gerald Severine</t>
        </is>
      </c>
      <c r="E1870" t="inlineStr">
        <is>
          <t>OdooBot</t>
        </is>
      </c>
      <c r="F1870" s="5" t="n">
        <v>46154.70721064815</v>
      </c>
      <c r="G1870" t="inlineStr">
        <is>
          <t>Field Visit and Data Collection</t>
        </is>
      </c>
      <c r="H1870" t="inlineStr">
        <is>
          <t>PCGH785</t>
        </is>
      </c>
      <c r="I1870" t="n">
        <v>8</v>
      </c>
      <c r="J1870" t="inlineStr">
        <is>
          <t>PCGH785 -  Field data collection  (3) (Okeosisi Jonathan)</t>
        </is>
      </c>
      <c r="K1870" t="inlineStr">
        <is>
          <t>Ground-truthing and mapping</t>
        </is>
      </c>
      <c r="L1870" t="b">
        <v>1</v>
      </c>
      <c r="M1870" t="inlineStr">
        <is>
          <t>Billed at a Fixed price</t>
        </is>
      </c>
      <c r="N1870" s="6">
        <f>IF(B1870="","",IF(ISNUMBER(B1870),TEXT(B1870,"YYYY-MM"),LEFT(B1870,7)))</f>
        <v/>
      </c>
    </row>
    <row r="1871">
      <c r="A1871" t="inlineStr">
        <is>
          <t>Kingsley Fitz-Gerald Severine</t>
        </is>
      </c>
      <c r="B1871" s="4" t="n">
        <v>46084</v>
      </c>
      <c r="C1871" t="inlineStr">
        <is>
          <t>/</t>
        </is>
      </c>
      <c r="D1871" t="inlineStr">
        <is>
          <t>Kingsley Fitz-Gerald Severine</t>
        </is>
      </c>
      <c r="E1871" t="inlineStr">
        <is>
          <t>OdooBot</t>
        </is>
      </c>
      <c r="F1871" s="5" t="n">
        <v>46154.70721064815</v>
      </c>
      <c r="G1871" t="inlineStr">
        <is>
          <t>Field Visit and Data Collection</t>
        </is>
      </c>
      <c r="H1871" t="inlineStr">
        <is>
          <t>PCGH785</t>
        </is>
      </c>
      <c r="I1871" t="n">
        <v>0</v>
      </c>
      <c r="J1871" t="inlineStr">
        <is>
          <t>PCGH785 -  Field data collection  (3) (Okeosisi Jonathan)</t>
        </is>
      </c>
      <c r="K1871" t="inlineStr">
        <is>
          <t>Community engagements</t>
        </is>
      </c>
      <c r="L1871" t="b">
        <v>1</v>
      </c>
      <c r="M1871" t="inlineStr">
        <is>
          <t>Billed at a Fixed price</t>
        </is>
      </c>
      <c r="N1871" s="6">
        <f>IF(B1871="","",IF(ISNUMBER(B1871),TEXT(B1871,"YYYY-MM"),LEFT(B1871,7)))</f>
        <v/>
      </c>
    </row>
    <row r="1872">
      <c r="A1872" t="inlineStr">
        <is>
          <t>Joseph Isaiah Mensah</t>
        </is>
      </c>
      <c r="B1872" s="4" t="n">
        <v>46083</v>
      </c>
      <c r="C1872" t="inlineStr">
        <is>
          <t>/</t>
        </is>
      </c>
      <c r="D1872" t="inlineStr">
        <is>
          <t>Jacqueline Nyakutse Afua</t>
        </is>
      </c>
      <c r="E1872" t="inlineStr">
        <is>
          <t>Joseph Isaiah Mensah</t>
        </is>
      </c>
      <c r="F1872" s="5" t="n">
        <v>46162.67065972222</v>
      </c>
      <c r="H1872" t="inlineStr">
        <is>
          <t>PCGH775 - ESDD of Valency Operations for FMO</t>
        </is>
      </c>
      <c r="I1872" t="n">
        <v>8</v>
      </c>
      <c r="J1872" t="inlineStr">
        <is>
          <t>PCGH775 - Kick-Off Meeting (Valency International DMCC)</t>
        </is>
      </c>
      <c r="L1872" t="b">
        <v>1</v>
      </c>
      <c r="M1872" t="inlineStr">
        <is>
          <t>Billed at a Fixed price</t>
        </is>
      </c>
      <c r="N1872" s="6">
        <f>IF(B1872="","",IF(ISNUMBER(B1872),TEXT(B1872,"YYYY-MM"),LEFT(B1872,7)))</f>
        <v/>
      </c>
    </row>
    <row r="1873">
      <c r="A1873" t="inlineStr">
        <is>
          <t>Patricia Offei</t>
        </is>
      </c>
      <c r="B1873" s="4" t="n">
        <v>46083</v>
      </c>
      <c r="C1873" t="inlineStr">
        <is>
          <t>Nestle RS 2026 PLanning Meeting with Nestle</t>
        </is>
      </c>
      <c r="D1873" t="inlineStr">
        <is>
          <t>Patricia Offei</t>
        </is>
      </c>
      <c r="E1873" t="inlineStr">
        <is>
          <t>Patricia Offei</t>
        </is>
      </c>
      <c r="F1873" s="5" t="n">
        <v>46162.61270833333</v>
      </c>
      <c r="H1873" t="inlineStr">
        <is>
          <t>PCGH778 - General Support</t>
        </is>
      </c>
      <c r="I1873" t="n">
        <v>0</v>
      </c>
      <c r="J1873" t="inlineStr">
        <is>
          <t>PCGH778 - Support to Other Workstreams (3) (Proforest Limited(PCUK GBP))</t>
        </is>
      </c>
      <c r="L1873" t="b">
        <v>1</v>
      </c>
      <c r="M1873" t="inlineStr">
        <is>
          <t>Billed at a Fixed price</t>
        </is>
      </c>
      <c r="N1873" s="6">
        <f>IF(B1873="","",IF(ISNUMBER(B1873),TEXT(B1873,"YYYY-MM"),LEFT(B1873,7)))</f>
        <v/>
      </c>
    </row>
    <row r="1874">
      <c r="A1874" t="inlineStr">
        <is>
          <t>James Parker Mckeown</t>
        </is>
      </c>
      <c r="B1874" s="4" t="n">
        <v>46083</v>
      </c>
      <c r="C1874" t="inlineStr">
        <is>
          <t>Review of FGMC reports for prior month</t>
        </is>
      </c>
      <c r="D1874" t="inlineStr">
        <is>
          <t>James Parker Mckeown</t>
        </is>
      </c>
      <c r="E1874" t="inlineStr">
        <is>
          <t>James Parker Mckeown</t>
        </is>
      </c>
      <c r="F1874" s="5" t="n">
        <v>46162.55488425926</v>
      </c>
      <c r="G1874" t="inlineStr">
        <is>
          <t>Output 4</t>
        </is>
      </c>
      <c r="H1874" t="inlineStr">
        <is>
          <t>P23AC00C00 - FGMC</t>
        </is>
      </c>
      <c r="I1874" t="n">
        <v>1</v>
      </c>
      <c r="K1874" t="inlineStr">
        <is>
          <t>P23AC03A00 - Project Management</t>
        </is>
      </c>
      <c r="L1874" t="b">
        <v>0</v>
      </c>
      <c r="M1874" t="inlineStr">
        <is>
          <t>Non-Billable</t>
        </is>
      </c>
      <c r="N1874" s="6">
        <f>IF(B1874="","",IF(ISNUMBER(B1874),TEXT(B1874,"YYYY-MM"),LEFT(B1874,7)))</f>
        <v/>
      </c>
    </row>
    <row r="1875">
      <c r="A1875" t="inlineStr">
        <is>
          <t>James Parker Mckeown</t>
        </is>
      </c>
      <c r="B1875" s="4" t="n">
        <v>46083</v>
      </c>
      <c r="C1875" t="inlineStr">
        <is>
          <t>Visit to Mineral Commission &amp; FC on FCDO work</t>
        </is>
      </c>
      <c r="D1875" t="inlineStr">
        <is>
          <t>James Parker Mckeown</t>
        </is>
      </c>
      <c r="E1875" t="inlineStr">
        <is>
          <t>James Parker Mckeown</t>
        </is>
      </c>
      <c r="F1875" s="5" t="n">
        <v>46162.53515046297</v>
      </c>
      <c r="H1875" t="inlineStr">
        <is>
          <t>PCGH786 - Impact Level Baseline assessment for FGMC</t>
        </is>
      </c>
      <c r="I1875" t="n">
        <v>3</v>
      </c>
      <c r="J1875" t="inlineStr">
        <is>
          <t>PCGH786 - Site Assessment (3) (NIRAS Group (UK) Ltd)</t>
        </is>
      </c>
      <c r="K1875" t="inlineStr">
        <is>
          <t>PCGH786 - Site Assessment (3)</t>
        </is>
      </c>
      <c r="L1875" t="b">
        <v>1</v>
      </c>
      <c r="M1875" t="inlineStr">
        <is>
          <t>Billed at a Fixed price</t>
        </is>
      </c>
      <c r="N1875" s="6">
        <f>IF(B1875="","",IF(ISNUMBER(B1875),TEXT(B1875,"YYYY-MM"),LEFT(B1875,7)))</f>
        <v/>
      </c>
    </row>
    <row r="1876">
      <c r="A1876" t="inlineStr">
        <is>
          <t>James Parker Mckeown</t>
        </is>
      </c>
      <c r="B1876" s="4" t="n">
        <v>46083</v>
      </c>
      <c r="C1876" t="inlineStr">
        <is>
          <t xml:space="preserve">Preparation for legal working group meeting </t>
        </is>
      </c>
      <c r="D1876" t="inlineStr">
        <is>
          <t>James Parker Mckeown</t>
        </is>
      </c>
      <c r="E1876" t="inlineStr">
        <is>
          <t>James Parker Mckeown</t>
        </is>
      </c>
      <c r="F1876" s="5" t="n">
        <v>46162.5328125</v>
      </c>
      <c r="G1876" t="inlineStr">
        <is>
          <t>Output 2.3</t>
        </is>
      </c>
      <c r="H1876" t="inlineStr">
        <is>
          <t>P23AC00C00 - FGMC</t>
        </is>
      </c>
      <c r="I1876" t="n">
        <v>3</v>
      </c>
      <c r="K1876" t="inlineStr">
        <is>
          <t>P23AC22A00 - Output Two (Elevating Local Solutions - West Africa)</t>
        </is>
      </c>
      <c r="L1876" t="b">
        <v>0</v>
      </c>
      <c r="M1876" t="inlineStr">
        <is>
          <t>Non-Billable</t>
        </is>
      </c>
      <c r="N1876" s="6">
        <f>IF(B1876="","",IF(ISNUMBER(B1876),TEXT(B1876,"YYYY-MM"),LEFT(B1876,7)))</f>
        <v/>
      </c>
    </row>
    <row r="1877">
      <c r="A1877" t="inlineStr">
        <is>
          <t>James Parker Mckeown</t>
        </is>
      </c>
      <c r="B1877" s="4" t="n">
        <v>46083</v>
      </c>
      <c r="C1877" t="inlineStr">
        <is>
          <t xml:space="preserve">LEW catchup on sessions </t>
        </is>
      </c>
      <c r="D1877" t="inlineStr">
        <is>
          <t>James Parker Mckeown</t>
        </is>
      </c>
      <c r="E1877" t="inlineStr">
        <is>
          <t>James Parker Mckeown</t>
        </is>
      </c>
      <c r="F1877" s="5" t="n">
        <v>46162.53159722222</v>
      </c>
      <c r="H1877" t="inlineStr">
        <is>
          <t>Non-Billable Tasks</t>
        </is>
      </c>
      <c r="I1877" t="n">
        <v>1</v>
      </c>
      <c r="K1877" t="inlineStr">
        <is>
          <t>Internal Focal points and workstreams</t>
        </is>
      </c>
      <c r="L1877" t="b">
        <v>0</v>
      </c>
      <c r="M1877" t="inlineStr">
        <is>
          <t>Non-Billable</t>
        </is>
      </c>
      <c r="N1877" s="6">
        <f>IF(B1877="","",IF(ISNUMBER(B1877),TEXT(B1877,"YYYY-MM"),LEFT(B1877,7)))</f>
        <v/>
      </c>
    </row>
    <row r="1878">
      <c r="A1878" t="inlineStr">
        <is>
          <t>James Parker Mckeown</t>
        </is>
      </c>
      <c r="B1878" s="4" t="n">
        <v>46083</v>
      </c>
      <c r="C1878" t="inlineStr">
        <is>
          <t>Programme BIP work: Unified LJI Narrative – SE&amp;NW landscapes of Liberia</t>
        </is>
      </c>
      <c r="D1878" t="inlineStr">
        <is>
          <t>James Parker Mckeown</t>
        </is>
      </c>
      <c r="E1878" t="inlineStr">
        <is>
          <t>James Parker Mckeown</t>
        </is>
      </c>
      <c r="F1878" s="5" t="n">
        <v>46162.52703703703</v>
      </c>
      <c r="H1878" t="inlineStr">
        <is>
          <t>Non-Billable Tasks</t>
        </is>
      </c>
      <c r="I1878" t="n">
        <v>2</v>
      </c>
      <c r="K1878" t="inlineStr">
        <is>
          <t>BIP MSI Mapping Exercise</t>
        </is>
      </c>
      <c r="L1878" t="b">
        <v>0</v>
      </c>
      <c r="M1878" t="inlineStr">
        <is>
          <t>Non-Billable</t>
        </is>
      </c>
      <c r="N1878" s="6">
        <f>IF(B1878="","",IF(ISNUMBER(B1878),TEXT(B1878,"YYYY-MM"),LEFT(B1878,7)))</f>
        <v/>
      </c>
    </row>
    <row r="1879">
      <c r="A1879" t="inlineStr">
        <is>
          <t>Daleba Bernard Kpenahi Raymond</t>
        </is>
      </c>
      <c r="B1879" s="4" t="n">
        <v>46083</v>
      </c>
      <c r="C1879" t="inlineStr">
        <is>
          <t xml:space="preserve">BIP, Stakeholders engagement </t>
        </is>
      </c>
      <c r="D1879" t="inlineStr">
        <is>
          <t>Daleba Bernard Kpenahi Raymond</t>
        </is>
      </c>
      <c r="E1879" t="inlineStr">
        <is>
          <t>Daleba Bernard Kpenahi Raymond</t>
        </is>
      </c>
      <c r="F1879" s="5" t="n">
        <v>46160.89716435185</v>
      </c>
      <c r="H1879" t="inlineStr">
        <is>
          <t>Non-Billable Tasks</t>
        </is>
      </c>
      <c r="I1879" t="n">
        <v>4</v>
      </c>
      <c r="K1879" t="inlineStr">
        <is>
          <t>Business Development and Networking</t>
        </is>
      </c>
      <c r="L1879" t="b">
        <v>0</v>
      </c>
      <c r="M1879" t="inlineStr">
        <is>
          <t>Non-Billable</t>
        </is>
      </c>
      <c r="N1879" s="6">
        <f>IF(B1879="","",IF(ISNUMBER(B1879),TEXT(B1879,"YYYY-MM"),LEFT(B1879,7)))</f>
        <v/>
      </c>
    </row>
    <row r="1880">
      <c r="A1880" t="inlineStr">
        <is>
          <t>Frederick Antwi</t>
        </is>
      </c>
      <c r="B1880" s="4" t="n">
        <v>46083</v>
      </c>
      <c r="C1880" t="inlineStr">
        <is>
          <t>/</t>
        </is>
      </c>
      <c r="D1880" t="inlineStr">
        <is>
          <t>Frederick Antwi</t>
        </is>
      </c>
      <c r="E1880" t="inlineStr">
        <is>
          <t>Frederick Antwi</t>
        </is>
      </c>
      <c r="F1880" s="5" t="n">
        <v>46160.5903587963</v>
      </c>
      <c r="H1880" t="inlineStr">
        <is>
          <t>P13PC00A00 - Private Sector Companies</t>
        </is>
      </c>
      <c r="I1880" t="n">
        <v>0</v>
      </c>
      <c r="L1880" t="b">
        <v>0</v>
      </c>
      <c r="M1880" t="inlineStr">
        <is>
          <t>Non-Billable</t>
        </is>
      </c>
      <c r="N1880" s="6">
        <f>IF(B1880="","",IF(ISNUMBER(B1880),TEXT(B1880,"YYYY-MM"),LEFT(B1880,7)))</f>
        <v/>
      </c>
    </row>
    <row r="1881">
      <c r="A1881" t="inlineStr">
        <is>
          <t>Frederick Antwi</t>
        </is>
      </c>
      <c r="B1881" s="4" t="n">
        <v>46083</v>
      </c>
      <c r="C1881" t="inlineStr">
        <is>
          <t>/</t>
        </is>
      </c>
      <c r="D1881" t="inlineStr">
        <is>
          <t>Frederick Antwi</t>
        </is>
      </c>
      <c r="E1881" t="inlineStr">
        <is>
          <t>Frederick Antwi</t>
        </is>
      </c>
      <c r="F1881" s="5" t="n">
        <v>46160.59030092593</v>
      </c>
      <c r="H1881" t="inlineStr">
        <is>
          <t>P13PC00A00 - Private Sector Companies</t>
        </is>
      </c>
      <c r="I1881" t="n">
        <v>0</v>
      </c>
      <c r="L1881" t="b">
        <v>0</v>
      </c>
      <c r="M1881" t="inlineStr">
        <is>
          <t>Non-Billable</t>
        </is>
      </c>
      <c r="N1881" s="6">
        <f>IF(B1881="","",IF(ISNUMBER(B1881),TEXT(B1881,"YYYY-MM"),LEFT(B1881,7)))</f>
        <v/>
      </c>
    </row>
    <row r="1882">
      <c r="A1882" t="inlineStr">
        <is>
          <t>Frederick Antwi</t>
        </is>
      </c>
      <c r="B1882" s="4" t="n">
        <v>46083</v>
      </c>
      <c r="C1882" t="inlineStr">
        <is>
          <t>/</t>
        </is>
      </c>
      <c r="D1882" t="inlineStr">
        <is>
          <t>Frederick Antwi</t>
        </is>
      </c>
      <c r="E1882" t="inlineStr">
        <is>
          <t>Frederick Antwi</t>
        </is>
      </c>
      <c r="F1882" s="5" t="n">
        <v>46160.59023148148</v>
      </c>
      <c r="H1882" t="inlineStr">
        <is>
          <t>P13PC00A00 - Private Sector Companies</t>
        </is>
      </c>
      <c r="I1882" t="n">
        <v>0</v>
      </c>
      <c r="L1882" t="b">
        <v>0</v>
      </c>
      <c r="M1882" t="inlineStr">
        <is>
          <t>Non-Billable</t>
        </is>
      </c>
      <c r="N1882" s="6">
        <f>IF(B1882="","",IF(ISNUMBER(B1882),TEXT(B1882,"YYYY-MM"),LEFT(B1882,7)))</f>
        <v/>
      </c>
    </row>
    <row r="1883">
      <c r="A1883" t="inlineStr">
        <is>
          <t>Frederick Antwi</t>
        </is>
      </c>
      <c r="B1883" s="4" t="n">
        <v>46083</v>
      </c>
      <c r="C1883" t="inlineStr">
        <is>
          <t>/</t>
        </is>
      </c>
      <c r="D1883" t="inlineStr">
        <is>
          <t>Frederick Antwi</t>
        </is>
      </c>
      <c r="E1883" t="inlineStr">
        <is>
          <t>Frederick Antwi</t>
        </is>
      </c>
      <c r="F1883" s="5" t="n">
        <v>46160.5899074074</v>
      </c>
      <c r="H1883" t="inlineStr">
        <is>
          <t>P13PC00A00 - Private Sector Companies</t>
        </is>
      </c>
      <c r="I1883" t="n">
        <v>0</v>
      </c>
      <c r="L1883" t="b">
        <v>0</v>
      </c>
      <c r="M1883" t="inlineStr">
        <is>
          <t>Non-Billable</t>
        </is>
      </c>
      <c r="N1883" s="6">
        <f>IF(B1883="","",IF(ISNUMBER(B1883),TEXT(B1883,"YYYY-MM"),LEFT(B1883,7)))</f>
        <v/>
      </c>
    </row>
    <row r="1884">
      <c r="A1884" t="inlineStr">
        <is>
          <t>Frederick Antwi</t>
        </is>
      </c>
      <c r="B1884" s="4" t="n">
        <v>46083</v>
      </c>
      <c r="C1884" t="inlineStr">
        <is>
          <t>/</t>
        </is>
      </c>
      <c r="D1884" t="inlineStr">
        <is>
          <t>Frederick Antwi</t>
        </is>
      </c>
      <c r="E1884" t="inlineStr">
        <is>
          <t>Frederick Antwi</t>
        </is>
      </c>
      <c r="F1884" s="5" t="n">
        <v>46160.5896875</v>
      </c>
      <c r="H1884" t="inlineStr">
        <is>
          <t>P13PC00A00 - Private Sector Companies</t>
        </is>
      </c>
      <c r="I1884" t="n">
        <v>0</v>
      </c>
      <c r="L1884" t="b">
        <v>0</v>
      </c>
      <c r="M1884" t="inlineStr">
        <is>
          <t>Non-Billable</t>
        </is>
      </c>
      <c r="N1884" s="6">
        <f>IF(B1884="","",IF(ISNUMBER(B1884),TEXT(B1884,"YYYY-MM"),LEFT(B1884,7)))</f>
        <v/>
      </c>
    </row>
    <row r="1885">
      <c r="A1885" t="inlineStr">
        <is>
          <t>Frederick Antwi</t>
        </is>
      </c>
      <c r="B1885" s="4" t="n">
        <v>46083</v>
      </c>
      <c r="C1885" t="inlineStr">
        <is>
          <t>/</t>
        </is>
      </c>
      <c r="D1885" t="inlineStr">
        <is>
          <t>Frederick Antwi</t>
        </is>
      </c>
      <c r="E1885" t="inlineStr">
        <is>
          <t>Frederick Antwi</t>
        </is>
      </c>
      <c r="F1885" s="5" t="n">
        <v>46160.58947916667</v>
      </c>
      <c r="H1885" t="inlineStr">
        <is>
          <t>P13PC00A00 - Private Sector Companies</t>
        </is>
      </c>
      <c r="I1885" t="n">
        <v>0</v>
      </c>
      <c r="L1885" t="b">
        <v>0</v>
      </c>
      <c r="M1885" t="inlineStr">
        <is>
          <t>Non-Billable</t>
        </is>
      </c>
      <c r="N1885" s="6">
        <f>IF(B1885="","",IF(ISNUMBER(B1885),TEXT(B1885,"YYYY-MM"),LEFT(B1885,7)))</f>
        <v/>
      </c>
    </row>
    <row r="1886">
      <c r="A1886" t="inlineStr">
        <is>
          <t>Frederick Antwi</t>
        </is>
      </c>
      <c r="B1886" s="4" t="n">
        <v>46083</v>
      </c>
      <c r="C1886" t="inlineStr">
        <is>
          <t>/</t>
        </is>
      </c>
      <c r="D1886" t="inlineStr">
        <is>
          <t>Frederick Antwi</t>
        </is>
      </c>
      <c r="E1886" t="inlineStr">
        <is>
          <t>Frederick Antwi</t>
        </is>
      </c>
      <c r="F1886" s="5" t="n">
        <v>46160.58944444444</v>
      </c>
      <c r="H1886" t="inlineStr">
        <is>
          <t>P13PC00A00 - Private Sector Companies</t>
        </is>
      </c>
      <c r="I1886" t="n">
        <v>0</v>
      </c>
      <c r="L1886" t="b">
        <v>0</v>
      </c>
      <c r="M1886" t="inlineStr">
        <is>
          <t>Non-Billable</t>
        </is>
      </c>
      <c r="N1886" s="6">
        <f>IF(B1886="","",IF(ISNUMBER(B1886),TEXT(B1886,"YYYY-MM"),LEFT(B1886,7)))</f>
        <v/>
      </c>
    </row>
    <row r="1887">
      <c r="A1887" t="inlineStr">
        <is>
          <t>Frederick Antwi</t>
        </is>
      </c>
      <c r="B1887" s="4" t="n">
        <v>46083</v>
      </c>
      <c r="C1887" t="inlineStr">
        <is>
          <t>/</t>
        </is>
      </c>
      <c r="D1887" t="inlineStr">
        <is>
          <t>Frederick Antwi</t>
        </is>
      </c>
      <c r="E1887" t="inlineStr">
        <is>
          <t>Frederick Antwi</t>
        </is>
      </c>
      <c r="F1887" s="5" t="n">
        <v>46160.58357638889</v>
      </c>
      <c r="H1887" t="inlineStr">
        <is>
          <t>P13PC00A00 - Private Sector Companies</t>
        </is>
      </c>
      <c r="I1887" t="n">
        <v>4</v>
      </c>
      <c r="L1887" t="b">
        <v>0</v>
      </c>
      <c r="M1887" t="inlineStr">
        <is>
          <t>Non-Billable</t>
        </is>
      </c>
      <c r="N1887" s="6">
        <f>IF(B1887="","",IF(ISNUMBER(B1887),TEXT(B1887,"YYYY-MM"),LEFT(B1887,7)))</f>
        <v/>
      </c>
    </row>
    <row r="1888">
      <c r="A1888" t="inlineStr">
        <is>
          <t>Frederick Antwi</t>
        </is>
      </c>
      <c r="B1888" s="4" t="n">
        <v>46083</v>
      </c>
      <c r="C1888" t="inlineStr">
        <is>
          <t>/</t>
        </is>
      </c>
      <c r="D1888" t="inlineStr">
        <is>
          <t>Frederick Antwi</t>
        </is>
      </c>
      <c r="E1888" t="inlineStr">
        <is>
          <t>Frederick Antwi</t>
        </is>
      </c>
      <c r="F1888" s="5" t="n">
        <v>46160.58342592593</v>
      </c>
      <c r="H1888" t="inlineStr">
        <is>
          <t>PCGH768</t>
        </is>
      </c>
      <c r="I1888" t="n">
        <v>4</v>
      </c>
      <c r="L1888" t="b">
        <v>1</v>
      </c>
      <c r="M1888" t="inlineStr">
        <is>
          <t>Non-Billable</t>
        </is>
      </c>
      <c r="N1888" s="6">
        <f>IF(B1888="","",IF(ISNUMBER(B1888),TEXT(B1888,"YYYY-MM"),LEFT(B1888,7)))</f>
        <v/>
      </c>
    </row>
    <row r="1889">
      <c r="A1889" t="inlineStr">
        <is>
          <t>Frederick Antwi</t>
        </is>
      </c>
      <c r="B1889" s="4" t="n">
        <v>46083</v>
      </c>
      <c r="C1889" t="inlineStr">
        <is>
          <t>/</t>
        </is>
      </c>
      <c r="D1889" t="inlineStr">
        <is>
          <t>Frederick Antwi</t>
        </is>
      </c>
      <c r="E1889" t="inlineStr">
        <is>
          <t>Frederick Antwi</t>
        </is>
      </c>
      <c r="F1889" s="5" t="n">
        <v>46160.58112268519</v>
      </c>
      <c r="H1889" t="inlineStr">
        <is>
          <t>P13NC00A00 - WALMART II</t>
        </is>
      </c>
      <c r="I1889" t="n">
        <v>0</v>
      </c>
      <c r="L1889" t="b">
        <v>0</v>
      </c>
      <c r="M1889" t="inlineStr">
        <is>
          <t>Non-Billable</t>
        </is>
      </c>
      <c r="N1889" s="6">
        <f>IF(B1889="","",IF(ISNUMBER(B1889),TEXT(B1889,"YYYY-MM"),LEFT(B1889,7)))</f>
        <v/>
      </c>
    </row>
    <row r="1890">
      <c r="A1890" t="inlineStr">
        <is>
          <t>Augustus Asamoah</t>
        </is>
      </c>
      <c r="B1890" s="4" t="n">
        <v>46083</v>
      </c>
      <c r="C1890" t="inlineStr">
        <is>
          <t>/</t>
        </is>
      </c>
      <c r="D1890" t="inlineStr">
        <is>
          <t>Augustus Asamoah</t>
        </is>
      </c>
      <c r="E1890" t="inlineStr">
        <is>
          <t>Augustus Asamoah</t>
        </is>
      </c>
      <c r="F1890" s="5" t="n">
        <v>46156.64247685186</v>
      </c>
      <c r="H1890" t="inlineStr">
        <is>
          <t>PCGH784</t>
        </is>
      </c>
      <c r="I1890" t="n">
        <v>8</v>
      </c>
      <c r="J1890" t="inlineStr">
        <is>
          <t>PCGH784 - Desk Study (3) (Okeosisi Jonathan)</t>
        </is>
      </c>
      <c r="L1890" t="b">
        <v>1</v>
      </c>
      <c r="M1890" t="inlineStr">
        <is>
          <t>Billed at a Fixed price</t>
        </is>
      </c>
      <c r="N1890" s="6">
        <f>IF(B1890="","",IF(ISNUMBER(B1890),TEXT(B1890,"YYYY-MM"),LEFT(B1890,7)))</f>
        <v/>
      </c>
    </row>
    <row r="1891">
      <c r="A1891" t="inlineStr">
        <is>
          <t>Afua Serwah Akoto Prempeh</t>
        </is>
      </c>
      <c r="B1891" s="4" t="n">
        <v>46083</v>
      </c>
      <c r="C1891" t="inlineStr">
        <is>
          <t>/</t>
        </is>
      </c>
      <c r="D1891" t="inlineStr">
        <is>
          <t>Afua Serwah Akoto Prempeh</t>
        </is>
      </c>
      <c r="E1891" t="inlineStr">
        <is>
          <t>OdooBot</t>
        </is>
      </c>
      <c r="F1891" s="5" t="n">
        <v>46154.70721064815</v>
      </c>
      <c r="H1891" t="inlineStr">
        <is>
          <t>Non-Billable Tasks</t>
        </is>
      </c>
      <c r="I1891" t="n">
        <v>0</v>
      </c>
      <c r="K1891" t="inlineStr">
        <is>
          <t>Review of DfG Proposal and Correspondence</t>
        </is>
      </c>
      <c r="L1891" t="b">
        <v>0</v>
      </c>
      <c r="M1891" t="inlineStr">
        <is>
          <t>Non-Billable</t>
        </is>
      </c>
      <c r="N1891" s="6">
        <f>IF(B1891="","",IF(ISNUMBER(B1891),TEXT(B1891,"YYYY-MM"),LEFT(B1891,7)))</f>
        <v/>
      </c>
    </row>
    <row r="1892">
      <c r="A1892" t="inlineStr">
        <is>
          <t>Stephen Doso</t>
        </is>
      </c>
      <c r="B1892" s="4" t="n">
        <v>46083</v>
      </c>
      <c r="C1892" t="inlineStr">
        <is>
          <t>/</t>
        </is>
      </c>
      <c r="D1892" t="inlineStr">
        <is>
          <t>Stephen Doso</t>
        </is>
      </c>
      <c r="E1892" t="inlineStr">
        <is>
          <t>OdooBot</t>
        </is>
      </c>
      <c r="F1892" s="5" t="n">
        <v>46154.70721064815</v>
      </c>
      <c r="G1892" t="inlineStr">
        <is>
          <t>Pre-assessment and desk-based review of documents</t>
        </is>
      </c>
      <c r="H1892" t="inlineStr">
        <is>
          <t>PCGH785</t>
        </is>
      </c>
      <c r="I1892" t="n">
        <v>8</v>
      </c>
      <c r="J1892" t="inlineStr">
        <is>
          <t>PCGH785 - Desk Study (2) (Okeosisi Jonathan)</t>
        </is>
      </c>
      <c r="K1892" t="inlineStr">
        <is>
          <t>Rapid due diligence</t>
        </is>
      </c>
      <c r="L1892" t="b">
        <v>1</v>
      </c>
      <c r="M1892" t="inlineStr">
        <is>
          <t>Billed at a Fixed price</t>
        </is>
      </c>
      <c r="N1892" s="6">
        <f>IF(B1892="","",IF(ISNUMBER(B1892),TEXT(B1892,"YYYY-MM"),LEFT(B1892,7)))</f>
        <v/>
      </c>
    </row>
    <row r="1893">
      <c r="A1893" t="inlineStr">
        <is>
          <t>Daleba Bernard Kpenahi Raymond</t>
        </is>
      </c>
      <c r="B1893" s="4" t="n">
        <v>46083</v>
      </c>
      <c r="C1893" t="inlineStr">
        <is>
          <t xml:space="preserve">Review shared docuement and developed field visit plan for SOGB </t>
        </is>
      </c>
      <c r="D1893" t="inlineStr">
        <is>
          <t>Daleba Bernard Kpenahi Raymond</t>
        </is>
      </c>
      <c r="E1893" t="inlineStr">
        <is>
          <t>OdooBot</t>
        </is>
      </c>
      <c r="F1893" s="5" t="n">
        <v>46154.70721064815</v>
      </c>
      <c r="H1893" t="inlineStr">
        <is>
          <t>PCGH774 -Evaluation Deep-Dive Action Plans by Socfin Group</t>
        </is>
      </c>
      <c r="I1893" t="n">
        <v>4</v>
      </c>
      <c r="J1893" t="inlineStr">
        <is>
          <t>PCGH774 - Management and staff meetings (Socfinco FR SA)</t>
        </is>
      </c>
      <c r="K1893" t="inlineStr">
        <is>
          <t>SOGB - Review of operational documents</t>
        </is>
      </c>
      <c r="L1893" t="b">
        <v>1</v>
      </c>
      <c r="M1893" t="inlineStr">
        <is>
          <t>Billed at a Fixed price</t>
        </is>
      </c>
      <c r="N1893" s="6">
        <f>IF(B1893="","",IF(ISNUMBER(B1893),TEXT(B1893,"YYYY-MM"),LEFT(B1893,7)))</f>
        <v/>
      </c>
    </row>
    <row r="1894">
      <c r="A1894" t="inlineStr">
        <is>
          <t>Kwadwo Baniako Nti</t>
        </is>
      </c>
      <c r="B1894" s="4" t="n">
        <v>46083</v>
      </c>
      <c r="C1894" t="inlineStr">
        <is>
          <t>/</t>
        </is>
      </c>
      <c r="D1894" t="inlineStr">
        <is>
          <t>Kwadwo Baniako Nti</t>
        </is>
      </c>
      <c r="E1894" t="inlineStr">
        <is>
          <t>OdooBot</t>
        </is>
      </c>
      <c r="F1894" s="5" t="n">
        <v>46154.70721064815</v>
      </c>
      <c r="H1894" t="inlineStr">
        <is>
          <t>Non-Billable Tasks</t>
        </is>
      </c>
      <c r="I1894" t="n">
        <v>0</v>
      </c>
      <c r="K1894" t="inlineStr">
        <is>
          <t>Public Holiday</t>
        </is>
      </c>
      <c r="L1894" t="b">
        <v>0</v>
      </c>
      <c r="M1894" t="inlineStr">
        <is>
          <t>Non-Billable</t>
        </is>
      </c>
      <c r="N1894" s="6">
        <f>IF(B1894="","",IF(ISNUMBER(B1894),TEXT(B1894,"YYYY-MM"),LEFT(B1894,7)))</f>
        <v/>
      </c>
    </row>
    <row r="1895">
      <c r="A1895" t="inlineStr">
        <is>
          <t>Kwadwo Baniako Nti</t>
        </is>
      </c>
      <c r="B1895" s="4" t="n">
        <v>46083</v>
      </c>
      <c r="C1895" t="inlineStr">
        <is>
          <t>/</t>
        </is>
      </c>
      <c r="D1895" t="inlineStr">
        <is>
          <t>Kwadwo Baniako Nti</t>
        </is>
      </c>
      <c r="E1895" t="inlineStr">
        <is>
          <t>OdooBot</t>
        </is>
      </c>
      <c r="F1895" s="5" t="n">
        <v>46154.70721064815</v>
      </c>
      <c r="H1895" t="inlineStr">
        <is>
          <t>PCGH774 -Evaluation Deep-Dive Action Plans by Socfin Group</t>
        </is>
      </c>
      <c r="I1895" t="n">
        <v>0</v>
      </c>
      <c r="J1895" t="inlineStr">
        <is>
          <t>PCGH774 - Tier 3 (Socfinco FR SA)</t>
        </is>
      </c>
      <c r="K1895" t="inlineStr">
        <is>
          <t>SAC - Review of operational documents</t>
        </is>
      </c>
      <c r="L1895" t="b">
        <v>1</v>
      </c>
      <c r="M1895" t="inlineStr">
        <is>
          <t>Billed at a Fixed price</t>
        </is>
      </c>
      <c r="N1895" s="6">
        <f>IF(B1895="","",IF(ISNUMBER(B1895),TEXT(B1895,"YYYY-MM"),LEFT(B1895,7)))</f>
        <v/>
      </c>
    </row>
    <row r="1896">
      <c r="A1896" t="inlineStr">
        <is>
          <t>Kwadwo Baniako Nti</t>
        </is>
      </c>
      <c r="B1896" s="4" t="n">
        <v>46083</v>
      </c>
      <c r="C1896" t="inlineStr">
        <is>
          <t>/</t>
        </is>
      </c>
      <c r="D1896" t="inlineStr">
        <is>
          <t>Kwadwo Baniako Nti</t>
        </is>
      </c>
      <c r="E1896" t="inlineStr">
        <is>
          <t>OdooBot</t>
        </is>
      </c>
      <c r="F1896" s="5" t="n">
        <v>46154.70721064815</v>
      </c>
      <c r="H1896" t="inlineStr">
        <is>
          <t>PCGH774 -Evaluation Deep-Dive Action Plans by Socfin Group</t>
        </is>
      </c>
      <c r="I1896" t="n">
        <v>8</v>
      </c>
      <c r="J1896" t="inlineStr">
        <is>
          <t>PCGH774 - Management and Monitoring (3) (Socfinco FR SA)</t>
        </is>
      </c>
      <c r="K1896" t="inlineStr">
        <is>
          <t>Okomu - Analysis and reporting</t>
        </is>
      </c>
      <c r="L1896" t="b">
        <v>1</v>
      </c>
      <c r="M1896" t="inlineStr">
        <is>
          <t>Billed at a Fixed price</t>
        </is>
      </c>
      <c r="N1896" s="6">
        <f>IF(B1896="","",IF(ISNUMBER(B1896),TEXT(B1896,"YYYY-MM"),LEFT(B1896,7)))</f>
        <v/>
      </c>
    </row>
    <row r="1897">
      <c r="A1897" t="inlineStr">
        <is>
          <t>Afua Serwah Akoto Prempeh</t>
        </is>
      </c>
      <c r="B1897" s="4" t="n">
        <v>46083</v>
      </c>
      <c r="C1897" t="inlineStr">
        <is>
          <t>Review of DfG Proposal, MoU and next steps</t>
        </is>
      </c>
      <c r="D1897" t="inlineStr">
        <is>
          <t>Afua Serwah Akoto Prempeh</t>
        </is>
      </c>
      <c r="E1897" t="inlineStr">
        <is>
          <t>OdooBot</t>
        </is>
      </c>
      <c r="F1897" s="5" t="n">
        <v>46154.70721064815</v>
      </c>
      <c r="H1897" t="inlineStr">
        <is>
          <t>Non-Billable Tasks</t>
        </is>
      </c>
      <c r="I1897" t="n">
        <v>4</v>
      </c>
      <c r="K1897" t="inlineStr">
        <is>
          <t>Administrative Tasks</t>
        </is>
      </c>
      <c r="L1897" t="b">
        <v>0</v>
      </c>
      <c r="M1897" t="inlineStr">
        <is>
          <t>Non-Billable</t>
        </is>
      </c>
      <c r="N1897" s="6">
        <f>IF(B1897="","",IF(ISNUMBER(B1897),TEXT(B1897,"YYYY-MM"),LEFT(B1897,7)))</f>
        <v/>
      </c>
    </row>
    <row r="1898">
      <c r="A1898" t="inlineStr">
        <is>
          <t>Afua Serwah Akoto Prempeh</t>
        </is>
      </c>
      <c r="B1898" s="4" t="n">
        <v>46083</v>
      </c>
      <c r="C1898" t="inlineStr">
        <is>
          <t>Legal working group meeting to present BRIDGE Programme</t>
        </is>
      </c>
      <c r="D1898" t="inlineStr">
        <is>
          <t>Afua Serwah Akoto Prempeh</t>
        </is>
      </c>
      <c r="E1898" t="inlineStr">
        <is>
          <t>OdooBot</t>
        </is>
      </c>
      <c r="F1898" s="5" t="n">
        <v>46154.70721064815</v>
      </c>
      <c r="H1898" t="inlineStr">
        <is>
          <t>P23AC00C00 - FGMC</t>
        </is>
      </c>
      <c r="I1898" t="n">
        <v>4</v>
      </c>
      <c r="L1898" t="b">
        <v>0</v>
      </c>
      <c r="M1898" t="inlineStr">
        <is>
          <t>Non-Billable</t>
        </is>
      </c>
      <c r="N1898" s="6">
        <f>IF(B1898="","",IF(ISNUMBER(B1898),TEXT(B1898,"YYYY-MM"),LEFT(B1898,7)))</f>
        <v/>
      </c>
    </row>
    <row r="1899">
      <c r="A1899" t="inlineStr">
        <is>
          <t>Afua Serwah Akoto Prempeh</t>
        </is>
      </c>
      <c r="B1899" s="4" t="n">
        <v>46083</v>
      </c>
      <c r="C1899" t="inlineStr">
        <is>
          <t xml:space="preserve">Public Holiday </t>
        </is>
      </c>
      <c r="D1899" t="inlineStr">
        <is>
          <t>Afua Serwah Akoto Prempeh</t>
        </is>
      </c>
      <c r="E1899" t="inlineStr">
        <is>
          <t>OdooBot</t>
        </is>
      </c>
      <c r="F1899" s="5" t="n">
        <v>46154.70721064815</v>
      </c>
      <c r="H1899" t="inlineStr">
        <is>
          <t>Non-Billable Tasks</t>
        </is>
      </c>
      <c r="I1899" t="n">
        <v>0</v>
      </c>
      <c r="K1899" t="inlineStr">
        <is>
          <t>Public Holiday</t>
        </is>
      </c>
      <c r="L1899" t="b">
        <v>0</v>
      </c>
      <c r="M1899" t="inlineStr">
        <is>
          <t>Non-Billable</t>
        </is>
      </c>
      <c r="N1899" s="6">
        <f>IF(B1899="","",IF(ISNUMBER(B1899),TEXT(B1899,"YYYY-MM"),LEFT(B1899,7)))</f>
        <v/>
      </c>
    </row>
    <row r="1900">
      <c r="A1900" t="inlineStr">
        <is>
          <t>Afua Serwah Akoto Prempeh</t>
        </is>
      </c>
      <c r="B1900" s="4" t="n">
        <v>46083</v>
      </c>
      <c r="C1900" t="inlineStr">
        <is>
          <t>/</t>
        </is>
      </c>
      <c r="D1900" t="inlineStr">
        <is>
          <t>Afua Serwah Akoto Prempeh</t>
        </is>
      </c>
      <c r="E1900" t="inlineStr">
        <is>
          <t>OdooBot</t>
        </is>
      </c>
      <c r="F1900" s="5" t="n">
        <v>46154.70721064815</v>
      </c>
      <c r="H1900" t="inlineStr">
        <is>
          <t>Non-Billable Tasks</t>
        </is>
      </c>
      <c r="I1900" t="n">
        <v>0</v>
      </c>
      <c r="K1900" t="inlineStr">
        <is>
          <t>Professional development and Knowledge sharing(training,global knowledge calls,exchange weeks)</t>
        </is>
      </c>
      <c r="L1900" t="b">
        <v>0</v>
      </c>
      <c r="M1900" t="inlineStr">
        <is>
          <t>Non-Billable</t>
        </is>
      </c>
      <c r="N1900" s="6">
        <f>IF(B1900="","",IF(ISNUMBER(B1900),TEXT(B1900,"YYYY-MM"),LEFT(B1900,7)))</f>
        <v/>
      </c>
    </row>
    <row r="1901">
      <c r="A1901" t="inlineStr">
        <is>
          <t>Helena Tetteh</t>
        </is>
      </c>
      <c r="B1901" s="4" t="n">
        <v>46083</v>
      </c>
      <c r="C1901" t="inlineStr">
        <is>
          <t>/</t>
        </is>
      </c>
      <c r="D1901" t="inlineStr">
        <is>
          <t xml:space="preserve">Helena Tetteh </t>
        </is>
      </c>
      <c r="E1901" t="inlineStr">
        <is>
          <t>OdooBot</t>
        </is>
      </c>
      <c r="F1901" s="5" t="n">
        <v>46154.70721064815</v>
      </c>
      <c r="H1901" t="inlineStr">
        <is>
          <t>Non-Billable Tasks</t>
        </is>
      </c>
      <c r="I1901" t="n">
        <v>-8</v>
      </c>
      <c r="K1901" t="inlineStr">
        <is>
          <t>Portfolio Team Management</t>
        </is>
      </c>
      <c r="L1901" t="b">
        <v>0</v>
      </c>
      <c r="M1901" t="inlineStr">
        <is>
          <t>Non-Billable</t>
        </is>
      </c>
      <c r="N1901" s="6">
        <f>IF(B1901="","",IF(ISNUMBER(B1901),TEXT(B1901,"YYYY-MM"),LEFT(B1901,7)))</f>
        <v/>
      </c>
    </row>
    <row r="1902">
      <c r="A1902" t="inlineStr">
        <is>
          <t>Helena Tetteh</t>
        </is>
      </c>
      <c r="B1902" s="4" t="n">
        <v>46083</v>
      </c>
      <c r="C1902" t="inlineStr">
        <is>
          <t>SMallholder strategy next steps_ Africa guide to implementation_initial brainstorming on roadmap, etc</t>
        </is>
      </c>
      <c r="D1902" t="inlineStr">
        <is>
          <t xml:space="preserve">Helena Tetteh </t>
        </is>
      </c>
      <c r="E1902" t="inlineStr">
        <is>
          <t>OdooBot</t>
        </is>
      </c>
      <c r="F1902" s="5" t="n">
        <v>46154.70721064815</v>
      </c>
      <c r="H1902" t="inlineStr">
        <is>
          <t>Non-Billable Tasks</t>
        </is>
      </c>
      <c r="I1902" t="n">
        <v>8</v>
      </c>
      <c r="K1902" t="inlineStr">
        <is>
          <t>Portfolio Team Management</t>
        </is>
      </c>
      <c r="L1902" t="b">
        <v>0</v>
      </c>
      <c r="M1902" t="inlineStr">
        <is>
          <t>Non-Billable</t>
        </is>
      </c>
      <c r="N1902" s="6">
        <f>IF(B1902="","",IF(ISNUMBER(B1902),TEXT(B1902,"YYYY-MM"),LEFT(B1902,7)))</f>
        <v/>
      </c>
    </row>
    <row r="1903">
      <c r="A1903" t="inlineStr">
        <is>
          <t>Helena Tetteh</t>
        </is>
      </c>
      <c r="B1903" s="4" t="n">
        <v>46083</v>
      </c>
      <c r="C1903" t="inlineStr">
        <is>
          <t>PIA BIP 2026_Assessment due diligence Dashboard support (Techops)</t>
        </is>
      </c>
      <c r="D1903" t="inlineStr">
        <is>
          <t xml:space="preserve">Helena Tetteh </t>
        </is>
      </c>
      <c r="E1903" t="inlineStr">
        <is>
          <t>OdooBot</t>
        </is>
      </c>
      <c r="F1903" s="5" t="n">
        <v>46154.70721064815</v>
      </c>
      <c r="H1903" t="inlineStr">
        <is>
          <t>Non-Billable Tasks</t>
        </is>
      </c>
      <c r="I1903" t="n">
        <v>0</v>
      </c>
      <c r="K1903" t="inlineStr">
        <is>
          <t>Portfolio Team Management</t>
        </is>
      </c>
      <c r="L1903" t="b">
        <v>0</v>
      </c>
      <c r="M1903" t="inlineStr">
        <is>
          <t>Non-Billable</t>
        </is>
      </c>
      <c r="N1903" s="6">
        <f>IF(B1903="","",IF(ISNUMBER(B1903),TEXT(B1903,"YYYY-MM"),LEFT(B1903,7)))</f>
        <v/>
      </c>
    </row>
    <row r="1904">
      <c r="A1904" t="inlineStr">
        <is>
          <t>Helena Tetteh</t>
        </is>
      </c>
      <c r="B1904" s="4" t="n">
        <v>46083</v>
      </c>
      <c r="C1904" t="inlineStr">
        <is>
          <t>FGMC issues, Discussion with Taylar Crabbe on the FGMC II implementation, ToR, AfS, partnership assessment, etc</t>
        </is>
      </c>
      <c r="D1904" t="inlineStr">
        <is>
          <t xml:space="preserve">Helena Tetteh </t>
        </is>
      </c>
      <c r="E1904" t="inlineStr">
        <is>
          <t>OdooBot</t>
        </is>
      </c>
      <c r="F1904" s="5" t="n">
        <v>46154.70721064815</v>
      </c>
      <c r="H1904" t="inlineStr">
        <is>
          <t>P23AC00C00 - FGMC</t>
        </is>
      </c>
      <c r="I1904" t="n">
        <v>8</v>
      </c>
      <c r="K1904" t="inlineStr">
        <is>
          <t>Output 2.3</t>
        </is>
      </c>
      <c r="L1904" t="b">
        <v>0</v>
      </c>
      <c r="M1904" t="inlineStr">
        <is>
          <t>Non-Billable</t>
        </is>
      </c>
      <c r="N1904" s="6">
        <f>IF(B1904="","",IF(ISNUMBER(B1904),TEXT(B1904,"YYYY-MM"),LEFT(B1904,7)))</f>
        <v/>
      </c>
    </row>
    <row r="1905">
      <c r="A1905" t="inlineStr">
        <is>
          <t>Ekow Nyamekye Tawiah</t>
        </is>
      </c>
      <c r="B1905" s="4" t="n">
        <v>46083</v>
      </c>
      <c r="C1905" t="inlineStr">
        <is>
          <t>Independence day</t>
        </is>
      </c>
      <c r="D1905" t="inlineStr">
        <is>
          <t>Joseph Isaiah Mensah</t>
        </is>
      </c>
      <c r="E1905" t="inlineStr">
        <is>
          <t>OdooBot</t>
        </is>
      </c>
      <c r="F1905" s="5" t="n">
        <v>46154.70721064815</v>
      </c>
      <c r="H1905" t="inlineStr">
        <is>
          <t>Non-Billable Tasks</t>
        </is>
      </c>
      <c r="I1905" t="n">
        <v>0</v>
      </c>
      <c r="K1905" t="inlineStr">
        <is>
          <t>Public Holiday</t>
        </is>
      </c>
      <c r="L1905" t="b">
        <v>0</v>
      </c>
      <c r="M1905" t="inlineStr">
        <is>
          <t>Non-Billable</t>
        </is>
      </c>
      <c r="N1905" s="6">
        <f>IF(B1905="","",IF(ISNUMBER(B1905),TEXT(B1905,"YYYY-MM"),LEFT(B1905,7)))</f>
        <v/>
      </c>
    </row>
    <row r="1906">
      <c r="A1906" t="inlineStr">
        <is>
          <t>Ekow Nyamekye Tawiah</t>
        </is>
      </c>
      <c r="B1906" s="4" t="n">
        <v>46083</v>
      </c>
      <c r="C1906" t="inlineStr">
        <is>
          <t>Borotou Koro Final Reporting</t>
        </is>
      </c>
      <c r="D1906" t="inlineStr">
        <is>
          <t>Joseph Isaiah Mensah</t>
        </is>
      </c>
      <c r="E1906" t="inlineStr">
        <is>
          <t>OdooBot</t>
        </is>
      </c>
      <c r="F1906" s="5" t="n">
        <v>46154.70721064815</v>
      </c>
      <c r="H1906" t="inlineStr">
        <is>
          <t>PCGH722</t>
        </is>
      </c>
      <c r="I1906" t="n">
        <v>4</v>
      </c>
      <c r="J1906" t="inlineStr">
        <is>
          <t>PCGH722 - Analysis and Reporting (3) (Sucrivoire SA)</t>
        </is>
      </c>
      <c r="K1906" t="inlineStr">
        <is>
          <t>Analysis and Reporting (3)</t>
        </is>
      </c>
      <c r="L1906" t="b">
        <v>1</v>
      </c>
      <c r="M1906" t="inlineStr">
        <is>
          <t>Billed at a Fixed price</t>
        </is>
      </c>
      <c r="N1906" s="6">
        <f>IF(B1906="","",IF(ISNUMBER(B1906),TEXT(B1906,"YYYY-MM"),LEFT(B1906,7)))</f>
        <v/>
      </c>
    </row>
    <row r="1907">
      <c r="A1907" t="inlineStr">
        <is>
          <t>Louis Defo</t>
        </is>
      </c>
      <c r="B1907" s="4" t="n">
        <v>46083</v>
      </c>
      <c r="C1907" t="inlineStr">
        <is>
          <t>/</t>
        </is>
      </c>
      <c r="D1907" t="inlineStr">
        <is>
          <t>Louis Defo</t>
        </is>
      </c>
      <c r="E1907" t="inlineStr">
        <is>
          <t>OdooBot</t>
        </is>
      </c>
      <c r="F1907" s="5" t="n">
        <v>46154.70721064815</v>
      </c>
      <c r="G1907" t="inlineStr">
        <is>
          <t>Output 2.2</t>
        </is>
      </c>
      <c r="H1907" t="inlineStr">
        <is>
          <t>P23AC00C00 - FGMC</t>
        </is>
      </c>
      <c r="I1907" t="n">
        <v>8</v>
      </c>
      <c r="K1907" t="inlineStr">
        <is>
          <t>P23AC42A00 - Accelerating Implementation.</t>
        </is>
      </c>
      <c r="L1907" t="b">
        <v>0</v>
      </c>
      <c r="M1907" t="inlineStr">
        <is>
          <t>Non-Billable</t>
        </is>
      </c>
      <c r="N1907" s="6">
        <f>IF(B1907="","",IF(ISNUMBER(B1907),TEXT(B1907,"YYYY-MM"),LEFT(B1907,7)))</f>
        <v/>
      </c>
    </row>
    <row r="1908">
      <c r="A1908" t="inlineStr">
        <is>
          <t>Clement Obeng-Manu</t>
        </is>
      </c>
      <c r="B1908" s="4" t="n">
        <v>46083</v>
      </c>
      <c r="C1908" t="inlineStr">
        <is>
          <t>/</t>
        </is>
      </c>
      <c r="D1908" t="inlineStr">
        <is>
          <t>Ekow Nyamekye Tawiah</t>
        </is>
      </c>
      <c r="E1908" t="inlineStr">
        <is>
          <t>OdooBot</t>
        </is>
      </c>
      <c r="F1908" s="5" t="n">
        <v>46154.70721064815</v>
      </c>
      <c r="H1908" t="inlineStr">
        <is>
          <t>PCGH777</t>
        </is>
      </c>
      <c r="I1908" t="n">
        <v>8</v>
      </c>
      <c r="J1908" t="inlineStr">
        <is>
          <t>PCGH777 - Field work  (3) (Proforest Limited(PCUK GBP))</t>
        </is>
      </c>
      <c r="K1908" t="inlineStr">
        <is>
          <t>Fieldwork – stakeholder engagement</t>
        </is>
      </c>
      <c r="L1908" t="b">
        <v>1</v>
      </c>
      <c r="M1908" t="inlineStr">
        <is>
          <t>Billed at a Fixed price</t>
        </is>
      </c>
      <c r="N1908" s="6">
        <f>IF(B1908="","",IF(ISNUMBER(B1908),TEXT(B1908,"YYYY-MM"),LEFT(B1908,7)))</f>
        <v/>
      </c>
    </row>
    <row r="1909">
      <c r="A1909" t="inlineStr">
        <is>
          <t>Mawuse Agblobi</t>
        </is>
      </c>
      <c r="B1909" s="4" t="n">
        <v>46083</v>
      </c>
      <c r="C1909" t="inlineStr">
        <is>
          <t>Time Off (6/7)</t>
        </is>
      </c>
      <c r="D1909" t="inlineStr">
        <is>
          <t>Adwoa Fremah Ntosour-Amponsem</t>
        </is>
      </c>
      <c r="E1909" t="inlineStr">
        <is>
          <t>OdooBot</t>
        </is>
      </c>
      <c r="F1909" s="5" t="n">
        <v>46154.70721064815</v>
      </c>
      <c r="H1909" t="inlineStr">
        <is>
          <t>Internal</t>
        </is>
      </c>
      <c r="I1909" t="n">
        <v>8</v>
      </c>
      <c r="K1909" t="inlineStr">
        <is>
          <t>Time Off</t>
        </is>
      </c>
      <c r="L1909" t="b">
        <v>0</v>
      </c>
      <c r="M1909" t="inlineStr">
        <is>
          <t>Non-Billable</t>
        </is>
      </c>
      <c r="N1909" s="6">
        <f>IF(B1909="","",IF(ISNUMBER(B1909),TEXT(B1909,"YYYY-MM"),LEFT(B1909,7)))</f>
        <v/>
      </c>
    </row>
    <row r="1910">
      <c r="A1910" t="inlineStr">
        <is>
          <t>Kingsley Fitz-Gerald Severine</t>
        </is>
      </c>
      <c r="B1910" s="4" t="n">
        <v>46083</v>
      </c>
      <c r="C1910" t="inlineStr">
        <is>
          <t>/</t>
        </is>
      </c>
      <c r="D1910" t="inlineStr">
        <is>
          <t>Kingsley Fitz-Gerald Severine</t>
        </is>
      </c>
      <c r="E1910" t="inlineStr">
        <is>
          <t>OdooBot</t>
        </is>
      </c>
      <c r="F1910" s="5" t="n">
        <v>46154.70721064815</v>
      </c>
      <c r="G1910" t="inlineStr">
        <is>
          <t>Field Visit and Data Collection</t>
        </is>
      </c>
      <c r="H1910" t="inlineStr">
        <is>
          <t>PCGH785</t>
        </is>
      </c>
      <c r="I1910" t="n">
        <v>4</v>
      </c>
      <c r="J1910" t="inlineStr">
        <is>
          <t>PCGH785 -  Field data collection  (3) (Okeosisi Jonathan)</t>
        </is>
      </c>
      <c r="K1910" t="inlineStr">
        <is>
          <t>Community engagements</t>
        </is>
      </c>
      <c r="L1910" t="b">
        <v>1</v>
      </c>
      <c r="M1910" t="inlineStr">
        <is>
          <t>Billed at a Fixed price</t>
        </is>
      </c>
      <c r="N1910" s="6">
        <f>IF(B1910="","",IF(ISNUMBER(B1910),TEXT(B1910,"YYYY-MM"),LEFT(B1910,7)))</f>
        <v/>
      </c>
    </row>
    <row r="1911">
      <c r="A1911" t="inlineStr">
        <is>
          <t>Kingsley Fitz-Gerald Severine</t>
        </is>
      </c>
      <c r="B1911" s="4" t="n">
        <v>46083</v>
      </c>
      <c r="C1911" t="inlineStr">
        <is>
          <t>/</t>
        </is>
      </c>
      <c r="D1911" t="inlineStr">
        <is>
          <t>Kingsley Fitz-Gerald Severine</t>
        </is>
      </c>
      <c r="E1911" t="inlineStr">
        <is>
          <t>OdooBot</t>
        </is>
      </c>
      <c r="F1911" s="5" t="n">
        <v>46154.70721064815</v>
      </c>
      <c r="G1911" t="inlineStr">
        <is>
          <t>Field Visit and Data Collection</t>
        </is>
      </c>
      <c r="H1911" t="inlineStr">
        <is>
          <t>PCGH785</t>
        </is>
      </c>
      <c r="I1911" t="n">
        <v>4</v>
      </c>
      <c r="J1911" t="inlineStr">
        <is>
          <t>PCGH785 -  Field data collection  (3) (Okeosisi Jonathan)</t>
        </is>
      </c>
      <c r="K1911" t="inlineStr">
        <is>
          <t>Ground-truthing and mapping</t>
        </is>
      </c>
      <c r="L1911" t="b">
        <v>1</v>
      </c>
      <c r="M1911" t="inlineStr">
        <is>
          <t>Billed at a Fixed price</t>
        </is>
      </c>
      <c r="N1911" s="6">
        <f>IF(B1911="","",IF(ISNUMBER(B1911),TEXT(B1911,"YYYY-MM"),LEFT(B1911,7)))</f>
        <v/>
      </c>
    </row>
    <row r="1912">
      <c r="A1912" t="inlineStr">
        <is>
          <t>Augustus Asamoah</t>
        </is>
      </c>
      <c r="B1912" s="4" t="n">
        <v>46082</v>
      </c>
      <c r="C1912" t="inlineStr">
        <is>
          <t>/</t>
        </is>
      </c>
      <c r="D1912" t="inlineStr">
        <is>
          <t>Augustus Asamoah</t>
        </is>
      </c>
      <c r="E1912" t="inlineStr">
        <is>
          <t>Augustus Asamoah</t>
        </is>
      </c>
      <c r="F1912" s="5" t="n">
        <v>46156.64274305556</v>
      </c>
      <c r="H1912" t="inlineStr">
        <is>
          <t>PCGH784</t>
        </is>
      </c>
      <c r="I1912" t="n">
        <v>0</v>
      </c>
      <c r="J1912" t="inlineStr">
        <is>
          <t>PCGH784 - Desk Study (3) (Okeosisi Jonathan)</t>
        </is>
      </c>
      <c r="L1912" t="b">
        <v>1</v>
      </c>
      <c r="M1912" t="inlineStr">
        <is>
          <t>Billed at a Fixed price</t>
        </is>
      </c>
      <c r="N1912" s="6">
        <f>IF(B1912="","",IF(ISNUMBER(B1912),TEXT(B1912,"YYYY-MM"),LEFT(B1912,7)))</f>
        <v/>
      </c>
    </row>
    <row r="1913">
      <c r="A1913" t="inlineStr">
        <is>
          <t>Joseph Isaiah Mensah</t>
        </is>
      </c>
      <c r="B1913" s="4" t="n">
        <v>46080</v>
      </c>
      <c r="C1913" t="inlineStr">
        <is>
          <t>/</t>
        </is>
      </c>
      <c r="D1913" t="inlineStr">
        <is>
          <t>Jacqueline Nyakutse Afua</t>
        </is>
      </c>
      <c r="E1913" t="inlineStr">
        <is>
          <t>Joseph Isaiah Mensah</t>
        </is>
      </c>
      <c r="F1913" s="5" t="n">
        <v>46162.66935185185</v>
      </c>
      <c r="G1913" t="inlineStr">
        <is>
          <t>Field verification and reporting in Nigeria (3)</t>
        </is>
      </c>
      <c r="H1913" t="inlineStr">
        <is>
          <t>PCGH775 - ESDD of Valency Operations for FMO</t>
        </is>
      </c>
      <c r="I1913" t="n">
        <v>3</v>
      </c>
      <c r="J1913" t="inlineStr">
        <is>
          <t>PCGH775 - Field Verification (3) (Valency International DMCC)</t>
        </is>
      </c>
      <c r="K1913" t="inlineStr">
        <is>
          <t>Analysis and reporting in Nigeria</t>
        </is>
      </c>
      <c r="L1913" t="b">
        <v>1</v>
      </c>
      <c r="M1913" t="inlineStr">
        <is>
          <t>Billed at a Fixed price</t>
        </is>
      </c>
      <c r="N1913" s="6">
        <f>IF(B1913="","",IF(ISNUMBER(B1913),TEXT(B1913,"YYYY-MM"),LEFT(B1913,7)))</f>
        <v/>
      </c>
    </row>
    <row r="1914">
      <c r="A1914" t="inlineStr">
        <is>
          <t>Joseph Isaiah Mensah</t>
        </is>
      </c>
      <c r="B1914" s="4" t="n">
        <v>46080</v>
      </c>
      <c r="C1914" t="inlineStr">
        <is>
          <t>[Update]: RS catch-up</t>
        </is>
      </c>
      <c r="D1914" t="inlineStr">
        <is>
          <t>Jacqueline Nyakutse Afua</t>
        </is>
      </c>
      <c r="E1914" t="inlineStr">
        <is>
          <t>Joseph Isaiah Mensah</t>
        </is>
      </c>
      <c r="F1914" s="5" t="n">
        <v>46162.66903935185</v>
      </c>
      <c r="H1914" t="inlineStr">
        <is>
          <t>PCGH778 - General Support</t>
        </is>
      </c>
      <c r="I1914" t="n">
        <v>2</v>
      </c>
      <c r="J1914" t="inlineStr">
        <is>
          <t>PCGH778 - Support to Other Workstreams (3) (Proforest Limited(PCUK GBP))</t>
        </is>
      </c>
      <c r="L1914" t="b">
        <v>1</v>
      </c>
      <c r="M1914" t="inlineStr">
        <is>
          <t>Billed at a Fixed price</t>
        </is>
      </c>
      <c r="N1914" s="6">
        <f>IF(B1914="","",IF(ISNUMBER(B1914),TEXT(B1914,"YYYY-MM"),LEFT(B1914,7)))</f>
        <v/>
      </c>
    </row>
    <row r="1915">
      <c r="A1915" t="inlineStr">
        <is>
          <t>Joseph Isaiah Mensah</t>
        </is>
      </c>
      <c r="B1915" s="4" t="n">
        <v>46080</v>
      </c>
      <c r="C1915" t="inlineStr">
        <is>
          <t>Budget lines</t>
        </is>
      </c>
      <c r="D1915" t="inlineStr">
        <is>
          <t>Jacqueline Nyakutse Afua</t>
        </is>
      </c>
      <c r="E1915" t="inlineStr">
        <is>
          <t>Joseph Isaiah Mensah</t>
        </is>
      </c>
      <c r="F1915" s="5" t="n">
        <v>46162.66805555556</v>
      </c>
      <c r="H1915" t="inlineStr">
        <is>
          <t>P23AC00C00 - FGMC</t>
        </is>
      </c>
      <c r="I1915" t="n">
        <v>1</v>
      </c>
      <c r="L1915" t="b">
        <v>0</v>
      </c>
      <c r="M1915" t="inlineStr">
        <is>
          <t>Non-Billable</t>
        </is>
      </c>
      <c r="N1915" s="6">
        <f>IF(B1915="","",IF(ISNUMBER(B1915),TEXT(B1915,"YYYY-MM"),LEFT(B1915,7)))</f>
        <v/>
      </c>
    </row>
    <row r="1916">
      <c r="A1916" t="inlineStr">
        <is>
          <t>Joseph Isaiah Mensah</t>
        </is>
      </c>
      <c r="B1916" s="4" t="n">
        <v>46080</v>
      </c>
      <c r="C1916" t="inlineStr">
        <is>
          <t>EU proposal draftig</t>
        </is>
      </c>
      <c r="D1916" t="inlineStr">
        <is>
          <t>Jacqueline Nyakutse Afua</t>
        </is>
      </c>
      <c r="E1916" t="inlineStr">
        <is>
          <t>Joseph Isaiah Mensah</t>
        </is>
      </c>
      <c r="F1916" s="5" t="n">
        <v>46162.73300925926</v>
      </c>
      <c r="H1916" t="inlineStr">
        <is>
          <t>Non-Billable Tasks</t>
        </is>
      </c>
      <c r="I1916" t="n">
        <v>2</v>
      </c>
      <c r="K1916" t="inlineStr">
        <is>
          <t>Business Development and Networking</t>
        </is>
      </c>
      <c r="L1916" t="b">
        <v>0</v>
      </c>
      <c r="M1916" t="inlineStr">
        <is>
          <t>Non-Billable</t>
        </is>
      </c>
      <c r="N1916" s="6">
        <f>IF(B1916="","",IF(ISNUMBER(B1916),TEXT(B1916,"YYYY-MM"),LEFT(B1916,7)))</f>
        <v/>
      </c>
    </row>
    <row r="1917">
      <c r="A1917" t="inlineStr">
        <is>
          <t>James Parker Mckeown</t>
        </is>
      </c>
      <c r="B1917" s="4" t="n">
        <v>46080</v>
      </c>
      <c r="C1917" t="inlineStr">
        <is>
          <t>FGMC BRIDGE Programme Budget Lines</t>
        </is>
      </c>
      <c r="D1917" t="inlineStr">
        <is>
          <t>James Parker Mckeown</t>
        </is>
      </c>
      <c r="E1917" t="inlineStr">
        <is>
          <t>James Parker Mckeown</t>
        </is>
      </c>
      <c r="F1917" s="5" t="n">
        <v>46162.52402777778</v>
      </c>
      <c r="G1917" t="inlineStr">
        <is>
          <t>Output 4</t>
        </is>
      </c>
      <c r="H1917" t="inlineStr">
        <is>
          <t>P23AC00C00 - FGMC</t>
        </is>
      </c>
      <c r="I1917" t="n">
        <v>2</v>
      </c>
      <c r="K1917" t="inlineStr">
        <is>
          <t>P23AC03A00 - Project Management</t>
        </is>
      </c>
      <c r="L1917" t="b">
        <v>0</v>
      </c>
      <c r="M1917" t="inlineStr">
        <is>
          <t>Non-Billable</t>
        </is>
      </c>
      <c r="N1917" s="6">
        <f>IF(B1917="","",IF(ISNUMBER(B1917),TEXT(B1917,"YYYY-MM"),LEFT(B1917,7)))</f>
        <v/>
      </c>
    </row>
    <row r="1918">
      <c r="A1918" t="inlineStr">
        <is>
          <t>James Parker Mckeown</t>
        </is>
      </c>
      <c r="B1918" s="4" t="n">
        <v>46080</v>
      </c>
      <c r="C1918" t="inlineStr">
        <is>
          <t>visit UK visa office to collect passport</t>
        </is>
      </c>
      <c r="D1918" t="inlineStr">
        <is>
          <t>James Parker Mckeown</t>
        </is>
      </c>
      <c r="E1918" t="inlineStr">
        <is>
          <t>James Parker Mckeown</t>
        </is>
      </c>
      <c r="F1918" s="5" t="n">
        <v>46162.52194444444</v>
      </c>
      <c r="G1918" t="inlineStr">
        <is>
          <t>Output 4</t>
        </is>
      </c>
      <c r="H1918" t="inlineStr">
        <is>
          <t>P23AC00C00 - FGMC</t>
        </is>
      </c>
      <c r="I1918" t="n">
        <v>3</v>
      </c>
      <c r="K1918" t="inlineStr">
        <is>
          <t>P23AC03A00 - Project Management</t>
        </is>
      </c>
      <c r="L1918" t="b">
        <v>0</v>
      </c>
      <c r="M1918" t="inlineStr">
        <is>
          <t>Non-Billable</t>
        </is>
      </c>
      <c r="N1918" s="6">
        <f>IF(B1918="","",IF(ISNUMBER(B1918),TEXT(B1918,"YYYY-MM"),LEFT(B1918,7)))</f>
        <v/>
      </c>
    </row>
    <row r="1919">
      <c r="A1919" t="inlineStr">
        <is>
          <t>James Parker Mckeown</t>
        </is>
      </c>
      <c r="B1919" s="4" t="n">
        <v>46080</v>
      </c>
      <c r="C1919" t="inlineStr">
        <is>
          <t>/</t>
        </is>
      </c>
      <c r="D1919" t="inlineStr">
        <is>
          <t>James Parker Mckeown</t>
        </is>
      </c>
      <c r="E1919" t="inlineStr">
        <is>
          <t>James Parker Mckeown</t>
        </is>
      </c>
      <c r="F1919" s="5" t="n">
        <v>46162.52038194444</v>
      </c>
      <c r="H1919" t="inlineStr">
        <is>
          <t>PCGH762 - GVL HCSA Restoration Project</t>
        </is>
      </c>
      <c r="I1919" t="n">
        <v>2</v>
      </c>
      <c r="J1919" t="inlineStr">
        <is>
          <t>PCGH762 - Development and Implementation of MEL Framework (Golden Veroleum Liberia)</t>
        </is>
      </c>
      <c r="K1919" t="inlineStr">
        <is>
          <t>Development and Implementation of MEL Framework</t>
        </is>
      </c>
      <c r="L1919" t="b">
        <v>1</v>
      </c>
      <c r="M1919" t="inlineStr">
        <is>
          <t>Billed at a Fixed price</t>
        </is>
      </c>
      <c r="N1919" s="6">
        <f>IF(B1919="","",IF(ISNUMBER(B1919),TEXT(B1919,"YYYY-MM"),LEFT(B1919,7)))</f>
        <v/>
      </c>
    </row>
    <row r="1920">
      <c r="A1920" t="inlineStr">
        <is>
          <t>Daleba Bernard Kpenahi Raymond</t>
        </is>
      </c>
      <c r="B1920" s="4" t="n">
        <v>46080</v>
      </c>
      <c r="C1920" t="inlineStr">
        <is>
          <t>/</t>
        </is>
      </c>
      <c r="D1920" t="inlineStr">
        <is>
          <t>Daleba Bernard Kpenahi Raymond</t>
        </is>
      </c>
      <c r="E1920" t="inlineStr">
        <is>
          <t>Daleba Bernard Kpenahi Raymond</t>
        </is>
      </c>
      <c r="F1920" s="5" t="n">
        <v>46160.89614583334</v>
      </c>
      <c r="H1920" t="inlineStr">
        <is>
          <t>PCGH754 (Cote D'voire)</t>
        </is>
      </c>
      <c r="I1920" t="n">
        <v>4</v>
      </c>
      <c r="L1920" t="b">
        <v>1</v>
      </c>
      <c r="M1920" t="inlineStr">
        <is>
          <t>Non-Billable</t>
        </is>
      </c>
      <c r="N1920" s="6">
        <f>IF(B1920="","",IF(ISNUMBER(B1920),TEXT(B1920,"YYYY-MM"),LEFT(B1920,7)))</f>
        <v/>
      </c>
    </row>
    <row r="1921">
      <c r="A1921" t="inlineStr">
        <is>
          <t>Frederick Antwi</t>
        </is>
      </c>
      <c r="B1921" s="4" t="n">
        <v>46080</v>
      </c>
      <c r="C1921" t="inlineStr">
        <is>
          <t>/</t>
        </is>
      </c>
      <c r="D1921" t="inlineStr">
        <is>
          <t>Frederick Antwi</t>
        </is>
      </c>
      <c r="E1921" t="inlineStr">
        <is>
          <t>Frederick Antwi</t>
        </is>
      </c>
      <c r="F1921" s="5" t="n">
        <v>46160.58018518519</v>
      </c>
      <c r="H1921" t="inlineStr">
        <is>
          <t>P13NC00A00 - WALMART II</t>
        </is>
      </c>
      <c r="I1921" t="n">
        <v>8</v>
      </c>
      <c r="L1921" t="b">
        <v>0</v>
      </c>
      <c r="M1921" t="inlineStr">
        <is>
          <t>Non-Billable</t>
        </is>
      </c>
      <c r="N1921" s="6">
        <f>IF(B1921="","",IF(ISNUMBER(B1921),TEXT(B1921,"YYYY-MM"),LEFT(B1921,7)))</f>
        <v/>
      </c>
    </row>
    <row r="1922">
      <c r="A1922" t="inlineStr">
        <is>
          <t>Augustus Asamoah</t>
        </is>
      </c>
      <c r="B1922" s="4" t="n">
        <v>46080</v>
      </c>
      <c r="C1922" t="inlineStr">
        <is>
          <t>/</t>
        </is>
      </c>
      <c r="D1922" t="inlineStr">
        <is>
          <t>Augustus Asamoah</t>
        </is>
      </c>
      <c r="E1922" t="inlineStr">
        <is>
          <t>Augustus Asamoah</t>
        </is>
      </c>
      <c r="F1922" s="5" t="n">
        <v>46156.63921296296</v>
      </c>
      <c r="H1922" t="inlineStr">
        <is>
          <t>PCGH772</t>
        </is>
      </c>
      <c r="I1922" t="n">
        <v>8</v>
      </c>
      <c r="L1922" t="b">
        <v>1</v>
      </c>
      <c r="M1922" t="inlineStr">
        <is>
          <t>Non-Billable</t>
        </is>
      </c>
      <c r="N1922" s="6">
        <f>IF(B1922="","",IF(ISNUMBER(B1922),TEXT(B1922,"YYYY-MM"),LEFT(B1922,7)))</f>
        <v/>
      </c>
    </row>
    <row r="1923">
      <c r="A1923" t="inlineStr">
        <is>
          <t>Afua Serwah Akoto Prempeh</t>
        </is>
      </c>
      <c r="B1923" s="4" t="n">
        <v>46080</v>
      </c>
      <c r="C1923" t="inlineStr">
        <is>
          <t>/</t>
        </is>
      </c>
      <c r="D1923" t="inlineStr">
        <is>
          <t>Afua Serwah Akoto Prempeh</t>
        </is>
      </c>
      <c r="E1923" t="inlineStr">
        <is>
          <t>OdooBot</t>
        </is>
      </c>
      <c r="F1923" s="5" t="n">
        <v>46154.70721064815</v>
      </c>
      <c r="H1923" t="inlineStr">
        <is>
          <t>P23AC00C00 - FGMC</t>
        </is>
      </c>
      <c r="I1923" t="n">
        <v>3</v>
      </c>
      <c r="L1923" t="b">
        <v>0</v>
      </c>
      <c r="M1923" t="inlineStr">
        <is>
          <t>Non-Billable</t>
        </is>
      </c>
      <c r="N1923" s="6">
        <f>IF(B1923="","",IF(ISNUMBER(B1923),TEXT(B1923,"YYYY-MM"),LEFT(B1923,7)))</f>
        <v/>
      </c>
    </row>
    <row r="1924">
      <c r="A1924" t="inlineStr">
        <is>
          <t>Afua Serwah Akoto Prempeh</t>
        </is>
      </c>
      <c r="B1924" s="4" t="n">
        <v>46080</v>
      </c>
      <c r="C1924" t="inlineStr">
        <is>
          <t>/</t>
        </is>
      </c>
      <c r="D1924" t="inlineStr">
        <is>
          <t>Afua Serwah Akoto Prempeh</t>
        </is>
      </c>
      <c r="E1924" t="inlineStr">
        <is>
          <t>OdooBot</t>
        </is>
      </c>
      <c r="F1924" s="5" t="n">
        <v>46154.70721064815</v>
      </c>
      <c r="H1924" t="inlineStr">
        <is>
          <t>Non-Billable Tasks</t>
        </is>
      </c>
      <c r="I1924" t="n">
        <v>1</v>
      </c>
      <c r="K1924" t="inlineStr">
        <is>
          <t>Communication/Data/Training</t>
        </is>
      </c>
      <c r="L1924" t="b">
        <v>0</v>
      </c>
      <c r="M1924" t="inlineStr">
        <is>
          <t>Non-Billable</t>
        </is>
      </c>
      <c r="N1924" s="6">
        <f>IF(B1924="","",IF(ISNUMBER(B1924),TEXT(B1924,"YYYY-MM"),LEFT(B1924,7)))</f>
        <v/>
      </c>
    </row>
    <row r="1925">
      <c r="A1925" t="inlineStr">
        <is>
          <t>Afua Serwah Akoto Prempeh</t>
        </is>
      </c>
      <c r="B1925" s="4" t="n">
        <v>46080</v>
      </c>
      <c r="C1925" t="inlineStr">
        <is>
          <t>/</t>
        </is>
      </c>
      <c r="D1925" t="inlineStr">
        <is>
          <t>Afua Serwah Akoto Prempeh</t>
        </is>
      </c>
      <c r="E1925" t="inlineStr">
        <is>
          <t>OdooBot</t>
        </is>
      </c>
      <c r="F1925" s="5" t="n">
        <v>46154.70721064815</v>
      </c>
      <c r="H1925" t="inlineStr">
        <is>
          <t>Non-Billable Tasks</t>
        </is>
      </c>
      <c r="I1925" t="n">
        <v>4</v>
      </c>
      <c r="L1925" t="b">
        <v>0</v>
      </c>
      <c r="M1925" t="inlineStr">
        <is>
          <t>Non-Billable</t>
        </is>
      </c>
      <c r="N1925" s="6">
        <f>IF(B1925="","",IF(ISNUMBER(B1925),TEXT(B1925,"YYYY-MM"),LEFT(B1925,7)))</f>
        <v/>
      </c>
    </row>
    <row r="1926">
      <c r="A1926" t="inlineStr">
        <is>
          <t>Stephen Doso</t>
        </is>
      </c>
      <c r="B1926" s="4" t="n">
        <v>46080</v>
      </c>
      <c r="C1926" t="inlineStr">
        <is>
          <t>/</t>
        </is>
      </c>
      <c r="D1926" t="inlineStr">
        <is>
          <t>Stephen Doso</t>
        </is>
      </c>
      <c r="E1926" t="inlineStr">
        <is>
          <t>OdooBot</t>
        </is>
      </c>
      <c r="F1926" s="5" t="n">
        <v>46154.70721064815</v>
      </c>
      <c r="H1926" t="inlineStr">
        <is>
          <t>PCGH774 -Evaluation Deep-Dive Action Plans by Socfin Group</t>
        </is>
      </c>
      <c r="I1926" t="n">
        <v>8</v>
      </c>
      <c r="J1926" t="inlineStr">
        <is>
          <t>PCGH774 - Tier 2 (Socfinco FR SA)</t>
        </is>
      </c>
      <c r="K1926" t="inlineStr">
        <is>
          <t>Okomu - Field verification/observation/community and stakeholder engagement</t>
        </is>
      </c>
      <c r="L1926" t="b">
        <v>1</v>
      </c>
      <c r="M1926" t="inlineStr">
        <is>
          <t>Billed at a Fixed price</t>
        </is>
      </c>
      <c r="N1926" s="6">
        <f>IF(B1926="","",IF(ISNUMBER(B1926),TEXT(B1926,"YYYY-MM"),LEFT(B1926,7)))</f>
        <v/>
      </c>
    </row>
    <row r="1927">
      <c r="A1927" t="inlineStr">
        <is>
          <t>Kwadwo Baniako Nti</t>
        </is>
      </c>
      <c r="B1927" s="4" t="n">
        <v>46080</v>
      </c>
      <c r="C1927" t="inlineStr">
        <is>
          <t>/</t>
        </is>
      </c>
      <c r="D1927" t="inlineStr">
        <is>
          <t>Kwadwo Baniako Nti</t>
        </is>
      </c>
      <c r="E1927" t="inlineStr">
        <is>
          <t>OdooBot</t>
        </is>
      </c>
      <c r="F1927" s="5" t="n">
        <v>46154.70721064815</v>
      </c>
      <c r="H1927" t="inlineStr">
        <is>
          <t>PCGH774 -Evaluation Deep-Dive Action Plans by Socfin Group</t>
        </is>
      </c>
      <c r="I1927" t="n">
        <v>8</v>
      </c>
      <c r="J1927" t="inlineStr">
        <is>
          <t>PCGH774 - Tier 2 (Socfinco FR SA)</t>
        </is>
      </c>
      <c r="K1927" t="inlineStr">
        <is>
          <t>Okomu - Field verification/observation/community and stakeholder engagement</t>
        </is>
      </c>
      <c r="L1927" t="b">
        <v>1</v>
      </c>
      <c r="M1927" t="inlineStr">
        <is>
          <t>Billed at a Fixed price</t>
        </is>
      </c>
      <c r="N1927" s="6">
        <f>IF(B1927="","",IF(ISNUMBER(B1927),TEXT(B1927,"YYYY-MM"),LEFT(B1927,7)))</f>
        <v/>
      </c>
    </row>
    <row r="1928">
      <c r="A1928" t="inlineStr">
        <is>
          <t>Helena Tetteh</t>
        </is>
      </c>
      <c r="B1928" s="4" t="n">
        <v>46080</v>
      </c>
      <c r="C1928" t="inlineStr">
        <is>
          <t>/</t>
        </is>
      </c>
      <c r="D1928" t="inlineStr">
        <is>
          <t xml:space="preserve">Helena Tetteh </t>
        </is>
      </c>
      <c r="E1928" t="inlineStr">
        <is>
          <t>OdooBot</t>
        </is>
      </c>
      <c r="F1928" s="5" t="n">
        <v>46154.70721064815</v>
      </c>
      <c r="G1928" t="inlineStr">
        <is>
          <t>Output 2.3</t>
        </is>
      </c>
      <c r="H1928" t="inlineStr">
        <is>
          <t>P23AC00C00 - FGMC</t>
        </is>
      </c>
      <c r="I1928" t="n">
        <v>8</v>
      </c>
      <c r="K1928" t="inlineStr">
        <is>
          <t>P23AC22A00 - Output Two (Elevating Local Solutions - West Africa)</t>
        </is>
      </c>
      <c r="L1928" t="b">
        <v>0</v>
      </c>
      <c r="M1928" t="inlineStr">
        <is>
          <t>Non-Billable</t>
        </is>
      </c>
      <c r="N1928" s="6">
        <f>IF(B1928="","",IF(ISNUMBER(B1928),TEXT(B1928,"YYYY-MM"),LEFT(B1928,7)))</f>
        <v/>
      </c>
    </row>
    <row r="1929">
      <c r="A1929" t="inlineStr">
        <is>
          <t>Daleba Bernard Kpenahi Raymond</t>
        </is>
      </c>
      <c r="B1929" s="4" t="n">
        <v>46080</v>
      </c>
      <c r="C1929" t="inlineStr">
        <is>
          <t>/</t>
        </is>
      </c>
      <c r="D1929" t="inlineStr">
        <is>
          <t>Daleba Bernard Kpenahi Raymond</t>
        </is>
      </c>
      <c r="E1929" t="inlineStr">
        <is>
          <t>OdooBot</t>
        </is>
      </c>
      <c r="F1929" s="5" t="n">
        <v>46154.70721064815</v>
      </c>
      <c r="H1929" t="inlineStr">
        <is>
          <t>PCGH775 - ESDD of Valency Operations for FMO</t>
        </is>
      </c>
      <c r="I1929" t="n">
        <v>4</v>
      </c>
      <c r="J1929" t="inlineStr">
        <is>
          <t>PCGH775 - Kick-Off Meeting (Valency International DMCC)</t>
        </is>
      </c>
      <c r="L1929" t="b">
        <v>1</v>
      </c>
      <c r="M1929" t="inlineStr">
        <is>
          <t>Billed at a Fixed price</t>
        </is>
      </c>
      <c r="N1929" s="6">
        <f>IF(B1929="","",IF(ISNUMBER(B1929),TEXT(B1929,"YYYY-MM"),LEFT(B1929,7)))</f>
        <v/>
      </c>
    </row>
    <row r="1930">
      <c r="A1930" t="inlineStr">
        <is>
          <t>Ekow Nyamekye Tawiah</t>
        </is>
      </c>
      <c r="B1930" s="4" t="n">
        <v>46080</v>
      </c>
      <c r="C1930" t="inlineStr">
        <is>
          <t>/</t>
        </is>
      </c>
      <c r="D1930" t="inlineStr">
        <is>
          <t>Joseph Isaiah Mensah</t>
        </is>
      </c>
      <c r="E1930" t="inlineStr">
        <is>
          <t>OdooBot</t>
        </is>
      </c>
      <c r="F1930" s="5" t="n">
        <v>46154.70721064815</v>
      </c>
      <c r="H1930" t="inlineStr">
        <is>
          <t>Non-Billable Tasks</t>
        </is>
      </c>
      <c r="I1930" t="n">
        <v>1.5</v>
      </c>
      <c r="K1930" t="inlineStr">
        <is>
          <t>Professional development and Knowledge sharing(training,global knowledge calls,exchange weeks)</t>
        </is>
      </c>
      <c r="L1930" t="b">
        <v>0</v>
      </c>
      <c r="M1930" t="inlineStr">
        <is>
          <t>Non-Billable</t>
        </is>
      </c>
      <c r="N1930" s="6">
        <f>IF(B1930="","",IF(ISNUMBER(B1930),TEXT(B1930,"YYYY-MM"),LEFT(B1930,7)))</f>
        <v/>
      </c>
    </row>
    <row r="1931">
      <c r="A1931" t="inlineStr">
        <is>
          <t>Ekow Nyamekye Tawiah</t>
        </is>
      </c>
      <c r="B1931" s="4" t="n">
        <v>46080</v>
      </c>
      <c r="C1931" t="inlineStr">
        <is>
          <t>/</t>
        </is>
      </c>
      <c r="D1931" t="inlineStr">
        <is>
          <t>Joseph Isaiah Mensah</t>
        </is>
      </c>
      <c r="E1931" t="inlineStr">
        <is>
          <t>OdooBot</t>
        </is>
      </c>
      <c r="F1931" s="5" t="n">
        <v>46154.70721064815</v>
      </c>
      <c r="H1931" t="inlineStr">
        <is>
          <t>PCGH722</t>
        </is>
      </c>
      <c r="I1931" t="n">
        <v>2.5</v>
      </c>
      <c r="J1931" t="inlineStr">
        <is>
          <t>PCGH722 - Analysis and Reporting (3) (Sucrivoire SA)</t>
        </is>
      </c>
      <c r="K1931" t="inlineStr">
        <is>
          <t>Analysis and Reporting (3)</t>
        </is>
      </c>
      <c r="L1931" t="b">
        <v>1</v>
      </c>
      <c r="M1931" t="inlineStr">
        <is>
          <t>Billed at a Fixed price</t>
        </is>
      </c>
      <c r="N1931" s="6">
        <f>IF(B1931="","",IF(ISNUMBER(B1931),TEXT(B1931,"YYYY-MM"),LEFT(B1931,7)))</f>
        <v/>
      </c>
    </row>
    <row r="1932">
      <c r="A1932" t="inlineStr">
        <is>
          <t>Clement Obeng-Manu</t>
        </is>
      </c>
      <c r="B1932" s="4" t="n">
        <v>46080</v>
      </c>
      <c r="C1932" t="inlineStr">
        <is>
          <t>/</t>
        </is>
      </c>
      <c r="D1932" t="inlineStr">
        <is>
          <t>Ekow Nyamekye Tawiah</t>
        </is>
      </c>
      <c r="E1932" t="inlineStr">
        <is>
          <t>OdooBot</t>
        </is>
      </c>
      <c r="F1932" s="5" t="n">
        <v>46154.70721064815</v>
      </c>
      <c r="H1932" t="inlineStr">
        <is>
          <t>PCGH777</t>
        </is>
      </c>
      <c r="I1932" t="n">
        <v>8</v>
      </c>
      <c r="J1932" t="inlineStr">
        <is>
          <t>PCGH777 - Field work  (3) (Proforest Limited(PCUK GBP))</t>
        </is>
      </c>
      <c r="K1932" t="inlineStr">
        <is>
          <t>Fieldwork – stakeholder engagement</t>
        </is>
      </c>
      <c r="L1932" t="b">
        <v>1</v>
      </c>
      <c r="M1932" t="inlineStr">
        <is>
          <t>Billed at a Fixed price</t>
        </is>
      </c>
      <c r="N1932" s="6">
        <f>IF(B1932="","",IF(ISNUMBER(B1932),TEXT(B1932,"YYYY-MM"),LEFT(B1932,7)))</f>
        <v/>
      </c>
    </row>
    <row r="1933">
      <c r="A1933" t="inlineStr">
        <is>
          <t>Louis Defo</t>
        </is>
      </c>
      <c r="B1933" s="4" t="n">
        <v>46080</v>
      </c>
      <c r="C1933" t="inlineStr">
        <is>
          <t>/</t>
        </is>
      </c>
      <c r="D1933" t="inlineStr">
        <is>
          <t>Louis Defo</t>
        </is>
      </c>
      <c r="E1933" t="inlineStr">
        <is>
          <t>OdooBot</t>
        </is>
      </c>
      <c r="F1933" s="5" t="n">
        <v>46154.70721064815</v>
      </c>
      <c r="H1933" t="inlineStr">
        <is>
          <t>P23AC00C00 - FGMC</t>
        </is>
      </c>
      <c r="I1933" t="n">
        <v>8</v>
      </c>
      <c r="K1933" t="inlineStr">
        <is>
          <t>Output 1</t>
        </is>
      </c>
      <c r="L1933" t="b">
        <v>0</v>
      </c>
      <c r="M1933" t="inlineStr">
        <is>
          <t>Non-Billable</t>
        </is>
      </c>
      <c r="N1933" s="6">
        <f>IF(B1933="","",IF(ISNUMBER(B1933),TEXT(B1933,"YYYY-MM"),LEFT(B1933,7)))</f>
        <v/>
      </c>
    </row>
    <row r="1934">
      <c r="A1934" t="inlineStr">
        <is>
          <t>Mawuse Agblobi</t>
        </is>
      </c>
      <c r="B1934" s="4" t="n">
        <v>46080</v>
      </c>
      <c r="C1934" t="inlineStr">
        <is>
          <t>Time Off (5/7)</t>
        </is>
      </c>
      <c r="D1934" t="inlineStr">
        <is>
          <t>Adwoa Fremah Ntosour-Amponsem</t>
        </is>
      </c>
      <c r="E1934" t="inlineStr">
        <is>
          <t>OdooBot</t>
        </is>
      </c>
      <c r="F1934" s="5" t="n">
        <v>46154.70721064815</v>
      </c>
      <c r="H1934" t="inlineStr">
        <is>
          <t>Internal</t>
        </is>
      </c>
      <c r="I1934" t="n">
        <v>8</v>
      </c>
      <c r="K1934" t="inlineStr">
        <is>
          <t>Time Off</t>
        </is>
      </c>
      <c r="L1934" t="b">
        <v>0</v>
      </c>
      <c r="M1934" t="inlineStr">
        <is>
          <t>Non-Billable</t>
        </is>
      </c>
      <c r="N1934" s="6">
        <f>IF(B1934="","",IF(ISNUMBER(B1934),TEXT(B1934,"YYYY-MM"),LEFT(B1934,7)))</f>
        <v/>
      </c>
    </row>
    <row r="1935">
      <c r="A1935" t="inlineStr">
        <is>
          <t>Kingsley Fitz-Gerald Severine</t>
        </is>
      </c>
      <c r="B1935" s="4" t="n">
        <v>46080</v>
      </c>
      <c r="C1935" t="inlineStr">
        <is>
          <t>/</t>
        </is>
      </c>
      <c r="D1935" t="inlineStr">
        <is>
          <t>Kingsley Fitz-Gerald Severine</t>
        </is>
      </c>
      <c r="E1935" t="inlineStr">
        <is>
          <t>OdooBot</t>
        </is>
      </c>
      <c r="F1935" s="5" t="n">
        <v>46154.70721064815</v>
      </c>
      <c r="G1935" t="inlineStr">
        <is>
          <t>Stakeholder Consultations (3)</t>
        </is>
      </c>
      <c r="H1935" t="inlineStr">
        <is>
          <t>PCGH772</t>
        </is>
      </c>
      <c r="I1935" t="n">
        <v>8</v>
      </c>
      <c r="J1935" t="inlineStr">
        <is>
          <t>PCGH772 - Stakeholder Consultations (3) (Presco Plc)</t>
        </is>
      </c>
      <c r="K1935" t="inlineStr">
        <is>
          <t>Stakeholder consultations</t>
        </is>
      </c>
      <c r="L1935" t="b">
        <v>1</v>
      </c>
      <c r="M1935" t="inlineStr">
        <is>
          <t>Billed at a Fixed price</t>
        </is>
      </c>
      <c r="N1935" s="6">
        <f>IF(B1935="","",IF(ISNUMBER(B1935),TEXT(B1935,"YYYY-MM"),LEFT(B1935,7)))</f>
        <v/>
      </c>
    </row>
    <row r="1936">
      <c r="A1936" t="inlineStr">
        <is>
          <t>Joseph Isaiah Mensah</t>
        </is>
      </c>
      <c r="B1936" s="4" t="n">
        <v>46079</v>
      </c>
      <c r="C1936" t="inlineStr">
        <is>
          <t>/</t>
        </is>
      </c>
      <c r="D1936" t="inlineStr">
        <is>
          <t>Jacqueline Nyakutse Afua</t>
        </is>
      </c>
      <c r="E1936" t="inlineStr">
        <is>
          <t>Joseph Isaiah Mensah</t>
        </is>
      </c>
      <c r="F1936" s="5" t="n">
        <v>46162.6655787037</v>
      </c>
      <c r="H1936" t="inlineStr">
        <is>
          <t>PCGH775 - ESDD of Valency Operations for FMO</t>
        </is>
      </c>
      <c r="I1936" t="n">
        <v>8</v>
      </c>
      <c r="J1936" t="inlineStr">
        <is>
          <t>PCGH775 - Kick-Off Meeting (Valency International DMCC)</t>
        </is>
      </c>
      <c r="L1936" t="b">
        <v>1</v>
      </c>
      <c r="M1936" t="inlineStr">
        <is>
          <t>Billed at a Fixed price</t>
        </is>
      </c>
      <c r="N1936" s="6">
        <f>IF(B1936="","",IF(ISNUMBER(B1936),TEXT(B1936,"YYYY-MM"),LEFT(B1936,7)))</f>
        <v/>
      </c>
    </row>
    <row r="1937">
      <c r="A1937" t="inlineStr">
        <is>
          <t>James Parker Mckeown</t>
        </is>
      </c>
      <c r="B1937" s="4" t="n">
        <v>46079</v>
      </c>
      <c r="C1937" t="inlineStr">
        <is>
          <t xml:space="preserve">drafting concept note for EU call for proposals for Liberia
</t>
        </is>
      </c>
      <c r="D1937" t="inlineStr">
        <is>
          <t>James Parker Mckeown</t>
        </is>
      </c>
      <c r="E1937" t="inlineStr">
        <is>
          <t>James Parker Mckeown</t>
        </is>
      </c>
      <c r="F1937" s="5" t="n">
        <v>46162.52023148148</v>
      </c>
      <c r="H1937" t="inlineStr">
        <is>
          <t>Non-Billable Tasks</t>
        </is>
      </c>
      <c r="I1937" t="n">
        <v>3</v>
      </c>
      <c r="K1937" t="inlineStr">
        <is>
          <t>Business Development and Networking</t>
        </is>
      </c>
      <c r="L1937" t="b">
        <v>0</v>
      </c>
      <c r="M1937" t="inlineStr">
        <is>
          <t>Non-Billable</t>
        </is>
      </c>
      <c r="N1937" s="6">
        <f>IF(B1937="","",IF(ISNUMBER(B1937),TEXT(B1937,"YYYY-MM"),LEFT(B1937,7)))</f>
        <v/>
      </c>
    </row>
    <row r="1938">
      <c r="A1938" t="inlineStr">
        <is>
          <t>James Parker Mckeown</t>
        </is>
      </c>
      <c r="B1938" s="4" t="n">
        <v>46079</v>
      </c>
      <c r="C1938" t="inlineStr">
        <is>
          <t>/</t>
        </is>
      </c>
      <c r="D1938" t="inlineStr">
        <is>
          <t>James Parker Mckeown</t>
        </is>
      </c>
      <c r="E1938" t="inlineStr">
        <is>
          <t>James Parker Mckeown</t>
        </is>
      </c>
      <c r="F1938" s="5" t="n">
        <v>46162.51495370371</v>
      </c>
      <c r="H1938" t="inlineStr">
        <is>
          <t>PCGH762 - GVL HCSA Restoration Project</t>
        </is>
      </c>
      <c r="I1938" t="n">
        <v>3</v>
      </c>
      <c r="J1938" t="inlineStr">
        <is>
          <t>PCGH762 - Development and Implementation of MEL Framework (Golden Veroleum Liberia)</t>
        </is>
      </c>
      <c r="K1938" t="inlineStr">
        <is>
          <t>Development and Implementation of MEL Framework</t>
        </is>
      </c>
      <c r="L1938" t="b">
        <v>1</v>
      </c>
      <c r="M1938" t="inlineStr">
        <is>
          <t>Billed at a Fixed price</t>
        </is>
      </c>
      <c r="N1938" s="6">
        <f>IF(B1938="","",IF(ISNUMBER(B1938),TEXT(B1938,"YYYY-MM"),LEFT(B1938,7)))</f>
        <v/>
      </c>
    </row>
    <row r="1939">
      <c r="A1939" t="inlineStr">
        <is>
          <t>Frederick Antwi</t>
        </is>
      </c>
      <c r="B1939" s="4" t="n">
        <v>46079</v>
      </c>
      <c r="C1939" t="inlineStr">
        <is>
          <t>/</t>
        </is>
      </c>
      <c r="D1939" t="inlineStr">
        <is>
          <t>Frederick Antwi</t>
        </is>
      </c>
      <c r="E1939" t="inlineStr">
        <is>
          <t>Frederick Antwi</t>
        </is>
      </c>
      <c r="F1939" s="5" t="n">
        <v>46160.58016203704</v>
      </c>
      <c r="H1939" t="inlineStr">
        <is>
          <t>P13NC00A00 - WALMART II</t>
        </is>
      </c>
      <c r="I1939" t="n">
        <v>8</v>
      </c>
      <c r="L1939" t="b">
        <v>0</v>
      </c>
      <c r="M1939" t="inlineStr">
        <is>
          <t>Non-Billable</t>
        </is>
      </c>
      <c r="N1939" s="6">
        <f>IF(B1939="","",IF(ISNUMBER(B1939),TEXT(B1939,"YYYY-MM"),LEFT(B1939,7)))</f>
        <v/>
      </c>
    </row>
    <row r="1940">
      <c r="A1940" t="inlineStr">
        <is>
          <t>Augustus Asamoah</t>
        </is>
      </c>
      <c r="B1940" s="4" t="n">
        <v>46079</v>
      </c>
      <c r="C1940" t="inlineStr">
        <is>
          <t>/</t>
        </is>
      </c>
      <c r="D1940" t="inlineStr">
        <is>
          <t>Augustus Asamoah</t>
        </is>
      </c>
      <c r="E1940" t="inlineStr">
        <is>
          <t>Augustus Asamoah</t>
        </is>
      </c>
      <c r="F1940" s="5" t="n">
        <v>46156.6391087963</v>
      </c>
      <c r="H1940" t="inlineStr">
        <is>
          <t>PCGH772</t>
        </is>
      </c>
      <c r="I1940" t="n">
        <v>8</v>
      </c>
      <c r="L1940" t="b">
        <v>1</v>
      </c>
      <c r="M1940" t="inlineStr">
        <is>
          <t>Non-Billable</t>
        </is>
      </c>
      <c r="N1940" s="6">
        <f>IF(B1940="","",IF(ISNUMBER(B1940),TEXT(B1940,"YYYY-MM"),LEFT(B1940,7)))</f>
        <v/>
      </c>
    </row>
    <row r="1941">
      <c r="A1941" t="inlineStr">
        <is>
          <t>Afua Serwah Akoto Prempeh</t>
        </is>
      </c>
      <c r="B1941" s="4" t="n">
        <v>46079</v>
      </c>
      <c r="C1941" t="inlineStr">
        <is>
          <t>/</t>
        </is>
      </c>
      <c r="D1941" t="inlineStr">
        <is>
          <t>Afua Serwah Akoto Prempeh</t>
        </is>
      </c>
      <c r="E1941" t="inlineStr">
        <is>
          <t>OdooBot</t>
        </is>
      </c>
      <c r="F1941" s="5" t="n">
        <v>46154.70721064815</v>
      </c>
      <c r="H1941" t="inlineStr">
        <is>
          <t>Non-Billable Tasks</t>
        </is>
      </c>
      <c r="I1941" t="n">
        <v>4</v>
      </c>
      <c r="K1941" t="inlineStr">
        <is>
          <t>Communication/Data/Training</t>
        </is>
      </c>
      <c r="L1941" t="b">
        <v>0</v>
      </c>
      <c r="M1941" t="inlineStr">
        <is>
          <t>Non-Billable</t>
        </is>
      </c>
      <c r="N1941" s="6">
        <f>IF(B1941="","",IF(ISNUMBER(B1941),TEXT(B1941,"YYYY-MM"),LEFT(B1941,7)))</f>
        <v/>
      </c>
    </row>
    <row r="1942">
      <c r="A1942" t="inlineStr">
        <is>
          <t>Afua Serwah Akoto Prempeh</t>
        </is>
      </c>
      <c r="B1942" s="4" t="n">
        <v>46079</v>
      </c>
      <c r="C1942" t="inlineStr">
        <is>
          <t>/</t>
        </is>
      </c>
      <c r="D1942" t="inlineStr">
        <is>
          <t>Afua Serwah Akoto Prempeh</t>
        </is>
      </c>
      <c r="E1942" t="inlineStr">
        <is>
          <t>OdooBot</t>
        </is>
      </c>
      <c r="F1942" s="5" t="n">
        <v>46154.70721064815</v>
      </c>
      <c r="H1942" t="inlineStr">
        <is>
          <t>P23AC00C00 - FGMC</t>
        </is>
      </c>
      <c r="I1942" t="n">
        <v>4</v>
      </c>
      <c r="L1942" t="b">
        <v>0</v>
      </c>
      <c r="M1942" t="inlineStr">
        <is>
          <t>Non-Billable</t>
        </is>
      </c>
      <c r="N1942" s="6">
        <f>IF(B1942="","",IF(ISNUMBER(B1942),TEXT(B1942,"YYYY-MM"),LEFT(B1942,7)))</f>
        <v/>
      </c>
    </row>
    <row r="1943">
      <c r="A1943" t="inlineStr">
        <is>
          <t>Stephen Doso</t>
        </is>
      </c>
      <c r="B1943" s="4" t="n">
        <v>46079</v>
      </c>
      <c r="C1943" t="inlineStr">
        <is>
          <t>/</t>
        </is>
      </c>
      <c r="D1943" t="inlineStr">
        <is>
          <t>Stephen Doso</t>
        </is>
      </c>
      <c r="E1943" t="inlineStr">
        <is>
          <t>OdooBot</t>
        </is>
      </c>
      <c r="F1943" s="5" t="n">
        <v>46154.70721064815</v>
      </c>
      <c r="H1943" t="inlineStr">
        <is>
          <t>PCGH774 -Evaluation Deep-Dive Action Plans by Socfin Group</t>
        </is>
      </c>
      <c r="I1943" t="n">
        <v>8</v>
      </c>
      <c r="J1943" t="inlineStr">
        <is>
          <t>PCGH774 - Tier 2 (Socfinco FR SA)</t>
        </is>
      </c>
      <c r="K1943" t="inlineStr">
        <is>
          <t>Okomu - Field verification/observation/community and stakeholder engagement</t>
        </is>
      </c>
      <c r="L1943" t="b">
        <v>1</v>
      </c>
      <c r="M1943" t="inlineStr">
        <is>
          <t>Billed at a Fixed price</t>
        </is>
      </c>
      <c r="N1943" s="6">
        <f>IF(B1943="","",IF(ISNUMBER(B1943),TEXT(B1943,"YYYY-MM"),LEFT(B1943,7)))</f>
        <v/>
      </c>
    </row>
    <row r="1944">
      <c r="A1944" t="inlineStr">
        <is>
          <t>Kwadwo Baniako Nti</t>
        </is>
      </c>
      <c r="B1944" s="4" t="n">
        <v>46079</v>
      </c>
      <c r="C1944" t="inlineStr">
        <is>
          <t>/</t>
        </is>
      </c>
      <c r="D1944" t="inlineStr">
        <is>
          <t>Kwadwo Baniako Nti</t>
        </is>
      </c>
      <c r="E1944" t="inlineStr">
        <is>
          <t>OdooBot</t>
        </is>
      </c>
      <c r="F1944" s="5" t="n">
        <v>46154.70721064815</v>
      </c>
      <c r="H1944" t="inlineStr">
        <is>
          <t>PCGH774 -Evaluation Deep-Dive Action Plans by Socfin Group</t>
        </is>
      </c>
      <c r="I1944" t="n">
        <v>8</v>
      </c>
      <c r="J1944" t="inlineStr">
        <is>
          <t>PCGH774 - Tier 2 (Socfinco FR SA)</t>
        </is>
      </c>
      <c r="K1944" t="inlineStr">
        <is>
          <t>Okomu - Field verification/observation/community and stakeholder engagement</t>
        </is>
      </c>
      <c r="L1944" t="b">
        <v>1</v>
      </c>
      <c r="M1944" t="inlineStr">
        <is>
          <t>Billed at a Fixed price</t>
        </is>
      </c>
      <c r="N1944" s="6">
        <f>IF(B1944="","",IF(ISNUMBER(B1944),TEXT(B1944,"YYYY-MM"),LEFT(B1944,7)))</f>
        <v/>
      </c>
    </row>
    <row r="1945">
      <c r="A1945" t="inlineStr">
        <is>
          <t>Helena Tetteh</t>
        </is>
      </c>
      <c r="B1945" s="4" t="n">
        <v>46079</v>
      </c>
      <c r="C1945" t="inlineStr">
        <is>
          <t>/</t>
        </is>
      </c>
      <c r="D1945" t="inlineStr">
        <is>
          <t xml:space="preserve">Helena Tetteh </t>
        </is>
      </c>
      <c r="E1945" t="inlineStr">
        <is>
          <t>OdooBot</t>
        </is>
      </c>
      <c r="F1945" s="5" t="n">
        <v>46154.70721064815</v>
      </c>
      <c r="H1945" t="inlineStr">
        <is>
          <t>PCGH762 - GVL HCSA Restoration Project</t>
        </is>
      </c>
      <c r="I1945" t="n">
        <v>8</v>
      </c>
      <c r="J1945" t="inlineStr">
        <is>
          <t>PCGH763 - Desk study (Due diligence) (Jopafram Nigeria Limited)</t>
        </is>
      </c>
      <c r="K1945" t="inlineStr">
        <is>
          <t>Fundraising and proposal development</t>
        </is>
      </c>
      <c r="L1945" t="b">
        <v>1</v>
      </c>
      <c r="M1945" t="inlineStr">
        <is>
          <t>Billed at a Fixed price</t>
        </is>
      </c>
      <c r="N1945" s="6">
        <f>IF(B1945="","",IF(ISNUMBER(B1945),TEXT(B1945,"YYYY-MM"),LEFT(B1945,7)))</f>
        <v/>
      </c>
    </row>
    <row r="1946">
      <c r="A1946" t="inlineStr">
        <is>
          <t>Daleba Bernard Kpenahi Raymond</t>
        </is>
      </c>
      <c r="B1946" s="4" t="n">
        <v>46079</v>
      </c>
      <c r="C1946" t="inlineStr">
        <is>
          <t>/</t>
        </is>
      </c>
      <c r="D1946" t="inlineStr">
        <is>
          <t>Daleba Bernard Kpenahi Raymond</t>
        </is>
      </c>
      <c r="E1946" t="inlineStr">
        <is>
          <t>OdooBot</t>
        </is>
      </c>
      <c r="F1946" s="5" t="n">
        <v>46154.70721064815</v>
      </c>
      <c r="H1946" t="inlineStr">
        <is>
          <t>PCGH775 - ESDD of Valency Operations for FMO</t>
        </is>
      </c>
      <c r="I1946" t="n">
        <v>8</v>
      </c>
      <c r="J1946" t="inlineStr">
        <is>
          <t>PCGH775 - Kick-Off Meeting (Valency International DMCC)</t>
        </is>
      </c>
      <c r="L1946" t="b">
        <v>1</v>
      </c>
      <c r="M1946" t="inlineStr">
        <is>
          <t>Billed at a Fixed price</t>
        </is>
      </c>
      <c r="N1946" s="6">
        <f>IF(B1946="","",IF(ISNUMBER(B1946),TEXT(B1946,"YYYY-MM"),LEFT(B1946,7)))</f>
        <v/>
      </c>
    </row>
    <row r="1947">
      <c r="A1947" t="inlineStr">
        <is>
          <t>Ekow Nyamekye Tawiah</t>
        </is>
      </c>
      <c r="B1947" s="4" t="n">
        <v>46079</v>
      </c>
      <c r="C1947" t="inlineStr">
        <is>
          <t>/</t>
        </is>
      </c>
      <c r="D1947" t="inlineStr">
        <is>
          <t>Joseph Isaiah Mensah</t>
        </is>
      </c>
      <c r="E1947" t="inlineStr">
        <is>
          <t>OdooBot</t>
        </is>
      </c>
      <c r="F1947" s="5" t="n">
        <v>46154.70721064815</v>
      </c>
      <c r="H1947" t="inlineStr">
        <is>
          <t>PCGH722</t>
        </is>
      </c>
      <c r="I1947" t="n">
        <v>4</v>
      </c>
      <c r="J1947" t="inlineStr">
        <is>
          <t>PCGH722 - Analysis and Reporting (3) (Sucrivoire SA)</t>
        </is>
      </c>
      <c r="K1947" t="inlineStr">
        <is>
          <t>Analysis and Reporting (3)</t>
        </is>
      </c>
      <c r="L1947" t="b">
        <v>1</v>
      </c>
      <c r="M1947" t="inlineStr">
        <is>
          <t>Billed at a Fixed price</t>
        </is>
      </c>
      <c r="N1947" s="6">
        <f>IF(B1947="","",IF(ISNUMBER(B1947),TEXT(B1947,"YYYY-MM"),LEFT(B1947,7)))</f>
        <v/>
      </c>
    </row>
    <row r="1948">
      <c r="A1948" t="inlineStr">
        <is>
          <t>Clement Obeng-Manu</t>
        </is>
      </c>
      <c r="B1948" s="4" t="n">
        <v>46079</v>
      </c>
      <c r="C1948" t="inlineStr">
        <is>
          <t>/</t>
        </is>
      </c>
      <c r="D1948" t="inlineStr">
        <is>
          <t>Ekow Nyamekye Tawiah</t>
        </is>
      </c>
      <c r="E1948" t="inlineStr">
        <is>
          <t>OdooBot</t>
        </is>
      </c>
      <c r="F1948" s="5" t="n">
        <v>46154.70721064815</v>
      </c>
      <c r="H1948" t="inlineStr">
        <is>
          <t>PCGH777</t>
        </is>
      </c>
      <c r="I1948" t="n">
        <v>8</v>
      </c>
      <c r="K1948" t="inlineStr">
        <is>
          <t>Fieldwork – stakeholder engagement</t>
        </is>
      </c>
      <c r="L1948" t="b">
        <v>1</v>
      </c>
      <c r="M1948" t="inlineStr">
        <is>
          <t>Non-Billable</t>
        </is>
      </c>
      <c r="N1948" s="6">
        <f>IF(B1948="","",IF(ISNUMBER(B1948),TEXT(B1948,"YYYY-MM"),LEFT(B1948,7)))</f>
        <v/>
      </c>
    </row>
    <row r="1949">
      <c r="A1949" t="inlineStr">
        <is>
          <t>Louis Defo</t>
        </is>
      </c>
      <c r="B1949" s="4" t="n">
        <v>46079</v>
      </c>
      <c r="C1949" t="inlineStr">
        <is>
          <t>went to the ministry to follw up registration process</t>
        </is>
      </c>
      <c r="D1949" t="inlineStr">
        <is>
          <t>Louis Defo</t>
        </is>
      </c>
      <c r="E1949" t="inlineStr">
        <is>
          <t>OdooBot</t>
        </is>
      </c>
      <c r="F1949" s="5" t="n">
        <v>46154.70721064815</v>
      </c>
      <c r="H1949" t="inlineStr">
        <is>
          <t>Non-Billable Tasks</t>
        </is>
      </c>
      <c r="I1949" t="n">
        <v>8</v>
      </c>
      <c r="K1949" t="inlineStr">
        <is>
          <t>Other management activities</t>
        </is>
      </c>
      <c r="L1949" t="b">
        <v>0</v>
      </c>
      <c r="M1949" t="inlineStr">
        <is>
          <t>Non-Billable</t>
        </is>
      </c>
      <c r="N1949" s="6">
        <f>IF(B1949="","",IF(ISNUMBER(B1949),TEXT(B1949,"YYYY-MM"),LEFT(B1949,7)))</f>
        <v/>
      </c>
    </row>
    <row r="1950">
      <c r="A1950" t="inlineStr">
        <is>
          <t>Mawuse Agblobi</t>
        </is>
      </c>
      <c r="B1950" s="4" t="n">
        <v>46079</v>
      </c>
      <c r="C1950" t="inlineStr">
        <is>
          <t>Time Off (4/7)</t>
        </is>
      </c>
      <c r="D1950" t="inlineStr">
        <is>
          <t>Adwoa Fremah Ntosour-Amponsem</t>
        </is>
      </c>
      <c r="E1950" t="inlineStr">
        <is>
          <t>OdooBot</t>
        </is>
      </c>
      <c r="F1950" s="5" t="n">
        <v>46154.70721064815</v>
      </c>
      <c r="H1950" t="inlineStr">
        <is>
          <t>Internal</t>
        </is>
      </c>
      <c r="I1950" t="n">
        <v>8</v>
      </c>
      <c r="K1950" t="inlineStr">
        <is>
          <t>Time Off</t>
        </is>
      </c>
      <c r="L1950" t="b">
        <v>0</v>
      </c>
      <c r="M1950" t="inlineStr">
        <is>
          <t>Non-Billable</t>
        </is>
      </c>
      <c r="N1950" s="6">
        <f>IF(B1950="","",IF(ISNUMBER(B1950),TEXT(B1950,"YYYY-MM"),LEFT(B1950,7)))</f>
        <v/>
      </c>
    </row>
    <row r="1951">
      <c r="A1951" t="inlineStr">
        <is>
          <t>Kingsley Fitz-Gerald Severine</t>
        </is>
      </c>
      <c r="B1951" s="4" t="n">
        <v>46079</v>
      </c>
      <c r="C1951" t="inlineStr">
        <is>
          <t>/</t>
        </is>
      </c>
      <c r="D1951" t="inlineStr">
        <is>
          <t>Kingsley Fitz-Gerald Severine</t>
        </is>
      </c>
      <c r="E1951" t="inlineStr">
        <is>
          <t>OdooBot</t>
        </is>
      </c>
      <c r="F1951" s="5" t="n">
        <v>46154.70721064815</v>
      </c>
      <c r="G1951" t="inlineStr">
        <is>
          <t>Stakeholder Consultations (3)</t>
        </is>
      </c>
      <c r="H1951" t="inlineStr">
        <is>
          <t>PCGH772</t>
        </is>
      </c>
      <c r="I1951" t="n">
        <v>8</v>
      </c>
      <c r="J1951" t="inlineStr">
        <is>
          <t>PCGH772 - Stakeholder Consultations (3) (Presco Plc)</t>
        </is>
      </c>
      <c r="K1951" t="inlineStr">
        <is>
          <t>Stakeholder consultations</t>
        </is>
      </c>
      <c r="L1951" t="b">
        <v>1</v>
      </c>
      <c r="M1951" t="inlineStr">
        <is>
          <t>Billed at a Fixed price</t>
        </is>
      </c>
      <c r="N1951" s="6">
        <f>IF(B1951="","",IF(ISNUMBER(B1951),TEXT(B1951,"YYYY-MM"),LEFT(B1951,7)))</f>
        <v/>
      </c>
    </row>
    <row r="1952">
      <c r="A1952" t="inlineStr">
        <is>
          <t>Kingsley Fitz-Gerald Severine</t>
        </is>
      </c>
      <c r="B1952" s="4" t="n">
        <v>46079</v>
      </c>
      <c r="C1952" t="inlineStr">
        <is>
          <t>/</t>
        </is>
      </c>
      <c r="D1952" t="inlineStr">
        <is>
          <t>Kingsley Fitz-Gerald Severine</t>
        </is>
      </c>
      <c r="E1952" t="inlineStr">
        <is>
          <t>OdooBot</t>
        </is>
      </c>
      <c r="F1952" s="5" t="n">
        <v>46154.70721064815</v>
      </c>
      <c r="G1952" t="inlineStr">
        <is>
          <t>Field survey and Data Collection)</t>
        </is>
      </c>
      <c r="H1952" t="inlineStr">
        <is>
          <t>PCGH784</t>
        </is>
      </c>
      <c r="I1952" t="n">
        <v>0</v>
      </c>
      <c r="J1952" t="inlineStr">
        <is>
          <t>PCGH784 -  Field data collection  (3) (Okeosisi Jonathan)</t>
        </is>
      </c>
      <c r="K1952" t="inlineStr">
        <is>
          <t>Stakeholder Consultations</t>
        </is>
      </c>
      <c r="L1952" t="b">
        <v>1</v>
      </c>
      <c r="M1952" t="inlineStr">
        <is>
          <t>Billed at a Fixed price</t>
        </is>
      </c>
      <c r="N1952" s="6">
        <f>IF(B1952="","",IF(ISNUMBER(B1952),TEXT(B1952,"YYYY-MM"),LEFT(B1952,7)))</f>
        <v/>
      </c>
    </row>
    <row r="1953">
      <c r="A1953" t="inlineStr">
        <is>
          <t>Joseph Isaiah Mensah</t>
        </is>
      </c>
      <c r="B1953" s="4" t="n">
        <v>46078</v>
      </c>
      <c r="C1953" t="inlineStr">
        <is>
          <t>/</t>
        </is>
      </c>
      <c r="D1953" t="inlineStr">
        <is>
          <t>Jacqueline Nyakutse Afua</t>
        </is>
      </c>
      <c r="E1953" t="inlineStr">
        <is>
          <t>Joseph Isaiah Mensah</t>
        </is>
      </c>
      <c r="F1953" s="5" t="n">
        <v>46162.66523148148</v>
      </c>
      <c r="G1953" t="inlineStr">
        <is>
          <t>Field verification and reporting in Nigeria (3)</t>
        </is>
      </c>
      <c r="H1953" t="inlineStr">
        <is>
          <t>PCGH775 - ESDD of Valency Operations for FMO</t>
        </is>
      </c>
      <c r="I1953" t="n">
        <v>4</v>
      </c>
      <c r="J1953" t="inlineStr">
        <is>
          <t>PCGH775 - Field Verification (3) (Valency International DMCC)</t>
        </is>
      </c>
      <c r="K1953" t="inlineStr">
        <is>
          <t>Analysis and reporting in Nigeria</t>
        </is>
      </c>
      <c r="L1953" t="b">
        <v>1</v>
      </c>
      <c r="M1953" t="inlineStr">
        <is>
          <t>Billed at a Fixed price</t>
        </is>
      </c>
      <c r="N1953" s="6">
        <f>IF(B1953="","",IF(ISNUMBER(B1953),TEXT(B1953,"YYYY-MM"),LEFT(B1953,7)))</f>
        <v/>
      </c>
    </row>
    <row r="1954">
      <c r="A1954" t="inlineStr">
        <is>
          <t>Joseph Isaiah Mensah</t>
        </is>
      </c>
      <c r="B1954" s="4" t="n">
        <v>46078</v>
      </c>
      <c r="C1954" t="inlineStr">
        <is>
          <t>/</t>
        </is>
      </c>
      <c r="D1954" t="inlineStr">
        <is>
          <t>Jacqueline Nyakutse Afua</t>
        </is>
      </c>
      <c r="E1954" t="inlineStr">
        <is>
          <t>Joseph Isaiah Mensah</t>
        </is>
      </c>
      <c r="F1954" s="5" t="n">
        <v>46162.66450231482</v>
      </c>
      <c r="G1954" t="inlineStr">
        <is>
          <t>Programme Personnel and Management</t>
        </is>
      </c>
      <c r="H1954" t="inlineStr">
        <is>
          <t>P13QC00A00 - EFI Programme</t>
        </is>
      </c>
      <c r="I1954" t="n">
        <v>1.5</v>
      </c>
      <c r="K1954" t="inlineStr">
        <is>
          <t>Programme Personnel</t>
        </is>
      </c>
      <c r="L1954" t="b">
        <v>0</v>
      </c>
      <c r="M1954" t="inlineStr">
        <is>
          <t>Non-Billable</t>
        </is>
      </c>
      <c r="N1954" s="6">
        <f>IF(B1954="","",IF(ISNUMBER(B1954),TEXT(B1954,"YYYY-MM"),LEFT(B1954,7)))</f>
        <v/>
      </c>
    </row>
    <row r="1955">
      <c r="A1955" t="inlineStr">
        <is>
          <t>Joseph Isaiah Mensah</t>
        </is>
      </c>
      <c r="B1955" s="4" t="n">
        <v>46078</v>
      </c>
      <c r="C1955" t="inlineStr">
        <is>
          <t>/</t>
        </is>
      </c>
      <c r="D1955" t="inlineStr">
        <is>
          <t>Jacqueline Nyakutse Afua</t>
        </is>
      </c>
      <c r="E1955" t="inlineStr">
        <is>
          <t>Joseph Isaiah Mensah</t>
        </is>
      </c>
      <c r="F1955" s="5" t="n">
        <v>46162.66371527778</v>
      </c>
      <c r="G1955" t="inlineStr">
        <is>
          <t>Output 4</t>
        </is>
      </c>
      <c r="H1955" t="inlineStr">
        <is>
          <t>P23AC00C00 - FGMC</t>
        </is>
      </c>
      <c r="I1955" t="n">
        <v>1.5</v>
      </c>
      <c r="K1955" t="inlineStr">
        <is>
          <t>P23AC03A00 - Project Management</t>
        </is>
      </c>
      <c r="L1955" t="b">
        <v>0</v>
      </c>
      <c r="M1955" t="inlineStr">
        <is>
          <t>Non-Billable</t>
        </is>
      </c>
      <c r="N1955" s="6">
        <f>IF(B1955="","",IF(ISNUMBER(B1955),TEXT(B1955,"YYYY-MM"),LEFT(B1955,7)))</f>
        <v/>
      </c>
    </row>
    <row r="1956">
      <c r="A1956" t="inlineStr">
        <is>
          <t>Joseph Isaiah Mensah</t>
        </is>
      </c>
      <c r="B1956" s="4" t="n">
        <v>46078</v>
      </c>
      <c r="C1956" t="inlineStr">
        <is>
          <t>Taylor Crabbe Engagement Discussion</t>
        </is>
      </c>
      <c r="D1956" t="inlineStr">
        <is>
          <t>Jacqueline Nyakutse Afua</t>
        </is>
      </c>
      <c r="E1956" t="inlineStr">
        <is>
          <t>Joseph Isaiah Mensah</t>
        </is>
      </c>
      <c r="F1956" s="5" t="n">
        <v>46162.66315972222</v>
      </c>
      <c r="G1956" t="inlineStr">
        <is>
          <t>Output 2.3</t>
        </is>
      </c>
      <c r="H1956" t="inlineStr">
        <is>
          <t>P23AC00C00 - FGMC</t>
        </is>
      </c>
      <c r="I1956" t="n">
        <v>1</v>
      </c>
      <c r="K1956" t="inlineStr">
        <is>
          <t>P23AC22A00 - Output Two (Elevating Local Solutions - West Africa)</t>
        </is>
      </c>
      <c r="L1956" t="b">
        <v>0</v>
      </c>
      <c r="M1956" t="inlineStr">
        <is>
          <t>Non-Billable</t>
        </is>
      </c>
      <c r="N1956" s="6">
        <f>IF(B1956="","",IF(ISNUMBER(B1956),TEXT(B1956,"YYYY-MM"),LEFT(B1956,7)))</f>
        <v/>
      </c>
    </row>
    <row r="1957">
      <c r="A1957" t="inlineStr">
        <is>
          <t>James Parker Mckeown</t>
        </is>
      </c>
      <c r="B1957" s="4" t="n">
        <v>46078</v>
      </c>
      <c r="C1957" t="inlineStr">
        <is>
          <t>GVL annual report for 2025</t>
        </is>
      </c>
      <c r="D1957" t="inlineStr">
        <is>
          <t>James Parker Mckeown</t>
        </is>
      </c>
      <c r="E1957" t="inlineStr">
        <is>
          <t>James Parker Mckeown</t>
        </is>
      </c>
      <c r="F1957" s="5" t="n">
        <v>46162.51054398148</v>
      </c>
      <c r="H1957" t="inlineStr">
        <is>
          <t>PCGH762 - GVL HCSA Restoration Project</t>
        </is>
      </c>
      <c r="I1957" t="n">
        <v>3</v>
      </c>
      <c r="K1957" t="inlineStr">
        <is>
          <t>Development and Implementation of MEL Framework</t>
        </is>
      </c>
      <c r="L1957" t="b">
        <v>1</v>
      </c>
      <c r="M1957" t="inlineStr">
        <is>
          <t>Non-Billable</t>
        </is>
      </c>
      <c r="N1957" s="6">
        <f>IF(B1957="","",IF(ISNUMBER(B1957),TEXT(B1957,"YYYY-MM"),LEFT(B1957,7)))</f>
        <v/>
      </c>
    </row>
    <row r="1958">
      <c r="A1958" t="inlineStr">
        <is>
          <t>James Parker Mckeown</t>
        </is>
      </c>
      <c r="B1958" s="4" t="n">
        <v>46078</v>
      </c>
      <c r="C1958" t="inlineStr">
        <is>
          <t xml:space="preserve">PFAFR BRIDGE: Weekly Catch-up
</t>
        </is>
      </c>
      <c r="D1958" t="inlineStr">
        <is>
          <t>James Parker Mckeown</t>
        </is>
      </c>
      <c r="E1958" t="inlineStr">
        <is>
          <t>James Parker Mckeown</t>
        </is>
      </c>
      <c r="F1958" s="5" t="n">
        <v>46162.50945601852</v>
      </c>
      <c r="G1958" t="inlineStr">
        <is>
          <t>Output 4</t>
        </is>
      </c>
      <c r="H1958" t="inlineStr">
        <is>
          <t>P23AC00C00 - FGMC</t>
        </is>
      </c>
      <c r="I1958" t="n">
        <v>1.5</v>
      </c>
      <c r="K1958" t="inlineStr">
        <is>
          <t>P23AC03A00 - Project Management</t>
        </is>
      </c>
      <c r="L1958" t="b">
        <v>0</v>
      </c>
      <c r="M1958" t="inlineStr">
        <is>
          <t>Non-Billable</t>
        </is>
      </c>
      <c r="N1958" s="6">
        <f>IF(B1958="","",IF(ISNUMBER(B1958),TEXT(B1958,"YYYY-MM"),LEFT(B1958,7)))</f>
        <v/>
      </c>
    </row>
    <row r="1959">
      <c r="A1959" t="inlineStr">
        <is>
          <t>James Parker Mckeown</t>
        </is>
      </c>
      <c r="B1959" s="4" t="n">
        <v>46078</v>
      </c>
      <c r="C1959" t="inlineStr">
        <is>
          <t xml:space="preserve">Revised ToR for stakeholder engagement workshop  </t>
        </is>
      </c>
      <c r="D1959" t="inlineStr">
        <is>
          <t>James Parker Mckeown</t>
        </is>
      </c>
      <c r="E1959" t="inlineStr">
        <is>
          <t>James Parker Mckeown</t>
        </is>
      </c>
      <c r="F1959" s="5" t="n">
        <v>46162.50266203703</v>
      </c>
      <c r="G1959" t="inlineStr">
        <is>
          <t>Output 4</t>
        </is>
      </c>
      <c r="H1959" t="inlineStr">
        <is>
          <t>P23AC00C00 - FGMC</t>
        </is>
      </c>
      <c r="I1959" t="n">
        <v>2.5</v>
      </c>
      <c r="K1959" t="inlineStr">
        <is>
          <t>P23AC03A00 - Project Management</t>
        </is>
      </c>
      <c r="L1959" t="b">
        <v>0</v>
      </c>
      <c r="M1959" t="inlineStr">
        <is>
          <t>Non-Billable</t>
        </is>
      </c>
      <c r="N1959" s="6">
        <f>IF(B1959="","",IF(ISNUMBER(B1959),TEXT(B1959,"YYYY-MM"),LEFT(B1959,7)))</f>
        <v/>
      </c>
    </row>
    <row r="1960">
      <c r="A1960" t="inlineStr">
        <is>
          <t>James Parker Mckeown</t>
        </is>
      </c>
      <c r="B1960" s="4" t="n">
        <v>46078</v>
      </c>
      <c r="C1960" t="inlineStr">
        <is>
          <t>Discussion with Taylar Crabbe on the FGMC II implementation</t>
        </is>
      </c>
      <c r="D1960" t="inlineStr">
        <is>
          <t>James Parker Mckeown</t>
        </is>
      </c>
      <c r="E1960" t="inlineStr">
        <is>
          <t>James Parker Mckeown</t>
        </is>
      </c>
      <c r="F1960" s="5" t="n">
        <v>46162.50126157407</v>
      </c>
      <c r="G1960" t="inlineStr">
        <is>
          <t>Output 2.3</t>
        </is>
      </c>
      <c r="H1960" t="inlineStr">
        <is>
          <t>P23AC00C00 - FGMC</t>
        </is>
      </c>
      <c r="I1960" t="n">
        <v>1</v>
      </c>
      <c r="K1960" t="inlineStr">
        <is>
          <t>P23AC22A00 - Output Two (Elevating Local Solutions - West Africa)</t>
        </is>
      </c>
      <c r="L1960" t="b">
        <v>0</v>
      </c>
      <c r="M1960" t="inlineStr">
        <is>
          <t>Non-Billable</t>
        </is>
      </c>
      <c r="N1960" s="6">
        <f>IF(B1960="","",IF(ISNUMBER(B1960),TEXT(B1960,"YYYY-MM"),LEFT(B1960,7)))</f>
        <v/>
      </c>
    </row>
    <row r="1961">
      <c r="A1961" t="inlineStr">
        <is>
          <t>Daleba Bernard Kpenahi Raymond</t>
        </is>
      </c>
      <c r="B1961" s="4" t="n">
        <v>46078</v>
      </c>
      <c r="C1961" t="inlineStr">
        <is>
          <t>/</t>
        </is>
      </c>
      <c r="D1961" t="inlineStr">
        <is>
          <t>Daleba Bernard Kpenahi Raymond</t>
        </is>
      </c>
      <c r="E1961" t="inlineStr">
        <is>
          <t>Daleba Bernard Kpenahi Raymond</t>
        </is>
      </c>
      <c r="F1961" s="5" t="n">
        <v>46160.89621527777</v>
      </c>
      <c r="H1961" t="inlineStr">
        <is>
          <t>P23AC00C00 - FGMC</t>
        </is>
      </c>
      <c r="I1961" t="n">
        <v>8</v>
      </c>
      <c r="L1961" t="b">
        <v>0</v>
      </c>
      <c r="M1961" t="inlineStr">
        <is>
          <t>Non-Billable</t>
        </is>
      </c>
      <c r="N1961" s="6">
        <f>IF(B1961="","",IF(ISNUMBER(B1961),TEXT(B1961,"YYYY-MM"),LEFT(B1961,7)))</f>
        <v/>
      </c>
    </row>
    <row r="1962">
      <c r="A1962" t="inlineStr">
        <is>
          <t>Frederick Antwi</t>
        </is>
      </c>
      <c r="B1962" s="4" t="n">
        <v>46078</v>
      </c>
      <c r="C1962" t="inlineStr">
        <is>
          <t>/</t>
        </is>
      </c>
      <c r="D1962" t="inlineStr">
        <is>
          <t>Frederick Antwi</t>
        </is>
      </c>
      <c r="E1962" t="inlineStr">
        <is>
          <t>Frederick Antwi</t>
        </is>
      </c>
      <c r="F1962" s="5" t="n">
        <v>46160.5799537037</v>
      </c>
      <c r="H1962" t="inlineStr">
        <is>
          <t>P13NC00A00 - WALMART II</t>
        </is>
      </c>
      <c r="I1962" t="n">
        <v>8</v>
      </c>
      <c r="L1962" t="b">
        <v>0</v>
      </c>
      <c r="M1962" t="inlineStr">
        <is>
          <t>Non-Billable</t>
        </is>
      </c>
      <c r="N1962" s="6">
        <f>IF(B1962="","",IF(ISNUMBER(B1962),TEXT(B1962,"YYYY-MM"),LEFT(B1962,7)))</f>
        <v/>
      </c>
    </row>
    <row r="1963">
      <c r="A1963" t="inlineStr">
        <is>
          <t>Augustus Asamoah</t>
        </is>
      </c>
      <c r="B1963" s="4" t="n">
        <v>46078</v>
      </c>
      <c r="C1963" t="inlineStr">
        <is>
          <t>/</t>
        </is>
      </c>
      <c r="D1963" t="inlineStr">
        <is>
          <t>Augustus Asamoah</t>
        </is>
      </c>
      <c r="E1963" t="inlineStr">
        <is>
          <t>Augustus Asamoah</t>
        </is>
      </c>
      <c r="F1963" s="5" t="n">
        <v>46156.63903935185</v>
      </c>
      <c r="H1963" t="inlineStr">
        <is>
          <t>PCGH772</t>
        </is>
      </c>
      <c r="I1963" t="n">
        <v>8</v>
      </c>
      <c r="L1963" t="b">
        <v>1</v>
      </c>
      <c r="M1963" t="inlineStr">
        <is>
          <t>Non-Billable</t>
        </is>
      </c>
      <c r="N1963" s="6">
        <f>IF(B1963="","",IF(ISNUMBER(B1963),TEXT(B1963,"YYYY-MM"),LEFT(B1963,7)))</f>
        <v/>
      </c>
    </row>
    <row r="1964">
      <c r="A1964" t="inlineStr">
        <is>
          <t>Stephen Doso</t>
        </is>
      </c>
      <c r="B1964" s="4" t="n">
        <v>46078</v>
      </c>
      <c r="C1964" t="inlineStr">
        <is>
          <t>/</t>
        </is>
      </c>
      <c r="D1964" t="inlineStr">
        <is>
          <t>Stephen Doso</t>
        </is>
      </c>
      <c r="E1964" t="inlineStr">
        <is>
          <t>OdooBot</t>
        </is>
      </c>
      <c r="F1964" s="5" t="n">
        <v>46154.70721064815</v>
      </c>
      <c r="H1964" t="inlineStr">
        <is>
          <t>PCGH774 -Evaluation Deep-Dive Action Plans by Socfin Group</t>
        </is>
      </c>
      <c r="I1964" t="n">
        <v>8</v>
      </c>
      <c r="J1964" t="inlineStr">
        <is>
          <t>PCGH774 - Tier 2 (Socfinco FR SA)</t>
        </is>
      </c>
      <c r="K1964" t="inlineStr">
        <is>
          <t>Okomu - Field verification/observation/community and stakeholder engagement</t>
        </is>
      </c>
      <c r="L1964" t="b">
        <v>1</v>
      </c>
      <c r="M1964" t="inlineStr">
        <is>
          <t>Billed at a Fixed price</t>
        </is>
      </c>
      <c r="N1964" s="6">
        <f>IF(B1964="","",IF(ISNUMBER(B1964),TEXT(B1964,"YYYY-MM"),LEFT(B1964,7)))</f>
        <v/>
      </c>
    </row>
    <row r="1965">
      <c r="A1965" t="inlineStr">
        <is>
          <t>Kwadwo Baniako Nti</t>
        </is>
      </c>
      <c r="B1965" s="4" t="n">
        <v>46078</v>
      </c>
      <c r="C1965" t="inlineStr">
        <is>
          <t>/</t>
        </is>
      </c>
      <c r="D1965" t="inlineStr">
        <is>
          <t>Kwadwo Baniako Nti</t>
        </is>
      </c>
      <c r="E1965" t="inlineStr">
        <is>
          <t>OdooBot</t>
        </is>
      </c>
      <c r="F1965" s="5" t="n">
        <v>46154.70721064815</v>
      </c>
      <c r="H1965" t="inlineStr">
        <is>
          <t>PCGH774 -Evaluation Deep-Dive Action Plans by Socfin Group</t>
        </is>
      </c>
      <c r="I1965" t="n">
        <v>8</v>
      </c>
      <c r="J1965" t="inlineStr">
        <is>
          <t>PCGH774 - Tier 2 (Socfinco FR SA)</t>
        </is>
      </c>
      <c r="K1965" t="inlineStr">
        <is>
          <t>Okomu - Field verification/observation/community and stakeholder engagement</t>
        </is>
      </c>
      <c r="L1965" t="b">
        <v>1</v>
      </c>
      <c r="M1965" t="inlineStr">
        <is>
          <t>Billed at a Fixed price</t>
        </is>
      </c>
      <c r="N1965" s="6">
        <f>IF(B1965="","",IF(ISNUMBER(B1965),TEXT(B1965,"YYYY-MM"),LEFT(B1965,7)))</f>
        <v/>
      </c>
    </row>
    <row r="1966">
      <c r="A1966" t="inlineStr">
        <is>
          <t>Helena Tetteh</t>
        </is>
      </c>
      <c r="B1966" s="4" t="n">
        <v>46078</v>
      </c>
      <c r="C1966" t="inlineStr">
        <is>
          <t>/</t>
        </is>
      </c>
      <c r="D1966" t="inlineStr">
        <is>
          <t xml:space="preserve">Helena Tetteh </t>
        </is>
      </c>
      <c r="E1966" t="inlineStr">
        <is>
          <t>OdooBot</t>
        </is>
      </c>
      <c r="F1966" s="5" t="n">
        <v>46154.70721064815</v>
      </c>
      <c r="H1966" t="inlineStr">
        <is>
          <t>PCGH762 - GVL HCSA Restoration Project</t>
        </is>
      </c>
      <c r="I1966" t="n">
        <v>8</v>
      </c>
      <c r="J1966" t="inlineStr">
        <is>
          <t>PCGH763 - Desk study (Due diligence) (Jopafram Nigeria Limited)</t>
        </is>
      </c>
      <c r="K1966" t="inlineStr">
        <is>
          <t>Fundraising and proposal development</t>
        </is>
      </c>
      <c r="L1966" t="b">
        <v>1</v>
      </c>
      <c r="M1966" t="inlineStr">
        <is>
          <t>Billed at a Fixed price</t>
        </is>
      </c>
      <c r="N1966" s="6">
        <f>IF(B1966="","",IF(ISNUMBER(B1966),TEXT(B1966,"YYYY-MM"),LEFT(B1966,7)))</f>
        <v/>
      </c>
    </row>
    <row r="1967">
      <c r="A1967" t="inlineStr">
        <is>
          <t>Ekow Nyamekye Tawiah</t>
        </is>
      </c>
      <c r="B1967" s="4" t="n">
        <v>46078</v>
      </c>
      <c r="C1967" t="inlineStr">
        <is>
          <t>/</t>
        </is>
      </c>
      <c r="D1967" t="inlineStr">
        <is>
          <t>Joseph Isaiah Mensah</t>
        </is>
      </c>
      <c r="E1967" t="inlineStr">
        <is>
          <t>OdooBot</t>
        </is>
      </c>
      <c r="F1967" s="5" t="n">
        <v>46154.70721064815</v>
      </c>
      <c r="H1967" t="inlineStr">
        <is>
          <t>PCGH722</t>
        </is>
      </c>
      <c r="I1967" t="n">
        <v>4</v>
      </c>
      <c r="J1967" t="inlineStr">
        <is>
          <t>PCGH722 - Analysis and Reporting (3) (Sucrivoire SA)</t>
        </is>
      </c>
      <c r="K1967" t="inlineStr">
        <is>
          <t>Analysis and Reporting (3)</t>
        </is>
      </c>
      <c r="L1967" t="b">
        <v>1</v>
      </c>
      <c r="M1967" t="inlineStr">
        <is>
          <t>Billed at a Fixed price</t>
        </is>
      </c>
      <c r="N1967" s="6">
        <f>IF(B1967="","",IF(ISNUMBER(B1967),TEXT(B1967,"YYYY-MM"),LEFT(B1967,7)))</f>
        <v/>
      </c>
    </row>
    <row r="1968">
      <c r="A1968" t="inlineStr">
        <is>
          <t>Clement Obeng-Manu</t>
        </is>
      </c>
      <c r="B1968" s="4" t="n">
        <v>46078</v>
      </c>
      <c r="C1968" t="inlineStr">
        <is>
          <t>/</t>
        </is>
      </c>
      <c r="D1968" t="inlineStr">
        <is>
          <t>Ekow Nyamekye Tawiah</t>
        </is>
      </c>
      <c r="E1968" t="inlineStr">
        <is>
          <t>OdooBot</t>
        </is>
      </c>
      <c r="F1968" s="5" t="n">
        <v>46154.70721064815</v>
      </c>
      <c r="H1968" t="inlineStr">
        <is>
          <t>PCGH776 - Deforestation Risk-Assessment Cashew-Coast</t>
        </is>
      </c>
      <c r="I1968" t="n">
        <v>8</v>
      </c>
      <c r="J1968" t="inlineStr">
        <is>
          <t>PCGH776 - Data collection and review (3) (Cashew Coast Products Inc)</t>
        </is>
      </c>
      <c r="K1968" t="inlineStr">
        <is>
          <t>Data review, compilation and integration</t>
        </is>
      </c>
      <c r="L1968" t="b">
        <v>1</v>
      </c>
      <c r="M1968" t="inlineStr">
        <is>
          <t>Billed at a Fixed price</t>
        </is>
      </c>
      <c r="N1968" s="6">
        <f>IF(B1968="","",IF(ISNUMBER(B1968),TEXT(B1968,"YYYY-MM"),LEFT(B1968,7)))</f>
        <v/>
      </c>
    </row>
    <row r="1969">
      <c r="A1969" t="inlineStr">
        <is>
          <t>Louis Defo</t>
        </is>
      </c>
      <c r="B1969" s="4" t="n">
        <v>46078</v>
      </c>
      <c r="C1969" t="inlineStr">
        <is>
          <t>work on Hershey work plan for Cameroon</t>
        </is>
      </c>
      <c r="D1969" t="inlineStr">
        <is>
          <t>Louis Defo</t>
        </is>
      </c>
      <c r="E1969" t="inlineStr">
        <is>
          <t>OdooBot</t>
        </is>
      </c>
      <c r="F1969" s="5" t="n">
        <v>46154.70721064815</v>
      </c>
      <c r="H1969" t="inlineStr">
        <is>
          <t>Non-Billable Tasks</t>
        </is>
      </c>
      <c r="I1969" t="n">
        <v>8</v>
      </c>
      <c r="L1969" t="b">
        <v>0</v>
      </c>
      <c r="M1969" t="inlineStr">
        <is>
          <t>Non-Billable</t>
        </is>
      </c>
      <c r="N1969" s="6">
        <f>IF(B1969="","",IF(ISNUMBER(B1969),TEXT(B1969,"YYYY-MM"),LEFT(B1969,7)))</f>
        <v/>
      </c>
    </row>
    <row r="1970">
      <c r="A1970" t="inlineStr">
        <is>
          <t>Afua Serwah Akoto Prempeh</t>
        </is>
      </c>
      <c r="B1970" s="4" t="n">
        <v>46078</v>
      </c>
      <c r="C1970" t="inlineStr">
        <is>
          <t>/</t>
        </is>
      </c>
      <c r="D1970" t="inlineStr">
        <is>
          <t>Afua Serwah Akoto Prempeh</t>
        </is>
      </c>
      <c r="E1970" t="inlineStr">
        <is>
          <t>OdooBot</t>
        </is>
      </c>
      <c r="F1970" s="5" t="n">
        <v>46154.70721064815</v>
      </c>
      <c r="H1970" t="inlineStr">
        <is>
          <t>Non-Billable Tasks</t>
        </is>
      </c>
      <c r="I1970" t="n">
        <v>8</v>
      </c>
      <c r="K1970" t="inlineStr">
        <is>
          <t>Communication/Data/Training</t>
        </is>
      </c>
      <c r="L1970" t="b">
        <v>0</v>
      </c>
      <c r="M1970" t="inlineStr">
        <is>
          <t>Non-Billable</t>
        </is>
      </c>
      <c r="N1970" s="6">
        <f>IF(B1970="","",IF(ISNUMBER(B1970),TEXT(B1970,"YYYY-MM"),LEFT(B1970,7)))</f>
        <v/>
      </c>
    </row>
    <row r="1971">
      <c r="A1971" t="inlineStr">
        <is>
          <t>Mawuse Agblobi</t>
        </is>
      </c>
      <c r="B1971" s="4" t="n">
        <v>46078</v>
      </c>
      <c r="C1971" t="inlineStr">
        <is>
          <t>Time Off (3/7)</t>
        </is>
      </c>
      <c r="D1971" t="inlineStr">
        <is>
          <t>Adwoa Fremah Ntosour-Amponsem</t>
        </is>
      </c>
      <c r="E1971" t="inlineStr">
        <is>
          <t>OdooBot</t>
        </is>
      </c>
      <c r="F1971" s="5" t="n">
        <v>46154.70721064815</v>
      </c>
      <c r="H1971" t="inlineStr">
        <is>
          <t>Internal</t>
        </is>
      </c>
      <c r="I1971" t="n">
        <v>8</v>
      </c>
      <c r="K1971" t="inlineStr">
        <is>
          <t>Time Off</t>
        </is>
      </c>
      <c r="L1971" t="b">
        <v>0</v>
      </c>
      <c r="M1971" t="inlineStr">
        <is>
          <t>Non-Billable</t>
        </is>
      </c>
      <c r="N1971" s="6">
        <f>IF(B1971="","",IF(ISNUMBER(B1971),TEXT(B1971,"YYYY-MM"),LEFT(B1971,7)))</f>
        <v/>
      </c>
    </row>
    <row r="1972">
      <c r="A1972" t="inlineStr">
        <is>
          <t>Kingsley Fitz-Gerald Severine</t>
        </is>
      </c>
      <c r="B1972" s="4" t="n">
        <v>46078</v>
      </c>
      <c r="C1972" t="inlineStr">
        <is>
          <t>/</t>
        </is>
      </c>
      <c r="D1972" t="inlineStr">
        <is>
          <t>Kingsley Fitz-Gerald Severine</t>
        </is>
      </c>
      <c r="E1972" t="inlineStr">
        <is>
          <t>OdooBot</t>
        </is>
      </c>
      <c r="F1972" s="5" t="n">
        <v>46154.70721064815</v>
      </c>
      <c r="G1972" t="inlineStr">
        <is>
          <t>Field survey and Data Collection)</t>
        </is>
      </c>
      <c r="H1972" t="inlineStr">
        <is>
          <t>PCGH784</t>
        </is>
      </c>
      <c r="I1972" t="n">
        <v>8</v>
      </c>
      <c r="J1972" t="inlineStr">
        <is>
          <t>PCGH784 -  Field data collection  (3) (Okeosisi Jonathan)</t>
        </is>
      </c>
      <c r="K1972" t="inlineStr">
        <is>
          <t>Stakeholder Consultations</t>
        </is>
      </c>
      <c r="L1972" t="b">
        <v>1</v>
      </c>
      <c r="M1972" t="inlineStr">
        <is>
          <t>Billed at a Fixed price</t>
        </is>
      </c>
      <c r="N1972" s="6">
        <f>IF(B1972="","",IF(ISNUMBER(B1972),TEXT(B1972,"YYYY-MM"),LEFT(B1972,7)))</f>
        <v/>
      </c>
    </row>
    <row r="1973">
      <c r="A1973" t="inlineStr">
        <is>
          <t>Joseph Isaiah Mensah</t>
        </is>
      </c>
      <c r="B1973" s="4" t="n">
        <v>46077</v>
      </c>
      <c r="C1973" t="inlineStr">
        <is>
          <t>/</t>
        </is>
      </c>
      <c r="D1973" t="inlineStr">
        <is>
          <t>Jacqueline Nyakutse Afua</t>
        </is>
      </c>
      <c r="E1973" t="inlineStr">
        <is>
          <t>Joseph Isaiah Mensah</t>
        </is>
      </c>
      <c r="F1973" s="5" t="n">
        <v>46162.66174768518</v>
      </c>
      <c r="G1973" t="inlineStr">
        <is>
          <t>Field verification and reporting in Nigeria (3)</t>
        </is>
      </c>
      <c r="H1973" t="inlineStr">
        <is>
          <t>PCGH775 - ESDD of Valency Operations for FMO</t>
        </is>
      </c>
      <c r="I1973" t="n">
        <v>6.5</v>
      </c>
      <c r="J1973" t="inlineStr">
        <is>
          <t>PCGH775 - Field Verification (3) (Valency International DMCC)</t>
        </is>
      </c>
      <c r="K1973" t="inlineStr">
        <is>
          <t>Analysis and reporting in Nigeria</t>
        </is>
      </c>
      <c r="L1973" t="b">
        <v>1</v>
      </c>
      <c r="M1973" t="inlineStr">
        <is>
          <t>Billed at a Fixed price</t>
        </is>
      </c>
      <c r="N1973" s="6">
        <f>IF(B1973="","",IF(ISNUMBER(B1973),TEXT(B1973,"YYYY-MM"),LEFT(B1973,7)))</f>
        <v/>
      </c>
    </row>
    <row r="1974">
      <c r="A1974" t="inlineStr">
        <is>
          <t>Joseph Isaiah Mensah</t>
        </is>
      </c>
      <c r="B1974" s="4" t="n">
        <v>46077</v>
      </c>
      <c r="C1974" t="inlineStr">
        <is>
          <t>[Update]: Nestle Sugar PCGH Monthly Catch Up</t>
        </is>
      </c>
      <c r="D1974" t="inlineStr">
        <is>
          <t>Jacqueline Nyakutse Afua</t>
        </is>
      </c>
      <c r="E1974" t="inlineStr">
        <is>
          <t>Joseph Isaiah Mensah</t>
        </is>
      </c>
      <c r="F1974" s="5" t="n">
        <v>46162.66085648148</v>
      </c>
      <c r="H1974" t="inlineStr">
        <is>
          <t>PCGH778 - General Support</t>
        </is>
      </c>
      <c r="I1974" t="n">
        <v>1.5</v>
      </c>
      <c r="J1974" t="inlineStr">
        <is>
          <t>PCGH778 - Support to Other Workstreams (3) (Proforest Limited(PCUK GBP))</t>
        </is>
      </c>
      <c r="L1974" t="b">
        <v>1</v>
      </c>
      <c r="M1974" t="inlineStr">
        <is>
          <t>Billed at a Fixed price</t>
        </is>
      </c>
      <c r="N1974" s="6">
        <f>IF(B1974="","",IF(ISNUMBER(B1974),TEXT(B1974,"YYYY-MM"),LEFT(B1974,7)))</f>
        <v/>
      </c>
    </row>
    <row r="1975">
      <c r="A1975" t="inlineStr">
        <is>
          <t>James Parker Mckeown</t>
        </is>
      </c>
      <c r="B1975" s="4" t="n">
        <v>46077</v>
      </c>
      <c r="C1975" t="inlineStr">
        <is>
          <t>Visit to FC on FCDO</t>
        </is>
      </c>
      <c r="D1975" t="inlineStr">
        <is>
          <t>James Parker Mckeown</t>
        </is>
      </c>
      <c r="E1975" t="inlineStr">
        <is>
          <t>James Parker Mckeown</t>
        </is>
      </c>
      <c r="F1975" s="5" t="n">
        <v>46162.49776620371</v>
      </c>
      <c r="H1975" t="inlineStr">
        <is>
          <t>PCGH786 - Impact Level Baseline assessment for FGMC</t>
        </is>
      </c>
      <c r="I1975" t="n">
        <v>4</v>
      </c>
      <c r="J1975" t="inlineStr">
        <is>
          <t>PCGH786 - Development of Policy and Procedures (3) (NIRAS Group (UK) Ltd)</t>
        </is>
      </c>
      <c r="K1975" t="inlineStr">
        <is>
          <t>PCGH786 - Development of Policy and Procedures (3)</t>
        </is>
      </c>
      <c r="L1975" t="b">
        <v>1</v>
      </c>
      <c r="M1975" t="inlineStr">
        <is>
          <t>Billed at a Fixed price</t>
        </is>
      </c>
      <c r="N1975" s="6">
        <f>IF(B1975="","",IF(ISNUMBER(B1975),TEXT(B1975,"YYYY-MM"),LEFT(B1975,7)))</f>
        <v/>
      </c>
    </row>
    <row r="1976">
      <c r="A1976" t="inlineStr">
        <is>
          <t>James Parker Mckeown</t>
        </is>
      </c>
      <c r="B1976" s="4" t="n">
        <v>46077</v>
      </c>
      <c r="C1976" t="inlineStr">
        <is>
          <t>LEW: session on social safeguards</t>
        </is>
      </c>
      <c r="D1976" t="inlineStr">
        <is>
          <t>James Parker Mckeown</t>
        </is>
      </c>
      <c r="E1976" t="inlineStr">
        <is>
          <t>James Parker Mckeown</t>
        </is>
      </c>
      <c r="F1976" s="5" t="n">
        <v>46162.4957175926</v>
      </c>
      <c r="H1976" t="inlineStr">
        <is>
          <t>Non-Billable Tasks</t>
        </is>
      </c>
      <c r="I1976" t="n">
        <v>1</v>
      </c>
      <c r="K1976" t="inlineStr">
        <is>
          <t>Internal Focal points and workstreams</t>
        </is>
      </c>
      <c r="L1976" t="b">
        <v>0</v>
      </c>
      <c r="M1976" t="inlineStr">
        <is>
          <t>Non-Billable</t>
        </is>
      </c>
      <c r="N1976" s="6">
        <f>IF(B1976="","",IF(ISNUMBER(B1976),TEXT(B1976,"YYYY-MM"),LEFT(B1976,7)))</f>
        <v/>
      </c>
    </row>
    <row r="1977">
      <c r="A1977" t="inlineStr">
        <is>
          <t>James Parker Mckeown</t>
        </is>
      </c>
      <c r="B1977" s="4" t="n">
        <v>46077</v>
      </c>
      <c r="C1977" t="inlineStr">
        <is>
          <t xml:space="preserve">Revision of TOR for call for proposal for FGMC consultants  </t>
        </is>
      </c>
      <c r="D1977" t="inlineStr">
        <is>
          <t>James Parker Mckeown</t>
        </is>
      </c>
      <c r="E1977" t="inlineStr">
        <is>
          <t>James Parker Mckeown</t>
        </is>
      </c>
      <c r="F1977" s="5" t="n">
        <v>46162.48703703703</v>
      </c>
      <c r="G1977" t="inlineStr">
        <is>
          <t>Output 4</t>
        </is>
      </c>
      <c r="H1977" t="inlineStr">
        <is>
          <t>P23AC00C00 - FGMC</t>
        </is>
      </c>
      <c r="I1977" t="n">
        <v>1.5</v>
      </c>
      <c r="K1977" t="inlineStr">
        <is>
          <t>P23AC03A00 - Project Management</t>
        </is>
      </c>
      <c r="L1977" t="b">
        <v>0</v>
      </c>
      <c r="M1977" t="inlineStr">
        <is>
          <t>Non-Billable</t>
        </is>
      </c>
      <c r="N1977" s="6">
        <f>IF(B1977="","",IF(ISNUMBER(B1977),TEXT(B1977,"YYYY-MM"),LEFT(B1977,7)))</f>
        <v/>
      </c>
    </row>
    <row r="1978">
      <c r="A1978" t="inlineStr">
        <is>
          <t>James Parker Mckeown</t>
        </is>
      </c>
      <c r="B1978" s="4" t="n">
        <v>46077</v>
      </c>
      <c r="C1978" t="inlineStr">
        <is>
          <t>Initial call with Clement of Taylor Crabbe on potential consultancy work</t>
        </is>
      </c>
      <c r="D1978" t="inlineStr">
        <is>
          <t>James Parker Mckeown</t>
        </is>
      </c>
      <c r="E1978" t="inlineStr">
        <is>
          <t>James Parker Mckeown</t>
        </is>
      </c>
      <c r="F1978" s="5" t="n">
        <v>46162.48568287037</v>
      </c>
      <c r="G1978" t="inlineStr">
        <is>
          <t>Output 2.3</t>
        </is>
      </c>
      <c r="H1978" t="inlineStr">
        <is>
          <t>P23AC00C00 - FGMC</t>
        </is>
      </c>
      <c r="I1978" t="n">
        <v>1</v>
      </c>
      <c r="K1978" t="inlineStr">
        <is>
          <t>P23AC22A00 - Output Two (Elevating Local Solutions - West Africa)</t>
        </is>
      </c>
      <c r="L1978" t="b">
        <v>0</v>
      </c>
      <c r="M1978" t="inlineStr">
        <is>
          <t>Non-Billable</t>
        </is>
      </c>
      <c r="N1978" s="6">
        <f>IF(B1978="","",IF(ISNUMBER(B1978),TEXT(B1978,"YYYY-MM"),LEFT(B1978,7)))</f>
        <v/>
      </c>
    </row>
    <row r="1979">
      <c r="A1979" t="inlineStr">
        <is>
          <t>James Parker Mckeown</t>
        </is>
      </c>
      <c r="B1979" s="4" t="n">
        <v>46077</v>
      </c>
      <c r="C1979" t="inlineStr">
        <is>
          <t xml:space="preserve">FGMC mapping summary fo cross-commodities </t>
        </is>
      </c>
      <c r="D1979" t="inlineStr">
        <is>
          <t>James Parker Mckeown</t>
        </is>
      </c>
      <c r="E1979" t="inlineStr">
        <is>
          <t>James Parker Mckeown</t>
        </is>
      </c>
      <c r="F1979" s="5" t="n">
        <v>46162.48440972222</v>
      </c>
      <c r="G1979" t="inlineStr">
        <is>
          <t>Output 2.3</t>
        </is>
      </c>
      <c r="H1979" t="inlineStr">
        <is>
          <t>P23AC00C00 - FGMC</t>
        </is>
      </c>
      <c r="I1979" t="n">
        <v>3</v>
      </c>
      <c r="K1979" t="inlineStr">
        <is>
          <t>P23AC22A00 - Output Two (Elevating Local Solutions - West Africa)</t>
        </is>
      </c>
      <c r="L1979" t="b">
        <v>0</v>
      </c>
      <c r="M1979" t="inlineStr">
        <is>
          <t>Non-Billable</t>
        </is>
      </c>
      <c r="N1979" s="6">
        <f>IF(B1979="","",IF(ISNUMBER(B1979),TEXT(B1979,"YYYY-MM"),LEFT(B1979,7)))</f>
        <v/>
      </c>
    </row>
    <row r="1980">
      <c r="A1980" t="inlineStr">
        <is>
          <t>Daleba Bernard Kpenahi Raymond</t>
        </is>
      </c>
      <c r="B1980" s="4" t="n">
        <v>46077</v>
      </c>
      <c r="C1980" t="inlineStr">
        <is>
          <t>/</t>
        </is>
      </c>
      <c r="D1980" t="inlineStr">
        <is>
          <t>Daleba Bernard Kpenahi Raymond</t>
        </is>
      </c>
      <c r="E1980" t="inlineStr">
        <is>
          <t>Daleba Bernard Kpenahi Raymond</t>
        </is>
      </c>
      <c r="F1980" s="5" t="n">
        <v>46160.89601851852</v>
      </c>
      <c r="H1980" t="inlineStr">
        <is>
          <t>PCGH754 (Cote D'voire)</t>
        </is>
      </c>
      <c r="I1980" t="n">
        <v>8</v>
      </c>
      <c r="L1980" t="b">
        <v>1</v>
      </c>
      <c r="M1980" t="inlineStr">
        <is>
          <t>Non-Billable</t>
        </is>
      </c>
      <c r="N1980" s="6">
        <f>IF(B1980="","",IF(ISNUMBER(B1980),TEXT(B1980,"YYYY-MM"),LEFT(B1980,7)))</f>
        <v/>
      </c>
    </row>
    <row r="1981">
      <c r="A1981" t="inlineStr">
        <is>
          <t>Frederick Antwi</t>
        </is>
      </c>
      <c r="B1981" s="4" t="n">
        <v>46077</v>
      </c>
      <c r="C1981" t="inlineStr">
        <is>
          <t>/</t>
        </is>
      </c>
      <c r="D1981" t="inlineStr">
        <is>
          <t>Frederick Antwi</t>
        </is>
      </c>
      <c r="E1981" t="inlineStr">
        <is>
          <t>Frederick Antwi</t>
        </is>
      </c>
      <c r="F1981" s="5" t="n">
        <v>46160.57939814815</v>
      </c>
      <c r="H1981" t="inlineStr">
        <is>
          <t>P13PC00A00 - Private Sector Companies</t>
        </is>
      </c>
      <c r="I1981" t="n">
        <v>6</v>
      </c>
      <c r="L1981" t="b">
        <v>0</v>
      </c>
      <c r="M1981" t="inlineStr">
        <is>
          <t>Non-Billable</t>
        </is>
      </c>
      <c r="N1981" s="6">
        <f>IF(B1981="","",IF(ISNUMBER(B1981),TEXT(B1981,"YYYY-MM"),LEFT(B1981,7)))</f>
        <v/>
      </c>
    </row>
    <row r="1982">
      <c r="A1982" t="inlineStr">
        <is>
          <t>Frederick Antwi</t>
        </is>
      </c>
      <c r="B1982" s="4" t="n">
        <v>46077</v>
      </c>
      <c r="C1982" t="inlineStr">
        <is>
          <t>/</t>
        </is>
      </c>
      <c r="D1982" t="inlineStr">
        <is>
          <t>Frederick Antwi</t>
        </is>
      </c>
      <c r="E1982" t="inlineStr">
        <is>
          <t>Frederick Antwi</t>
        </is>
      </c>
      <c r="F1982" s="5" t="n">
        <v>46160.57936342592</v>
      </c>
      <c r="H1982" t="inlineStr">
        <is>
          <t>PCGH768</t>
        </is>
      </c>
      <c r="I1982" t="n">
        <v>2</v>
      </c>
      <c r="L1982" t="b">
        <v>1</v>
      </c>
      <c r="M1982" t="inlineStr">
        <is>
          <t>Non-Billable</t>
        </is>
      </c>
      <c r="N1982" s="6">
        <f>IF(B1982="","",IF(ISNUMBER(B1982),TEXT(B1982,"YYYY-MM"),LEFT(B1982,7)))</f>
        <v/>
      </c>
    </row>
    <row r="1983">
      <c r="A1983" t="inlineStr">
        <is>
          <t>Augustus Asamoah</t>
        </is>
      </c>
      <c r="B1983" s="4" t="n">
        <v>46077</v>
      </c>
      <c r="C1983" t="inlineStr">
        <is>
          <t>/</t>
        </is>
      </c>
      <c r="D1983" t="inlineStr">
        <is>
          <t>Augustus Asamoah</t>
        </is>
      </c>
      <c r="E1983" t="inlineStr">
        <is>
          <t>Augustus Asamoah</t>
        </is>
      </c>
      <c r="F1983" s="5" t="n">
        <v>46156.63901620371</v>
      </c>
      <c r="H1983" t="inlineStr">
        <is>
          <t>PCGH772</t>
        </is>
      </c>
      <c r="I1983" t="n">
        <v>8</v>
      </c>
      <c r="L1983" t="b">
        <v>1</v>
      </c>
      <c r="M1983" t="inlineStr">
        <is>
          <t>Non-Billable</t>
        </is>
      </c>
      <c r="N1983" s="6">
        <f>IF(B1983="","",IF(ISNUMBER(B1983),TEXT(B1983,"YYYY-MM"),LEFT(B1983,7)))</f>
        <v/>
      </c>
    </row>
    <row r="1984">
      <c r="A1984" t="inlineStr">
        <is>
          <t>Stephen Doso</t>
        </is>
      </c>
      <c r="B1984" s="4" t="n">
        <v>46077</v>
      </c>
      <c r="C1984" t="inlineStr">
        <is>
          <t>/</t>
        </is>
      </c>
      <c r="D1984" t="inlineStr">
        <is>
          <t>Stephen Doso</t>
        </is>
      </c>
      <c r="E1984" t="inlineStr">
        <is>
          <t>OdooBot</t>
        </is>
      </c>
      <c r="F1984" s="5" t="n">
        <v>46154.70721064815</v>
      </c>
      <c r="H1984" t="inlineStr">
        <is>
          <t>PCGH774 -Evaluation Deep-Dive Action Plans by Socfin Group</t>
        </is>
      </c>
      <c r="I1984" t="n">
        <v>8</v>
      </c>
      <c r="J1984" t="inlineStr">
        <is>
          <t>PCGH774 - Tier 2 (Socfinco FR SA)</t>
        </is>
      </c>
      <c r="K1984" t="inlineStr">
        <is>
          <t>Okomu - Field verification/observation/community and stakeholder engagement</t>
        </is>
      </c>
      <c r="L1984" t="b">
        <v>1</v>
      </c>
      <c r="M1984" t="inlineStr">
        <is>
          <t>Billed at a Fixed price</t>
        </is>
      </c>
      <c r="N1984" s="6">
        <f>IF(B1984="","",IF(ISNUMBER(B1984),TEXT(B1984,"YYYY-MM"),LEFT(B1984,7)))</f>
        <v/>
      </c>
    </row>
    <row r="1985">
      <c r="A1985" t="inlineStr">
        <is>
          <t>Kwadwo Baniako Nti</t>
        </is>
      </c>
      <c r="B1985" s="4" t="n">
        <v>46077</v>
      </c>
      <c r="C1985" t="inlineStr">
        <is>
          <t>/</t>
        </is>
      </c>
      <c r="D1985" t="inlineStr">
        <is>
          <t>Kwadwo Baniako Nti</t>
        </is>
      </c>
      <c r="E1985" t="inlineStr">
        <is>
          <t>OdooBot</t>
        </is>
      </c>
      <c r="F1985" s="5" t="n">
        <v>46154.70721064815</v>
      </c>
      <c r="H1985" t="inlineStr">
        <is>
          <t>PCGH774 -Evaluation Deep-Dive Action Plans by Socfin Group</t>
        </is>
      </c>
      <c r="I1985" t="n">
        <v>8</v>
      </c>
      <c r="J1985" t="inlineStr">
        <is>
          <t>PCGH774 - Tier 2 (Socfinco FR SA)</t>
        </is>
      </c>
      <c r="K1985" t="inlineStr">
        <is>
          <t>Okomu - Field verification/observation/community and stakeholder engagement</t>
        </is>
      </c>
      <c r="L1985" t="b">
        <v>1</v>
      </c>
      <c r="M1985" t="inlineStr">
        <is>
          <t>Billed at a Fixed price</t>
        </is>
      </c>
      <c r="N1985" s="6">
        <f>IF(B1985="","",IF(ISNUMBER(B1985),TEXT(B1985,"YYYY-MM"),LEFT(B1985,7)))</f>
        <v/>
      </c>
    </row>
    <row r="1986">
      <c r="A1986" t="inlineStr">
        <is>
          <t>Helena Tetteh</t>
        </is>
      </c>
      <c r="B1986" s="4" t="n">
        <v>46077</v>
      </c>
      <c r="C1986" t="inlineStr">
        <is>
          <t xml:space="preserve">GAC targeted assessment - required documents, audit document reviews and feedback meetings, </t>
        </is>
      </c>
      <c r="D1986" t="inlineStr">
        <is>
          <t xml:space="preserve">Helena Tetteh </t>
        </is>
      </c>
      <c r="E1986" t="inlineStr">
        <is>
          <t>OdooBot</t>
        </is>
      </c>
      <c r="F1986" s="5" t="n">
        <v>46154.70721064815</v>
      </c>
      <c r="H1986" t="inlineStr">
        <is>
          <t>Non-Billable Tasks</t>
        </is>
      </c>
      <c r="I1986" t="n">
        <v>8</v>
      </c>
      <c r="K1986" t="inlineStr">
        <is>
          <t>Portfolio Team Management</t>
        </is>
      </c>
      <c r="L1986" t="b">
        <v>0</v>
      </c>
      <c r="M1986" t="inlineStr">
        <is>
          <t>Non-Billable</t>
        </is>
      </c>
      <c r="N1986" s="6">
        <f>IF(B1986="","",IF(ISNUMBER(B1986),TEXT(B1986,"YYYY-MM"),LEFT(B1986,7)))</f>
        <v/>
      </c>
    </row>
    <row r="1987">
      <c r="A1987" t="inlineStr">
        <is>
          <t>Ekow Nyamekye Tawiah</t>
        </is>
      </c>
      <c r="B1987" s="4" t="n">
        <v>46077</v>
      </c>
      <c r="C1987" t="inlineStr">
        <is>
          <t>/</t>
        </is>
      </c>
      <c r="D1987" t="inlineStr">
        <is>
          <t>Joseph Isaiah Mensah</t>
        </is>
      </c>
      <c r="E1987" t="inlineStr">
        <is>
          <t>OdooBot</t>
        </is>
      </c>
      <c r="F1987" s="5" t="n">
        <v>46154.70721064815</v>
      </c>
      <c r="H1987" t="inlineStr">
        <is>
          <t>PCGH722</t>
        </is>
      </c>
      <c r="I1987" t="n">
        <v>4</v>
      </c>
      <c r="J1987" t="inlineStr">
        <is>
          <t>PCGH722 - Analysis and Reporting (3) (Sucrivoire SA)</t>
        </is>
      </c>
      <c r="K1987" t="inlineStr">
        <is>
          <t>Analysis and Reporting (3)</t>
        </is>
      </c>
      <c r="L1987" t="b">
        <v>1</v>
      </c>
      <c r="M1987" t="inlineStr">
        <is>
          <t>Billed at a Fixed price</t>
        </is>
      </c>
      <c r="N1987" s="6">
        <f>IF(B1987="","",IF(ISNUMBER(B1987),TEXT(B1987,"YYYY-MM"),LEFT(B1987,7)))</f>
        <v/>
      </c>
    </row>
    <row r="1988">
      <c r="A1988" t="inlineStr">
        <is>
          <t>Louis Defo</t>
        </is>
      </c>
      <c r="B1988" s="4" t="n">
        <v>46077</v>
      </c>
      <c r="C1988" t="inlineStr">
        <is>
          <t>/</t>
        </is>
      </c>
      <c r="D1988" t="inlineStr">
        <is>
          <t>Louis Defo</t>
        </is>
      </c>
      <c r="E1988" t="inlineStr">
        <is>
          <t>OdooBot</t>
        </is>
      </c>
      <c r="F1988" s="5" t="n">
        <v>46154.70721064815</v>
      </c>
      <c r="G1988" t="inlineStr">
        <is>
          <t>Output 2.2</t>
        </is>
      </c>
      <c r="H1988" t="inlineStr">
        <is>
          <t>P23AC00C00 - FGMC</t>
        </is>
      </c>
      <c r="I1988" t="n">
        <v>8</v>
      </c>
      <c r="K1988" t="inlineStr">
        <is>
          <t>P23AC42A00 - Accelerating Implementation.</t>
        </is>
      </c>
      <c r="L1988" t="b">
        <v>0</v>
      </c>
      <c r="M1988" t="inlineStr">
        <is>
          <t>Non-Billable</t>
        </is>
      </c>
      <c r="N1988" s="6">
        <f>IF(B1988="","",IF(ISNUMBER(B1988),TEXT(B1988,"YYYY-MM"),LEFT(B1988,7)))</f>
        <v/>
      </c>
    </row>
    <row r="1989">
      <c r="A1989" t="inlineStr">
        <is>
          <t>Afua Serwah Akoto Prempeh</t>
        </is>
      </c>
      <c r="B1989" s="4" t="n">
        <v>46077</v>
      </c>
      <c r="C1989" t="inlineStr">
        <is>
          <t>/</t>
        </is>
      </c>
      <c r="D1989" t="inlineStr">
        <is>
          <t>Afua Serwah Akoto Prempeh</t>
        </is>
      </c>
      <c r="E1989" t="inlineStr">
        <is>
          <t>OdooBot</t>
        </is>
      </c>
      <c r="F1989" s="5" t="n">
        <v>46154.70721064815</v>
      </c>
      <c r="H1989" t="inlineStr">
        <is>
          <t>Non-Billable Tasks</t>
        </is>
      </c>
      <c r="I1989" t="n">
        <v>8</v>
      </c>
      <c r="K1989" t="inlineStr">
        <is>
          <t>Communication/Data/Training</t>
        </is>
      </c>
      <c r="L1989" t="b">
        <v>0</v>
      </c>
      <c r="M1989" t="inlineStr">
        <is>
          <t>Non-Billable</t>
        </is>
      </c>
      <c r="N1989" s="6">
        <f>IF(B1989="","",IF(ISNUMBER(B1989),TEXT(B1989,"YYYY-MM"),LEFT(B1989,7)))</f>
        <v/>
      </c>
    </row>
    <row r="1990">
      <c r="A1990" t="inlineStr">
        <is>
          <t>Clement Obeng-Manu</t>
        </is>
      </c>
      <c r="B1990" s="4" t="n">
        <v>46077</v>
      </c>
      <c r="C1990" t="inlineStr">
        <is>
          <t>/</t>
        </is>
      </c>
      <c r="D1990" t="inlineStr">
        <is>
          <t>Ekow Nyamekye Tawiah</t>
        </is>
      </c>
      <c r="E1990" t="inlineStr">
        <is>
          <t>OdooBot</t>
        </is>
      </c>
      <c r="F1990" s="5" t="n">
        <v>46154.70721064815</v>
      </c>
      <c r="H1990" t="inlineStr">
        <is>
          <t>PCGH776 - Deforestation Risk-Assessment Cashew-Coast</t>
        </is>
      </c>
      <c r="I1990" t="n">
        <v>2</v>
      </c>
      <c r="J1990" t="inlineStr">
        <is>
          <t>PCGH776 - Data collection and review (3) (Cashew Coast Products Inc)</t>
        </is>
      </c>
      <c r="K1990" t="inlineStr">
        <is>
          <t>Data review, compilation and integration</t>
        </is>
      </c>
      <c r="L1990" t="b">
        <v>1</v>
      </c>
      <c r="M1990" t="inlineStr">
        <is>
          <t>Billed at a Fixed price</t>
        </is>
      </c>
      <c r="N1990" s="6">
        <f>IF(B1990="","",IF(ISNUMBER(B1990),TEXT(B1990,"YYYY-MM"),LEFT(B1990,7)))</f>
        <v/>
      </c>
    </row>
    <row r="1991">
      <c r="A1991" t="inlineStr">
        <is>
          <t>Clement Obeng-Manu</t>
        </is>
      </c>
      <c r="B1991" s="4" t="n">
        <v>46077</v>
      </c>
      <c r="C1991" t="inlineStr">
        <is>
          <t>/</t>
        </is>
      </c>
      <c r="D1991" t="inlineStr">
        <is>
          <t>Ekow Nyamekye Tawiah</t>
        </is>
      </c>
      <c r="E1991" t="inlineStr">
        <is>
          <t>OdooBot</t>
        </is>
      </c>
      <c r="F1991" s="5" t="n">
        <v>46154.70721064815</v>
      </c>
      <c r="G1991" t="inlineStr">
        <is>
          <t>Analysis and Reporting (3)</t>
        </is>
      </c>
      <c r="H1991" t="inlineStr">
        <is>
          <t>PCGH722</t>
        </is>
      </c>
      <c r="I1991" t="n">
        <v>6</v>
      </c>
      <c r="J1991" t="inlineStr">
        <is>
          <t>PCGH722 - Analysis and Reporting (3) (Sucrivoire SA)</t>
        </is>
      </c>
      <c r="K1991" t="inlineStr">
        <is>
          <t>Analysis and Reporting (3)</t>
        </is>
      </c>
      <c r="L1991" t="b">
        <v>1</v>
      </c>
      <c r="M1991" t="inlineStr">
        <is>
          <t>Billed at a Fixed price</t>
        </is>
      </c>
      <c r="N1991" s="6">
        <f>IF(B1991="","",IF(ISNUMBER(B1991),TEXT(B1991,"YYYY-MM"),LEFT(B1991,7)))</f>
        <v/>
      </c>
    </row>
    <row r="1992">
      <c r="A1992" t="inlineStr">
        <is>
          <t>Mawuse Agblobi</t>
        </is>
      </c>
      <c r="B1992" s="4" t="n">
        <v>46077</v>
      </c>
      <c r="C1992" t="inlineStr">
        <is>
          <t>Time Off (2/7)</t>
        </is>
      </c>
      <c r="D1992" t="inlineStr">
        <is>
          <t>Adwoa Fremah Ntosour-Amponsem</t>
        </is>
      </c>
      <c r="E1992" t="inlineStr">
        <is>
          <t>OdooBot</t>
        </is>
      </c>
      <c r="F1992" s="5" t="n">
        <v>46154.70721064815</v>
      </c>
      <c r="H1992" t="inlineStr">
        <is>
          <t>Internal</t>
        </is>
      </c>
      <c r="I1992" t="n">
        <v>8</v>
      </c>
      <c r="K1992" t="inlineStr">
        <is>
          <t>Time Off</t>
        </is>
      </c>
      <c r="L1992" t="b">
        <v>0</v>
      </c>
      <c r="M1992" t="inlineStr">
        <is>
          <t>Non-Billable</t>
        </is>
      </c>
      <c r="N1992" s="6">
        <f>IF(B1992="","",IF(ISNUMBER(B1992),TEXT(B1992,"YYYY-MM"),LEFT(B1992,7)))</f>
        <v/>
      </c>
    </row>
    <row r="1993">
      <c r="A1993" t="inlineStr">
        <is>
          <t>Kingsley Fitz-Gerald Severine</t>
        </is>
      </c>
      <c r="B1993" s="4" t="n">
        <v>46077</v>
      </c>
      <c r="C1993" t="inlineStr">
        <is>
          <t>/</t>
        </is>
      </c>
      <c r="D1993" t="inlineStr">
        <is>
          <t>Kingsley Fitz-Gerald Severine</t>
        </is>
      </c>
      <c r="E1993" t="inlineStr">
        <is>
          <t>OdooBot</t>
        </is>
      </c>
      <c r="F1993" s="5" t="n">
        <v>46154.70721064815</v>
      </c>
      <c r="G1993" t="inlineStr">
        <is>
          <t>Stakeholder Consultations (3)</t>
        </is>
      </c>
      <c r="H1993" t="inlineStr">
        <is>
          <t>PCGH772</t>
        </is>
      </c>
      <c r="I1993" t="n">
        <v>8</v>
      </c>
      <c r="J1993" t="inlineStr">
        <is>
          <t>PCGH772 - Stakeholder Consultations (3) (Presco Plc)</t>
        </is>
      </c>
      <c r="K1993" t="inlineStr">
        <is>
          <t>Stakeholder consultations</t>
        </is>
      </c>
      <c r="L1993" t="b">
        <v>1</v>
      </c>
      <c r="M1993" t="inlineStr">
        <is>
          <t>Billed at a Fixed price</t>
        </is>
      </c>
      <c r="N1993" s="6">
        <f>IF(B1993="","",IF(ISNUMBER(B1993),TEXT(B1993,"YYYY-MM"),LEFT(B1993,7)))</f>
        <v/>
      </c>
    </row>
    <row r="1994">
      <c r="A1994" t="inlineStr">
        <is>
          <t>Kingsley Fitz-Gerald Severine</t>
        </is>
      </c>
      <c r="B1994" s="4" t="n">
        <v>46077</v>
      </c>
      <c r="C1994" t="inlineStr">
        <is>
          <t>/</t>
        </is>
      </c>
      <c r="D1994" t="inlineStr">
        <is>
          <t>Kingsley Fitz-Gerald Severine</t>
        </is>
      </c>
      <c r="E1994" t="inlineStr">
        <is>
          <t>OdooBot</t>
        </is>
      </c>
      <c r="F1994" s="5" t="n">
        <v>46154.70721064815</v>
      </c>
      <c r="G1994" t="inlineStr">
        <is>
          <t>Field survey and Data Collection)</t>
        </is>
      </c>
      <c r="H1994" t="inlineStr">
        <is>
          <t>PCGH784</t>
        </is>
      </c>
      <c r="I1994" t="n">
        <v>0</v>
      </c>
      <c r="J1994" t="inlineStr">
        <is>
          <t>PCGH784 -  Field data collection  (3) (Okeosisi Jonathan)</t>
        </is>
      </c>
      <c r="K1994" t="inlineStr">
        <is>
          <t>Stakeholder Consultations</t>
        </is>
      </c>
      <c r="L1994" t="b">
        <v>1</v>
      </c>
      <c r="M1994" t="inlineStr">
        <is>
          <t>Billed at a Fixed price</t>
        </is>
      </c>
      <c r="N1994" s="6">
        <f>IF(B1994="","",IF(ISNUMBER(B1994),TEXT(B1994,"YYYY-MM"),LEFT(B1994,7)))</f>
        <v/>
      </c>
    </row>
    <row r="1995">
      <c r="A1995" t="inlineStr">
        <is>
          <t>Joseph Isaiah Mensah</t>
        </is>
      </c>
      <c r="B1995" s="4" t="n">
        <v>46076</v>
      </c>
      <c r="C1995" t="inlineStr">
        <is>
          <t>/</t>
        </is>
      </c>
      <c r="D1995" t="inlineStr">
        <is>
          <t>Jacqueline Nyakutse Afua</t>
        </is>
      </c>
      <c r="E1995" t="inlineStr">
        <is>
          <t>Joseph Isaiah Mensah</t>
        </is>
      </c>
      <c r="F1995" s="5" t="n">
        <v>46162.65996527778</v>
      </c>
      <c r="G1995" t="inlineStr">
        <is>
          <t>Field verification and reporting in Nigeria (3)</t>
        </is>
      </c>
      <c r="H1995" t="inlineStr">
        <is>
          <t>PCGH775 - ESDD of Valency Operations for FMO</t>
        </is>
      </c>
      <c r="I1995" t="n">
        <v>5</v>
      </c>
      <c r="J1995" t="inlineStr">
        <is>
          <t>PCGH775 - Field Verification (3) (Valency International DMCC)</t>
        </is>
      </c>
      <c r="K1995" t="inlineStr">
        <is>
          <t>Analysis and reporting in Nigeria</t>
        </is>
      </c>
      <c r="L1995" t="b">
        <v>1</v>
      </c>
      <c r="M1995" t="inlineStr">
        <is>
          <t>Billed at a Fixed price</t>
        </is>
      </c>
      <c r="N1995" s="6">
        <f>IF(B1995="","",IF(ISNUMBER(B1995),TEXT(B1995,"YYYY-MM"),LEFT(B1995,7)))</f>
        <v/>
      </c>
    </row>
    <row r="1996">
      <c r="A1996" t="inlineStr">
        <is>
          <t>Joseph Isaiah Mensah</t>
        </is>
      </c>
      <c r="B1996" s="4" t="n">
        <v>46076</v>
      </c>
      <c r="C1996" t="inlineStr">
        <is>
          <t>/</t>
        </is>
      </c>
      <c r="D1996" t="inlineStr">
        <is>
          <t>Jacqueline Nyakutse Afua</t>
        </is>
      </c>
      <c r="E1996" t="inlineStr">
        <is>
          <t>Joseph Isaiah Mensah</t>
        </is>
      </c>
      <c r="F1996" s="5" t="n">
        <v>46162.65924768519</v>
      </c>
      <c r="G1996" t="inlineStr">
        <is>
          <t>Output 4</t>
        </is>
      </c>
      <c r="H1996" t="inlineStr">
        <is>
          <t>P23AC00C00 - FGMC</t>
        </is>
      </c>
      <c r="I1996" t="n">
        <v>1</v>
      </c>
      <c r="K1996" t="inlineStr">
        <is>
          <t>P23AC03A00 - Project Management</t>
        </is>
      </c>
      <c r="L1996" t="b">
        <v>0</v>
      </c>
      <c r="M1996" t="inlineStr">
        <is>
          <t>Non-Billable</t>
        </is>
      </c>
      <c r="N1996" s="6">
        <f>IF(B1996="","",IF(ISNUMBER(B1996),TEXT(B1996,"YYYY-MM"),LEFT(B1996,7)))</f>
        <v/>
      </c>
    </row>
    <row r="1997">
      <c r="A1997" t="inlineStr">
        <is>
          <t>Joseph Isaiah Mensah</t>
        </is>
      </c>
      <c r="B1997" s="4" t="n">
        <v>46076</v>
      </c>
      <c r="C1997" t="inlineStr">
        <is>
          <t>[Update]: Nestle Sugar RS -Catch up and Deck Review</t>
        </is>
      </c>
      <c r="D1997" t="inlineStr">
        <is>
          <t>Jacqueline Nyakutse Afua</t>
        </is>
      </c>
      <c r="E1997" t="inlineStr">
        <is>
          <t>Joseph Isaiah Mensah</t>
        </is>
      </c>
      <c r="F1997" s="5" t="n">
        <v>46162.65762731482</v>
      </c>
      <c r="H1997" t="inlineStr">
        <is>
          <t>PCGH778 - General Support</t>
        </is>
      </c>
      <c r="I1997" t="n">
        <v>2</v>
      </c>
      <c r="J1997" t="inlineStr">
        <is>
          <t>PCGH778 - Support to Other Workstreams (3) (Proforest Limited(PCUK GBP))</t>
        </is>
      </c>
      <c r="L1997" t="b">
        <v>1</v>
      </c>
      <c r="M1997" t="inlineStr">
        <is>
          <t>Billed at a Fixed price</t>
        </is>
      </c>
      <c r="N1997" s="6">
        <f>IF(B1997="","",IF(ISNUMBER(B1997),TEXT(B1997,"YYYY-MM"),LEFT(B1997,7)))</f>
        <v/>
      </c>
    </row>
    <row r="1998">
      <c r="A1998" t="inlineStr">
        <is>
          <t>James Parker Mckeown</t>
        </is>
      </c>
      <c r="B1998" s="4" t="n">
        <v>46076</v>
      </c>
      <c r="C1998" t="inlineStr">
        <is>
          <t>FGMC mapping summary for Palm &amp; Cocoa</t>
        </is>
      </c>
      <c r="D1998" t="inlineStr">
        <is>
          <t>James Parker Mckeown</t>
        </is>
      </c>
      <c r="E1998" t="inlineStr">
        <is>
          <t>James Parker Mckeown</t>
        </is>
      </c>
      <c r="F1998" s="5" t="n">
        <v>46162.48375</v>
      </c>
      <c r="G1998" t="inlineStr">
        <is>
          <t>Output 2.3</t>
        </is>
      </c>
      <c r="H1998" t="inlineStr">
        <is>
          <t>P23AC00C00 - FGMC</t>
        </is>
      </c>
      <c r="I1998" t="n">
        <v>5</v>
      </c>
      <c r="K1998" t="inlineStr">
        <is>
          <t>P23AC22A00 - Output Two (Elevating Local Solutions - West Africa)</t>
        </is>
      </c>
      <c r="L1998" t="b">
        <v>0</v>
      </c>
      <c r="M1998" t="inlineStr">
        <is>
          <t>Non-Billable</t>
        </is>
      </c>
      <c r="N1998" s="6">
        <f>IF(B1998="","",IF(ISNUMBER(B1998),TEXT(B1998,"YYYY-MM"),LEFT(B1998,7)))</f>
        <v/>
      </c>
    </row>
    <row r="1999">
      <c r="A1999" t="inlineStr">
        <is>
          <t>James Parker Mckeown</t>
        </is>
      </c>
      <c r="B1999" s="4" t="n">
        <v>46076</v>
      </c>
      <c r="C1999" t="inlineStr">
        <is>
          <t>BRIDGE: SL &amp; PDLs Monthly meeting</t>
        </is>
      </c>
      <c r="D1999" t="inlineStr">
        <is>
          <t>James Parker Mckeown</t>
        </is>
      </c>
      <c r="E1999" t="inlineStr">
        <is>
          <t>James Parker Mckeown</t>
        </is>
      </c>
      <c r="F1999" s="5" t="n">
        <v>46162.48008101852</v>
      </c>
      <c r="G1999" t="inlineStr">
        <is>
          <t>Output 4</t>
        </is>
      </c>
      <c r="H1999" t="inlineStr">
        <is>
          <t>P23AC00C00 - FGMC</t>
        </is>
      </c>
      <c r="I1999" t="n">
        <v>2</v>
      </c>
      <c r="K1999" t="inlineStr">
        <is>
          <t>P23AC03A00 - Project Management</t>
        </is>
      </c>
      <c r="L1999" t="b">
        <v>0</v>
      </c>
      <c r="M1999" t="inlineStr">
        <is>
          <t>Non-Billable</t>
        </is>
      </c>
      <c r="N1999" s="6">
        <f>IF(B1999="","",IF(ISNUMBER(B1999),TEXT(B1999,"YYYY-MM"),LEFT(B1999,7)))</f>
        <v/>
      </c>
    </row>
    <row r="2000">
      <c r="A2000" t="inlineStr">
        <is>
          <t>James Parker Mckeown</t>
        </is>
      </c>
      <c r="B2000" s="4" t="n">
        <v>46076</v>
      </c>
      <c r="C2000" t="inlineStr">
        <is>
          <t xml:space="preserve">Follow up on call with SESDev and GLI on EU call for proposals </t>
        </is>
      </c>
      <c r="D2000" t="inlineStr">
        <is>
          <t>James Parker Mckeown</t>
        </is>
      </c>
      <c r="E2000" t="inlineStr">
        <is>
          <t>James Parker Mckeown</t>
        </is>
      </c>
      <c r="F2000" s="5" t="n">
        <v>46162.43664351852</v>
      </c>
      <c r="H2000" t="inlineStr">
        <is>
          <t>Non-Billable Tasks</t>
        </is>
      </c>
      <c r="I2000" t="n">
        <v>1.5</v>
      </c>
      <c r="K2000" t="inlineStr">
        <is>
          <t>Business Development and Networking</t>
        </is>
      </c>
      <c r="L2000" t="b">
        <v>0</v>
      </c>
      <c r="M2000" t="inlineStr">
        <is>
          <t>Non-Billable</t>
        </is>
      </c>
      <c r="N2000" s="6">
        <f>IF(B2000="","",IF(ISNUMBER(B2000),TEXT(B2000,"YYYY-MM"),LEFT(B2000,7)))</f>
        <v/>
      </c>
    </row>
    <row r="2001">
      <c r="A2001" t="inlineStr">
        <is>
          <t>Frederick Antwi</t>
        </is>
      </c>
      <c r="B2001" s="4" t="n">
        <v>46076</v>
      </c>
      <c r="C2001" t="inlineStr">
        <is>
          <t>/</t>
        </is>
      </c>
      <c r="D2001" t="inlineStr">
        <is>
          <t>Frederick Antwi</t>
        </is>
      </c>
      <c r="E2001" t="inlineStr">
        <is>
          <t>Frederick Antwi</t>
        </is>
      </c>
      <c r="F2001" s="5" t="n">
        <v>46160.57983796296</v>
      </c>
      <c r="H2001" t="inlineStr">
        <is>
          <t>P13NC00A00 - WALMART II</t>
        </is>
      </c>
      <c r="I2001" t="n">
        <v>0</v>
      </c>
      <c r="L2001" t="b">
        <v>0</v>
      </c>
      <c r="M2001" t="inlineStr">
        <is>
          <t>Non-Billable</t>
        </is>
      </c>
      <c r="N2001" s="6">
        <f>IF(B2001="","",IF(ISNUMBER(B2001),TEXT(B2001,"YYYY-MM"),LEFT(B2001,7)))</f>
        <v/>
      </c>
    </row>
    <row r="2002">
      <c r="A2002" t="inlineStr">
        <is>
          <t>Frederick Antwi</t>
        </is>
      </c>
      <c r="B2002" s="4" t="n">
        <v>46076</v>
      </c>
      <c r="C2002" t="inlineStr">
        <is>
          <t>/</t>
        </is>
      </c>
      <c r="D2002" t="inlineStr">
        <is>
          <t>Frederick Antwi</t>
        </is>
      </c>
      <c r="E2002" t="inlineStr">
        <is>
          <t>Frederick Antwi</t>
        </is>
      </c>
      <c r="F2002" s="5" t="n">
        <v>46160.57908564815</v>
      </c>
      <c r="H2002" t="inlineStr">
        <is>
          <t>P13PC00A00 - Private Sector Companies</t>
        </is>
      </c>
      <c r="I2002" t="n">
        <v>7</v>
      </c>
      <c r="L2002" t="b">
        <v>0</v>
      </c>
      <c r="M2002" t="inlineStr">
        <is>
          <t>Non-Billable</t>
        </is>
      </c>
      <c r="N2002" s="6">
        <f>IF(B2002="","",IF(ISNUMBER(B2002),TEXT(B2002,"YYYY-MM"),LEFT(B2002,7)))</f>
        <v/>
      </c>
    </row>
    <row r="2003">
      <c r="A2003" t="inlineStr">
        <is>
          <t>Frederick Antwi</t>
        </is>
      </c>
      <c r="B2003" s="4" t="n">
        <v>46076</v>
      </c>
      <c r="C2003" t="inlineStr">
        <is>
          <t>/</t>
        </is>
      </c>
      <c r="D2003" t="inlineStr">
        <is>
          <t>Frederick Antwi</t>
        </is>
      </c>
      <c r="E2003" t="inlineStr">
        <is>
          <t>Frederick Antwi</t>
        </is>
      </c>
      <c r="F2003" s="5" t="n">
        <v>46160.57913194445</v>
      </c>
      <c r="H2003" t="inlineStr">
        <is>
          <t>PCGH768</t>
        </is>
      </c>
      <c r="I2003" t="n">
        <v>1</v>
      </c>
      <c r="L2003" t="b">
        <v>1</v>
      </c>
      <c r="M2003" t="inlineStr">
        <is>
          <t>Non-Billable</t>
        </is>
      </c>
      <c r="N2003" s="6">
        <f>IF(B2003="","",IF(ISNUMBER(B2003),TEXT(B2003,"YYYY-MM"),LEFT(B2003,7)))</f>
        <v/>
      </c>
    </row>
    <row r="2004">
      <c r="A2004" t="inlineStr">
        <is>
          <t>Augustus Asamoah</t>
        </is>
      </c>
      <c r="B2004" s="4" t="n">
        <v>46076</v>
      </c>
      <c r="C2004" t="inlineStr">
        <is>
          <t>/</t>
        </is>
      </c>
      <c r="D2004" t="inlineStr">
        <is>
          <t>Augustus Asamoah</t>
        </is>
      </c>
      <c r="E2004" t="inlineStr">
        <is>
          <t>Augustus Asamoah</t>
        </is>
      </c>
      <c r="F2004" s="5" t="n">
        <v>46156.63899305555</v>
      </c>
      <c r="H2004" t="inlineStr">
        <is>
          <t>PCGH772</t>
        </is>
      </c>
      <c r="I2004" t="n">
        <v>0</v>
      </c>
      <c r="L2004" t="b">
        <v>1</v>
      </c>
      <c r="M2004" t="inlineStr">
        <is>
          <t>Non-Billable</t>
        </is>
      </c>
      <c r="N2004" s="6">
        <f>IF(B2004="","",IF(ISNUMBER(B2004),TEXT(B2004,"YYYY-MM"),LEFT(B2004,7)))</f>
        <v/>
      </c>
    </row>
    <row r="2005">
      <c r="A2005" t="inlineStr">
        <is>
          <t>Augustus Asamoah</t>
        </is>
      </c>
      <c r="B2005" s="4" t="n">
        <v>46076</v>
      </c>
      <c r="C2005" t="inlineStr">
        <is>
          <t>/</t>
        </is>
      </c>
      <c r="D2005" t="inlineStr">
        <is>
          <t>Augustus Asamoah</t>
        </is>
      </c>
      <c r="E2005" t="inlineStr">
        <is>
          <t>Augustus Asamoah</t>
        </is>
      </c>
      <c r="F2005" s="5" t="n">
        <v>46156.638125</v>
      </c>
      <c r="H2005" t="inlineStr">
        <is>
          <t>PCGH784</t>
        </is>
      </c>
      <c r="I2005" t="n">
        <v>8</v>
      </c>
      <c r="J2005" t="inlineStr">
        <is>
          <t>PCGH784 - Desk Study (3) (Okeosisi Jonathan)</t>
        </is>
      </c>
      <c r="L2005" t="b">
        <v>1</v>
      </c>
      <c r="M2005" t="inlineStr">
        <is>
          <t>Billed at a Fixed price</t>
        </is>
      </c>
      <c r="N2005" s="6">
        <f>IF(B2005="","",IF(ISNUMBER(B2005),TEXT(B2005,"YYYY-MM"),LEFT(B2005,7)))</f>
        <v/>
      </c>
    </row>
    <row r="2006">
      <c r="A2006" t="inlineStr">
        <is>
          <t>Stephen Doso</t>
        </is>
      </c>
      <c r="B2006" s="4" t="n">
        <v>46076</v>
      </c>
      <c r="C2006" t="inlineStr">
        <is>
          <t>/</t>
        </is>
      </c>
      <c r="D2006" t="inlineStr">
        <is>
          <t>Stephen Doso</t>
        </is>
      </c>
      <c r="E2006" t="inlineStr">
        <is>
          <t>OdooBot</t>
        </is>
      </c>
      <c r="F2006" s="5" t="n">
        <v>46154.70721064815</v>
      </c>
      <c r="H2006" t="inlineStr">
        <is>
          <t>PCGH774 -Evaluation Deep-Dive Action Plans by Socfin Group</t>
        </is>
      </c>
      <c r="I2006" t="n">
        <v>8</v>
      </c>
      <c r="J2006" t="inlineStr">
        <is>
          <t>PCGH774 - Tier 2 (Socfinco FR SA)</t>
        </is>
      </c>
      <c r="K2006" t="inlineStr">
        <is>
          <t>Okomu - Field verification/observation/community and stakeholder engagement</t>
        </is>
      </c>
      <c r="L2006" t="b">
        <v>1</v>
      </c>
      <c r="M2006" t="inlineStr">
        <is>
          <t>Billed at a Fixed price</t>
        </is>
      </c>
      <c r="N2006" s="6">
        <f>IF(B2006="","",IF(ISNUMBER(B2006),TEXT(B2006,"YYYY-MM"),LEFT(B2006,7)))</f>
        <v/>
      </c>
    </row>
    <row r="2007">
      <c r="A2007" t="inlineStr">
        <is>
          <t>Kwadwo Baniako Nti</t>
        </is>
      </c>
      <c r="B2007" s="4" t="n">
        <v>46076</v>
      </c>
      <c r="C2007" t="inlineStr">
        <is>
          <t>/</t>
        </is>
      </c>
      <c r="D2007" t="inlineStr">
        <is>
          <t>Kwadwo Baniako Nti</t>
        </is>
      </c>
      <c r="E2007" t="inlineStr">
        <is>
          <t>OdooBot</t>
        </is>
      </c>
      <c r="F2007" s="5" t="n">
        <v>46154.70721064815</v>
      </c>
      <c r="H2007" t="inlineStr">
        <is>
          <t>PCGH774 -Evaluation Deep-Dive Action Plans by Socfin Group</t>
        </is>
      </c>
      <c r="I2007" t="n">
        <v>8</v>
      </c>
      <c r="J2007" t="inlineStr">
        <is>
          <t>PCGH774 - Tier 2 (Socfinco FR SA)</t>
        </is>
      </c>
      <c r="K2007" t="inlineStr">
        <is>
          <t>Okomu - Field verification/observation/community and stakeholder engagement</t>
        </is>
      </c>
      <c r="L2007" t="b">
        <v>1</v>
      </c>
      <c r="M2007" t="inlineStr">
        <is>
          <t>Billed at a Fixed price</t>
        </is>
      </c>
      <c r="N2007" s="6">
        <f>IF(B2007="","",IF(ISNUMBER(B2007),TEXT(B2007,"YYYY-MM"),LEFT(B2007,7)))</f>
        <v/>
      </c>
    </row>
    <row r="2008">
      <c r="A2008" t="inlineStr">
        <is>
          <t>Helena Tetteh</t>
        </is>
      </c>
      <c r="B2008" s="4" t="n">
        <v>46076</v>
      </c>
      <c r="C2008" t="inlineStr">
        <is>
          <t>/</t>
        </is>
      </c>
      <c r="D2008" t="inlineStr">
        <is>
          <t xml:space="preserve">Helena Tetteh </t>
        </is>
      </c>
      <c r="E2008" t="inlineStr">
        <is>
          <t>OdooBot</t>
        </is>
      </c>
      <c r="F2008" s="5" t="n">
        <v>46154.70721064815</v>
      </c>
      <c r="H2008" t="inlineStr">
        <is>
          <t>PCGH762 - GVL HCSA Restoration Project</t>
        </is>
      </c>
      <c r="I2008" t="n">
        <v>-8</v>
      </c>
      <c r="J2008" t="inlineStr">
        <is>
          <t>PCGH763 - Desk study (Due diligence) (Jopafram Nigeria Limited)</t>
        </is>
      </c>
      <c r="K2008" t="inlineStr">
        <is>
          <t>Fundraising and proposal development</t>
        </is>
      </c>
      <c r="L2008" t="b">
        <v>1</v>
      </c>
      <c r="M2008" t="inlineStr">
        <is>
          <t>Billed at a Fixed price</t>
        </is>
      </c>
      <c r="N2008" s="6">
        <f>IF(B2008="","",IF(ISNUMBER(B2008),TEXT(B2008,"YYYY-MM"),LEFT(B2008,7)))</f>
        <v/>
      </c>
    </row>
    <row r="2009">
      <c r="A2009" t="inlineStr">
        <is>
          <t>Helena Tetteh</t>
        </is>
      </c>
      <c r="B2009" s="4" t="n">
        <v>46076</v>
      </c>
      <c r="C2009" t="inlineStr">
        <is>
          <t>EU Liberia proposal development</t>
        </is>
      </c>
      <c r="D2009" t="inlineStr">
        <is>
          <t xml:space="preserve">Helena Tetteh </t>
        </is>
      </c>
      <c r="E2009" t="inlineStr">
        <is>
          <t>OdooBot</t>
        </is>
      </c>
      <c r="F2009" s="5" t="n">
        <v>46154.70721064815</v>
      </c>
      <c r="H2009" t="inlineStr">
        <is>
          <t>PCGH762 - GVL HCSA Restoration Project</t>
        </is>
      </c>
      <c r="I2009" t="n">
        <v>8</v>
      </c>
      <c r="J2009" t="inlineStr">
        <is>
          <t>PCGH763 - Desk study (Due diligence) (Jopafram Nigeria Limited)</t>
        </is>
      </c>
      <c r="K2009" t="inlineStr">
        <is>
          <t>Fundraising and proposal development</t>
        </is>
      </c>
      <c r="L2009" t="b">
        <v>1</v>
      </c>
      <c r="M2009" t="inlineStr">
        <is>
          <t>Billed at a Fixed price</t>
        </is>
      </c>
      <c r="N2009" s="6">
        <f>IF(B2009="","",IF(ISNUMBER(B2009),TEXT(B2009,"YYYY-MM"),LEFT(B2009,7)))</f>
        <v/>
      </c>
    </row>
    <row r="2010">
      <c r="A2010" t="inlineStr">
        <is>
          <t>Helena Tetteh</t>
        </is>
      </c>
      <c r="B2010" s="4" t="n">
        <v>46076</v>
      </c>
      <c r="C2010" t="inlineStr">
        <is>
          <t>EU call for proposals for Liberia (Eligibility for PIA to lead, Brainstorm on ideas, Assigning tasks, proposal writing)</t>
        </is>
      </c>
      <c r="D2010" t="inlineStr">
        <is>
          <t xml:space="preserve">Helena Tetteh </t>
        </is>
      </c>
      <c r="E2010" t="inlineStr">
        <is>
          <t>OdooBot</t>
        </is>
      </c>
      <c r="F2010" s="5" t="n">
        <v>46154.70721064815</v>
      </c>
      <c r="H2010" t="inlineStr">
        <is>
          <t>PCGH762 - GVL HCSA Restoration Project</t>
        </is>
      </c>
      <c r="I2010" t="n">
        <v>0</v>
      </c>
      <c r="J2010" t="inlineStr">
        <is>
          <t>PCGH763 - Desk study (Due diligence) (Jopafram Nigeria Limited)</t>
        </is>
      </c>
      <c r="K2010" t="inlineStr">
        <is>
          <t>Fundraising and proposal development</t>
        </is>
      </c>
      <c r="L2010" t="b">
        <v>1</v>
      </c>
      <c r="M2010" t="inlineStr">
        <is>
          <t>Billed at a Fixed price</t>
        </is>
      </c>
      <c r="N2010" s="6">
        <f>IF(B2010="","",IF(ISNUMBER(B2010),TEXT(B2010,"YYYY-MM"),LEFT(B2010,7)))</f>
        <v/>
      </c>
    </row>
    <row r="2011">
      <c r="A2011" t="inlineStr">
        <is>
          <t>Helena Tetteh</t>
        </is>
      </c>
      <c r="B2011" s="4" t="n">
        <v>46076</v>
      </c>
      <c r="C2011" t="inlineStr">
        <is>
          <t>FGMC-BRIDGE Ghana - Local contracting, weekly catch-up calls, planning, etc</t>
        </is>
      </c>
      <c r="D2011" t="inlineStr">
        <is>
          <t xml:space="preserve">Helena Tetteh </t>
        </is>
      </c>
      <c r="E2011" t="inlineStr">
        <is>
          <t>OdooBot</t>
        </is>
      </c>
      <c r="F2011" s="5" t="n">
        <v>46154.70721064815</v>
      </c>
      <c r="G2011" t="inlineStr">
        <is>
          <t>Output 2.3</t>
        </is>
      </c>
      <c r="H2011" t="inlineStr">
        <is>
          <t>P23AC00C00 - FGMC</t>
        </is>
      </c>
      <c r="I2011" t="n">
        <v>8</v>
      </c>
      <c r="K2011" t="inlineStr">
        <is>
          <t>P23AC22A00 - Output Two (Elevating Local Solutions - West Africa)</t>
        </is>
      </c>
      <c r="L2011" t="b">
        <v>0</v>
      </c>
      <c r="M2011" t="inlineStr">
        <is>
          <t>Non-Billable</t>
        </is>
      </c>
      <c r="N2011" s="6">
        <f>IF(B2011="","",IF(ISNUMBER(B2011),TEXT(B2011,"YYYY-MM"),LEFT(B2011,7)))</f>
        <v/>
      </c>
    </row>
    <row r="2012">
      <c r="A2012" t="inlineStr">
        <is>
          <t>Daleba Bernard Kpenahi Raymond</t>
        </is>
      </c>
      <c r="B2012" s="4" t="n">
        <v>46076</v>
      </c>
      <c r="C2012" t="inlineStr">
        <is>
          <t>/</t>
        </is>
      </c>
      <c r="D2012" t="inlineStr">
        <is>
          <t>Daleba Bernard Kpenahi Raymond</t>
        </is>
      </c>
      <c r="E2012" t="inlineStr">
        <is>
          <t>Daleba Bernard Kpenahi Raymond</t>
        </is>
      </c>
      <c r="F2012" s="5" t="n">
        <v>46160.89592592593</v>
      </c>
      <c r="H2012" t="inlineStr">
        <is>
          <t>PCGH754 (Cote D'voire)</t>
        </is>
      </c>
      <c r="I2012" t="n">
        <v>8</v>
      </c>
      <c r="L2012" t="b">
        <v>1</v>
      </c>
      <c r="M2012" t="inlineStr">
        <is>
          <t>Non-Billable</t>
        </is>
      </c>
      <c r="N2012" s="6">
        <f>IF(B2012="","",IF(ISNUMBER(B2012),TEXT(B2012,"YYYY-MM"),LEFT(B2012,7)))</f>
        <v/>
      </c>
    </row>
    <row r="2013">
      <c r="A2013" t="inlineStr">
        <is>
          <t>Daleba Bernard Kpenahi Raymond</t>
        </is>
      </c>
      <c r="B2013" s="4" t="n">
        <v>46076</v>
      </c>
      <c r="C2013" t="inlineStr">
        <is>
          <t>/</t>
        </is>
      </c>
      <c r="D2013" t="inlineStr">
        <is>
          <t>Daleba Bernard Kpenahi Raymond</t>
        </is>
      </c>
      <c r="E2013" t="inlineStr">
        <is>
          <t>OdooBot</t>
        </is>
      </c>
      <c r="F2013" s="5" t="n">
        <v>46154.70721064815</v>
      </c>
      <c r="H2013" t="inlineStr">
        <is>
          <t>P23AC00C00 - FGMC</t>
        </is>
      </c>
      <c r="I2013" t="n">
        <v>0</v>
      </c>
      <c r="L2013" t="b">
        <v>0</v>
      </c>
      <c r="M2013" t="inlineStr">
        <is>
          <t>Non-Billable</t>
        </is>
      </c>
      <c r="N2013" s="6">
        <f>IF(B2013="","",IF(ISNUMBER(B2013),TEXT(B2013,"YYYY-MM"),LEFT(B2013,7)))</f>
        <v/>
      </c>
    </row>
    <row r="2014">
      <c r="A2014" t="inlineStr">
        <is>
          <t>Daleba Bernard Kpenahi Raymond</t>
        </is>
      </c>
      <c r="B2014" s="4" t="n">
        <v>46076</v>
      </c>
      <c r="C2014" t="inlineStr">
        <is>
          <t xml:space="preserve">Review final report </t>
        </is>
      </c>
      <c r="D2014" t="inlineStr">
        <is>
          <t>Daleba Bernard Kpenahi Raymond</t>
        </is>
      </c>
      <c r="E2014" t="inlineStr">
        <is>
          <t>OdooBot</t>
        </is>
      </c>
      <c r="F2014" s="5" t="n">
        <v>46154.70721064815</v>
      </c>
      <c r="H2014" t="inlineStr">
        <is>
          <t>PCGH775 - ESDD of Valency Operations for FMO</t>
        </is>
      </c>
      <c r="I2014" t="n">
        <v>0</v>
      </c>
      <c r="J2014" t="inlineStr">
        <is>
          <t>PCGH775 - Kick-Off Meeting (Valency International DMCC)</t>
        </is>
      </c>
      <c r="L2014" t="b">
        <v>1</v>
      </c>
      <c r="M2014" t="inlineStr">
        <is>
          <t>Billed at a Fixed price</t>
        </is>
      </c>
      <c r="N2014" s="6">
        <f>IF(B2014="","",IF(ISNUMBER(B2014),TEXT(B2014,"YYYY-MM"),LEFT(B2014,7)))</f>
        <v/>
      </c>
    </row>
    <row r="2015">
      <c r="A2015" t="inlineStr">
        <is>
          <t>Ekow Nyamekye Tawiah</t>
        </is>
      </c>
      <c r="B2015" s="4" t="n">
        <v>46076</v>
      </c>
      <c r="C2015" t="inlineStr">
        <is>
          <t>PFAFR Responsible Sourcing Catch-up Call</t>
        </is>
      </c>
      <c r="D2015" t="inlineStr">
        <is>
          <t>Ekow Nyamekye Tawiah</t>
        </is>
      </c>
      <c r="E2015" t="inlineStr">
        <is>
          <t>OdooBot</t>
        </is>
      </c>
      <c r="F2015" s="5" t="n">
        <v>46154.70721064815</v>
      </c>
      <c r="H2015" t="inlineStr">
        <is>
          <t>Non-Billable Tasks</t>
        </is>
      </c>
      <c r="I2015" t="n">
        <v>0</v>
      </c>
      <c r="K2015" t="inlineStr">
        <is>
          <t>Professional development and Knowledge sharing(training,global knowledge calls,exchange weeks)</t>
        </is>
      </c>
      <c r="L2015" t="b">
        <v>0</v>
      </c>
      <c r="M2015" t="inlineStr">
        <is>
          <t>Non-Billable</t>
        </is>
      </c>
      <c r="N2015" s="6">
        <f>IF(B2015="","",IF(ISNUMBER(B2015),TEXT(B2015,"YYYY-MM"),LEFT(B2015,7)))</f>
        <v/>
      </c>
    </row>
    <row r="2016">
      <c r="A2016" t="inlineStr">
        <is>
          <t>Ekow Nyamekye Tawiah</t>
        </is>
      </c>
      <c r="B2016" s="4" t="n">
        <v>46076</v>
      </c>
      <c r="C2016" t="inlineStr">
        <is>
          <t>Borotou Koro Analysis and Reporting</t>
        </is>
      </c>
      <c r="D2016" t="inlineStr">
        <is>
          <t>Ekow Nyamekye Tawiah</t>
        </is>
      </c>
      <c r="E2016" t="inlineStr">
        <is>
          <t>OdooBot</t>
        </is>
      </c>
      <c r="F2016" s="5" t="n">
        <v>46154.70721064815</v>
      </c>
      <c r="H2016" t="inlineStr">
        <is>
          <t>PCGH722</t>
        </is>
      </c>
      <c r="I2016" t="n">
        <v>4</v>
      </c>
      <c r="J2016" t="inlineStr">
        <is>
          <t>PCGH722 - Analysis and Reporting (3) (Sucrivoire SA)</t>
        </is>
      </c>
      <c r="K2016" t="inlineStr">
        <is>
          <t>Analysis and Reporting (3)</t>
        </is>
      </c>
      <c r="L2016" t="b">
        <v>1</v>
      </c>
      <c r="M2016" t="inlineStr">
        <is>
          <t>Billed at a Fixed price</t>
        </is>
      </c>
      <c r="N2016" s="6">
        <f>IF(B2016="","",IF(ISNUMBER(B2016),TEXT(B2016,"YYYY-MM"),LEFT(B2016,7)))</f>
        <v/>
      </c>
    </row>
    <row r="2017">
      <c r="A2017" t="inlineStr">
        <is>
          <t>Louis Defo</t>
        </is>
      </c>
      <c r="B2017" s="4" t="n">
        <v>46076</v>
      </c>
      <c r="C2017" t="inlineStr">
        <is>
          <t>/</t>
        </is>
      </c>
      <c r="D2017" t="inlineStr">
        <is>
          <t>Louis Defo</t>
        </is>
      </c>
      <c r="E2017" t="inlineStr">
        <is>
          <t>OdooBot</t>
        </is>
      </c>
      <c r="F2017" s="5" t="n">
        <v>46154.70721064815</v>
      </c>
      <c r="H2017" t="inlineStr">
        <is>
          <t>P23AC00C00 - FGMC</t>
        </is>
      </c>
      <c r="I2017" t="n">
        <v>0</v>
      </c>
      <c r="L2017" t="b">
        <v>0</v>
      </c>
      <c r="M2017" t="inlineStr">
        <is>
          <t>Non-Billable</t>
        </is>
      </c>
      <c r="N2017" s="6">
        <f>IF(B2017="","",IF(ISNUMBER(B2017),TEXT(B2017,"YYYY-MM"),LEFT(B2017,7)))</f>
        <v/>
      </c>
    </row>
    <row r="2018">
      <c r="A2018" t="inlineStr">
        <is>
          <t>Louis Defo</t>
        </is>
      </c>
      <c r="B2018" s="4" t="n">
        <v>46076</v>
      </c>
      <c r="C2018" t="inlineStr">
        <is>
          <t>mapping and meeting</t>
        </is>
      </c>
      <c r="D2018" t="inlineStr">
        <is>
          <t>Louis Defo</t>
        </is>
      </c>
      <c r="E2018" t="inlineStr">
        <is>
          <t>OdooBot</t>
        </is>
      </c>
      <c r="F2018" s="5" t="n">
        <v>46154.70721064815</v>
      </c>
      <c r="H2018" t="inlineStr">
        <is>
          <t>P23AC00C00 - FGMC</t>
        </is>
      </c>
      <c r="I2018" t="n">
        <v>8</v>
      </c>
      <c r="L2018" t="b">
        <v>0</v>
      </c>
      <c r="M2018" t="inlineStr">
        <is>
          <t>Non-Billable</t>
        </is>
      </c>
      <c r="N2018" s="6">
        <f>IF(B2018="","",IF(ISNUMBER(B2018),TEXT(B2018,"YYYY-MM"),LEFT(B2018,7)))</f>
        <v/>
      </c>
    </row>
    <row r="2019">
      <c r="A2019" t="inlineStr">
        <is>
          <t>Louis Defo</t>
        </is>
      </c>
      <c r="B2019" s="4" t="n">
        <v>46076</v>
      </c>
      <c r="C2019" t="inlineStr">
        <is>
          <t>Initiatives Mapping</t>
        </is>
      </c>
      <c r="D2019" t="inlineStr">
        <is>
          <t>Louis Defo</t>
        </is>
      </c>
      <c r="E2019" t="inlineStr">
        <is>
          <t>OdooBot</t>
        </is>
      </c>
      <c r="F2019" s="5" t="n">
        <v>46154.70721064815</v>
      </c>
      <c r="H2019" t="inlineStr">
        <is>
          <t>P23AC00C00 - FGMC</t>
        </is>
      </c>
      <c r="I2019" t="n">
        <v>8</v>
      </c>
      <c r="L2019" t="b">
        <v>0</v>
      </c>
      <c r="M2019" t="inlineStr">
        <is>
          <t>Non-Billable</t>
        </is>
      </c>
      <c r="N2019" s="6">
        <f>IF(B2019="","",IF(ISNUMBER(B2019),TEXT(B2019,"YYYY-MM"),LEFT(B2019,7)))</f>
        <v/>
      </c>
    </row>
    <row r="2020">
      <c r="A2020" t="inlineStr">
        <is>
          <t>Afua Serwah Akoto Prempeh</t>
        </is>
      </c>
      <c r="B2020" s="4" t="n">
        <v>46076</v>
      </c>
      <c r="C2020" t="inlineStr">
        <is>
          <t>/</t>
        </is>
      </c>
      <c r="D2020" t="inlineStr">
        <is>
          <t>Afua Serwah Akoto Prempeh</t>
        </is>
      </c>
      <c r="E2020" t="inlineStr">
        <is>
          <t>OdooBot</t>
        </is>
      </c>
      <c r="F2020" s="5" t="n">
        <v>46154.70721064815</v>
      </c>
      <c r="H2020" t="inlineStr">
        <is>
          <t>P23AC00C00 - FGMC</t>
        </is>
      </c>
      <c r="I2020" t="n">
        <v>2</v>
      </c>
      <c r="L2020" t="b">
        <v>0</v>
      </c>
      <c r="M2020" t="inlineStr">
        <is>
          <t>Non-Billable</t>
        </is>
      </c>
      <c r="N2020" s="6">
        <f>IF(B2020="","",IF(ISNUMBER(B2020),TEXT(B2020,"YYYY-MM"),LEFT(B2020,7)))</f>
        <v/>
      </c>
    </row>
    <row r="2021">
      <c r="A2021" t="inlineStr">
        <is>
          <t>Afua Serwah Akoto Prempeh</t>
        </is>
      </c>
      <c r="B2021" s="4" t="n">
        <v>46076</v>
      </c>
      <c r="C2021" t="inlineStr">
        <is>
          <t>/</t>
        </is>
      </c>
      <c r="D2021" t="inlineStr">
        <is>
          <t>Afua Serwah Akoto Prempeh</t>
        </is>
      </c>
      <c r="E2021" t="inlineStr">
        <is>
          <t>OdooBot</t>
        </is>
      </c>
      <c r="F2021" s="5" t="n">
        <v>46154.70721064815</v>
      </c>
      <c r="H2021" t="inlineStr">
        <is>
          <t>Non-Billable Tasks</t>
        </is>
      </c>
      <c r="I2021" t="n">
        <v>6</v>
      </c>
      <c r="K2021" t="inlineStr">
        <is>
          <t>Communication/Data/Training</t>
        </is>
      </c>
      <c r="L2021" t="b">
        <v>0</v>
      </c>
      <c r="M2021" t="inlineStr">
        <is>
          <t>Non-Billable</t>
        </is>
      </c>
      <c r="N2021" s="6">
        <f>IF(B2021="","",IF(ISNUMBER(B2021),TEXT(B2021,"YYYY-MM"),LEFT(B2021,7)))</f>
        <v/>
      </c>
    </row>
    <row r="2022">
      <c r="A2022" t="inlineStr">
        <is>
          <t>Clement Obeng-Manu</t>
        </is>
      </c>
      <c r="B2022" s="4" t="n">
        <v>46076</v>
      </c>
      <c r="C2022" t="inlineStr">
        <is>
          <t>/</t>
        </is>
      </c>
      <c r="D2022" t="inlineStr">
        <is>
          <t>Clement Obeng-Manu</t>
        </is>
      </c>
      <c r="E2022" t="inlineStr">
        <is>
          <t>OdooBot</t>
        </is>
      </c>
      <c r="F2022" s="5" t="n">
        <v>46154.70721064815</v>
      </c>
      <c r="G2022" t="inlineStr">
        <is>
          <t>Analysis and Reporting (3)</t>
        </is>
      </c>
      <c r="H2022" t="inlineStr">
        <is>
          <t>PCGH722</t>
        </is>
      </c>
      <c r="I2022" t="n">
        <v>4</v>
      </c>
      <c r="J2022" t="inlineStr">
        <is>
          <t>PCGH722 - Analysis and Reporting (3) (Sucrivoire SA)</t>
        </is>
      </c>
      <c r="K2022" t="inlineStr">
        <is>
          <t>Analysis and Reporting (3)</t>
        </is>
      </c>
      <c r="L2022" t="b">
        <v>1</v>
      </c>
      <c r="M2022" t="inlineStr">
        <is>
          <t>Billed at a Fixed price</t>
        </is>
      </c>
      <c r="N2022" s="6">
        <f>IF(B2022="","",IF(ISNUMBER(B2022),TEXT(B2022,"YYYY-MM"),LEFT(B2022,7)))</f>
        <v/>
      </c>
    </row>
    <row r="2023">
      <c r="A2023" t="inlineStr">
        <is>
          <t>Clement Obeng-Manu</t>
        </is>
      </c>
      <c r="B2023" s="4" t="n">
        <v>46076</v>
      </c>
      <c r="C2023" t="inlineStr">
        <is>
          <t>/</t>
        </is>
      </c>
      <c r="D2023" t="inlineStr">
        <is>
          <t>Clement Obeng-Manu</t>
        </is>
      </c>
      <c r="E2023" t="inlineStr">
        <is>
          <t>OdooBot</t>
        </is>
      </c>
      <c r="F2023" s="5" t="n">
        <v>46154.70721064815</v>
      </c>
      <c r="H2023" t="inlineStr">
        <is>
          <t>PCGH776 - Deforestation Risk-Assessment Cashew-Coast</t>
        </is>
      </c>
      <c r="I2023" t="n">
        <v>4</v>
      </c>
      <c r="J2023" t="inlineStr">
        <is>
          <t>PCGH776 - Data collection and review (3) (Cashew Coast Products Inc)</t>
        </is>
      </c>
      <c r="K2023" t="inlineStr">
        <is>
          <t>Data review, compilation and integration</t>
        </is>
      </c>
      <c r="L2023" t="b">
        <v>1</v>
      </c>
      <c r="M2023" t="inlineStr">
        <is>
          <t>Billed at a Fixed price</t>
        </is>
      </c>
      <c r="N2023" s="6">
        <f>IF(B2023="","",IF(ISNUMBER(B2023),TEXT(B2023,"YYYY-MM"),LEFT(B2023,7)))</f>
        <v/>
      </c>
    </row>
    <row r="2024">
      <c r="A2024" t="inlineStr">
        <is>
          <t>Mawuse Agblobi</t>
        </is>
      </c>
      <c r="B2024" s="4" t="n">
        <v>46076</v>
      </c>
      <c r="C2024" t="inlineStr">
        <is>
          <t>Time Off (1/7)</t>
        </is>
      </c>
      <c r="D2024" t="inlineStr">
        <is>
          <t>Adwoa Fremah Ntosour-Amponsem</t>
        </is>
      </c>
      <c r="E2024" t="inlineStr">
        <is>
          <t>OdooBot</t>
        </is>
      </c>
      <c r="F2024" s="5" t="n">
        <v>46154.70721064815</v>
      </c>
      <c r="H2024" t="inlineStr">
        <is>
          <t>Internal</t>
        </is>
      </c>
      <c r="I2024" t="n">
        <v>8</v>
      </c>
      <c r="K2024" t="inlineStr">
        <is>
          <t>Time Off</t>
        </is>
      </c>
      <c r="L2024" t="b">
        <v>0</v>
      </c>
      <c r="M2024" t="inlineStr">
        <is>
          <t>Non-Billable</t>
        </is>
      </c>
      <c r="N2024" s="6">
        <f>IF(B2024="","",IF(ISNUMBER(B2024),TEXT(B2024,"YYYY-MM"),LEFT(B2024,7)))</f>
        <v/>
      </c>
    </row>
    <row r="2025">
      <c r="A2025" t="inlineStr">
        <is>
          <t>Kingsley Fitz-Gerald Severine</t>
        </is>
      </c>
      <c r="B2025" s="4" t="n">
        <v>46076</v>
      </c>
      <c r="C2025" t="inlineStr">
        <is>
          <t>/</t>
        </is>
      </c>
      <c r="D2025" t="inlineStr">
        <is>
          <t>Kingsley Fitz-Gerald Severine</t>
        </is>
      </c>
      <c r="E2025" t="inlineStr">
        <is>
          <t>OdooBot</t>
        </is>
      </c>
      <c r="F2025" s="5" t="n">
        <v>46154.70721064815</v>
      </c>
      <c r="G2025" t="inlineStr">
        <is>
          <t>Field survey and Data Collection)</t>
        </is>
      </c>
      <c r="H2025" t="inlineStr">
        <is>
          <t>PCGH784</t>
        </is>
      </c>
      <c r="I2025" t="n">
        <v>8</v>
      </c>
      <c r="J2025" t="inlineStr">
        <is>
          <t>PCGH784 -  Field data collection  (3) (Okeosisi Jonathan)</t>
        </is>
      </c>
      <c r="K2025" t="inlineStr">
        <is>
          <t>Stakeholder Consultations</t>
        </is>
      </c>
      <c r="L2025" t="b">
        <v>1</v>
      </c>
      <c r="M2025" t="inlineStr">
        <is>
          <t>Billed at a Fixed price</t>
        </is>
      </c>
      <c r="N2025" s="6">
        <f>IF(B2025="","",IF(ISNUMBER(B2025),TEXT(B2025,"YYYY-MM"),LEFT(B2025,7)))</f>
        <v/>
      </c>
    </row>
    <row r="2026">
      <c r="A2026" t="inlineStr">
        <is>
          <t>Joseph Isaiah Mensah</t>
        </is>
      </c>
      <c r="B2026" s="4" t="n">
        <v>46073</v>
      </c>
      <c r="C2026" t="inlineStr">
        <is>
          <t>/</t>
        </is>
      </c>
      <c r="D2026" t="inlineStr">
        <is>
          <t>Joseph Isaiah Mensah</t>
        </is>
      </c>
      <c r="E2026" t="inlineStr">
        <is>
          <t>Joseph Isaiah Mensah</t>
        </is>
      </c>
      <c r="F2026" s="5" t="n">
        <v>46162.65630787037</v>
      </c>
      <c r="G2026" t="inlineStr">
        <is>
          <t>Field verification and reporting in Nigeria (3)</t>
        </is>
      </c>
      <c r="H2026" t="inlineStr">
        <is>
          <t>PCGH775 - ESDD of Valency Operations for FMO</t>
        </is>
      </c>
      <c r="I2026" t="n">
        <v>8</v>
      </c>
      <c r="J2026" t="inlineStr">
        <is>
          <t>PCGH775 - Field Verification (3) (Valency International DMCC)</t>
        </is>
      </c>
      <c r="K2026" t="inlineStr">
        <is>
          <t>Analysis and reporting in Nigeria</t>
        </is>
      </c>
      <c r="L2026" t="b">
        <v>1</v>
      </c>
      <c r="M2026" t="inlineStr">
        <is>
          <t>Billed at a Fixed price</t>
        </is>
      </c>
      <c r="N2026" s="6">
        <f>IF(B2026="","",IF(ISNUMBER(B2026),TEXT(B2026,"YYYY-MM"),LEFT(B2026,7)))</f>
        <v/>
      </c>
    </row>
    <row r="2027">
      <c r="A2027" t="inlineStr">
        <is>
          <t>James Parker Mckeown</t>
        </is>
      </c>
      <c r="B2027" s="4" t="n">
        <v>46073</v>
      </c>
      <c r="C2027" t="inlineStr">
        <is>
          <t>Meeting with SESdev and GLI on EU call for Proposals</t>
        </is>
      </c>
      <c r="D2027" t="inlineStr">
        <is>
          <t>James Parker Mckeown</t>
        </is>
      </c>
      <c r="E2027" t="inlineStr">
        <is>
          <t>James Parker Mckeown</t>
        </is>
      </c>
      <c r="F2027" s="5" t="n">
        <v>46162.43337962963</v>
      </c>
      <c r="H2027" t="inlineStr">
        <is>
          <t>Non-Billable Tasks</t>
        </is>
      </c>
      <c r="I2027" t="n">
        <v>2</v>
      </c>
      <c r="K2027" t="inlineStr">
        <is>
          <t>Business Development and Networking</t>
        </is>
      </c>
      <c r="L2027" t="b">
        <v>0</v>
      </c>
      <c r="M2027" t="inlineStr">
        <is>
          <t>Non-Billable</t>
        </is>
      </c>
      <c r="N2027" s="6">
        <f>IF(B2027="","",IF(ISNUMBER(B2027),TEXT(B2027,"YYYY-MM"),LEFT(B2027,7)))</f>
        <v/>
      </c>
    </row>
    <row r="2028">
      <c r="A2028" t="inlineStr">
        <is>
          <t>James Parker Mckeown</t>
        </is>
      </c>
      <c r="B2028" s="4" t="n">
        <v>46073</v>
      </c>
      <c r="C2028" t="inlineStr">
        <is>
          <t xml:space="preserve">visit to the UK visa centre </t>
        </is>
      </c>
      <c r="D2028" t="inlineStr">
        <is>
          <t>James Parker Mckeown</t>
        </is>
      </c>
      <c r="E2028" t="inlineStr">
        <is>
          <t>James Parker Mckeown</t>
        </is>
      </c>
      <c r="F2028" s="5" t="n">
        <v>46162.43261574074</v>
      </c>
      <c r="G2028" t="inlineStr">
        <is>
          <t>Output 4</t>
        </is>
      </c>
      <c r="H2028" t="inlineStr">
        <is>
          <t>P23AC00C00 - FGMC</t>
        </is>
      </c>
      <c r="I2028" t="n">
        <v>3</v>
      </c>
      <c r="K2028" t="inlineStr">
        <is>
          <t>P23AC03A00 - Project Management</t>
        </is>
      </c>
      <c r="L2028" t="b">
        <v>0</v>
      </c>
      <c r="M2028" t="inlineStr">
        <is>
          <t>Non-Billable</t>
        </is>
      </c>
      <c r="N2028" s="6">
        <f>IF(B2028="","",IF(ISNUMBER(B2028),TEXT(B2028,"YYYY-MM"),LEFT(B2028,7)))</f>
        <v/>
      </c>
    </row>
    <row r="2029">
      <c r="A2029" t="inlineStr">
        <is>
          <t>Frederick Antwi</t>
        </is>
      </c>
      <c r="B2029" s="4" t="n">
        <v>46073</v>
      </c>
      <c r="C2029" t="inlineStr">
        <is>
          <t>/</t>
        </is>
      </c>
      <c r="D2029" t="inlineStr">
        <is>
          <t>Frederick Antwi</t>
        </is>
      </c>
      <c r="E2029" t="inlineStr">
        <is>
          <t>Frederick Antwi</t>
        </is>
      </c>
      <c r="F2029" s="5" t="n">
        <v>46160.57740740741</v>
      </c>
      <c r="H2029" t="inlineStr">
        <is>
          <t>P13PC00A00 - Private Sector Companies</t>
        </is>
      </c>
      <c r="I2029" t="n">
        <v>7</v>
      </c>
      <c r="L2029" t="b">
        <v>0</v>
      </c>
      <c r="M2029" t="inlineStr">
        <is>
          <t>Non-Billable</t>
        </is>
      </c>
      <c r="N2029" s="6">
        <f>IF(B2029="","",IF(ISNUMBER(B2029),TEXT(B2029,"YYYY-MM"),LEFT(B2029,7)))</f>
        <v/>
      </c>
    </row>
    <row r="2030">
      <c r="A2030" t="inlineStr">
        <is>
          <t>Frederick Antwi</t>
        </is>
      </c>
      <c r="B2030" s="4" t="n">
        <v>46073</v>
      </c>
      <c r="C2030" t="inlineStr">
        <is>
          <t>/</t>
        </is>
      </c>
      <c r="D2030" t="inlineStr">
        <is>
          <t>Frederick Antwi</t>
        </is>
      </c>
      <c r="E2030" t="inlineStr">
        <is>
          <t>Frederick Antwi</t>
        </is>
      </c>
      <c r="F2030" s="5" t="n">
        <v>46160.57738425926</v>
      </c>
      <c r="H2030" t="inlineStr">
        <is>
          <t>PCGH768</t>
        </is>
      </c>
      <c r="I2030" t="n">
        <v>1</v>
      </c>
      <c r="L2030" t="b">
        <v>1</v>
      </c>
      <c r="M2030" t="inlineStr">
        <is>
          <t>Non-Billable</t>
        </is>
      </c>
      <c r="N2030" s="6">
        <f>IF(B2030="","",IF(ISNUMBER(B2030),TEXT(B2030,"YYYY-MM"),LEFT(B2030,7)))</f>
        <v/>
      </c>
    </row>
    <row r="2031">
      <c r="A2031" t="inlineStr">
        <is>
          <t>Stephen Doso</t>
        </is>
      </c>
      <c r="B2031" s="4" t="n">
        <v>46073</v>
      </c>
      <c r="C2031" t="inlineStr">
        <is>
          <t>/</t>
        </is>
      </c>
      <c r="D2031" t="inlineStr">
        <is>
          <t>Stephen Doso</t>
        </is>
      </c>
      <c r="E2031" t="inlineStr">
        <is>
          <t>OdooBot</t>
        </is>
      </c>
      <c r="F2031" s="5" t="n">
        <v>46154.70721064815</v>
      </c>
      <c r="G2031" t="inlineStr">
        <is>
          <t>Field survey and Data Collection</t>
        </is>
      </c>
      <c r="H2031" t="inlineStr">
        <is>
          <t>PCGH784</t>
        </is>
      </c>
      <c r="I2031" t="n">
        <v>8</v>
      </c>
      <c r="J2031" t="inlineStr">
        <is>
          <t>PCGH784 -  Field data collection  (2) (Okeosisi Jonathan)</t>
        </is>
      </c>
      <c r="K2031" t="inlineStr">
        <is>
          <t>Stakeholder Consultations</t>
        </is>
      </c>
      <c r="L2031" t="b">
        <v>1</v>
      </c>
      <c r="M2031" t="inlineStr">
        <is>
          <t>Billed at a Fixed price</t>
        </is>
      </c>
      <c r="N2031" s="6">
        <f>IF(B2031="","",IF(ISNUMBER(B2031),TEXT(B2031,"YYYY-MM"),LEFT(B2031,7)))</f>
        <v/>
      </c>
    </row>
    <row r="2032">
      <c r="A2032" t="inlineStr">
        <is>
          <t>Kwadwo Baniako Nti</t>
        </is>
      </c>
      <c r="B2032" s="4" t="n">
        <v>46073</v>
      </c>
      <c r="C2032" t="inlineStr">
        <is>
          <t>/</t>
        </is>
      </c>
      <c r="D2032" t="inlineStr">
        <is>
          <t>Kwadwo Baniako Nti</t>
        </is>
      </c>
      <c r="E2032" t="inlineStr">
        <is>
          <t>OdooBot</t>
        </is>
      </c>
      <c r="F2032" s="5" t="n">
        <v>46154.70721064815</v>
      </c>
      <c r="G2032" t="inlineStr">
        <is>
          <t>Field verification and reporting in Nigeria (3)</t>
        </is>
      </c>
      <c r="H2032" t="inlineStr">
        <is>
          <t>PCGH775 - ESDD of Valency Operations for FMO</t>
        </is>
      </c>
      <c r="I2032" t="n">
        <v>8</v>
      </c>
      <c r="J2032" t="inlineStr">
        <is>
          <t>PCGH775 - Field Verification (3) (Valency International DMCC)</t>
        </is>
      </c>
      <c r="K2032" t="inlineStr">
        <is>
          <t>Analysis and reporting in Nigeria</t>
        </is>
      </c>
      <c r="L2032" t="b">
        <v>1</v>
      </c>
      <c r="M2032" t="inlineStr">
        <is>
          <t>Billed at a Fixed price</t>
        </is>
      </c>
      <c r="N2032" s="6">
        <f>IF(B2032="","",IF(ISNUMBER(B2032),TEXT(B2032,"YYYY-MM"),LEFT(B2032,7)))</f>
        <v/>
      </c>
    </row>
    <row r="2033">
      <c r="A2033" t="inlineStr">
        <is>
          <t>Daleba Bernard Kpenahi Raymond</t>
        </is>
      </c>
      <c r="B2033" s="4" t="n">
        <v>46073</v>
      </c>
      <c r="C2033" t="inlineStr">
        <is>
          <t>/</t>
        </is>
      </c>
      <c r="D2033" t="inlineStr">
        <is>
          <t>Daleba Bernard Kpenahi Raymond</t>
        </is>
      </c>
      <c r="E2033" t="inlineStr">
        <is>
          <t>OdooBot</t>
        </is>
      </c>
      <c r="F2033" s="5" t="n">
        <v>46154.70721064815</v>
      </c>
      <c r="G2033" t="inlineStr">
        <is>
          <t>Output 2.3</t>
        </is>
      </c>
      <c r="H2033" t="inlineStr">
        <is>
          <t>P23AC00C00 - FGMC</t>
        </is>
      </c>
      <c r="I2033" t="n">
        <v>8</v>
      </c>
      <c r="K2033" t="inlineStr">
        <is>
          <t>P23AC22A00 - Output Two (Elevating Local Solutions - West Africa)</t>
        </is>
      </c>
      <c r="L2033" t="b">
        <v>0</v>
      </c>
      <c r="M2033" t="inlineStr">
        <is>
          <t>Non-Billable</t>
        </is>
      </c>
      <c r="N2033" s="6">
        <f>IF(B2033="","",IF(ISNUMBER(B2033),TEXT(B2033,"YYYY-MM"),LEFT(B2033,7)))</f>
        <v/>
      </c>
    </row>
    <row r="2034">
      <c r="A2034" t="inlineStr">
        <is>
          <t>Ekow Nyamekye Tawiah</t>
        </is>
      </c>
      <c r="B2034" s="4" t="n">
        <v>46073</v>
      </c>
      <c r="C2034" t="inlineStr">
        <is>
          <t>/</t>
        </is>
      </c>
      <c r="D2034" t="inlineStr">
        <is>
          <t>Ekow Nyamekye Tawiah</t>
        </is>
      </c>
      <c r="E2034" t="inlineStr">
        <is>
          <t>OdooBot</t>
        </is>
      </c>
      <c r="F2034" s="5" t="n">
        <v>46154.70721064815</v>
      </c>
      <c r="H2034" t="inlineStr">
        <is>
          <t>PCGH722</t>
        </is>
      </c>
      <c r="I2034" t="n">
        <v>4</v>
      </c>
      <c r="J2034" t="inlineStr">
        <is>
          <t>PCGH722 - Analysis and Reporting (3) (Sucrivoire SA)</t>
        </is>
      </c>
      <c r="K2034" t="inlineStr">
        <is>
          <t>Analysis and Reporting (3)</t>
        </is>
      </c>
      <c r="L2034" t="b">
        <v>1</v>
      </c>
      <c r="M2034" t="inlineStr">
        <is>
          <t>Billed at a Fixed price</t>
        </is>
      </c>
      <c r="N2034" s="6">
        <f>IF(B2034="","",IF(ISNUMBER(B2034),TEXT(B2034,"YYYY-MM"),LEFT(B2034,7)))</f>
        <v/>
      </c>
    </row>
    <row r="2035">
      <c r="A2035" t="inlineStr">
        <is>
          <t>Augustus Asamoah</t>
        </is>
      </c>
      <c r="B2035" s="4" t="n">
        <v>46073</v>
      </c>
      <c r="C2035" t="inlineStr">
        <is>
          <t>/</t>
        </is>
      </c>
      <c r="D2035" t="inlineStr">
        <is>
          <t>Augustus Asamoah</t>
        </is>
      </c>
      <c r="E2035" t="inlineStr">
        <is>
          <t>OdooBot</t>
        </is>
      </c>
      <c r="F2035" s="5" t="n">
        <v>46154.70721064815</v>
      </c>
      <c r="G2035" t="inlineStr">
        <is>
          <t>Field survey and Data Collection)</t>
        </is>
      </c>
      <c r="H2035" t="inlineStr">
        <is>
          <t>PCGH784</t>
        </is>
      </c>
      <c r="I2035" t="n">
        <v>8</v>
      </c>
      <c r="J2035" t="inlineStr">
        <is>
          <t>PCGH784 -  Field data collection  (3) (Okeosisi Jonathan)</t>
        </is>
      </c>
      <c r="K2035" t="inlineStr">
        <is>
          <t>Fauna Survey</t>
        </is>
      </c>
      <c r="L2035" t="b">
        <v>1</v>
      </c>
      <c r="M2035" t="inlineStr">
        <is>
          <t>Billed at a Fixed price</t>
        </is>
      </c>
      <c r="N2035" s="6">
        <f>IF(B2035="","",IF(ISNUMBER(B2035),TEXT(B2035,"YYYY-MM"),LEFT(B2035,7)))</f>
        <v/>
      </c>
    </row>
    <row r="2036">
      <c r="A2036" t="inlineStr">
        <is>
          <t>Augustus Asamoah</t>
        </is>
      </c>
      <c r="B2036" s="4" t="n">
        <v>46073</v>
      </c>
      <c r="C2036" t="inlineStr">
        <is>
          <t>/</t>
        </is>
      </c>
      <c r="D2036" t="inlineStr">
        <is>
          <t>Augustus Asamoah</t>
        </is>
      </c>
      <c r="E2036" t="inlineStr">
        <is>
          <t>OdooBot</t>
        </is>
      </c>
      <c r="F2036" s="5" t="n">
        <v>46154.70721064815</v>
      </c>
      <c r="H2036" t="inlineStr">
        <is>
          <t>PCGH784</t>
        </is>
      </c>
      <c r="I2036" t="n">
        <v>0</v>
      </c>
      <c r="J2036" t="inlineStr">
        <is>
          <t>PCGH784 - Desk Study (3) (Okeosisi Jonathan)</t>
        </is>
      </c>
      <c r="L2036" t="b">
        <v>1</v>
      </c>
      <c r="M2036" t="inlineStr">
        <is>
          <t>Billed at a Fixed price</t>
        </is>
      </c>
      <c r="N2036" s="6">
        <f>IF(B2036="","",IF(ISNUMBER(B2036),TEXT(B2036,"YYYY-MM"),LEFT(B2036,7)))</f>
        <v/>
      </c>
    </row>
    <row r="2037">
      <c r="A2037" t="inlineStr">
        <is>
          <t>Afua Serwah Akoto Prempeh</t>
        </is>
      </c>
      <c r="B2037" s="4" t="n">
        <v>46073</v>
      </c>
      <c r="C2037" t="inlineStr">
        <is>
          <t>/</t>
        </is>
      </c>
      <c r="D2037" t="inlineStr">
        <is>
          <t>Afua Serwah Akoto Prempeh</t>
        </is>
      </c>
      <c r="E2037" t="inlineStr">
        <is>
          <t>OdooBot</t>
        </is>
      </c>
      <c r="F2037" s="5" t="n">
        <v>46154.70721064815</v>
      </c>
      <c r="H2037" t="inlineStr">
        <is>
          <t>Non-Billable Tasks</t>
        </is>
      </c>
      <c r="I2037" t="n">
        <v>8</v>
      </c>
      <c r="K2037" t="inlineStr">
        <is>
          <t>Communication/Data/Training</t>
        </is>
      </c>
      <c r="L2037" t="b">
        <v>0</v>
      </c>
      <c r="M2037" t="inlineStr">
        <is>
          <t>Non-Billable</t>
        </is>
      </c>
      <c r="N2037" s="6">
        <f>IF(B2037="","",IF(ISNUMBER(B2037),TEXT(B2037,"YYYY-MM"),LEFT(B2037,7)))</f>
        <v/>
      </c>
    </row>
    <row r="2038">
      <c r="A2038" t="inlineStr">
        <is>
          <t>Louis Defo</t>
        </is>
      </c>
      <c r="B2038" s="4" t="n">
        <v>46073</v>
      </c>
      <c r="C2038" t="inlineStr">
        <is>
          <t>closing activities FAO cooperatives Cameroon</t>
        </is>
      </c>
      <c r="D2038" t="inlineStr">
        <is>
          <t>Louis Defo</t>
        </is>
      </c>
      <c r="E2038" t="inlineStr">
        <is>
          <t>OdooBot</t>
        </is>
      </c>
      <c r="F2038" s="5" t="n">
        <v>46154.70721064815</v>
      </c>
      <c r="H2038" t="inlineStr">
        <is>
          <t>P13LC00A00 - FAO Support in Cameroon</t>
        </is>
      </c>
      <c r="I2038" t="n">
        <v>8</v>
      </c>
      <c r="L2038" t="b">
        <v>0</v>
      </c>
      <c r="M2038" t="inlineStr">
        <is>
          <t>Non-Billable</t>
        </is>
      </c>
      <c r="N2038" s="6">
        <f>IF(B2038="","",IF(ISNUMBER(B2038),TEXT(B2038,"YYYY-MM"),LEFT(B2038,7)))</f>
        <v/>
      </c>
    </row>
    <row r="2039">
      <c r="A2039" t="inlineStr">
        <is>
          <t>Helena Tetteh</t>
        </is>
      </c>
      <c r="B2039" s="4" t="n">
        <v>46073</v>
      </c>
      <c r="C2039" t="inlineStr">
        <is>
          <t>/</t>
        </is>
      </c>
      <c r="D2039" t="inlineStr">
        <is>
          <t xml:space="preserve">Helena Tetteh </t>
        </is>
      </c>
      <c r="E2039" t="inlineStr">
        <is>
          <t>OdooBot</t>
        </is>
      </c>
      <c r="F2039" s="5" t="n">
        <v>46154.70721064815</v>
      </c>
      <c r="H2039" t="inlineStr">
        <is>
          <t>Non-Billable Tasks</t>
        </is>
      </c>
      <c r="I2039" t="n">
        <v>4</v>
      </c>
      <c r="K2039" t="inlineStr">
        <is>
          <t>Professional development and Knowledge sharing(training,global knowledge calls,exchange weeks)</t>
        </is>
      </c>
      <c r="L2039" t="b">
        <v>0</v>
      </c>
      <c r="M2039" t="inlineStr">
        <is>
          <t>Non-Billable</t>
        </is>
      </c>
      <c r="N2039" s="6">
        <f>IF(B2039="","",IF(ISNUMBER(B2039),TEXT(B2039,"YYYY-MM"),LEFT(B2039,7)))</f>
        <v/>
      </c>
    </row>
    <row r="2040">
      <c r="A2040" t="inlineStr">
        <is>
          <t>Helena Tetteh</t>
        </is>
      </c>
      <c r="B2040" s="4" t="n">
        <v>46073</v>
      </c>
      <c r="C2040" t="inlineStr">
        <is>
          <t>/</t>
        </is>
      </c>
      <c r="D2040" t="inlineStr">
        <is>
          <t xml:space="preserve">Helena Tetteh </t>
        </is>
      </c>
      <c r="E2040" t="inlineStr">
        <is>
          <t>OdooBot</t>
        </is>
      </c>
      <c r="F2040" s="5" t="n">
        <v>46154.70721064815</v>
      </c>
      <c r="H2040" t="inlineStr">
        <is>
          <t>Non-Billable Tasks</t>
        </is>
      </c>
      <c r="I2040" t="n">
        <v>4</v>
      </c>
      <c r="K2040" t="inlineStr">
        <is>
          <t>Communication/Data/Training</t>
        </is>
      </c>
      <c r="L2040" t="b">
        <v>0</v>
      </c>
      <c r="M2040" t="inlineStr">
        <is>
          <t>Non-Billable</t>
        </is>
      </c>
      <c r="N2040" s="6">
        <f>IF(B2040="","",IF(ISNUMBER(B2040),TEXT(B2040,"YYYY-MM"),LEFT(B2040,7)))</f>
        <v/>
      </c>
    </row>
    <row r="2041">
      <c r="A2041" t="inlineStr">
        <is>
          <t>Clement Obeng-Manu</t>
        </is>
      </c>
      <c r="B2041" s="4" t="n">
        <v>46073</v>
      </c>
      <c r="C2041" t="inlineStr">
        <is>
          <t>/</t>
        </is>
      </c>
      <c r="D2041" t="inlineStr">
        <is>
          <t>Clement Obeng-Manu</t>
        </is>
      </c>
      <c r="E2041" t="inlineStr">
        <is>
          <t>OdooBot</t>
        </is>
      </c>
      <c r="F2041" s="5" t="n">
        <v>46154.70721064815</v>
      </c>
      <c r="H2041" t="inlineStr">
        <is>
          <t>PCGH777</t>
        </is>
      </c>
      <c r="I2041" t="n">
        <v>0</v>
      </c>
      <c r="J2041" t="inlineStr">
        <is>
          <t>PCGH777 - Desk Study (3) (Proforest Limited(PCUK GBP))</t>
        </is>
      </c>
      <c r="L2041" t="b">
        <v>1</v>
      </c>
      <c r="M2041" t="inlineStr">
        <is>
          <t>Billed at a Fixed price</t>
        </is>
      </c>
      <c r="N2041" s="6">
        <f>IF(B2041="","",IF(ISNUMBER(B2041),TEXT(B2041,"YYYY-MM"),LEFT(B2041,7)))</f>
        <v/>
      </c>
    </row>
    <row r="2042">
      <c r="A2042" t="inlineStr">
        <is>
          <t>Clement Obeng-Manu</t>
        </is>
      </c>
      <c r="B2042" s="4" t="n">
        <v>46073</v>
      </c>
      <c r="C2042" t="inlineStr">
        <is>
          <t>Review of the Borotou Integrated HCV HCSA report</t>
        </is>
      </c>
      <c r="D2042" t="inlineStr">
        <is>
          <t>Clement Obeng-Manu</t>
        </is>
      </c>
      <c r="E2042" t="inlineStr">
        <is>
          <t>OdooBot</t>
        </is>
      </c>
      <c r="F2042" s="5" t="n">
        <v>46154.70721064815</v>
      </c>
      <c r="G2042" t="inlineStr">
        <is>
          <t>Analysis and Reporting (3)</t>
        </is>
      </c>
      <c r="H2042" t="inlineStr">
        <is>
          <t>PCGH722</t>
        </is>
      </c>
      <c r="I2042" t="n">
        <v>0</v>
      </c>
      <c r="J2042" t="inlineStr">
        <is>
          <t>PCGH722 - Analysis and Reporting (3) (Sucrivoire SA)</t>
        </is>
      </c>
      <c r="K2042" t="inlineStr">
        <is>
          <t>Analysis and Reporting (3)</t>
        </is>
      </c>
      <c r="L2042" t="b">
        <v>1</v>
      </c>
      <c r="M2042" t="inlineStr">
        <is>
          <t>Billed at a Fixed price</t>
        </is>
      </c>
      <c r="N2042" s="6">
        <f>IF(B2042="","",IF(ISNUMBER(B2042),TEXT(B2042,"YYYY-MM"),LEFT(B2042,7)))</f>
        <v/>
      </c>
    </row>
    <row r="2043">
      <c r="A2043" t="inlineStr">
        <is>
          <t>Clement Obeng-Manu</t>
        </is>
      </c>
      <c r="B2043" s="4" t="n">
        <v>46073</v>
      </c>
      <c r="C2043" t="inlineStr">
        <is>
          <t>/</t>
        </is>
      </c>
      <c r="D2043" t="inlineStr">
        <is>
          <t>Clement Obeng-Manu</t>
        </is>
      </c>
      <c r="E2043" t="inlineStr">
        <is>
          <t>OdooBot</t>
        </is>
      </c>
      <c r="F2043" s="5" t="n">
        <v>46154.70721064815</v>
      </c>
      <c r="H2043" t="inlineStr">
        <is>
          <t>PCGH776 - Deforestation Risk-Assessment Cashew-Coast</t>
        </is>
      </c>
      <c r="I2043" t="n">
        <v>4</v>
      </c>
      <c r="J2043" t="inlineStr">
        <is>
          <t>PCGH776 - Data collection and review (3) (Cashew Coast Products Inc)</t>
        </is>
      </c>
      <c r="K2043" t="inlineStr">
        <is>
          <t>Data review, compilation and integration</t>
        </is>
      </c>
      <c r="L2043" t="b">
        <v>1</v>
      </c>
      <c r="M2043" t="inlineStr">
        <is>
          <t>Billed at a Fixed price</t>
        </is>
      </c>
      <c r="N2043" s="6">
        <f>IF(B2043="","",IF(ISNUMBER(B2043),TEXT(B2043,"YYYY-MM"),LEFT(B2043,7)))</f>
        <v/>
      </c>
    </row>
    <row r="2044">
      <c r="A2044" t="inlineStr">
        <is>
          <t>Clement Obeng-Manu</t>
        </is>
      </c>
      <c r="B2044" s="4" t="n">
        <v>46073</v>
      </c>
      <c r="C2044" t="inlineStr">
        <is>
          <t>Desk review</t>
        </is>
      </c>
      <c r="D2044" t="inlineStr">
        <is>
          <t>Clement Obeng-Manu</t>
        </is>
      </c>
      <c r="E2044" t="inlineStr">
        <is>
          <t>OdooBot</t>
        </is>
      </c>
      <c r="F2044" s="5" t="n">
        <v>46154.70721064815</v>
      </c>
      <c r="H2044" t="inlineStr">
        <is>
          <t>PCGH777</t>
        </is>
      </c>
      <c r="I2044" t="n">
        <v>4</v>
      </c>
      <c r="J2044" t="inlineStr">
        <is>
          <t>PCGH777 - Desk Study (3) (Proforest Limited(PCUK GBP))</t>
        </is>
      </c>
      <c r="K2044" t="inlineStr">
        <is>
          <t xml:space="preserve">Desk study and stakeholder mapping </t>
        </is>
      </c>
      <c r="L2044" t="b">
        <v>1</v>
      </c>
      <c r="M2044" t="inlineStr">
        <is>
          <t>Billed at a Fixed price</t>
        </is>
      </c>
      <c r="N2044" s="6">
        <f>IF(B2044="","",IF(ISNUMBER(B2044),TEXT(B2044,"YYYY-MM"),LEFT(B2044,7)))</f>
        <v/>
      </c>
    </row>
    <row r="2045">
      <c r="A2045" t="inlineStr">
        <is>
          <t>Kingsley Fitz-Gerald Severine</t>
        </is>
      </c>
      <c r="B2045" s="4" t="n">
        <v>46073</v>
      </c>
      <c r="C2045" t="inlineStr">
        <is>
          <t>/</t>
        </is>
      </c>
      <c r="D2045" t="inlineStr">
        <is>
          <t>Kingsley Fitz-Gerald Severine</t>
        </is>
      </c>
      <c r="E2045" t="inlineStr">
        <is>
          <t>OdooBot</t>
        </is>
      </c>
      <c r="F2045" s="5" t="n">
        <v>46154.70721064815</v>
      </c>
      <c r="G2045" t="inlineStr">
        <is>
          <t>Field survey and Data Collection)</t>
        </is>
      </c>
      <c r="H2045" t="inlineStr">
        <is>
          <t>PCGH784</t>
        </is>
      </c>
      <c r="I2045" t="n">
        <v>8</v>
      </c>
      <c r="J2045" t="inlineStr">
        <is>
          <t>PCGH784 -  Field data collection  (3) (Okeosisi Jonathan)</t>
        </is>
      </c>
      <c r="K2045" t="inlineStr">
        <is>
          <t>Stakeholder Consultations</t>
        </is>
      </c>
      <c r="L2045" t="b">
        <v>1</v>
      </c>
      <c r="M2045" t="inlineStr">
        <is>
          <t>Billed at a Fixed price</t>
        </is>
      </c>
      <c r="N2045" s="6">
        <f>IF(B2045="","",IF(ISNUMBER(B2045),TEXT(B2045,"YYYY-MM"),LEFT(B2045,7)))</f>
        <v/>
      </c>
    </row>
    <row r="2046">
      <c r="A2046" t="inlineStr">
        <is>
          <t>Joseph Isaiah Mensah</t>
        </is>
      </c>
      <c r="B2046" s="4" t="n">
        <v>46072</v>
      </c>
      <c r="C2046" t="inlineStr">
        <is>
          <t>/</t>
        </is>
      </c>
      <c r="D2046" t="inlineStr">
        <is>
          <t>Joseph Isaiah Mensah</t>
        </is>
      </c>
      <c r="E2046" t="inlineStr">
        <is>
          <t>Joseph Isaiah Mensah</t>
        </is>
      </c>
      <c r="F2046" s="5" t="n">
        <v>46162.65576388889</v>
      </c>
      <c r="G2046" t="inlineStr">
        <is>
          <t>Output 4</t>
        </is>
      </c>
      <c r="H2046" t="inlineStr">
        <is>
          <t>P23AC00C00 - FGMC</t>
        </is>
      </c>
      <c r="I2046" t="n">
        <v>3</v>
      </c>
      <c r="K2046" t="inlineStr">
        <is>
          <t>P23AC03A00 - Project Management</t>
        </is>
      </c>
      <c r="L2046" t="b">
        <v>0</v>
      </c>
      <c r="M2046" t="inlineStr">
        <is>
          <t>Non-Billable</t>
        </is>
      </c>
      <c r="N2046" s="6">
        <f>IF(B2046="","",IF(ISNUMBER(B2046),TEXT(B2046,"YYYY-MM"),LEFT(B2046,7)))</f>
        <v/>
      </c>
    </row>
    <row r="2047">
      <c r="A2047" t="inlineStr">
        <is>
          <t>Joseph Isaiah Mensah</t>
        </is>
      </c>
      <c r="B2047" s="4" t="n">
        <v>46072</v>
      </c>
      <c r="C2047" t="inlineStr">
        <is>
          <t>/[update]: PFAFR internal Nestlé Sugar 2026 kick-off</t>
        </is>
      </c>
      <c r="D2047" t="inlineStr">
        <is>
          <t>Joseph Isaiah Mensah</t>
        </is>
      </c>
      <c r="E2047" t="inlineStr">
        <is>
          <t>Joseph Isaiah Mensah</t>
        </is>
      </c>
      <c r="F2047" s="5" t="n">
        <v>46162.65479166667</v>
      </c>
      <c r="H2047" t="inlineStr">
        <is>
          <t>PCGH778 - General Support</t>
        </is>
      </c>
      <c r="I2047" t="n">
        <v>1.5</v>
      </c>
      <c r="J2047" t="inlineStr">
        <is>
          <t>PCGH778 - Support to Other Workstreams (3) (Proforest Limited(PCUK GBP))</t>
        </is>
      </c>
      <c r="L2047" t="b">
        <v>1</v>
      </c>
      <c r="M2047" t="inlineStr">
        <is>
          <t>Billed at a Fixed price</t>
        </is>
      </c>
      <c r="N2047" s="6">
        <f>IF(B2047="","",IF(ISNUMBER(B2047),TEXT(B2047,"YYYY-MM"),LEFT(B2047,7)))</f>
        <v/>
      </c>
    </row>
    <row r="2048">
      <c r="A2048" t="inlineStr">
        <is>
          <t>Joseph Isaiah Mensah</t>
        </is>
      </c>
      <c r="B2048" s="4" t="n">
        <v>46072</v>
      </c>
      <c r="C2048" t="inlineStr">
        <is>
          <t>/</t>
        </is>
      </c>
      <c r="D2048" t="inlineStr">
        <is>
          <t>Joseph Isaiah Mensah</t>
        </is>
      </c>
      <c r="E2048" t="inlineStr">
        <is>
          <t>Joseph Isaiah Mensah</t>
        </is>
      </c>
      <c r="F2048" s="5" t="n">
        <v>46162.65098379629</v>
      </c>
      <c r="H2048" t="inlineStr">
        <is>
          <t>Non-Billable Tasks</t>
        </is>
      </c>
      <c r="I2048" t="n">
        <v>1.5</v>
      </c>
      <c r="K2048" t="inlineStr">
        <is>
          <t>Professional development and Knowledge sharing(training,global knowledge calls,exchange weeks)</t>
        </is>
      </c>
      <c r="L2048" t="b">
        <v>0</v>
      </c>
      <c r="M2048" t="inlineStr">
        <is>
          <t>Non-Billable</t>
        </is>
      </c>
      <c r="N2048" s="6">
        <f>IF(B2048="","",IF(ISNUMBER(B2048),TEXT(B2048,"YYYY-MM"),LEFT(B2048,7)))</f>
        <v/>
      </c>
    </row>
    <row r="2049">
      <c r="A2049" t="inlineStr">
        <is>
          <t>Joseph Isaiah Mensah</t>
        </is>
      </c>
      <c r="B2049" s="4" t="n">
        <v>46072</v>
      </c>
      <c r="C2049" t="inlineStr">
        <is>
          <t>/</t>
        </is>
      </c>
      <c r="D2049" t="inlineStr">
        <is>
          <t>Joseph Isaiah Mensah</t>
        </is>
      </c>
      <c r="E2049" t="inlineStr">
        <is>
          <t>Joseph Isaiah Mensah</t>
        </is>
      </c>
      <c r="F2049" s="5" t="n">
        <v>46162.65002314815</v>
      </c>
      <c r="H2049" t="inlineStr">
        <is>
          <t>PCGH775 - ESDD of Valency Operations for FMO</t>
        </is>
      </c>
      <c r="I2049" t="n">
        <v>2</v>
      </c>
      <c r="J2049" t="inlineStr">
        <is>
          <t>PCGH775 - Development of Assessment Framework (3) (Valency International DMCC)</t>
        </is>
      </c>
      <c r="K2049" t="inlineStr">
        <is>
          <t>Desk study, development of assessment framework &amp; online meetings (3)</t>
        </is>
      </c>
      <c r="L2049" t="b">
        <v>1</v>
      </c>
      <c r="M2049" t="inlineStr">
        <is>
          <t>Billed at a Fixed price</t>
        </is>
      </c>
      <c r="N2049" s="6">
        <f>IF(B2049="","",IF(ISNUMBER(B2049),TEXT(B2049,"YYYY-MM"),LEFT(B2049,7)))</f>
        <v/>
      </c>
    </row>
    <row r="2050">
      <c r="A2050" t="inlineStr">
        <is>
          <t>James Parker Mckeown</t>
        </is>
      </c>
      <c r="B2050" s="4" t="n">
        <v>46072</v>
      </c>
      <c r="C2050" t="inlineStr">
        <is>
          <t xml:space="preserve">Finalizing Socioeconomic survey instruments </t>
        </is>
      </c>
      <c r="D2050" t="inlineStr">
        <is>
          <t>James Parker Mckeown</t>
        </is>
      </c>
      <c r="E2050" t="inlineStr">
        <is>
          <t>James Parker Mckeown</t>
        </is>
      </c>
      <c r="F2050" s="5" t="n">
        <v>46162.43163194445</v>
      </c>
      <c r="H2050" t="inlineStr">
        <is>
          <t>PCGH762 - GVL HCSA Restoration Project</t>
        </is>
      </c>
      <c r="I2050" t="n">
        <v>2</v>
      </c>
      <c r="K2050" t="inlineStr">
        <is>
          <t>Baseline Socio-Economic &amp; Environmental Surveys</t>
        </is>
      </c>
      <c r="L2050" t="b">
        <v>1</v>
      </c>
      <c r="M2050" t="inlineStr">
        <is>
          <t>Non-Billable</t>
        </is>
      </c>
      <c r="N2050" s="6">
        <f>IF(B2050="","",IF(ISNUMBER(B2050),TEXT(B2050,"YYYY-MM"),LEFT(B2050,7)))</f>
        <v/>
      </c>
    </row>
    <row r="2051">
      <c r="A2051" t="inlineStr">
        <is>
          <t>James Parker Mckeown</t>
        </is>
      </c>
      <c r="B2051" s="4" t="n">
        <v>46072</v>
      </c>
      <c r="C2051" t="inlineStr">
        <is>
          <t>Visit to FC to engage with FC CEO and team on the FCDO assignment</t>
        </is>
      </c>
      <c r="D2051" t="inlineStr">
        <is>
          <t>James Parker Mckeown</t>
        </is>
      </c>
      <c r="E2051" t="inlineStr">
        <is>
          <t>James Parker Mckeown</t>
        </is>
      </c>
      <c r="F2051" s="5" t="n">
        <v>46162.43030092592</v>
      </c>
      <c r="H2051" t="inlineStr">
        <is>
          <t>PCGH786 - Impact Level Baseline assessment for FGMC</t>
        </is>
      </c>
      <c r="I2051" t="n">
        <v>3</v>
      </c>
      <c r="J2051" t="inlineStr">
        <is>
          <t>PCGH786 - Site Assessment (3) (NIRAS Group (UK) Ltd)</t>
        </is>
      </c>
      <c r="K2051" t="inlineStr">
        <is>
          <t>PCGH786 - Site Assessment (3)</t>
        </is>
      </c>
      <c r="L2051" t="b">
        <v>1</v>
      </c>
      <c r="M2051" t="inlineStr">
        <is>
          <t>Billed at a Fixed price</t>
        </is>
      </c>
      <c r="N2051" s="6">
        <f>IF(B2051="","",IF(ISNUMBER(B2051),TEXT(B2051,"YYYY-MM"),LEFT(B2051,7)))</f>
        <v/>
      </c>
    </row>
    <row r="2052">
      <c r="A2052" t="inlineStr">
        <is>
          <t>James Parker Mckeown</t>
        </is>
      </c>
      <c r="B2052" s="4" t="n">
        <v>46072</v>
      </c>
      <c r="C2052" t="inlineStr">
        <is>
          <t>PFAFR BRIDGE: Weekly Catch-up</t>
        </is>
      </c>
      <c r="D2052" t="inlineStr">
        <is>
          <t>James Parker Mckeown</t>
        </is>
      </c>
      <c r="E2052" t="inlineStr">
        <is>
          <t>James Parker Mckeown</t>
        </is>
      </c>
      <c r="F2052" s="5" t="n">
        <v>46162.42886574074</v>
      </c>
      <c r="G2052" t="inlineStr">
        <is>
          <t>Output 4</t>
        </is>
      </c>
      <c r="H2052" t="inlineStr">
        <is>
          <t>P23AC00C00 - FGMC</t>
        </is>
      </c>
      <c r="I2052" t="n">
        <v>2</v>
      </c>
      <c r="K2052" t="inlineStr">
        <is>
          <t>P23AC03A00 - Project Management</t>
        </is>
      </c>
      <c r="L2052" t="b">
        <v>0</v>
      </c>
      <c r="M2052" t="inlineStr">
        <is>
          <t>Non-Billable</t>
        </is>
      </c>
      <c r="N2052" s="6">
        <f>IF(B2052="","",IF(ISNUMBER(B2052),TEXT(B2052,"YYYY-MM"),LEFT(B2052,7)))</f>
        <v/>
      </c>
    </row>
    <row r="2053">
      <c r="A2053" t="inlineStr">
        <is>
          <t>James Parker Mckeown</t>
        </is>
      </c>
      <c r="B2053" s="4" t="n">
        <v>46072</v>
      </c>
      <c r="C2053" t="inlineStr">
        <is>
          <t>/</t>
        </is>
      </c>
      <c r="D2053" t="inlineStr">
        <is>
          <t>James Parker Mckeown</t>
        </is>
      </c>
      <c r="E2053" t="inlineStr">
        <is>
          <t>James Parker Mckeown</t>
        </is>
      </c>
      <c r="F2053" s="5" t="n">
        <v>46162.43372685185</v>
      </c>
      <c r="G2053" t="inlineStr">
        <is>
          <t>Output 2.3</t>
        </is>
      </c>
      <c r="H2053" t="inlineStr">
        <is>
          <t>P23AC00C00 - FGMC</t>
        </is>
      </c>
      <c r="I2053" t="n">
        <v>3.5</v>
      </c>
      <c r="K2053" t="inlineStr">
        <is>
          <t>P23AC22A00 - Output Two (Elevating Local Solutions - West Africa)</t>
        </is>
      </c>
      <c r="L2053" t="b">
        <v>0</v>
      </c>
      <c r="M2053" t="inlineStr">
        <is>
          <t>Non-Billable</t>
        </is>
      </c>
      <c r="N2053" s="6">
        <f>IF(B2053="","",IF(ISNUMBER(B2053),TEXT(B2053,"YYYY-MM"),LEFT(B2053,7)))</f>
        <v/>
      </c>
    </row>
    <row r="2054">
      <c r="A2054" t="inlineStr">
        <is>
          <t>Frederick Antwi</t>
        </is>
      </c>
      <c r="B2054" s="4" t="n">
        <v>46072</v>
      </c>
      <c r="C2054" t="inlineStr">
        <is>
          <t>/</t>
        </is>
      </c>
      <c r="D2054" t="inlineStr">
        <is>
          <t>Frederick Antwi</t>
        </is>
      </c>
      <c r="E2054" t="inlineStr">
        <is>
          <t>Frederick Antwi</t>
        </is>
      </c>
      <c r="F2054" s="5" t="n">
        <v>46160.57701388889</v>
      </c>
      <c r="H2054" t="inlineStr">
        <is>
          <t>P13PC00A00 - Private Sector Companies</t>
        </is>
      </c>
      <c r="I2054" t="n">
        <v>8</v>
      </c>
      <c r="L2054" t="b">
        <v>0</v>
      </c>
      <c r="M2054" t="inlineStr">
        <is>
          <t>Non-Billable</t>
        </is>
      </c>
      <c r="N2054" s="6">
        <f>IF(B2054="","",IF(ISNUMBER(B2054),TEXT(B2054,"YYYY-MM"),LEFT(B2054,7)))</f>
        <v/>
      </c>
    </row>
    <row r="2055">
      <c r="A2055" t="inlineStr">
        <is>
          <t>Stephen Doso</t>
        </is>
      </c>
      <c r="B2055" s="4" t="n">
        <v>46072</v>
      </c>
      <c r="C2055" t="inlineStr">
        <is>
          <t>/</t>
        </is>
      </c>
      <c r="D2055" t="inlineStr">
        <is>
          <t>Stephen Doso</t>
        </is>
      </c>
      <c r="E2055" t="inlineStr">
        <is>
          <t>OdooBot</t>
        </is>
      </c>
      <c r="F2055" s="5" t="n">
        <v>46154.70721064815</v>
      </c>
      <c r="G2055" t="inlineStr">
        <is>
          <t>Field survey and Data Collection</t>
        </is>
      </c>
      <c r="H2055" t="inlineStr">
        <is>
          <t>PCGH784</t>
        </is>
      </c>
      <c r="I2055" t="n">
        <v>8</v>
      </c>
      <c r="J2055" t="inlineStr">
        <is>
          <t>PCGH784 -  Field data collection  (2) (Okeosisi Jonathan)</t>
        </is>
      </c>
      <c r="K2055" t="inlineStr">
        <is>
          <t>Stakeholder Consultations</t>
        </is>
      </c>
      <c r="L2055" t="b">
        <v>1</v>
      </c>
      <c r="M2055" t="inlineStr">
        <is>
          <t>Billed at a Fixed price</t>
        </is>
      </c>
      <c r="N2055" s="6">
        <f>IF(B2055="","",IF(ISNUMBER(B2055),TEXT(B2055,"YYYY-MM"),LEFT(B2055,7)))</f>
        <v/>
      </c>
    </row>
    <row r="2056">
      <c r="A2056" t="inlineStr">
        <is>
          <t>Daleba Bernard Kpenahi Raymond</t>
        </is>
      </c>
      <c r="B2056" s="4" t="n">
        <v>46072</v>
      </c>
      <c r="C2056" t="inlineStr">
        <is>
          <t>/</t>
        </is>
      </c>
      <c r="D2056" t="inlineStr">
        <is>
          <t>Daleba Bernard Kpenahi Raymond</t>
        </is>
      </c>
      <c r="E2056" t="inlineStr">
        <is>
          <t>OdooBot</t>
        </is>
      </c>
      <c r="F2056" s="5" t="n">
        <v>46154.70721064815</v>
      </c>
      <c r="H2056" t="inlineStr">
        <is>
          <t>PCGH754 (Cote D'voire)</t>
        </is>
      </c>
      <c r="I2056" t="n">
        <v>4</v>
      </c>
      <c r="L2056" t="b">
        <v>1</v>
      </c>
      <c r="M2056" t="inlineStr">
        <is>
          <t>Non-Billable</t>
        </is>
      </c>
      <c r="N2056" s="6">
        <f>IF(B2056="","",IF(ISNUMBER(B2056),TEXT(B2056,"YYYY-MM"),LEFT(B2056,7)))</f>
        <v/>
      </c>
    </row>
    <row r="2057">
      <c r="A2057" t="inlineStr">
        <is>
          <t>Kwadwo Baniako Nti</t>
        </is>
      </c>
      <c r="B2057" s="4" t="n">
        <v>46072</v>
      </c>
      <c r="C2057" t="inlineStr">
        <is>
          <t>/</t>
        </is>
      </c>
      <c r="D2057" t="inlineStr">
        <is>
          <t>Kwadwo Baniako Nti</t>
        </is>
      </c>
      <c r="E2057" t="inlineStr">
        <is>
          <t>OdooBot</t>
        </is>
      </c>
      <c r="F2057" s="5" t="n">
        <v>46154.70721064815</v>
      </c>
      <c r="G2057" t="inlineStr">
        <is>
          <t>Field verification and reporting in Nigeria (3)</t>
        </is>
      </c>
      <c r="H2057" t="inlineStr">
        <is>
          <t>PCGH775 - ESDD of Valency Operations for FMO</t>
        </is>
      </c>
      <c r="I2057" t="n">
        <v>8</v>
      </c>
      <c r="J2057" t="inlineStr">
        <is>
          <t>PCGH775 - Field Verification (3) (Valency International DMCC)</t>
        </is>
      </c>
      <c r="K2057" t="inlineStr">
        <is>
          <t>Analysis and reporting in Nigeria</t>
        </is>
      </c>
      <c r="L2057" t="b">
        <v>1</v>
      </c>
      <c r="M2057" t="inlineStr">
        <is>
          <t>Billed at a Fixed price</t>
        </is>
      </c>
      <c r="N2057" s="6">
        <f>IF(B2057="","",IF(ISNUMBER(B2057),TEXT(B2057,"YYYY-MM"),LEFT(B2057,7)))</f>
        <v/>
      </c>
    </row>
    <row r="2058">
      <c r="A2058" t="inlineStr">
        <is>
          <t>Daleba Bernard Kpenahi Raymond</t>
        </is>
      </c>
      <c r="B2058" s="4" t="n">
        <v>46072</v>
      </c>
      <c r="C2058" t="inlineStr">
        <is>
          <t>/</t>
        </is>
      </c>
      <c r="D2058" t="inlineStr">
        <is>
          <t>Daleba Bernard Kpenahi Raymond</t>
        </is>
      </c>
      <c r="E2058" t="inlineStr">
        <is>
          <t>OdooBot</t>
        </is>
      </c>
      <c r="F2058" s="5" t="n">
        <v>46154.70721064815</v>
      </c>
      <c r="G2058" t="inlineStr">
        <is>
          <t>Output 2.3</t>
        </is>
      </c>
      <c r="H2058" t="inlineStr">
        <is>
          <t>P23AC00C00 - FGMC</t>
        </is>
      </c>
      <c r="I2058" t="n">
        <v>4</v>
      </c>
      <c r="K2058" t="inlineStr">
        <is>
          <t>P23AC22A00 - Output Two (Elevating Local Solutions - West Africa)</t>
        </is>
      </c>
      <c r="L2058" t="b">
        <v>0</v>
      </c>
      <c r="M2058" t="inlineStr">
        <is>
          <t>Non-Billable</t>
        </is>
      </c>
      <c r="N2058" s="6">
        <f>IF(B2058="","",IF(ISNUMBER(B2058),TEXT(B2058,"YYYY-MM"),LEFT(B2058,7)))</f>
        <v/>
      </c>
    </row>
    <row r="2059">
      <c r="A2059" t="inlineStr">
        <is>
          <t>Daleba Bernard Kpenahi Raymond</t>
        </is>
      </c>
      <c r="B2059" s="4" t="n">
        <v>46072</v>
      </c>
      <c r="C2059" t="inlineStr">
        <is>
          <t>/</t>
        </is>
      </c>
      <c r="D2059" t="inlineStr">
        <is>
          <t>Daleba Bernard Kpenahi Raymond</t>
        </is>
      </c>
      <c r="E2059" t="inlineStr">
        <is>
          <t>OdooBot</t>
        </is>
      </c>
      <c r="F2059" s="5" t="n">
        <v>46154.70721064815</v>
      </c>
      <c r="G2059" t="inlineStr">
        <is>
          <t>Desk study, development of assessment framework &amp; online meetings (3)</t>
        </is>
      </c>
      <c r="H2059" t="inlineStr">
        <is>
          <t>PCGH775 - ESDD of Valency Operations for FMO</t>
        </is>
      </c>
      <c r="I2059" t="n">
        <v>0</v>
      </c>
      <c r="J2059" t="inlineStr">
        <is>
          <t>PCGH775 - Development of Assessment Framework (3) (Valency International DMCC)</t>
        </is>
      </c>
      <c r="K2059" t="inlineStr">
        <is>
          <t>Document review and assessment of framework including CIV</t>
        </is>
      </c>
      <c r="L2059" t="b">
        <v>1</v>
      </c>
      <c r="M2059" t="inlineStr">
        <is>
          <t>Billed at a Fixed price</t>
        </is>
      </c>
      <c r="N2059" s="6">
        <f>IF(B2059="","",IF(ISNUMBER(B2059),TEXT(B2059,"YYYY-MM"),LEFT(B2059,7)))</f>
        <v/>
      </c>
    </row>
    <row r="2060">
      <c r="A2060" t="inlineStr">
        <is>
          <t>Ekow Nyamekye Tawiah</t>
        </is>
      </c>
      <c r="B2060" s="4" t="n">
        <v>46072</v>
      </c>
      <c r="C2060" t="inlineStr">
        <is>
          <t>Global Landscapes Call</t>
        </is>
      </c>
      <c r="D2060" t="inlineStr">
        <is>
          <t>Ekow Nyamekye Tawiah</t>
        </is>
      </c>
      <c r="E2060" t="inlineStr">
        <is>
          <t>OdooBot</t>
        </is>
      </c>
      <c r="F2060" s="5" t="n">
        <v>46154.70721064815</v>
      </c>
      <c r="H2060" t="inlineStr">
        <is>
          <t>Non-Billable Tasks</t>
        </is>
      </c>
      <c r="I2060" t="n">
        <v>1.5</v>
      </c>
      <c r="K2060" t="inlineStr">
        <is>
          <t>Professional development and Knowledge sharing(training,global knowledge calls,exchange weeks)</t>
        </is>
      </c>
      <c r="L2060" t="b">
        <v>0</v>
      </c>
      <c r="M2060" t="inlineStr">
        <is>
          <t>Non-Billable</t>
        </is>
      </c>
      <c r="N2060" s="6">
        <f>IF(B2060="","",IF(ISNUMBER(B2060),TEXT(B2060,"YYYY-MM"),LEFT(B2060,7)))</f>
        <v/>
      </c>
    </row>
    <row r="2061">
      <c r="A2061" t="inlineStr">
        <is>
          <t>Ekow Nyamekye Tawiah</t>
        </is>
      </c>
      <c r="B2061" s="4" t="n">
        <v>46072</v>
      </c>
      <c r="C2061" t="inlineStr">
        <is>
          <t>/</t>
        </is>
      </c>
      <c r="D2061" t="inlineStr">
        <is>
          <t>Ekow Nyamekye Tawiah</t>
        </is>
      </c>
      <c r="E2061" t="inlineStr">
        <is>
          <t>OdooBot</t>
        </is>
      </c>
      <c r="F2061" s="5" t="n">
        <v>46154.70721064815</v>
      </c>
      <c r="H2061" t="inlineStr">
        <is>
          <t>PCGH722</t>
        </is>
      </c>
      <c r="I2061" t="n">
        <v>2.5</v>
      </c>
      <c r="J2061" t="inlineStr">
        <is>
          <t>PCGH722 - Analysis and Reporting (3) (Sucrivoire SA)</t>
        </is>
      </c>
      <c r="K2061" t="inlineStr">
        <is>
          <t>Analysis and Reporting (3)</t>
        </is>
      </c>
      <c r="L2061" t="b">
        <v>1</v>
      </c>
      <c r="M2061" t="inlineStr">
        <is>
          <t>Billed at a Fixed price</t>
        </is>
      </c>
      <c r="N2061" s="6">
        <f>IF(B2061="","",IF(ISNUMBER(B2061),TEXT(B2061,"YYYY-MM"),LEFT(B2061,7)))</f>
        <v/>
      </c>
    </row>
    <row r="2062">
      <c r="A2062" t="inlineStr">
        <is>
          <t>Augustus Asamoah</t>
        </is>
      </c>
      <c r="B2062" s="4" t="n">
        <v>46072</v>
      </c>
      <c r="C2062" t="inlineStr">
        <is>
          <t>/</t>
        </is>
      </c>
      <c r="D2062" t="inlineStr">
        <is>
          <t>Augustus Asamoah</t>
        </is>
      </c>
      <c r="E2062" t="inlineStr">
        <is>
          <t>OdooBot</t>
        </is>
      </c>
      <c r="F2062" s="5" t="n">
        <v>46154.70721064815</v>
      </c>
      <c r="G2062" t="inlineStr">
        <is>
          <t>Field survey and Data Collection)</t>
        </is>
      </c>
      <c r="H2062" t="inlineStr">
        <is>
          <t>PCGH784</t>
        </is>
      </c>
      <c r="I2062" t="n">
        <v>8</v>
      </c>
      <c r="J2062" t="inlineStr">
        <is>
          <t>PCGH784 -  Field data collection  (3) (Okeosisi Jonathan)</t>
        </is>
      </c>
      <c r="K2062" t="inlineStr">
        <is>
          <t>Fauna Survey</t>
        </is>
      </c>
      <c r="L2062" t="b">
        <v>1</v>
      </c>
      <c r="M2062" t="inlineStr">
        <is>
          <t>Billed at a Fixed price</t>
        </is>
      </c>
      <c r="N2062" s="6">
        <f>IF(B2062="","",IF(ISNUMBER(B2062),TEXT(B2062,"YYYY-MM"),LEFT(B2062,7)))</f>
        <v/>
      </c>
    </row>
    <row r="2063">
      <c r="A2063" t="inlineStr">
        <is>
          <t>Augustus Asamoah</t>
        </is>
      </c>
      <c r="B2063" s="4" t="n">
        <v>46072</v>
      </c>
      <c r="C2063" t="inlineStr">
        <is>
          <t>/</t>
        </is>
      </c>
      <c r="D2063" t="inlineStr">
        <is>
          <t>Augustus Asamoah</t>
        </is>
      </c>
      <c r="E2063" t="inlineStr">
        <is>
          <t>OdooBot</t>
        </is>
      </c>
      <c r="F2063" s="5" t="n">
        <v>46154.70721064815</v>
      </c>
      <c r="H2063" t="inlineStr">
        <is>
          <t>PCGH784</t>
        </is>
      </c>
      <c r="I2063" t="n">
        <v>0</v>
      </c>
      <c r="J2063" t="inlineStr">
        <is>
          <t>PCGH784 - Desk Study (3) (Okeosisi Jonathan)</t>
        </is>
      </c>
      <c r="L2063" t="b">
        <v>1</v>
      </c>
      <c r="M2063" t="inlineStr">
        <is>
          <t>Billed at a Fixed price</t>
        </is>
      </c>
      <c r="N2063" s="6">
        <f>IF(B2063="","",IF(ISNUMBER(B2063),TEXT(B2063,"YYYY-MM"),LEFT(B2063,7)))</f>
        <v/>
      </c>
    </row>
    <row r="2064">
      <c r="A2064" t="inlineStr">
        <is>
          <t>Afua Serwah Akoto Prempeh</t>
        </is>
      </c>
      <c r="B2064" s="4" t="n">
        <v>46072</v>
      </c>
      <c r="C2064" t="inlineStr">
        <is>
          <t>/</t>
        </is>
      </c>
      <c r="D2064" t="inlineStr">
        <is>
          <t>Afua Serwah Akoto Prempeh</t>
        </is>
      </c>
      <c r="E2064" t="inlineStr">
        <is>
          <t>OdooBot</t>
        </is>
      </c>
      <c r="F2064" s="5" t="n">
        <v>46154.70721064815</v>
      </c>
      <c r="H2064" t="inlineStr">
        <is>
          <t>P23AC00C00 - FGMC</t>
        </is>
      </c>
      <c r="I2064" t="n">
        <v>3</v>
      </c>
      <c r="L2064" t="b">
        <v>0</v>
      </c>
      <c r="M2064" t="inlineStr">
        <is>
          <t>Non-Billable</t>
        </is>
      </c>
      <c r="N2064" s="6">
        <f>IF(B2064="","",IF(ISNUMBER(B2064),TEXT(B2064,"YYYY-MM"),LEFT(B2064,7)))</f>
        <v/>
      </c>
    </row>
    <row r="2065">
      <c r="A2065" t="inlineStr">
        <is>
          <t>Afua Serwah Akoto Prempeh</t>
        </is>
      </c>
      <c r="B2065" s="4" t="n">
        <v>46072</v>
      </c>
      <c r="C2065" t="inlineStr">
        <is>
          <t>/</t>
        </is>
      </c>
      <c r="D2065" t="inlineStr">
        <is>
          <t>Afua Serwah Akoto Prempeh</t>
        </is>
      </c>
      <c r="E2065" t="inlineStr">
        <is>
          <t>OdooBot</t>
        </is>
      </c>
      <c r="F2065" s="5" t="n">
        <v>46154.70721064815</v>
      </c>
      <c r="H2065" t="inlineStr">
        <is>
          <t>Non-Billable Tasks</t>
        </is>
      </c>
      <c r="I2065" t="n">
        <v>5</v>
      </c>
      <c r="K2065" t="inlineStr">
        <is>
          <t>Communication/Data/Training</t>
        </is>
      </c>
      <c r="L2065" t="b">
        <v>0</v>
      </c>
      <c r="M2065" t="inlineStr">
        <is>
          <t>Non-Billable</t>
        </is>
      </c>
      <c r="N2065" s="6">
        <f>IF(B2065="","",IF(ISNUMBER(B2065),TEXT(B2065,"YYYY-MM"),LEFT(B2065,7)))</f>
        <v/>
      </c>
    </row>
    <row r="2066">
      <c r="A2066" t="inlineStr">
        <is>
          <t>Louis Defo</t>
        </is>
      </c>
      <c r="B2066" s="4" t="n">
        <v>46072</v>
      </c>
      <c r="C2066" t="inlineStr">
        <is>
          <t>/</t>
        </is>
      </c>
      <c r="D2066" t="inlineStr">
        <is>
          <t>Louis Defo</t>
        </is>
      </c>
      <c r="E2066" t="inlineStr">
        <is>
          <t>OdooBot</t>
        </is>
      </c>
      <c r="F2066" s="5" t="n">
        <v>46154.70721064815</v>
      </c>
      <c r="G2066" t="inlineStr">
        <is>
          <t>Output 2.2</t>
        </is>
      </c>
      <c r="H2066" t="inlineStr">
        <is>
          <t>P23AC00C00 - FGMC</t>
        </is>
      </c>
      <c r="I2066" t="n">
        <v>8</v>
      </c>
      <c r="K2066" t="inlineStr">
        <is>
          <t>P23AC42A00 - Accelerating Implementation.</t>
        </is>
      </c>
      <c r="L2066" t="b">
        <v>0</v>
      </c>
      <c r="M2066" t="inlineStr">
        <is>
          <t>Non-Billable</t>
        </is>
      </c>
      <c r="N2066" s="6">
        <f>IF(B2066="","",IF(ISNUMBER(B2066),TEXT(B2066,"YYYY-MM"),LEFT(B2066,7)))</f>
        <v/>
      </c>
    </row>
    <row r="2067">
      <c r="A2067" t="inlineStr">
        <is>
          <t>Helena Tetteh</t>
        </is>
      </c>
      <c r="B2067" s="4" t="n">
        <v>46072</v>
      </c>
      <c r="C2067" t="inlineStr">
        <is>
          <t>/</t>
        </is>
      </c>
      <c r="D2067" t="inlineStr">
        <is>
          <t xml:space="preserve">Helena Tetteh </t>
        </is>
      </c>
      <c r="E2067" t="inlineStr">
        <is>
          <t>OdooBot</t>
        </is>
      </c>
      <c r="F2067" s="5" t="n">
        <v>46154.70721064815</v>
      </c>
      <c r="H2067" t="inlineStr">
        <is>
          <t>P23AC00C00 - FGMC</t>
        </is>
      </c>
      <c r="I2067" t="n">
        <v>6.5</v>
      </c>
      <c r="K2067" t="inlineStr">
        <is>
          <t>Output 2.3</t>
        </is>
      </c>
      <c r="L2067" t="b">
        <v>0</v>
      </c>
      <c r="M2067" t="inlineStr">
        <is>
          <t>Non-Billable</t>
        </is>
      </c>
      <c r="N2067" s="6">
        <f>IF(B2067="","",IF(ISNUMBER(B2067),TEXT(B2067,"YYYY-MM"),LEFT(B2067,7)))</f>
        <v/>
      </c>
    </row>
    <row r="2068">
      <c r="A2068" t="inlineStr">
        <is>
          <t>Helena Tetteh</t>
        </is>
      </c>
      <c r="B2068" s="4" t="n">
        <v>46072</v>
      </c>
      <c r="C2068" t="inlineStr">
        <is>
          <t>Production Landscape Call_February</t>
        </is>
      </c>
      <c r="D2068" t="inlineStr">
        <is>
          <t xml:space="preserve">Helena Tetteh </t>
        </is>
      </c>
      <c r="E2068" t="inlineStr">
        <is>
          <t>OdooBot</t>
        </is>
      </c>
      <c r="F2068" s="5" t="n">
        <v>46154.70721064815</v>
      </c>
      <c r="H2068" t="inlineStr">
        <is>
          <t>Non-Billable Tasks</t>
        </is>
      </c>
      <c r="I2068" t="n">
        <v>1.5</v>
      </c>
      <c r="K2068" t="inlineStr">
        <is>
          <t>Professional development and Knowledge sharing(training,global knowledge calls,exchange weeks)</t>
        </is>
      </c>
      <c r="L2068" t="b">
        <v>0</v>
      </c>
      <c r="M2068" t="inlineStr">
        <is>
          <t>Non-Billable</t>
        </is>
      </c>
      <c r="N2068" s="6">
        <f>IF(B2068="","",IF(ISNUMBER(B2068),TEXT(B2068,"YYYY-MM"),LEFT(B2068,7)))</f>
        <v/>
      </c>
    </row>
    <row r="2069">
      <c r="A2069" t="inlineStr">
        <is>
          <t>Clement Obeng-Manu</t>
        </is>
      </c>
      <c r="B2069" s="4" t="n">
        <v>46072</v>
      </c>
      <c r="C2069" t="inlineStr">
        <is>
          <t>/</t>
        </is>
      </c>
      <c r="D2069" t="inlineStr">
        <is>
          <t>Clement Obeng-Manu</t>
        </is>
      </c>
      <c r="E2069" t="inlineStr">
        <is>
          <t>OdooBot</t>
        </is>
      </c>
      <c r="F2069" s="5" t="n">
        <v>46154.70721064815</v>
      </c>
      <c r="H2069" t="inlineStr">
        <is>
          <t>PCGH776 - Deforestation Risk-Assessment Cashew-Coast</t>
        </is>
      </c>
      <c r="I2069" t="n">
        <v>8</v>
      </c>
      <c r="J2069" t="inlineStr">
        <is>
          <t>PCGH776 - Data collection and review (3) (Cashew Coast Products Inc)</t>
        </is>
      </c>
      <c r="K2069" t="inlineStr">
        <is>
          <t>Data review, compilation and integration</t>
        </is>
      </c>
      <c r="L2069" t="b">
        <v>1</v>
      </c>
      <c r="M2069" t="inlineStr">
        <is>
          <t>Billed at a Fixed price</t>
        </is>
      </c>
      <c r="N2069" s="6">
        <f>IF(B2069="","",IF(ISNUMBER(B2069),TEXT(B2069,"YYYY-MM"),LEFT(B2069,7)))</f>
        <v/>
      </c>
    </row>
    <row r="2070">
      <c r="A2070" t="inlineStr">
        <is>
          <t>Kingsley Fitz-Gerald Severine</t>
        </is>
      </c>
      <c r="B2070" s="4" t="n">
        <v>46072</v>
      </c>
      <c r="C2070" t="inlineStr">
        <is>
          <t>/</t>
        </is>
      </c>
      <c r="D2070" t="inlineStr">
        <is>
          <t>Kingsley Fitz-Gerald Severine</t>
        </is>
      </c>
      <c r="E2070" t="inlineStr">
        <is>
          <t>OdooBot</t>
        </is>
      </c>
      <c r="F2070" s="5" t="n">
        <v>46154.70721064815</v>
      </c>
      <c r="G2070" t="inlineStr">
        <is>
          <t>Field survey and Data Collection)</t>
        </is>
      </c>
      <c r="H2070" t="inlineStr">
        <is>
          <t>PCGH784</t>
        </is>
      </c>
      <c r="I2070" t="n">
        <v>8</v>
      </c>
      <c r="J2070" t="inlineStr">
        <is>
          <t>PCGH784 -  Field data collection  (3) (Okeosisi Jonathan)</t>
        </is>
      </c>
      <c r="K2070" t="inlineStr">
        <is>
          <t>Stakeholder Consultations</t>
        </is>
      </c>
      <c r="L2070" t="b">
        <v>1</v>
      </c>
      <c r="M2070" t="inlineStr">
        <is>
          <t>Billed at a Fixed price</t>
        </is>
      </c>
      <c r="N2070" s="6">
        <f>IF(B2070="","",IF(ISNUMBER(B2070),TEXT(B2070,"YYYY-MM"),LEFT(B2070,7)))</f>
        <v/>
      </c>
    </row>
    <row r="2071">
      <c r="A2071" t="inlineStr">
        <is>
          <t>Kingsley Fitz-Gerald Severine</t>
        </is>
      </c>
      <c r="B2071" s="4" t="n">
        <v>46072</v>
      </c>
      <c r="C2071" t="inlineStr">
        <is>
          <t>/</t>
        </is>
      </c>
      <c r="D2071" t="inlineStr">
        <is>
          <t>Kingsley Fitz-Gerald Severine</t>
        </is>
      </c>
      <c r="E2071" t="inlineStr">
        <is>
          <t>OdooBot</t>
        </is>
      </c>
      <c r="F2071" s="5" t="n">
        <v>46154.70721064815</v>
      </c>
      <c r="G2071" t="inlineStr">
        <is>
          <t>Field survey and Data Collection)</t>
        </is>
      </c>
      <c r="H2071" t="inlineStr">
        <is>
          <t>PCGH784</t>
        </is>
      </c>
      <c r="I2071" t="n">
        <v>0</v>
      </c>
      <c r="J2071" t="inlineStr">
        <is>
          <t>PCGH784 -  Field data collection  (3) (Okeosisi Jonathan)</t>
        </is>
      </c>
      <c r="K2071" t="inlineStr">
        <is>
          <t>Participatory Mapping</t>
        </is>
      </c>
      <c r="L2071" t="b">
        <v>1</v>
      </c>
      <c r="M2071" t="inlineStr">
        <is>
          <t>Billed at a Fixed price</t>
        </is>
      </c>
      <c r="N2071" s="6">
        <f>IF(B2071="","",IF(ISNUMBER(B2071),TEXT(B2071,"YYYY-MM"),LEFT(B2071,7)))</f>
        <v/>
      </c>
    </row>
    <row r="2072">
      <c r="A2072" t="inlineStr">
        <is>
          <t>Joseph Isaiah Mensah</t>
        </is>
      </c>
      <c r="B2072" s="4" t="n">
        <v>46071</v>
      </c>
      <c r="C2072" t="inlineStr">
        <is>
          <t>/</t>
        </is>
      </c>
      <c r="D2072" t="inlineStr">
        <is>
          <t>Joseph Isaiah Mensah</t>
        </is>
      </c>
      <c r="E2072" t="inlineStr">
        <is>
          <t>Joseph Isaiah Mensah</t>
        </is>
      </c>
      <c r="F2072" s="5" t="n">
        <v>46162.64767361111</v>
      </c>
      <c r="G2072" t="inlineStr">
        <is>
          <t>Field verification and reporting in Nigeria (3)</t>
        </is>
      </c>
      <c r="H2072" t="inlineStr">
        <is>
          <t>PCGH775 - ESDD of Valency Operations for FMO</t>
        </is>
      </c>
      <c r="I2072" t="n">
        <v>8</v>
      </c>
      <c r="J2072" t="inlineStr">
        <is>
          <t>PCGH775 - Field Verification (3) (Valency International DMCC)</t>
        </is>
      </c>
      <c r="K2072" t="inlineStr">
        <is>
          <t>Site audit/ assessment (Nigeria)</t>
        </is>
      </c>
      <c r="L2072" t="b">
        <v>1</v>
      </c>
      <c r="M2072" t="inlineStr">
        <is>
          <t>Billed at a Fixed price</t>
        </is>
      </c>
      <c r="N2072" s="6">
        <f>IF(B2072="","",IF(ISNUMBER(B2072),TEXT(B2072,"YYYY-MM"),LEFT(B2072,7)))</f>
        <v/>
      </c>
    </row>
    <row r="2073">
      <c r="A2073" t="inlineStr">
        <is>
          <t>James Parker Mckeown</t>
        </is>
      </c>
      <c r="B2073" s="4" t="n">
        <v>46071</v>
      </c>
      <c r="C2073" t="inlineStr">
        <is>
          <t xml:space="preserve">Review of EU Liberia call for proposals </t>
        </is>
      </c>
      <c r="D2073" t="inlineStr">
        <is>
          <t>James Parker Mckeown</t>
        </is>
      </c>
      <c r="E2073" t="inlineStr">
        <is>
          <t>James Parker Mckeown</t>
        </is>
      </c>
      <c r="F2073" s="5" t="n">
        <v>46162.42315972222</v>
      </c>
      <c r="H2073" t="inlineStr">
        <is>
          <t>Non-Billable Tasks</t>
        </is>
      </c>
      <c r="I2073" t="n">
        <v>2.5</v>
      </c>
      <c r="K2073" t="inlineStr">
        <is>
          <t>Business Development and Networking</t>
        </is>
      </c>
      <c r="L2073" t="b">
        <v>0</v>
      </c>
      <c r="M2073" t="inlineStr">
        <is>
          <t>Non-Billable</t>
        </is>
      </c>
      <c r="N2073" s="6">
        <f>IF(B2073="","",IF(ISNUMBER(B2073),TEXT(B2073,"YYYY-MM"),LEFT(B2073,7)))</f>
        <v/>
      </c>
    </row>
    <row r="2074">
      <c r="A2074" t="inlineStr">
        <is>
          <t>James Parker Mckeown</t>
        </is>
      </c>
      <c r="B2074" s="4" t="n">
        <v>46071</v>
      </c>
      <c r="C2074" t="inlineStr">
        <is>
          <t xml:space="preserve">Meeting on FCDO with Abraham </t>
        </is>
      </c>
      <c r="D2074" t="inlineStr">
        <is>
          <t>James Parker Mckeown</t>
        </is>
      </c>
      <c r="E2074" t="inlineStr">
        <is>
          <t>James Parker Mckeown</t>
        </is>
      </c>
      <c r="F2074" s="5" t="n">
        <v>46162.42104166667</v>
      </c>
      <c r="H2074" t="inlineStr">
        <is>
          <t>PCGH786 - Impact Level Baseline assessment for FGMC</t>
        </is>
      </c>
      <c r="I2074" t="n">
        <v>0.5</v>
      </c>
      <c r="J2074" t="inlineStr">
        <is>
          <t>PCGH786 - Analysis and Reporting (3) (NIRAS Group (UK) Ltd)</t>
        </is>
      </c>
      <c r="L2074" t="b">
        <v>1</v>
      </c>
      <c r="M2074" t="inlineStr">
        <is>
          <t>Billed at a Fixed price</t>
        </is>
      </c>
      <c r="N2074" s="6">
        <f>IF(B2074="","",IF(ISNUMBER(B2074),TEXT(B2074,"YYYY-MM"),LEFT(B2074,7)))</f>
        <v/>
      </c>
    </row>
    <row r="2075">
      <c r="A2075" t="inlineStr">
        <is>
          <t>James Parker Mckeown</t>
        </is>
      </c>
      <c r="B2075" s="4" t="n">
        <v>46071</v>
      </c>
      <c r="C2075" t="inlineStr">
        <is>
          <t>/</t>
        </is>
      </c>
      <c r="D2075" t="inlineStr">
        <is>
          <t>James Parker Mckeown</t>
        </is>
      </c>
      <c r="E2075" t="inlineStr">
        <is>
          <t>James Parker Mckeown</t>
        </is>
      </c>
      <c r="F2075" s="5" t="n">
        <v>46162.42136574074</v>
      </c>
      <c r="G2075" t="inlineStr">
        <is>
          <t>Output 2.3</t>
        </is>
      </c>
      <c r="H2075" t="inlineStr">
        <is>
          <t>P23AC00C00 - FGMC</t>
        </is>
      </c>
      <c r="I2075" t="n">
        <v>4</v>
      </c>
      <c r="K2075" t="inlineStr">
        <is>
          <t>P23AC22A00 - Output Two (Elevating Local Solutions - West Africa)</t>
        </is>
      </c>
      <c r="L2075" t="b">
        <v>0</v>
      </c>
      <c r="M2075" t="inlineStr">
        <is>
          <t>Non-Billable</t>
        </is>
      </c>
      <c r="N2075" s="6">
        <f>IF(B2075="","",IF(ISNUMBER(B2075),TEXT(B2075,"YYYY-MM"),LEFT(B2075,7)))</f>
        <v/>
      </c>
    </row>
    <row r="2076">
      <c r="A2076" t="inlineStr">
        <is>
          <t>Frederick Antwi</t>
        </is>
      </c>
      <c r="B2076" s="4" t="n">
        <v>46071</v>
      </c>
      <c r="C2076" t="inlineStr">
        <is>
          <t>/</t>
        </is>
      </c>
      <c r="D2076" t="inlineStr">
        <is>
          <t>Frederick Antwi</t>
        </is>
      </c>
      <c r="E2076" t="inlineStr">
        <is>
          <t>Frederick Antwi</t>
        </is>
      </c>
      <c r="F2076" s="5" t="n">
        <v>46160.57696759259</v>
      </c>
      <c r="H2076" t="inlineStr">
        <is>
          <t>P13PC00A00 - Private Sector Companies</t>
        </is>
      </c>
      <c r="I2076" t="n">
        <v>8</v>
      </c>
      <c r="L2076" t="b">
        <v>0</v>
      </c>
      <c r="M2076" t="inlineStr">
        <is>
          <t>Non-Billable</t>
        </is>
      </c>
      <c r="N2076" s="6">
        <f>IF(B2076="","",IF(ISNUMBER(B2076),TEXT(B2076,"YYYY-MM"),LEFT(B2076,7)))</f>
        <v/>
      </c>
    </row>
    <row r="2077">
      <c r="A2077" t="inlineStr">
        <is>
          <t>Stephen Doso</t>
        </is>
      </c>
      <c r="B2077" s="4" t="n">
        <v>46071</v>
      </c>
      <c r="C2077" t="inlineStr">
        <is>
          <t>/</t>
        </is>
      </c>
      <c r="D2077" t="inlineStr">
        <is>
          <t>Stephen Doso</t>
        </is>
      </c>
      <c r="E2077" t="inlineStr">
        <is>
          <t>OdooBot</t>
        </is>
      </c>
      <c r="F2077" s="5" t="n">
        <v>46154.70721064815</v>
      </c>
      <c r="G2077" t="inlineStr">
        <is>
          <t>Field survey and Data Collection</t>
        </is>
      </c>
      <c r="H2077" t="inlineStr">
        <is>
          <t>PCGH784</t>
        </is>
      </c>
      <c r="I2077" t="n">
        <v>8</v>
      </c>
      <c r="J2077" t="inlineStr">
        <is>
          <t>PCGH784 -  Field data collection  (2) (Okeosisi Jonathan)</t>
        </is>
      </c>
      <c r="K2077" t="inlineStr">
        <is>
          <t>Stakeholder Consultations</t>
        </is>
      </c>
      <c r="L2077" t="b">
        <v>1</v>
      </c>
      <c r="M2077" t="inlineStr">
        <is>
          <t>Billed at a Fixed price</t>
        </is>
      </c>
      <c r="N2077" s="6">
        <f>IF(B2077="","",IF(ISNUMBER(B2077),TEXT(B2077,"YYYY-MM"),LEFT(B2077,7)))</f>
        <v/>
      </c>
    </row>
    <row r="2078">
      <c r="A2078" t="inlineStr">
        <is>
          <t>Daleba Bernard Kpenahi Raymond</t>
        </is>
      </c>
      <c r="B2078" s="4" t="n">
        <v>46071</v>
      </c>
      <c r="C2078" t="inlineStr">
        <is>
          <t>/</t>
        </is>
      </c>
      <c r="D2078" t="inlineStr">
        <is>
          <t>Daleba Bernard Kpenahi Raymond</t>
        </is>
      </c>
      <c r="E2078" t="inlineStr">
        <is>
          <t>OdooBot</t>
        </is>
      </c>
      <c r="F2078" s="5" t="n">
        <v>46154.70721064815</v>
      </c>
      <c r="H2078" t="inlineStr">
        <is>
          <t>PCGH754 (Cote D'voire)</t>
        </is>
      </c>
      <c r="I2078" t="n">
        <v>4</v>
      </c>
      <c r="L2078" t="b">
        <v>1</v>
      </c>
      <c r="M2078" t="inlineStr">
        <is>
          <t>Non-Billable</t>
        </is>
      </c>
      <c r="N2078" s="6">
        <f>IF(B2078="","",IF(ISNUMBER(B2078),TEXT(B2078,"YYYY-MM"),LEFT(B2078,7)))</f>
        <v/>
      </c>
    </row>
    <row r="2079">
      <c r="A2079" t="inlineStr">
        <is>
          <t>Daleba Bernard Kpenahi Raymond</t>
        </is>
      </c>
      <c r="B2079" s="4" t="n">
        <v>46071</v>
      </c>
      <c r="C2079" t="inlineStr">
        <is>
          <t>/</t>
        </is>
      </c>
      <c r="D2079" t="inlineStr">
        <is>
          <t>Daleba Bernard Kpenahi Raymond</t>
        </is>
      </c>
      <c r="E2079" t="inlineStr">
        <is>
          <t>OdooBot</t>
        </is>
      </c>
      <c r="F2079" s="5" t="n">
        <v>46154.70721064815</v>
      </c>
      <c r="G2079" t="inlineStr">
        <is>
          <t>Output 2.3</t>
        </is>
      </c>
      <c r="H2079" t="inlineStr">
        <is>
          <t>P23AC00C00 - FGMC</t>
        </is>
      </c>
      <c r="I2079" t="n">
        <v>4</v>
      </c>
      <c r="K2079" t="inlineStr">
        <is>
          <t>P23AC22A00 - Output Two (Elevating Local Solutions - West Africa)</t>
        </is>
      </c>
      <c r="L2079" t="b">
        <v>0</v>
      </c>
      <c r="M2079" t="inlineStr">
        <is>
          <t>Non-Billable</t>
        </is>
      </c>
      <c r="N2079" s="6">
        <f>IF(B2079="","",IF(ISNUMBER(B2079),TEXT(B2079,"YYYY-MM"),LEFT(B2079,7)))</f>
        <v/>
      </c>
    </row>
    <row r="2080">
      <c r="A2080" t="inlineStr">
        <is>
          <t>Daleba Bernard Kpenahi Raymond</t>
        </is>
      </c>
      <c r="B2080" s="4" t="n">
        <v>46071</v>
      </c>
      <c r="C2080" t="inlineStr">
        <is>
          <t>/</t>
        </is>
      </c>
      <c r="D2080" t="inlineStr">
        <is>
          <t>Daleba Bernard Kpenahi Raymond</t>
        </is>
      </c>
      <c r="E2080" t="inlineStr">
        <is>
          <t>OdooBot</t>
        </is>
      </c>
      <c r="F2080" s="5" t="n">
        <v>46154.70721064815</v>
      </c>
      <c r="G2080" t="inlineStr">
        <is>
          <t>Desk study, development of assessment framework &amp; online meetings (3)</t>
        </is>
      </c>
      <c r="H2080" t="inlineStr">
        <is>
          <t>PCGH775 - ESDD of Valency Operations for FMO</t>
        </is>
      </c>
      <c r="I2080" t="n">
        <v>0</v>
      </c>
      <c r="J2080" t="inlineStr">
        <is>
          <t>PCGH775 - Development of Assessment Framework (3) (Valency International DMCC)</t>
        </is>
      </c>
      <c r="K2080" t="inlineStr">
        <is>
          <t>Document review and assessment of framework including CIV</t>
        </is>
      </c>
      <c r="L2080" t="b">
        <v>1</v>
      </c>
      <c r="M2080" t="inlineStr">
        <is>
          <t>Billed at a Fixed price</t>
        </is>
      </c>
      <c r="N2080" s="6">
        <f>IF(B2080="","",IF(ISNUMBER(B2080),TEXT(B2080,"YYYY-MM"),LEFT(B2080,7)))</f>
        <v/>
      </c>
    </row>
    <row r="2081">
      <c r="A2081" t="inlineStr">
        <is>
          <t>Ekow Nyamekye Tawiah</t>
        </is>
      </c>
      <c r="B2081" s="4" t="n">
        <v>46071</v>
      </c>
      <c r="C2081" t="inlineStr">
        <is>
          <t>/</t>
        </is>
      </c>
      <c r="D2081" t="inlineStr">
        <is>
          <t>Ekow Nyamekye Tawiah</t>
        </is>
      </c>
      <c r="E2081" t="inlineStr">
        <is>
          <t>OdooBot</t>
        </is>
      </c>
      <c r="F2081" s="5" t="n">
        <v>46154.70721064815</v>
      </c>
      <c r="H2081" t="inlineStr">
        <is>
          <t>PCGH722</t>
        </is>
      </c>
      <c r="I2081" t="n">
        <v>4</v>
      </c>
      <c r="J2081" t="inlineStr">
        <is>
          <t>PCGH722 - Analysis and Reporting (3) (Sucrivoire SA)</t>
        </is>
      </c>
      <c r="K2081" t="inlineStr">
        <is>
          <t>Analysis and Reporting (3)</t>
        </is>
      </c>
      <c r="L2081" t="b">
        <v>1</v>
      </c>
      <c r="M2081" t="inlineStr">
        <is>
          <t>Billed at a Fixed price</t>
        </is>
      </c>
      <c r="N2081" s="6">
        <f>IF(B2081="","",IF(ISNUMBER(B2081),TEXT(B2081,"YYYY-MM"),LEFT(B2081,7)))</f>
        <v/>
      </c>
    </row>
    <row r="2082">
      <c r="A2082" t="inlineStr">
        <is>
          <t>Augustus Asamoah</t>
        </is>
      </c>
      <c r="B2082" s="4" t="n">
        <v>46071</v>
      </c>
      <c r="C2082" t="inlineStr">
        <is>
          <t>/</t>
        </is>
      </c>
      <c r="D2082" t="inlineStr">
        <is>
          <t>Augustus Asamoah</t>
        </is>
      </c>
      <c r="E2082" t="inlineStr">
        <is>
          <t>OdooBot</t>
        </is>
      </c>
      <c r="F2082" s="5" t="n">
        <v>46154.70721064815</v>
      </c>
      <c r="G2082" t="inlineStr">
        <is>
          <t>Field survey and Data Collection)</t>
        </is>
      </c>
      <c r="H2082" t="inlineStr">
        <is>
          <t>PCGH784</t>
        </is>
      </c>
      <c r="I2082" t="n">
        <v>8</v>
      </c>
      <c r="J2082" t="inlineStr">
        <is>
          <t>PCGH784 -  Field data collection  (3) (Okeosisi Jonathan)</t>
        </is>
      </c>
      <c r="K2082" t="inlineStr">
        <is>
          <t>Fauna Survey</t>
        </is>
      </c>
      <c r="L2082" t="b">
        <v>1</v>
      </c>
      <c r="M2082" t="inlineStr">
        <is>
          <t>Billed at a Fixed price</t>
        </is>
      </c>
      <c r="N2082" s="6">
        <f>IF(B2082="","",IF(ISNUMBER(B2082),TEXT(B2082,"YYYY-MM"),LEFT(B2082,7)))</f>
        <v/>
      </c>
    </row>
    <row r="2083">
      <c r="A2083" t="inlineStr">
        <is>
          <t>Augustus Asamoah</t>
        </is>
      </c>
      <c r="B2083" s="4" t="n">
        <v>46071</v>
      </c>
      <c r="C2083" t="inlineStr">
        <is>
          <t>/</t>
        </is>
      </c>
      <c r="D2083" t="inlineStr">
        <is>
          <t>Augustus Asamoah</t>
        </is>
      </c>
      <c r="E2083" t="inlineStr">
        <is>
          <t>OdooBot</t>
        </is>
      </c>
      <c r="F2083" s="5" t="n">
        <v>46154.70721064815</v>
      </c>
      <c r="H2083" t="inlineStr">
        <is>
          <t>PCGH784</t>
        </is>
      </c>
      <c r="I2083" t="n">
        <v>0</v>
      </c>
      <c r="J2083" t="inlineStr">
        <is>
          <t>PCGH784 - Desk Study (3) (Okeosisi Jonathan)</t>
        </is>
      </c>
      <c r="L2083" t="b">
        <v>1</v>
      </c>
      <c r="M2083" t="inlineStr">
        <is>
          <t>Billed at a Fixed price</t>
        </is>
      </c>
      <c r="N2083" s="6">
        <f>IF(B2083="","",IF(ISNUMBER(B2083),TEXT(B2083,"YYYY-MM"),LEFT(B2083,7)))</f>
        <v/>
      </c>
    </row>
    <row r="2084">
      <c r="A2084" t="inlineStr">
        <is>
          <t>Afua Serwah Akoto Prempeh</t>
        </is>
      </c>
      <c r="B2084" s="4" t="n">
        <v>46071</v>
      </c>
      <c r="C2084" t="inlineStr">
        <is>
          <t>/</t>
        </is>
      </c>
      <c r="D2084" t="inlineStr">
        <is>
          <t>Afua Serwah Akoto Prempeh</t>
        </is>
      </c>
      <c r="E2084" t="inlineStr">
        <is>
          <t>OdooBot</t>
        </is>
      </c>
      <c r="F2084" s="5" t="n">
        <v>46154.70721064815</v>
      </c>
      <c r="H2084" t="inlineStr">
        <is>
          <t>P23AC00C00 - FGMC</t>
        </is>
      </c>
      <c r="I2084" t="n">
        <v>3</v>
      </c>
      <c r="L2084" t="b">
        <v>0</v>
      </c>
      <c r="M2084" t="inlineStr">
        <is>
          <t>Non-Billable</t>
        </is>
      </c>
      <c r="N2084" s="6">
        <f>IF(B2084="","",IF(ISNUMBER(B2084),TEXT(B2084,"YYYY-MM"),LEFT(B2084,7)))</f>
        <v/>
      </c>
    </row>
    <row r="2085">
      <c r="A2085" t="inlineStr">
        <is>
          <t>Afua Serwah Akoto Prempeh</t>
        </is>
      </c>
      <c r="B2085" s="4" t="n">
        <v>46071</v>
      </c>
      <c r="C2085" t="inlineStr">
        <is>
          <t>/</t>
        </is>
      </c>
      <c r="D2085" t="inlineStr">
        <is>
          <t>Afua Serwah Akoto Prempeh</t>
        </is>
      </c>
      <c r="E2085" t="inlineStr">
        <is>
          <t>OdooBot</t>
        </is>
      </c>
      <c r="F2085" s="5" t="n">
        <v>46154.70721064815</v>
      </c>
      <c r="H2085" t="inlineStr">
        <is>
          <t>Non-Billable Tasks</t>
        </is>
      </c>
      <c r="I2085" t="n">
        <v>5</v>
      </c>
      <c r="K2085" t="inlineStr">
        <is>
          <t>Communication/Data/Training</t>
        </is>
      </c>
      <c r="L2085" t="b">
        <v>0</v>
      </c>
      <c r="M2085" t="inlineStr">
        <is>
          <t>Non-Billable</t>
        </is>
      </c>
      <c r="N2085" s="6">
        <f>IF(B2085="","",IF(ISNUMBER(B2085),TEXT(B2085,"YYYY-MM"),LEFT(B2085,7)))</f>
        <v/>
      </c>
    </row>
    <row r="2086">
      <c r="A2086" t="inlineStr">
        <is>
          <t>Louis Defo</t>
        </is>
      </c>
      <c r="B2086" s="4" t="n">
        <v>46071</v>
      </c>
      <c r="C2086" t="inlineStr">
        <is>
          <t>/</t>
        </is>
      </c>
      <c r="D2086" t="inlineStr">
        <is>
          <t>Louis Defo</t>
        </is>
      </c>
      <c r="E2086" t="inlineStr">
        <is>
          <t>OdooBot</t>
        </is>
      </c>
      <c r="F2086" s="5" t="n">
        <v>46154.70721064815</v>
      </c>
      <c r="H2086" t="inlineStr">
        <is>
          <t>Non-Billable Tasks</t>
        </is>
      </c>
      <c r="I2086" t="n">
        <v>8</v>
      </c>
      <c r="K2086" t="inlineStr">
        <is>
          <t>Business Development and Networking</t>
        </is>
      </c>
      <c r="L2086" t="b">
        <v>0</v>
      </c>
      <c r="M2086" t="inlineStr">
        <is>
          <t>Non-Billable</t>
        </is>
      </c>
      <c r="N2086" s="6">
        <f>IF(B2086="","",IF(ISNUMBER(B2086),TEXT(B2086,"YYYY-MM"),LEFT(B2086,7)))</f>
        <v/>
      </c>
    </row>
    <row r="2087">
      <c r="A2087" t="inlineStr">
        <is>
          <t>Helena Tetteh</t>
        </is>
      </c>
      <c r="B2087" s="4" t="n">
        <v>46071</v>
      </c>
      <c r="C2087" t="inlineStr">
        <is>
          <t>/</t>
        </is>
      </c>
      <c r="D2087" t="inlineStr">
        <is>
          <t xml:space="preserve">Helena Tetteh </t>
        </is>
      </c>
      <c r="E2087" t="inlineStr">
        <is>
          <t>OdooBot</t>
        </is>
      </c>
      <c r="F2087" s="5" t="n">
        <v>46154.70721064815</v>
      </c>
      <c r="H2087" t="inlineStr">
        <is>
          <t>Non-Billable Tasks</t>
        </is>
      </c>
      <c r="I2087" t="n">
        <v>4</v>
      </c>
      <c r="K2087" t="inlineStr">
        <is>
          <t>Professional development and Knowledge sharing(training,global knowledge calls,exchange weeks)</t>
        </is>
      </c>
      <c r="L2087" t="b">
        <v>0</v>
      </c>
      <c r="M2087" t="inlineStr">
        <is>
          <t>Non-Billable</t>
        </is>
      </c>
      <c r="N2087" s="6">
        <f>IF(B2087="","",IF(ISNUMBER(B2087),TEXT(B2087,"YYYY-MM"),LEFT(B2087,7)))</f>
        <v/>
      </c>
    </row>
    <row r="2088">
      <c r="A2088" t="inlineStr">
        <is>
          <t>Helena Tetteh</t>
        </is>
      </c>
      <c r="B2088" s="4" t="n">
        <v>46071</v>
      </c>
      <c r="C2088" t="inlineStr">
        <is>
          <t>GVL_Nitrian Socioeconomic survey instrument development</t>
        </is>
      </c>
      <c r="D2088" t="inlineStr">
        <is>
          <t xml:space="preserve">Helena Tetteh </t>
        </is>
      </c>
      <c r="E2088" t="inlineStr">
        <is>
          <t>OdooBot</t>
        </is>
      </c>
      <c r="F2088" s="5" t="n">
        <v>46154.70721064815</v>
      </c>
      <c r="H2088" t="inlineStr">
        <is>
          <t>Non-Billable Tasks</t>
        </is>
      </c>
      <c r="I2088" t="n">
        <v>4</v>
      </c>
      <c r="K2088" t="inlineStr">
        <is>
          <t>Communication/Data/Training</t>
        </is>
      </c>
      <c r="L2088" t="b">
        <v>0</v>
      </c>
      <c r="M2088" t="inlineStr">
        <is>
          <t>Non-Billable</t>
        </is>
      </c>
      <c r="N2088" s="6">
        <f>IF(B2088="","",IF(ISNUMBER(B2088),TEXT(B2088,"YYYY-MM"),LEFT(B2088,7)))</f>
        <v/>
      </c>
    </row>
    <row r="2089">
      <c r="A2089" t="inlineStr">
        <is>
          <t>Clement Obeng-Manu</t>
        </is>
      </c>
      <c r="B2089" s="4" t="n">
        <v>46071</v>
      </c>
      <c r="C2089" t="inlineStr">
        <is>
          <t>/</t>
        </is>
      </c>
      <c r="D2089" t="inlineStr">
        <is>
          <t>Clement Obeng-Manu</t>
        </is>
      </c>
      <c r="E2089" t="inlineStr">
        <is>
          <t>OdooBot</t>
        </is>
      </c>
      <c r="F2089" s="5" t="n">
        <v>46154.70721064815</v>
      </c>
      <c r="H2089" t="inlineStr">
        <is>
          <t>PCGH777</t>
        </is>
      </c>
      <c r="I2089" t="n">
        <v>4</v>
      </c>
      <c r="J2089" t="inlineStr">
        <is>
          <t>PCGH777 - Desk Study (3) (Proforest Limited(PCUK GBP))</t>
        </is>
      </c>
      <c r="K2089" t="inlineStr">
        <is>
          <t xml:space="preserve">Desk study and stakeholder mapping </t>
        </is>
      </c>
      <c r="L2089" t="b">
        <v>1</v>
      </c>
      <c r="M2089" t="inlineStr">
        <is>
          <t>Billed at a Fixed price</t>
        </is>
      </c>
      <c r="N2089" s="6">
        <f>IF(B2089="","",IF(ISNUMBER(B2089),TEXT(B2089,"YYYY-MM"),LEFT(B2089,7)))</f>
        <v/>
      </c>
    </row>
    <row r="2090">
      <c r="A2090" t="inlineStr">
        <is>
          <t>Clement Obeng-Manu</t>
        </is>
      </c>
      <c r="B2090" s="4" t="n">
        <v>46071</v>
      </c>
      <c r="C2090" t="inlineStr">
        <is>
          <t>/</t>
        </is>
      </c>
      <c r="D2090" t="inlineStr">
        <is>
          <t>Clement Obeng-Manu</t>
        </is>
      </c>
      <c r="E2090" t="inlineStr">
        <is>
          <t>OdooBot</t>
        </is>
      </c>
      <c r="F2090" s="5" t="n">
        <v>46154.70721064815</v>
      </c>
      <c r="G2090" t="inlineStr">
        <is>
          <t>Analysis and Reporting (3)</t>
        </is>
      </c>
      <c r="H2090" t="inlineStr">
        <is>
          <t>PCGH722</t>
        </is>
      </c>
      <c r="I2090" t="n">
        <v>4</v>
      </c>
      <c r="J2090" t="inlineStr">
        <is>
          <t>PCGH722 - Analysis and Reporting (3) (Sucrivoire SA)</t>
        </is>
      </c>
      <c r="K2090" t="inlineStr">
        <is>
          <t>Analysis and Reporting (3)</t>
        </is>
      </c>
      <c r="L2090" t="b">
        <v>1</v>
      </c>
      <c r="M2090" t="inlineStr">
        <is>
          <t>Billed at a Fixed price</t>
        </is>
      </c>
      <c r="N2090" s="6">
        <f>IF(B2090="","",IF(ISNUMBER(B2090),TEXT(B2090,"YYYY-MM"),LEFT(B2090,7)))</f>
        <v/>
      </c>
    </row>
    <row r="2091">
      <c r="A2091" t="inlineStr">
        <is>
          <t>Kingsley Fitz-Gerald Severine</t>
        </is>
      </c>
      <c r="B2091" s="4" t="n">
        <v>46071</v>
      </c>
      <c r="C2091" t="inlineStr">
        <is>
          <t>/</t>
        </is>
      </c>
      <c r="D2091" t="inlineStr">
        <is>
          <t>Kingsley Fitz-Gerald Severine</t>
        </is>
      </c>
      <c r="E2091" t="inlineStr">
        <is>
          <t>OdooBot</t>
        </is>
      </c>
      <c r="F2091" s="5" t="n">
        <v>46154.70721064815</v>
      </c>
      <c r="G2091" t="inlineStr">
        <is>
          <t>Field survey and Data Collection)</t>
        </is>
      </c>
      <c r="H2091" t="inlineStr">
        <is>
          <t>PCGH784</t>
        </is>
      </c>
      <c r="I2091" t="n">
        <v>4</v>
      </c>
      <c r="J2091" t="inlineStr">
        <is>
          <t>PCGH784 -  Field data collection  (3) (Okeosisi Jonathan)</t>
        </is>
      </c>
      <c r="K2091" t="inlineStr">
        <is>
          <t>Participatory Mapping</t>
        </is>
      </c>
      <c r="L2091" t="b">
        <v>1</v>
      </c>
      <c r="M2091" t="inlineStr">
        <is>
          <t>Billed at a Fixed price</t>
        </is>
      </c>
      <c r="N2091" s="6">
        <f>IF(B2091="","",IF(ISNUMBER(B2091),TEXT(B2091,"YYYY-MM"),LEFT(B2091,7)))</f>
        <v/>
      </c>
    </row>
    <row r="2092">
      <c r="A2092" t="inlineStr">
        <is>
          <t>Kingsley Fitz-Gerald Severine</t>
        </is>
      </c>
      <c r="B2092" s="4" t="n">
        <v>46071</v>
      </c>
      <c r="C2092" t="inlineStr">
        <is>
          <t>/</t>
        </is>
      </c>
      <c r="D2092" t="inlineStr">
        <is>
          <t>Kingsley Fitz-Gerald Severine</t>
        </is>
      </c>
      <c r="E2092" t="inlineStr">
        <is>
          <t>OdooBot</t>
        </is>
      </c>
      <c r="F2092" s="5" t="n">
        <v>46154.70721064815</v>
      </c>
      <c r="G2092" t="inlineStr">
        <is>
          <t>Field survey and Data Collection)</t>
        </is>
      </c>
      <c r="H2092" t="inlineStr">
        <is>
          <t>PCGH784</t>
        </is>
      </c>
      <c r="I2092" t="n">
        <v>4</v>
      </c>
      <c r="J2092" t="inlineStr">
        <is>
          <t>PCGH784 -  Field data collection  (3) (Okeosisi Jonathan)</t>
        </is>
      </c>
      <c r="K2092" t="inlineStr">
        <is>
          <t>Stakeholder Consultations</t>
        </is>
      </c>
      <c r="L2092" t="b">
        <v>1</v>
      </c>
      <c r="M2092" t="inlineStr">
        <is>
          <t>Billed at a Fixed price</t>
        </is>
      </c>
      <c r="N2092" s="6">
        <f>IF(B2092="","",IF(ISNUMBER(B2092),TEXT(B2092,"YYYY-MM"),LEFT(B2092,7)))</f>
        <v/>
      </c>
    </row>
    <row r="2093">
      <c r="A2093" t="inlineStr">
        <is>
          <t>Kwadwo Baniako Nti</t>
        </is>
      </c>
      <c r="B2093" s="4" t="n">
        <v>46071</v>
      </c>
      <c r="C2093" t="inlineStr">
        <is>
          <t>/</t>
        </is>
      </c>
      <c r="D2093" t="inlineStr">
        <is>
          <t>Kwadwo Baniako Nti</t>
        </is>
      </c>
      <c r="E2093" t="inlineStr">
        <is>
          <t>OdooBot</t>
        </is>
      </c>
      <c r="F2093" s="5" t="n">
        <v>46154.70721064815</v>
      </c>
      <c r="G2093" t="inlineStr">
        <is>
          <t>Field verification and reporting in Nigeria (3)</t>
        </is>
      </c>
      <c r="H2093" t="inlineStr">
        <is>
          <t>PCGH775 - ESDD of Valency Operations for FMO</t>
        </is>
      </c>
      <c r="I2093" t="n">
        <v>8</v>
      </c>
      <c r="J2093" t="inlineStr">
        <is>
          <t>PCGH775 - Field Verification (3) (Valency International DMCC)</t>
        </is>
      </c>
      <c r="K2093" t="inlineStr">
        <is>
          <t>Site audit/ assessment (Nigeria)</t>
        </is>
      </c>
      <c r="L2093" t="b">
        <v>1</v>
      </c>
      <c r="M2093" t="inlineStr">
        <is>
          <t>Billed at a Fixed price</t>
        </is>
      </c>
      <c r="N2093" s="6">
        <f>IF(B2093="","",IF(ISNUMBER(B2093),TEXT(B2093,"YYYY-MM"),LEFT(B2093,7)))</f>
        <v/>
      </c>
    </row>
    <row r="2094">
      <c r="A2094" t="inlineStr">
        <is>
          <t>Michael Anim</t>
        </is>
      </c>
      <c r="B2094" s="4" t="n">
        <v>46070</v>
      </c>
      <c r="C2094" t="inlineStr">
        <is>
          <t>/</t>
        </is>
      </c>
      <c r="D2094" t="inlineStr">
        <is>
          <t>Patricia Offei</t>
        </is>
      </c>
      <c r="E2094" t="inlineStr">
        <is>
          <t>Michael Anim</t>
        </is>
      </c>
      <c r="F2094" s="5" t="n">
        <v>46163.55141203704</v>
      </c>
      <c r="G2094" t="inlineStr">
        <is>
          <t>Desk study, development of assessment framework &amp; online meetings (3)</t>
        </is>
      </c>
      <c r="H2094" t="inlineStr">
        <is>
          <t>PCGH775 - ESDD of Valency Operations for FMO</t>
        </is>
      </c>
      <c r="I2094" t="n">
        <v>8</v>
      </c>
      <c r="J2094" t="inlineStr">
        <is>
          <t>PCGH775 - Development of Assessment Framework (3) (Valency International DMCC)</t>
        </is>
      </c>
      <c r="K2094" t="inlineStr">
        <is>
          <t>Document review and assessment of framework including CIV</t>
        </is>
      </c>
      <c r="L2094" t="b">
        <v>1</v>
      </c>
      <c r="M2094" t="inlineStr">
        <is>
          <t>Billed at a Fixed price</t>
        </is>
      </c>
      <c r="N2094" s="6">
        <f>IF(B2094="","",IF(ISNUMBER(B2094),TEXT(B2094,"YYYY-MM"),LEFT(B2094,7)))</f>
        <v/>
      </c>
    </row>
    <row r="2095">
      <c r="A2095" t="inlineStr">
        <is>
          <t>Joseph Isaiah Mensah</t>
        </is>
      </c>
      <c r="B2095" s="4" t="n">
        <v>46070</v>
      </c>
      <c r="C2095" t="inlineStr">
        <is>
          <t>/</t>
        </is>
      </c>
      <c r="D2095" t="inlineStr">
        <is>
          <t>Joseph Isaiah Mensah</t>
        </is>
      </c>
      <c r="E2095" t="inlineStr">
        <is>
          <t>Joseph Isaiah Mensah</t>
        </is>
      </c>
      <c r="F2095" s="5" t="n">
        <v>46162.64756944445</v>
      </c>
      <c r="G2095" t="inlineStr">
        <is>
          <t>Field verification and reporting in Nigeria (3)</t>
        </is>
      </c>
      <c r="H2095" t="inlineStr">
        <is>
          <t>PCGH775 - ESDD of Valency Operations for FMO</t>
        </is>
      </c>
      <c r="I2095" t="n">
        <v>8</v>
      </c>
      <c r="J2095" t="inlineStr">
        <is>
          <t>PCGH775 - Field Verification (3) (Valency International DMCC)</t>
        </is>
      </c>
      <c r="K2095" t="inlineStr">
        <is>
          <t>Site audit/ assessment (Nigeria)</t>
        </is>
      </c>
      <c r="L2095" t="b">
        <v>1</v>
      </c>
      <c r="M2095" t="inlineStr">
        <is>
          <t>Billed at a Fixed price</t>
        </is>
      </c>
      <c r="N2095" s="6">
        <f>IF(B2095="","",IF(ISNUMBER(B2095),TEXT(B2095,"YYYY-MM"),LEFT(B2095,7)))</f>
        <v/>
      </c>
    </row>
    <row r="2096">
      <c r="A2096" t="inlineStr">
        <is>
          <t>James Parker Mckeown</t>
        </is>
      </c>
      <c r="B2096" s="4" t="n">
        <v>46070</v>
      </c>
      <c r="C2096" t="inlineStr">
        <is>
          <t>/</t>
        </is>
      </c>
      <c r="D2096" t="inlineStr">
        <is>
          <t>James Parker Mckeown</t>
        </is>
      </c>
      <c r="E2096" t="inlineStr">
        <is>
          <t>James Parker Mckeown</t>
        </is>
      </c>
      <c r="F2096" s="5" t="n">
        <v>46162.41936342593</v>
      </c>
      <c r="G2096" t="inlineStr">
        <is>
          <t>Output 4</t>
        </is>
      </c>
      <c r="H2096" t="inlineStr">
        <is>
          <t>P23AC00C00 - FGMC</t>
        </is>
      </c>
      <c r="I2096" t="n">
        <v>4.5</v>
      </c>
      <c r="K2096" t="inlineStr">
        <is>
          <t>P23AC03A00 - Project Management</t>
        </is>
      </c>
      <c r="L2096" t="b">
        <v>0</v>
      </c>
      <c r="M2096" t="inlineStr">
        <is>
          <t>Non-Billable</t>
        </is>
      </c>
      <c r="N2096" s="6">
        <f>IF(B2096="","",IF(ISNUMBER(B2096),TEXT(B2096,"YYYY-MM"),LEFT(B2096,7)))</f>
        <v/>
      </c>
    </row>
    <row r="2097">
      <c r="A2097" t="inlineStr">
        <is>
          <t>James Parker Mckeown</t>
        </is>
      </c>
      <c r="B2097" s="4" t="n">
        <v>46070</v>
      </c>
      <c r="C2097" t="inlineStr">
        <is>
          <t>PLUP UPDATE</t>
        </is>
      </c>
      <c r="D2097" t="inlineStr">
        <is>
          <t>James Parker Mckeown</t>
        </is>
      </c>
      <c r="E2097" t="inlineStr">
        <is>
          <t>James Parker Mckeown</t>
        </is>
      </c>
      <c r="F2097" s="5" t="n">
        <v>46162.4172337963</v>
      </c>
      <c r="G2097" t="inlineStr">
        <is>
          <t>Training needs assessment, list of training modules and training material development</t>
        </is>
      </c>
      <c r="H2097" t="inlineStr">
        <is>
          <t>PCGH761</t>
        </is>
      </c>
      <c r="I2097" t="n">
        <v>1.5</v>
      </c>
      <c r="J2097" t="inlineStr">
        <is>
          <t>PCGH761 - Training, Capacity Building and Coaching (3) (Fauna and Flora International Liberia)</t>
        </is>
      </c>
      <c r="K2097" t="inlineStr">
        <is>
          <t>Develop training needs assessment questionnaire</t>
        </is>
      </c>
      <c r="L2097" t="b">
        <v>1</v>
      </c>
      <c r="M2097" t="inlineStr">
        <is>
          <t>Billed at a Fixed price</t>
        </is>
      </c>
      <c r="N2097" s="6">
        <f>IF(B2097="","",IF(ISNUMBER(B2097),TEXT(B2097,"YYYY-MM"),LEFT(B2097,7)))</f>
        <v/>
      </c>
    </row>
    <row r="2098">
      <c r="A2098" t="inlineStr">
        <is>
          <t>James Parker Mckeown</t>
        </is>
      </c>
      <c r="B2098" s="4" t="n">
        <v>46070</v>
      </c>
      <c r="C2098" t="inlineStr">
        <is>
          <t>Joko-PFAFR landscape team review: Asunafo-Asutifi &amp; San Pedro landscapes</t>
        </is>
      </c>
      <c r="D2098" t="inlineStr">
        <is>
          <t>James Parker Mckeown</t>
        </is>
      </c>
      <c r="E2098" t="inlineStr">
        <is>
          <t>James Parker Mckeown</t>
        </is>
      </c>
      <c r="F2098" s="5" t="n">
        <v>46162.41583333333</v>
      </c>
      <c r="H2098" t="inlineStr">
        <is>
          <t>Non-Billable Tasks</t>
        </is>
      </c>
      <c r="I2098" t="n">
        <v>1.5</v>
      </c>
      <c r="K2098" t="inlineStr">
        <is>
          <t>Professional development and Knowledge sharing(training,global knowledge calls,exchange weeks)</t>
        </is>
      </c>
      <c r="L2098" t="b">
        <v>0</v>
      </c>
      <c r="M2098" t="inlineStr">
        <is>
          <t>Non-Billable</t>
        </is>
      </c>
      <c r="N2098" s="6">
        <f>IF(B2098="","",IF(ISNUMBER(B2098),TEXT(B2098,"YYYY-MM"),LEFT(B2098,7)))</f>
        <v/>
      </c>
    </row>
    <row r="2099">
      <c r="A2099" t="inlineStr">
        <is>
          <t>James Parker Mckeown</t>
        </is>
      </c>
      <c r="B2099" s="4" t="n">
        <v>46070</v>
      </c>
      <c r="C2099" t="inlineStr">
        <is>
          <t>/</t>
        </is>
      </c>
      <c r="D2099" t="inlineStr">
        <is>
          <t>James Parker Mckeown</t>
        </is>
      </c>
      <c r="E2099" t="inlineStr">
        <is>
          <t>James Parker Mckeown</t>
        </is>
      </c>
      <c r="F2099" s="5" t="n">
        <v>46162.41434027778</v>
      </c>
      <c r="G2099" t="inlineStr">
        <is>
          <t>Output 2.3</t>
        </is>
      </c>
      <c r="H2099" t="inlineStr">
        <is>
          <t>P23AC00C00 - FGMC</t>
        </is>
      </c>
      <c r="I2099" t="n">
        <v>2</v>
      </c>
      <c r="K2099" t="inlineStr">
        <is>
          <t>P23AC22A00 - Output Two (Elevating Local Solutions - West Africa)</t>
        </is>
      </c>
      <c r="L2099" t="b">
        <v>0</v>
      </c>
      <c r="M2099" t="inlineStr">
        <is>
          <t>Non-Billable</t>
        </is>
      </c>
      <c r="N2099" s="6">
        <f>IF(B2099="","",IF(ISNUMBER(B2099),TEXT(B2099,"YYYY-MM"),LEFT(B2099,7)))</f>
        <v/>
      </c>
    </row>
    <row r="2100">
      <c r="A2100" t="inlineStr">
        <is>
          <t>Frederick Antwi</t>
        </is>
      </c>
      <c r="B2100" s="4" t="n">
        <v>46070</v>
      </c>
      <c r="C2100" t="inlineStr">
        <is>
          <t>/</t>
        </is>
      </c>
      <c r="D2100" t="inlineStr">
        <is>
          <t>Frederick Antwi</t>
        </is>
      </c>
      <c r="E2100" t="inlineStr">
        <is>
          <t>Frederick Antwi</t>
        </is>
      </c>
      <c r="F2100" s="5" t="n">
        <v>46160.57543981481</v>
      </c>
      <c r="H2100" t="inlineStr">
        <is>
          <t>P13PC00A00 - Private Sector Companies</t>
        </is>
      </c>
      <c r="I2100" t="n">
        <v>3</v>
      </c>
      <c r="L2100" t="b">
        <v>0</v>
      </c>
      <c r="M2100" t="inlineStr">
        <is>
          <t>Non-Billable</t>
        </is>
      </c>
      <c r="N2100" s="6">
        <f>IF(B2100="","",IF(ISNUMBER(B2100),TEXT(B2100,"YYYY-MM"),LEFT(B2100,7)))</f>
        <v/>
      </c>
    </row>
    <row r="2101">
      <c r="A2101" t="inlineStr">
        <is>
          <t>Frederick Antwi</t>
        </is>
      </c>
      <c r="B2101" s="4" t="n">
        <v>46070</v>
      </c>
      <c r="C2101" t="inlineStr">
        <is>
          <t>/</t>
        </is>
      </c>
      <c r="D2101" t="inlineStr">
        <is>
          <t>Frederick Antwi</t>
        </is>
      </c>
      <c r="E2101" t="inlineStr">
        <is>
          <t>Frederick Antwi</t>
        </is>
      </c>
      <c r="F2101" s="5" t="n">
        <v>46160.57541666667</v>
      </c>
      <c r="H2101" t="inlineStr">
        <is>
          <t>PCGH768</t>
        </is>
      </c>
      <c r="I2101" t="n">
        <v>5</v>
      </c>
      <c r="L2101" t="b">
        <v>1</v>
      </c>
      <c r="M2101" t="inlineStr">
        <is>
          <t>Non-Billable</t>
        </is>
      </c>
      <c r="N2101" s="6">
        <f>IF(B2101="","",IF(ISNUMBER(B2101),TEXT(B2101,"YYYY-MM"),LEFT(B2101,7)))</f>
        <v/>
      </c>
    </row>
    <row r="2102">
      <c r="A2102" t="inlineStr">
        <is>
          <t>Stephen Doso</t>
        </is>
      </c>
      <c r="B2102" s="4" t="n">
        <v>46070</v>
      </c>
      <c r="C2102" t="inlineStr">
        <is>
          <t>/</t>
        </is>
      </c>
      <c r="D2102" t="inlineStr">
        <is>
          <t>Stephen Doso</t>
        </is>
      </c>
      <c r="E2102" t="inlineStr">
        <is>
          <t>OdooBot</t>
        </is>
      </c>
      <c r="F2102" s="5" t="n">
        <v>46154.70721064815</v>
      </c>
      <c r="H2102" t="inlineStr">
        <is>
          <t>PCGH784</t>
        </is>
      </c>
      <c r="I2102" t="n">
        <v>8</v>
      </c>
      <c r="J2102" t="inlineStr">
        <is>
          <t>PCGH784 -  Field data collection  (3) (Okeosisi Jonathan)</t>
        </is>
      </c>
      <c r="K2102" t="inlineStr">
        <is>
          <t>Field survey and Data Collection)</t>
        </is>
      </c>
      <c r="L2102" t="b">
        <v>1</v>
      </c>
      <c r="M2102" t="inlineStr">
        <is>
          <t>Billed at a Fixed price</t>
        </is>
      </c>
      <c r="N2102" s="6">
        <f>IF(B2102="","",IF(ISNUMBER(B2102),TEXT(B2102,"YYYY-MM"),LEFT(B2102,7)))</f>
        <v/>
      </c>
    </row>
    <row r="2103">
      <c r="A2103" t="inlineStr">
        <is>
          <t>Ekow Nyamekye Tawiah</t>
        </is>
      </c>
      <c r="B2103" s="4" t="n">
        <v>46070</v>
      </c>
      <c r="C2103" t="inlineStr">
        <is>
          <t>/</t>
        </is>
      </c>
      <c r="D2103" t="inlineStr">
        <is>
          <t>Ekow Nyamekye Tawiah</t>
        </is>
      </c>
      <c r="E2103" t="inlineStr">
        <is>
          <t>OdooBot</t>
        </is>
      </c>
      <c r="F2103" s="5" t="n">
        <v>46154.70721064815</v>
      </c>
      <c r="H2103" t="inlineStr">
        <is>
          <t>PCGH722</t>
        </is>
      </c>
      <c r="I2103" t="n">
        <v>4</v>
      </c>
      <c r="J2103" t="inlineStr">
        <is>
          <t>PCGH722 - Analysis and Reporting (3) (Sucrivoire SA)</t>
        </is>
      </c>
      <c r="K2103" t="inlineStr">
        <is>
          <t>Analysis and Reporting (3)</t>
        </is>
      </c>
      <c r="L2103" t="b">
        <v>1</v>
      </c>
      <c r="M2103" t="inlineStr">
        <is>
          <t>Billed at a Fixed price</t>
        </is>
      </c>
      <c r="N2103" s="6">
        <f>IF(B2103="","",IF(ISNUMBER(B2103),TEXT(B2103,"YYYY-MM"),LEFT(B2103,7)))</f>
        <v/>
      </c>
    </row>
    <row r="2104">
      <c r="A2104" t="inlineStr">
        <is>
          <t>Daleba Bernard Kpenahi Raymond</t>
        </is>
      </c>
      <c r="B2104" s="4" t="n">
        <v>46070</v>
      </c>
      <c r="C2104" t="inlineStr">
        <is>
          <t>/</t>
        </is>
      </c>
      <c r="D2104" t="inlineStr">
        <is>
          <t>Daleba Bernard Kpenahi Raymond</t>
        </is>
      </c>
      <c r="E2104" t="inlineStr">
        <is>
          <t>OdooBot</t>
        </is>
      </c>
      <c r="F2104" s="5" t="n">
        <v>46154.70721064815</v>
      </c>
      <c r="G2104" t="inlineStr">
        <is>
          <t>Desk study, development of assessment framework &amp; online meetings (3)</t>
        </is>
      </c>
      <c r="H2104" t="inlineStr">
        <is>
          <t>PCGH775 - ESDD of Valency Operations for FMO</t>
        </is>
      </c>
      <c r="I2104" t="n">
        <v>8</v>
      </c>
      <c r="J2104" t="inlineStr">
        <is>
          <t>PCGH775 - Development of Assessment Framework (3) (Valency International DMCC)</t>
        </is>
      </c>
      <c r="K2104" t="inlineStr">
        <is>
          <t>Document review and assessment of framework including CIV</t>
        </is>
      </c>
      <c r="L2104" t="b">
        <v>1</v>
      </c>
      <c r="M2104" t="inlineStr">
        <is>
          <t>Billed at a Fixed price</t>
        </is>
      </c>
      <c r="N2104" s="6">
        <f>IF(B2104="","",IF(ISNUMBER(B2104),TEXT(B2104,"YYYY-MM"),LEFT(B2104,7)))</f>
        <v/>
      </c>
    </row>
    <row r="2105">
      <c r="A2105" t="inlineStr">
        <is>
          <t>Augustus Asamoah</t>
        </is>
      </c>
      <c r="B2105" s="4" t="n">
        <v>46070</v>
      </c>
      <c r="C2105" t="inlineStr">
        <is>
          <t>/</t>
        </is>
      </c>
      <c r="D2105" t="inlineStr">
        <is>
          <t>Augustus Asamoah</t>
        </is>
      </c>
      <c r="E2105" t="inlineStr">
        <is>
          <t>OdooBot</t>
        </is>
      </c>
      <c r="F2105" s="5" t="n">
        <v>46154.70721064815</v>
      </c>
      <c r="G2105" t="inlineStr">
        <is>
          <t>Field survey and Data Collection)</t>
        </is>
      </c>
      <c r="H2105" t="inlineStr">
        <is>
          <t>PCGH784</t>
        </is>
      </c>
      <c r="I2105" t="n">
        <v>8</v>
      </c>
      <c r="J2105" t="inlineStr">
        <is>
          <t>PCGH784 -  Field data collection  (3) (Okeosisi Jonathan)</t>
        </is>
      </c>
      <c r="K2105" t="inlineStr">
        <is>
          <t>Fauna Survey</t>
        </is>
      </c>
      <c r="L2105" t="b">
        <v>1</v>
      </c>
      <c r="M2105" t="inlineStr">
        <is>
          <t>Billed at a Fixed price</t>
        </is>
      </c>
      <c r="N2105" s="6">
        <f>IF(B2105="","",IF(ISNUMBER(B2105),TEXT(B2105,"YYYY-MM"),LEFT(B2105,7)))</f>
        <v/>
      </c>
    </row>
    <row r="2106">
      <c r="A2106" t="inlineStr">
        <is>
          <t>Augustus Asamoah</t>
        </is>
      </c>
      <c r="B2106" s="4" t="n">
        <v>46070</v>
      </c>
      <c r="C2106" t="inlineStr">
        <is>
          <t>/</t>
        </is>
      </c>
      <c r="D2106" t="inlineStr">
        <is>
          <t>Augustus Asamoah</t>
        </is>
      </c>
      <c r="E2106" t="inlineStr">
        <is>
          <t>OdooBot</t>
        </is>
      </c>
      <c r="F2106" s="5" t="n">
        <v>46154.70721064815</v>
      </c>
      <c r="H2106" t="inlineStr">
        <is>
          <t>PCGH784</t>
        </is>
      </c>
      <c r="I2106" t="n">
        <v>0</v>
      </c>
      <c r="J2106" t="inlineStr">
        <is>
          <t>PCGH784 - Desk Study (3) (Okeosisi Jonathan)</t>
        </is>
      </c>
      <c r="L2106" t="b">
        <v>1</v>
      </c>
      <c r="M2106" t="inlineStr">
        <is>
          <t>Billed at a Fixed price</t>
        </is>
      </c>
      <c r="N2106" s="6">
        <f>IF(B2106="","",IF(ISNUMBER(B2106),TEXT(B2106,"YYYY-MM"),LEFT(B2106,7)))</f>
        <v/>
      </c>
    </row>
    <row r="2107">
      <c r="A2107" t="inlineStr">
        <is>
          <t>Afua Serwah Akoto Prempeh</t>
        </is>
      </c>
      <c r="B2107" s="4" t="n">
        <v>46070</v>
      </c>
      <c r="C2107" t="inlineStr">
        <is>
          <t>/</t>
        </is>
      </c>
      <c r="D2107" t="inlineStr">
        <is>
          <t>Afua Serwah Akoto Prempeh</t>
        </is>
      </c>
      <c r="E2107" t="inlineStr">
        <is>
          <t>OdooBot</t>
        </is>
      </c>
      <c r="F2107" s="5" t="n">
        <v>46154.70721064815</v>
      </c>
      <c r="H2107" t="inlineStr">
        <is>
          <t>Non-Billable Tasks</t>
        </is>
      </c>
      <c r="I2107" t="n">
        <v>-0.75</v>
      </c>
      <c r="L2107" t="b">
        <v>0</v>
      </c>
      <c r="M2107" t="inlineStr">
        <is>
          <t>Non-Billable</t>
        </is>
      </c>
      <c r="N2107" s="6">
        <f>IF(B2107="","",IF(ISNUMBER(B2107),TEXT(B2107,"YYYY-MM"),LEFT(B2107,7)))</f>
        <v/>
      </c>
    </row>
    <row r="2108">
      <c r="A2108" t="inlineStr">
        <is>
          <t>Afua Serwah Akoto Prempeh</t>
        </is>
      </c>
      <c r="B2108" s="4" t="n">
        <v>46070</v>
      </c>
      <c r="C2108" t="inlineStr">
        <is>
          <t>/</t>
        </is>
      </c>
      <c r="D2108" t="inlineStr">
        <is>
          <t>Afua Serwah Akoto Prempeh</t>
        </is>
      </c>
      <c r="E2108" t="inlineStr">
        <is>
          <t>OdooBot</t>
        </is>
      </c>
      <c r="F2108" s="5" t="n">
        <v>46154.70721064815</v>
      </c>
      <c r="H2108" t="inlineStr">
        <is>
          <t>P23AC00C00 - FGMC</t>
        </is>
      </c>
      <c r="I2108" t="n">
        <v>1</v>
      </c>
      <c r="L2108" t="b">
        <v>0</v>
      </c>
      <c r="M2108" t="inlineStr">
        <is>
          <t>Non-Billable</t>
        </is>
      </c>
      <c r="N2108" s="6">
        <f>IF(B2108="","",IF(ISNUMBER(B2108),TEXT(B2108,"YYYY-MM"),LEFT(B2108,7)))</f>
        <v/>
      </c>
    </row>
    <row r="2109">
      <c r="A2109" t="inlineStr">
        <is>
          <t>Afua Serwah Akoto Prempeh</t>
        </is>
      </c>
      <c r="B2109" s="4" t="n">
        <v>46070</v>
      </c>
      <c r="C2109" t="inlineStr">
        <is>
          <t>/</t>
        </is>
      </c>
      <c r="D2109" t="inlineStr">
        <is>
          <t>Afua Serwah Akoto Prempeh</t>
        </is>
      </c>
      <c r="E2109" t="inlineStr">
        <is>
          <t>OdooBot</t>
        </is>
      </c>
      <c r="F2109" s="5" t="n">
        <v>46154.70721064815</v>
      </c>
      <c r="H2109" t="inlineStr">
        <is>
          <t>Non-Billable Tasks</t>
        </is>
      </c>
      <c r="I2109" t="n">
        <v>6</v>
      </c>
      <c r="K2109" t="inlineStr">
        <is>
          <t>Communication/Data/Training</t>
        </is>
      </c>
      <c r="L2109" t="b">
        <v>0</v>
      </c>
      <c r="M2109" t="inlineStr">
        <is>
          <t>Non-Billable</t>
        </is>
      </c>
      <c r="N2109" s="6">
        <f>IF(B2109="","",IF(ISNUMBER(B2109),TEXT(B2109,"YYYY-MM"),LEFT(B2109,7)))</f>
        <v/>
      </c>
    </row>
    <row r="2110">
      <c r="A2110" t="inlineStr">
        <is>
          <t>Louis Defo</t>
        </is>
      </c>
      <c r="B2110" s="4" t="n">
        <v>46070</v>
      </c>
      <c r="C2110" t="inlineStr">
        <is>
          <t>mapping initiatives</t>
        </is>
      </c>
      <c r="D2110" t="inlineStr">
        <is>
          <t>Louis Defo</t>
        </is>
      </c>
      <c r="E2110" t="inlineStr">
        <is>
          <t>OdooBot</t>
        </is>
      </c>
      <c r="F2110" s="5" t="n">
        <v>46154.70721064815</v>
      </c>
      <c r="G2110" t="inlineStr">
        <is>
          <t>Output 2.2</t>
        </is>
      </c>
      <c r="H2110" t="inlineStr">
        <is>
          <t>P23AC00C00 - FGMC</t>
        </is>
      </c>
      <c r="I2110" t="n">
        <v>8</v>
      </c>
      <c r="K2110" t="inlineStr">
        <is>
          <t>P23AC42A00 - Accelerating Implementation.</t>
        </is>
      </c>
      <c r="L2110" t="b">
        <v>0</v>
      </c>
      <c r="M2110" t="inlineStr">
        <is>
          <t>Non-Billable</t>
        </is>
      </c>
      <c r="N2110" s="6">
        <f>IF(B2110="","",IF(ISNUMBER(B2110),TEXT(B2110,"YYYY-MM"),LEFT(B2110,7)))</f>
        <v/>
      </c>
    </row>
    <row r="2111">
      <c r="A2111" t="inlineStr">
        <is>
          <t>Helena Tetteh</t>
        </is>
      </c>
      <c r="B2111" s="4" t="n">
        <v>46070</v>
      </c>
      <c r="C2111" t="inlineStr">
        <is>
          <t>/</t>
        </is>
      </c>
      <c r="D2111" t="inlineStr">
        <is>
          <t xml:space="preserve">Helena Tetteh </t>
        </is>
      </c>
      <c r="E2111" t="inlineStr">
        <is>
          <t>OdooBot</t>
        </is>
      </c>
      <c r="F2111" s="5" t="n">
        <v>46154.70721064815</v>
      </c>
      <c r="H2111" t="inlineStr">
        <is>
          <t>P23AC00C00 - FGMC</t>
        </is>
      </c>
      <c r="I2111" t="n">
        <v>5.5</v>
      </c>
      <c r="K2111" t="inlineStr">
        <is>
          <t>Output 2.3</t>
        </is>
      </c>
      <c r="L2111" t="b">
        <v>0</v>
      </c>
      <c r="M2111" t="inlineStr">
        <is>
          <t>Non-Billable</t>
        </is>
      </c>
      <c r="N2111" s="6">
        <f>IF(B2111="","",IF(ISNUMBER(B2111),TEXT(B2111,"YYYY-MM"),LEFT(B2111,7)))</f>
        <v/>
      </c>
    </row>
    <row r="2112">
      <c r="A2112" t="inlineStr">
        <is>
          <t>Helena Tetteh</t>
        </is>
      </c>
      <c r="B2112" s="4" t="n">
        <v>46070</v>
      </c>
      <c r="C2112" t="inlineStr">
        <is>
          <t>/</t>
        </is>
      </c>
      <c r="D2112" t="inlineStr">
        <is>
          <t xml:space="preserve">Helena Tetteh </t>
        </is>
      </c>
      <c r="E2112" t="inlineStr">
        <is>
          <t>OdooBot</t>
        </is>
      </c>
      <c r="F2112" s="5" t="n">
        <v>46154.70721064815</v>
      </c>
      <c r="H2112" t="inlineStr">
        <is>
          <t>Non-Billable Tasks</t>
        </is>
      </c>
      <c r="I2112" t="n">
        <v>2.5</v>
      </c>
      <c r="K2112" t="inlineStr">
        <is>
          <t>Professional development and Knowledge sharing(training,global knowledge calls,exchange weeks)</t>
        </is>
      </c>
      <c r="L2112" t="b">
        <v>0</v>
      </c>
      <c r="M2112" t="inlineStr">
        <is>
          <t>Non-Billable</t>
        </is>
      </c>
      <c r="N2112" s="6">
        <f>IF(B2112="","",IF(ISNUMBER(B2112),TEXT(B2112,"YYYY-MM"),LEFT(B2112,7)))</f>
        <v/>
      </c>
    </row>
    <row r="2113">
      <c r="A2113" t="inlineStr">
        <is>
          <t>Clement Obeng-Manu</t>
        </is>
      </c>
      <c r="B2113" s="4" t="n">
        <v>46070</v>
      </c>
      <c r="C2113" t="inlineStr">
        <is>
          <t>/</t>
        </is>
      </c>
      <c r="D2113" t="inlineStr">
        <is>
          <t>Clement Obeng-Manu</t>
        </is>
      </c>
      <c r="E2113" t="inlineStr">
        <is>
          <t>OdooBot</t>
        </is>
      </c>
      <c r="F2113" s="5" t="n">
        <v>46154.70721064815</v>
      </c>
      <c r="H2113" t="inlineStr">
        <is>
          <t>PCGH776 - Deforestation Risk-Assessment Cashew-Coast</t>
        </is>
      </c>
      <c r="I2113" t="n">
        <v>4</v>
      </c>
      <c r="J2113" t="inlineStr">
        <is>
          <t>PCGH776 - Data collection and review (3) (Cashew Coast Products Inc)</t>
        </is>
      </c>
      <c r="K2113" t="inlineStr">
        <is>
          <t>Data review, compilation and integration</t>
        </is>
      </c>
      <c r="L2113" t="b">
        <v>1</v>
      </c>
      <c r="M2113" t="inlineStr">
        <is>
          <t>Billed at a Fixed price</t>
        </is>
      </c>
      <c r="N2113" s="6">
        <f>IF(B2113="","",IF(ISNUMBER(B2113),TEXT(B2113,"YYYY-MM"),LEFT(B2113,7)))</f>
        <v/>
      </c>
    </row>
    <row r="2114">
      <c r="A2114" t="inlineStr">
        <is>
          <t>Clement Obeng-Manu</t>
        </is>
      </c>
      <c r="B2114" s="4" t="n">
        <v>46070</v>
      </c>
      <c r="C2114" t="inlineStr">
        <is>
          <t>/</t>
        </is>
      </c>
      <c r="D2114" t="inlineStr">
        <is>
          <t>Clement Obeng-Manu</t>
        </is>
      </c>
      <c r="E2114" t="inlineStr">
        <is>
          <t>OdooBot</t>
        </is>
      </c>
      <c r="F2114" s="5" t="n">
        <v>46154.70721064815</v>
      </c>
      <c r="G2114" t="inlineStr">
        <is>
          <t>Analysis and Reporting (3)</t>
        </is>
      </c>
      <c r="H2114" t="inlineStr">
        <is>
          <t>PCGH722</t>
        </is>
      </c>
      <c r="I2114" t="n">
        <v>4</v>
      </c>
      <c r="J2114" t="inlineStr">
        <is>
          <t>PCGH722 - Analysis and Reporting (3) (Sucrivoire SA)</t>
        </is>
      </c>
      <c r="K2114" t="inlineStr">
        <is>
          <t>Analysis and Reporting (3)</t>
        </is>
      </c>
      <c r="L2114" t="b">
        <v>1</v>
      </c>
      <c r="M2114" t="inlineStr">
        <is>
          <t>Billed at a Fixed price</t>
        </is>
      </c>
      <c r="N2114" s="6">
        <f>IF(B2114="","",IF(ISNUMBER(B2114),TEXT(B2114,"YYYY-MM"),LEFT(B2114,7)))</f>
        <v/>
      </c>
    </row>
    <row r="2115">
      <c r="A2115" t="inlineStr">
        <is>
          <t>Kingsley Fitz-Gerald Severine</t>
        </is>
      </c>
      <c r="B2115" s="4" t="n">
        <v>46070</v>
      </c>
      <c r="C2115" t="inlineStr">
        <is>
          <t>/</t>
        </is>
      </c>
      <c r="D2115" t="inlineStr">
        <is>
          <t>Kingsley Fitz-Gerald Severine</t>
        </is>
      </c>
      <c r="E2115" t="inlineStr">
        <is>
          <t>OdooBot</t>
        </is>
      </c>
      <c r="F2115" s="5" t="n">
        <v>46154.70721064815</v>
      </c>
      <c r="G2115" t="inlineStr">
        <is>
          <t>Field survey and Data Collection)</t>
        </is>
      </c>
      <c r="H2115" t="inlineStr">
        <is>
          <t>PCGH784</t>
        </is>
      </c>
      <c r="I2115" t="n">
        <v>8</v>
      </c>
      <c r="J2115" t="inlineStr">
        <is>
          <t>PCGH784 -  Field data collection  (3) (Okeosisi Jonathan)</t>
        </is>
      </c>
      <c r="K2115" t="inlineStr">
        <is>
          <t>Stakeholder Consultations</t>
        </is>
      </c>
      <c r="L2115" t="b">
        <v>1</v>
      </c>
      <c r="M2115" t="inlineStr">
        <is>
          <t>Billed at a Fixed price</t>
        </is>
      </c>
      <c r="N2115" s="6">
        <f>IF(B2115="","",IF(ISNUMBER(B2115),TEXT(B2115,"YYYY-MM"),LEFT(B2115,7)))</f>
        <v/>
      </c>
    </row>
    <row r="2116">
      <c r="A2116" t="inlineStr">
        <is>
          <t>Afua Serwah Akoto Prempeh</t>
        </is>
      </c>
      <c r="B2116" s="4" t="n">
        <v>46070</v>
      </c>
      <c r="C2116" t="inlineStr">
        <is>
          <t>/Review of Design for Good MoU</t>
        </is>
      </c>
      <c r="D2116" t="inlineStr">
        <is>
          <t>Afua Serwah Akoto Prempeh</t>
        </is>
      </c>
      <c r="E2116" t="inlineStr">
        <is>
          <t>OdooBot</t>
        </is>
      </c>
      <c r="F2116" s="5" t="n">
        <v>46154.70721064815</v>
      </c>
      <c r="H2116" t="inlineStr">
        <is>
          <t>Non-Billable Tasks</t>
        </is>
      </c>
      <c r="I2116" t="n">
        <v>1.5</v>
      </c>
      <c r="L2116" t="b">
        <v>0</v>
      </c>
      <c r="M2116" t="inlineStr">
        <is>
          <t>Non-Billable</t>
        </is>
      </c>
      <c r="N2116" s="6">
        <f>IF(B2116="","",IF(ISNUMBER(B2116),TEXT(B2116,"YYYY-MM"),LEFT(B2116,7)))</f>
        <v/>
      </c>
    </row>
    <row r="2117">
      <c r="A2117" t="inlineStr">
        <is>
          <t>Afua Serwah Akoto Prempeh</t>
        </is>
      </c>
      <c r="B2117" s="4" t="n">
        <v>46070</v>
      </c>
      <c r="C2117" t="inlineStr">
        <is>
          <t>/Review of Design for Good Application</t>
        </is>
      </c>
      <c r="D2117" t="inlineStr">
        <is>
          <t>Afua Serwah Akoto Prempeh</t>
        </is>
      </c>
      <c r="E2117" t="inlineStr">
        <is>
          <t>OdooBot</t>
        </is>
      </c>
      <c r="F2117" s="5" t="n">
        <v>46154.70721064815</v>
      </c>
      <c r="H2117" t="inlineStr">
        <is>
          <t>Non-Billable Tasks</t>
        </is>
      </c>
      <c r="I2117" t="n">
        <v>0.25</v>
      </c>
      <c r="L2117" t="b">
        <v>0</v>
      </c>
      <c r="M2117" t="inlineStr">
        <is>
          <t>Non-Billable</t>
        </is>
      </c>
      <c r="N2117" s="6">
        <f>IF(B2117="","",IF(ISNUMBER(B2117),TEXT(B2117,"YYYY-MM"),LEFT(B2117,7)))</f>
        <v/>
      </c>
    </row>
    <row r="2118">
      <c r="A2118" t="inlineStr">
        <is>
          <t>Kwadwo Baniako Nti</t>
        </is>
      </c>
      <c r="B2118" s="4" t="n">
        <v>46070</v>
      </c>
      <c r="C2118" t="inlineStr">
        <is>
          <t>/</t>
        </is>
      </c>
      <c r="D2118" t="inlineStr">
        <is>
          <t>Kwadwo Baniako Nti</t>
        </is>
      </c>
      <c r="E2118" t="inlineStr">
        <is>
          <t>OdooBot</t>
        </is>
      </c>
      <c r="F2118" s="5" t="n">
        <v>46154.70721064815</v>
      </c>
      <c r="G2118" t="inlineStr">
        <is>
          <t>Field verification and reporting in Nigeria (3)</t>
        </is>
      </c>
      <c r="H2118" t="inlineStr">
        <is>
          <t>PCGH775 - ESDD of Valency Operations for FMO</t>
        </is>
      </c>
      <c r="I2118" t="n">
        <v>8</v>
      </c>
      <c r="J2118" t="inlineStr">
        <is>
          <t>PCGH775 - Field Verification (3) (Valency International DMCC)</t>
        </is>
      </c>
      <c r="K2118" t="inlineStr">
        <is>
          <t>Site audit/ assessment (Nigeria)</t>
        </is>
      </c>
      <c r="L2118" t="b">
        <v>1</v>
      </c>
      <c r="M2118" t="inlineStr">
        <is>
          <t>Billed at a Fixed price</t>
        </is>
      </c>
      <c r="N2118" s="6">
        <f>IF(B2118="","",IF(ISNUMBER(B2118),TEXT(B2118,"YYYY-MM"),LEFT(B2118,7)))</f>
        <v/>
      </c>
    </row>
    <row r="2119">
      <c r="A2119" t="inlineStr">
        <is>
          <t>Michael Anim</t>
        </is>
      </c>
      <c r="B2119" s="4" t="n">
        <v>46069</v>
      </c>
      <c r="C2119" t="inlineStr">
        <is>
          <t>/</t>
        </is>
      </c>
      <c r="D2119" t="inlineStr">
        <is>
          <t>Patricia Offei</t>
        </is>
      </c>
      <c r="E2119" t="inlineStr">
        <is>
          <t>Michael Anim</t>
        </is>
      </c>
      <c r="F2119" s="5" t="n">
        <v>46163.55244212963</v>
      </c>
      <c r="G2119" t="inlineStr">
        <is>
          <t>Desk study, development of assessment framework &amp; online meetings (3)</t>
        </is>
      </c>
      <c r="H2119" t="inlineStr">
        <is>
          <t>PCGH775 - ESDD of Valency Operations for FMO</t>
        </is>
      </c>
      <c r="I2119" t="n">
        <v>8</v>
      </c>
      <c r="J2119" t="inlineStr">
        <is>
          <t>PCGH775 - Development of Assessment Framework (3) (Valency International DMCC)</t>
        </is>
      </c>
      <c r="K2119" t="inlineStr">
        <is>
          <t>Document review and assessment of framework including CIV</t>
        </is>
      </c>
      <c r="L2119" t="b">
        <v>1</v>
      </c>
      <c r="M2119" t="inlineStr">
        <is>
          <t>Billed at a Fixed price</t>
        </is>
      </c>
      <c r="N2119" s="6">
        <f>IF(B2119="","",IF(ISNUMBER(B2119),TEXT(B2119,"YYYY-MM"),LEFT(B2119,7)))</f>
        <v/>
      </c>
    </row>
    <row r="2120">
      <c r="A2120" t="inlineStr">
        <is>
          <t>Joseph Isaiah Mensah</t>
        </is>
      </c>
      <c r="B2120" s="4" t="n">
        <v>46069</v>
      </c>
      <c r="C2120" t="inlineStr">
        <is>
          <t>[Update]: (Confirmed): SGSE IP Budget discussion</t>
        </is>
      </c>
      <c r="D2120" t="inlineStr">
        <is>
          <t>Joseph Isaiah Mensah</t>
        </is>
      </c>
      <c r="E2120" t="inlineStr">
        <is>
          <t>Joseph Isaiah Mensah</t>
        </is>
      </c>
      <c r="F2120" s="5" t="n">
        <v>46162.7205787037</v>
      </c>
      <c r="H2120" t="inlineStr">
        <is>
          <t>PCGH780 - Nigeria</t>
        </is>
      </c>
      <c r="I2120" t="n">
        <v>1</v>
      </c>
      <c r="J2120" t="inlineStr">
        <is>
          <t>PCGH780 - Tree Planting Project (2) (Proforest Limited(PCUK GBP))</t>
        </is>
      </c>
      <c r="L2120" t="b">
        <v>1</v>
      </c>
      <c r="M2120" t="inlineStr">
        <is>
          <t>Billed at a Fixed price</t>
        </is>
      </c>
      <c r="N2120" s="6">
        <f>IF(B2120="","",IF(ISNUMBER(B2120),TEXT(B2120,"YYYY-MM"),LEFT(B2120,7)))</f>
        <v/>
      </c>
    </row>
    <row r="2121">
      <c r="A2121" t="inlineStr">
        <is>
          <t>Joseph Isaiah Mensah</t>
        </is>
      </c>
      <c r="B2121" s="4" t="n">
        <v>46069</v>
      </c>
      <c r="C2121" t="inlineStr">
        <is>
          <t>/</t>
        </is>
      </c>
      <c r="D2121" t="inlineStr">
        <is>
          <t>Joseph Isaiah Mensah</t>
        </is>
      </c>
      <c r="E2121" t="inlineStr">
        <is>
          <t>Joseph Isaiah Mensah</t>
        </is>
      </c>
      <c r="F2121" s="5" t="n">
        <v>46162.64751157408</v>
      </c>
      <c r="G2121" t="inlineStr">
        <is>
          <t>Field verification and reporting in Nigeria (3)</t>
        </is>
      </c>
      <c r="H2121" t="inlineStr">
        <is>
          <t>PCGH775 - ESDD of Valency Operations for FMO</t>
        </is>
      </c>
      <c r="I2121" t="n">
        <v>8</v>
      </c>
      <c r="J2121" t="inlineStr">
        <is>
          <t>PCGH775 - Field Verification (3) (Valency International DMCC)</t>
        </is>
      </c>
      <c r="K2121" t="inlineStr">
        <is>
          <t>Site audit/ assessment (Nigeria)</t>
        </is>
      </c>
      <c r="L2121" t="b">
        <v>1</v>
      </c>
      <c r="M2121" t="inlineStr">
        <is>
          <t>Billed at a Fixed price</t>
        </is>
      </c>
      <c r="N2121" s="6">
        <f>IF(B2121="","",IF(ISNUMBER(B2121),TEXT(B2121,"YYYY-MM"),LEFT(B2121,7)))</f>
        <v/>
      </c>
    </row>
    <row r="2122">
      <c r="A2122" t="inlineStr">
        <is>
          <t>James Parker Mckeown</t>
        </is>
      </c>
      <c r="B2122" s="4" t="n">
        <v>46069</v>
      </c>
      <c r="C2122" t="inlineStr">
        <is>
          <t>/</t>
        </is>
      </c>
      <c r="D2122" t="inlineStr">
        <is>
          <t>James Parker Mckeown</t>
        </is>
      </c>
      <c r="E2122" t="inlineStr">
        <is>
          <t>James Parker Mckeown</t>
        </is>
      </c>
      <c r="F2122" s="5" t="n">
        <v>46162.42890046296</v>
      </c>
      <c r="H2122" t="inlineStr">
        <is>
          <t>P23AC00C00 - FGMC</t>
        </is>
      </c>
      <c r="I2122" t="n">
        <v>0</v>
      </c>
      <c r="L2122" t="b">
        <v>0</v>
      </c>
      <c r="M2122" t="inlineStr">
        <is>
          <t>Non-Billable</t>
        </is>
      </c>
      <c r="N2122" s="6">
        <f>IF(B2122="","",IF(ISNUMBER(B2122),TEXT(B2122,"YYYY-MM"),LEFT(B2122,7)))</f>
        <v/>
      </c>
    </row>
    <row r="2123">
      <c r="A2123" t="inlineStr">
        <is>
          <t>James Parker Mckeown</t>
        </is>
      </c>
      <c r="B2123" s="4" t="n">
        <v>46069</v>
      </c>
      <c r="C2123" t="inlineStr">
        <is>
          <t>UK visa application for FGMC forum</t>
        </is>
      </c>
      <c r="D2123" t="inlineStr">
        <is>
          <t>James Parker Mckeown</t>
        </is>
      </c>
      <c r="E2123" t="inlineStr">
        <is>
          <t>James Parker Mckeown</t>
        </is>
      </c>
      <c r="F2123" s="5" t="n">
        <v>46162.41945601852</v>
      </c>
      <c r="G2123" t="inlineStr">
        <is>
          <t>Output 4</t>
        </is>
      </c>
      <c r="H2123" t="inlineStr">
        <is>
          <t>P23AC00C00 - FGMC</t>
        </is>
      </c>
      <c r="I2123" t="n">
        <v>0</v>
      </c>
      <c r="K2123" t="inlineStr">
        <is>
          <t>P23AC03A00 - Project Management</t>
        </is>
      </c>
      <c r="L2123" t="b">
        <v>0</v>
      </c>
      <c r="M2123" t="inlineStr">
        <is>
          <t>Non-Billable</t>
        </is>
      </c>
      <c r="N2123" s="6">
        <f>IF(B2123="","",IF(ISNUMBER(B2123),TEXT(B2123,"YYYY-MM"),LEFT(B2123,7)))</f>
        <v/>
      </c>
    </row>
    <row r="2124">
      <c r="A2124" t="inlineStr">
        <is>
          <t>James Parker Mckeown</t>
        </is>
      </c>
      <c r="B2124" s="4" t="n">
        <v>46069</v>
      </c>
      <c r="C2124" t="inlineStr">
        <is>
          <t>FGMC: Mapping of Local initiatives in Liberia</t>
        </is>
      </c>
      <c r="D2124" t="inlineStr">
        <is>
          <t>James Parker Mckeown</t>
        </is>
      </c>
      <c r="E2124" t="inlineStr">
        <is>
          <t>James Parker Mckeown</t>
        </is>
      </c>
      <c r="F2124" s="5" t="n">
        <v>46162.41427083333</v>
      </c>
      <c r="G2124" t="inlineStr">
        <is>
          <t>Output 2.3</t>
        </is>
      </c>
      <c r="H2124" t="inlineStr">
        <is>
          <t>P23AC00C00 - FGMC</t>
        </is>
      </c>
      <c r="I2124" t="n">
        <v>4</v>
      </c>
      <c r="K2124" t="inlineStr">
        <is>
          <t>P23AC22A00 - Output Two (Elevating Local Solutions - West Africa)</t>
        </is>
      </c>
      <c r="L2124" t="b">
        <v>0</v>
      </c>
      <c r="M2124" t="inlineStr">
        <is>
          <t>Non-Billable</t>
        </is>
      </c>
      <c r="N2124" s="6">
        <f>IF(B2124="","",IF(ISNUMBER(B2124),TEXT(B2124,"YYYY-MM"),LEFT(B2124,7)))</f>
        <v/>
      </c>
    </row>
    <row r="2125">
      <c r="A2125" t="inlineStr">
        <is>
          <t>James Parker Mckeown</t>
        </is>
      </c>
      <c r="B2125" s="4" t="n">
        <v>46069</v>
      </c>
      <c r="C2125" t="inlineStr">
        <is>
          <t>PIA bi-weekly check-in</t>
        </is>
      </c>
      <c r="D2125" t="inlineStr">
        <is>
          <t>James Parker Mckeown</t>
        </is>
      </c>
      <c r="E2125" t="inlineStr">
        <is>
          <t>James Parker Mckeown</t>
        </is>
      </c>
      <c r="F2125" s="5" t="n">
        <v>46162.4134837963</v>
      </c>
      <c r="H2125" t="inlineStr">
        <is>
          <t>Non-Billable Tasks</t>
        </is>
      </c>
      <c r="I2125" t="n">
        <v>1</v>
      </c>
      <c r="K2125" t="inlineStr">
        <is>
          <t>Other management activities</t>
        </is>
      </c>
      <c r="L2125" t="b">
        <v>0</v>
      </c>
      <c r="M2125" t="inlineStr">
        <is>
          <t>Non-Billable</t>
        </is>
      </c>
      <c r="N2125" s="6">
        <f>IF(B2125="","",IF(ISNUMBER(B2125),TEXT(B2125,"YYYY-MM"),LEFT(B2125,7)))</f>
        <v/>
      </c>
    </row>
    <row r="2126">
      <c r="A2126" t="inlineStr">
        <is>
          <t>James Parker Mckeown</t>
        </is>
      </c>
      <c r="B2126" s="4" t="n">
        <v>46069</v>
      </c>
      <c r="C2126" t="inlineStr">
        <is>
          <t>Responding to Data landscape GIP request</t>
        </is>
      </c>
      <c r="D2126" t="inlineStr">
        <is>
          <t>James Parker Mckeown</t>
        </is>
      </c>
      <c r="E2126" t="inlineStr">
        <is>
          <t>James Parker Mckeown</t>
        </is>
      </c>
      <c r="F2126" s="5" t="n">
        <v>46162.41092592593</v>
      </c>
      <c r="G2126" t="inlineStr">
        <is>
          <t>Corporate Spatial Geodatabase</t>
        </is>
      </c>
      <c r="H2126" t="inlineStr">
        <is>
          <t>Global Internal Projects (GIPs)</t>
        </is>
      </c>
      <c r="I2126" t="n">
        <v>3</v>
      </c>
      <c r="K2126" t="inlineStr">
        <is>
          <t>Corporate Spatial Geodatabase</t>
        </is>
      </c>
      <c r="L2126" t="b">
        <v>1</v>
      </c>
      <c r="M2126" t="inlineStr">
        <is>
          <t>Non-Billable</t>
        </is>
      </c>
      <c r="N2126" s="6">
        <f>IF(B2126="","",IF(ISNUMBER(B2126),TEXT(B2126,"YYYY-MM"),LEFT(B2126,7)))</f>
        <v/>
      </c>
    </row>
    <row r="2127">
      <c r="A2127" t="inlineStr">
        <is>
          <t>Frederick Antwi</t>
        </is>
      </c>
      <c r="B2127" s="4" t="n">
        <v>46069</v>
      </c>
      <c r="C2127" t="inlineStr">
        <is>
          <t>/</t>
        </is>
      </c>
      <c r="D2127" t="inlineStr">
        <is>
          <t>Frederick Antwi</t>
        </is>
      </c>
      <c r="E2127" t="inlineStr">
        <is>
          <t>Frederick Antwi</t>
        </is>
      </c>
      <c r="F2127" s="5" t="n">
        <v>46160.57519675926</v>
      </c>
      <c r="H2127" t="inlineStr">
        <is>
          <t>PCGH768</t>
        </is>
      </c>
      <c r="I2127" t="n">
        <v>0</v>
      </c>
      <c r="L2127" t="b">
        <v>1</v>
      </c>
      <c r="M2127" t="inlineStr">
        <is>
          <t>Non-Billable</t>
        </is>
      </c>
      <c r="N2127" s="6">
        <f>IF(B2127="","",IF(ISNUMBER(B2127),TEXT(B2127,"YYYY-MM"),LEFT(B2127,7)))</f>
        <v/>
      </c>
    </row>
    <row r="2128">
      <c r="A2128" t="inlineStr">
        <is>
          <t>Frederick Antwi</t>
        </is>
      </c>
      <c r="B2128" s="4" t="n">
        <v>46069</v>
      </c>
      <c r="C2128" t="inlineStr">
        <is>
          <t>/</t>
        </is>
      </c>
      <c r="D2128" t="inlineStr">
        <is>
          <t>Frederick Antwi</t>
        </is>
      </c>
      <c r="E2128" t="inlineStr">
        <is>
          <t>Frederick Antwi</t>
        </is>
      </c>
      <c r="F2128" s="5" t="n">
        <v>46160.57479166667</v>
      </c>
      <c r="H2128" t="inlineStr">
        <is>
          <t>P13NC00A00 - WALMART II</t>
        </is>
      </c>
      <c r="I2128" t="n">
        <v>0</v>
      </c>
      <c r="L2128" t="b">
        <v>0</v>
      </c>
      <c r="M2128" t="inlineStr">
        <is>
          <t>Non-Billable</t>
        </is>
      </c>
      <c r="N2128" s="6">
        <f>IF(B2128="","",IF(ISNUMBER(B2128),TEXT(B2128,"YYYY-MM"),LEFT(B2128,7)))</f>
        <v/>
      </c>
    </row>
    <row r="2129">
      <c r="A2129" t="inlineStr">
        <is>
          <t>Frederick Antwi</t>
        </is>
      </c>
      <c r="B2129" s="4" t="n">
        <v>46069</v>
      </c>
      <c r="C2129" t="inlineStr">
        <is>
          <t>/</t>
        </is>
      </c>
      <c r="D2129" t="inlineStr">
        <is>
          <t>Frederick Antwi</t>
        </is>
      </c>
      <c r="E2129" t="inlineStr">
        <is>
          <t>Frederick Antwi</t>
        </is>
      </c>
      <c r="F2129" s="5" t="n">
        <v>46160.57486111111</v>
      </c>
      <c r="H2129" t="inlineStr">
        <is>
          <t>P13PC00A00 - Private Sector Companies</t>
        </is>
      </c>
      <c r="I2129" t="n">
        <v>8</v>
      </c>
      <c r="L2129" t="b">
        <v>0</v>
      </c>
      <c r="M2129" t="inlineStr">
        <is>
          <t>Non-Billable</t>
        </is>
      </c>
      <c r="N2129" s="6">
        <f>IF(B2129="","",IF(ISNUMBER(B2129),TEXT(B2129,"YYYY-MM"),LEFT(B2129,7)))</f>
        <v/>
      </c>
    </row>
    <row r="2130">
      <c r="A2130" t="inlineStr">
        <is>
          <t>Stephen Doso</t>
        </is>
      </c>
      <c r="B2130" s="4" t="n">
        <v>46069</v>
      </c>
      <c r="C2130" t="inlineStr">
        <is>
          <t>/</t>
        </is>
      </c>
      <c r="D2130" t="inlineStr">
        <is>
          <t>Stephen Doso</t>
        </is>
      </c>
      <c r="E2130" t="inlineStr">
        <is>
          <t>OdooBot</t>
        </is>
      </c>
      <c r="F2130" s="5" t="n">
        <v>46154.70721064815</v>
      </c>
      <c r="H2130" t="inlineStr">
        <is>
          <t>PCGH784</t>
        </is>
      </c>
      <c r="I2130" t="n">
        <v>8</v>
      </c>
      <c r="J2130" t="inlineStr">
        <is>
          <t>PCGH784 -  Field data collection  (3) (Okeosisi Jonathan)</t>
        </is>
      </c>
      <c r="K2130" t="inlineStr">
        <is>
          <t>Field survey and Data Collection)</t>
        </is>
      </c>
      <c r="L2130" t="b">
        <v>1</v>
      </c>
      <c r="M2130" t="inlineStr">
        <is>
          <t>Billed at a Fixed price</t>
        </is>
      </c>
      <c r="N2130" s="6">
        <f>IF(B2130="","",IF(ISNUMBER(B2130),TEXT(B2130,"YYYY-MM"),LEFT(B2130,7)))</f>
        <v/>
      </c>
    </row>
    <row r="2131">
      <c r="A2131" t="inlineStr">
        <is>
          <t>Kwadwo Baniako Nti</t>
        </is>
      </c>
      <c r="B2131" s="4" t="n">
        <v>46069</v>
      </c>
      <c r="C2131" t="inlineStr">
        <is>
          <t>/</t>
        </is>
      </c>
      <c r="D2131" t="inlineStr">
        <is>
          <t>Kwadwo Baniako Nti</t>
        </is>
      </c>
      <c r="E2131" t="inlineStr">
        <is>
          <t>OdooBot</t>
        </is>
      </c>
      <c r="F2131" s="5" t="n">
        <v>46154.70721064815</v>
      </c>
      <c r="G2131" t="inlineStr">
        <is>
          <t>Field verification and reporting in Nigeria (3)</t>
        </is>
      </c>
      <c r="H2131" t="inlineStr">
        <is>
          <t>PCGH775 - ESDD of Valency Operations for FMO</t>
        </is>
      </c>
      <c r="I2131" t="n">
        <v>0</v>
      </c>
      <c r="J2131" t="inlineStr">
        <is>
          <t>PCGH775 - Field Verification (3) (Valency International DMCC)</t>
        </is>
      </c>
      <c r="K2131" t="inlineStr">
        <is>
          <t>Analysis and reporting in Nigeria</t>
        </is>
      </c>
      <c r="L2131" t="b">
        <v>1</v>
      </c>
      <c r="M2131" t="inlineStr">
        <is>
          <t>Billed at a Fixed price</t>
        </is>
      </c>
      <c r="N2131" s="6">
        <f>IF(B2131="","",IF(ISNUMBER(B2131),TEXT(B2131,"YYYY-MM"),LEFT(B2131,7)))</f>
        <v/>
      </c>
    </row>
    <row r="2132">
      <c r="A2132" t="inlineStr">
        <is>
          <t>Daleba Bernard Kpenahi Raymond</t>
        </is>
      </c>
      <c r="B2132" s="4" t="n">
        <v>46069</v>
      </c>
      <c r="C2132" t="inlineStr">
        <is>
          <t>/</t>
        </is>
      </c>
      <c r="D2132" t="inlineStr">
        <is>
          <t>Daleba Bernard Kpenahi Raymond</t>
        </is>
      </c>
      <c r="E2132" t="inlineStr">
        <is>
          <t>OdooBot</t>
        </is>
      </c>
      <c r="F2132" s="5" t="n">
        <v>46154.70721064815</v>
      </c>
      <c r="H2132" t="inlineStr">
        <is>
          <t>PCGH754 (Cote D'voire)</t>
        </is>
      </c>
      <c r="I2132" t="n">
        <v>0</v>
      </c>
      <c r="L2132" t="b">
        <v>1</v>
      </c>
      <c r="M2132" t="inlineStr">
        <is>
          <t>Non-Billable</t>
        </is>
      </c>
      <c r="N2132" s="6">
        <f>IF(B2132="","",IF(ISNUMBER(B2132),TEXT(B2132,"YYYY-MM"),LEFT(B2132,7)))</f>
        <v/>
      </c>
    </row>
    <row r="2133">
      <c r="A2133" t="inlineStr">
        <is>
          <t>Daleba Bernard Kpenahi Raymond</t>
        </is>
      </c>
      <c r="B2133" s="4" t="n">
        <v>46069</v>
      </c>
      <c r="C2133" t="inlineStr">
        <is>
          <t xml:space="preserve">Developed Draft ToR for Ghana, Liberia and Cameroun, </t>
        </is>
      </c>
      <c r="D2133" t="inlineStr">
        <is>
          <t>Daleba Bernard Kpenahi Raymond</t>
        </is>
      </c>
      <c r="E2133" t="inlineStr">
        <is>
          <t>OdooBot</t>
        </is>
      </c>
      <c r="F2133" s="5" t="n">
        <v>46154.70721064815</v>
      </c>
      <c r="G2133" t="inlineStr">
        <is>
          <t>Output 2.3</t>
        </is>
      </c>
      <c r="H2133" t="inlineStr">
        <is>
          <t>P23AC00C00 - FGMC</t>
        </is>
      </c>
      <c r="I2133" t="n">
        <v>0</v>
      </c>
      <c r="K2133" t="inlineStr">
        <is>
          <t>P23AC22A00 - Output Two (Elevating Local Solutions - West Africa)</t>
        </is>
      </c>
      <c r="L2133" t="b">
        <v>0</v>
      </c>
      <c r="M2133" t="inlineStr">
        <is>
          <t>Non-Billable</t>
        </is>
      </c>
      <c r="N2133" s="6">
        <f>IF(B2133="","",IF(ISNUMBER(B2133),TEXT(B2133,"YYYY-MM"),LEFT(B2133,7)))</f>
        <v/>
      </c>
    </row>
    <row r="2134">
      <c r="A2134" t="inlineStr">
        <is>
          <t>Ekow Nyamekye Tawiah</t>
        </is>
      </c>
      <c r="B2134" s="4" t="n">
        <v>46069</v>
      </c>
      <c r="C2134" t="inlineStr">
        <is>
          <t>Borotou Koro Reporting</t>
        </is>
      </c>
      <c r="D2134" t="inlineStr">
        <is>
          <t>Ekow Nyamekye Tawiah</t>
        </is>
      </c>
      <c r="E2134" t="inlineStr">
        <is>
          <t>OdooBot</t>
        </is>
      </c>
      <c r="F2134" s="5" t="n">
        <v>46154.70721064815</v>
      </c>
      <c r="H2134" t="inlineStr">
        <is>
          <t>PCGH722</t>
        </is>
      </c>
      <c r="I2134" t="n">
        <v>4</v>
      </c>
      <c r="J2134" t="inlineStr">
        <is>
          <t>PCGH722 - Analysis and Reporting (3) (Sucrivoire SA)</t>
        </is>
      </c>
      <c r="K2134" t="inlineStr">
        <is>
          <t>Analysis and Reporting (3)</t>
        </is>
      </c>
      <c r="L2134" t="b">
        <v>1</v>
      </c>
      <c r="M2134" t="inlineStr">
        <is>
          <t>Billed at a Fixed price</t>
        </is>
      </c>
      <c r="N2134" s="6">
        <f>IF(B2134="","",IF(ISNUMBER(B2134),TEXT(B2134,"YYYY-MM"),LEFT(B2134,7)))</f>
        <v/>
      </c>
    </row>
    <row r="2135">
      <c r="A2135" t="inlineStr">
        <is>
          <t>Daleba Bernard Kpenahi Raymond</t>
        </is>
      </c>
      <c r="B2135" s="4" t="n">
        <v>46069</v>
      </c>
      <c r="C2135" t="inlineStr">
        <is>
          <t>/</t>
        </is>
      </c>
      <c r="D2135" t="inlineStr">
        <is>
          <t>Daleba Bernard Kpenahi Raymond</t>
        </is>
      </c>
      <c r="E2135" t="inlineStr">
        <is>
          <t>OdooBot</t>
        </is>
      </c>
      <c r="F2135" s="5" t="n">
        <v>46154.70721064815</v>
      </c>
      <c r="G2135" t="inlineStr">
        <is>
          <t>Desk study, development of assessment framework &amp; online meetings (3)</t>
        </is>
      </c>
      <c r="H2135" t="inlineStr">
        <is>
          <t>PCGH775 - ESDD of Valency Operations for FMO</t>
        </is>
      </c>
      <c r="I2135" t="n">
        <v>8</v>
      </c>
      <c r="J2135" t="inlineStr">
        <is>
          <t>PCGH775 - Development of Assessment Framework (3) (Valency International DMCC)</t>
        </is>
      </c>
      <c r="K2135" t="inlineStr">
        <is>
          <t>Document review and assessment of framework including CIV</t>
        </is>
      </c>
      <c r="L2135" t="b">
        <v>1</v>
      </c>
      <c r="M2135" t="inlineStr">
        <is>
          <t>Billed at a Fixed price</t>
        </is>
      </c>
      <c r="N2135" s="6">
        <f>IF(B2135="","",IF(ISNUMBER(B2135),TEXT(B2135,"YYYY-MM"),LEFT(B2135,7)))</f>
        <v/>
      </c>
    </row>
    <row r="2136">
      <c r="A2136" t="inlineStr">
        <is>
          <t>Augustus Asamoah</t>
        </is>
      </c>
      <c r="B2136" s="4" t="n">
        <v>46069</v>
      </c>
      <c r="C2136" t="inlineStr">
        <is>
          <t>/</t>
        </is>
      </c>
      <c r="D2136" t="inlineStr">
        <is>
          <t>Augustus Asamoah</t>
        </is>
      </c>
      <c r="E2136" t="inlineStr">
        <is>
          <t>OdooBot</t>
        </is>
      </c>
      <c r="F2136" s="5" t="n">
        <v>46154.70721064815</v>
      </c>
      <c r="G2136" t="inlineStr">
        <is>
          <t>Field survey and Data Collection)</t>
        </is>
      </c>
      <c r="H2136" t="inlineStr">
        <is>
          <t>PCGH784</t>
        </is>
      </c>
      <c r="I2136" t="n">
        <v>8</v>
      </c>
      <c r="J2136" t="inlineStr">
        <is>
          <t>PCGH784 -  Field data collection  (3) (Okeosisi Jonathan)</t>
        </is>
      </c>
      <c r="K2136" t="inlineStr">
        <is>
          <t>Fauna Survey</t>
        </is>
      </c>
      <c r="L2136" t="b">
        <v>1</v>
      </c>
      <c r="M2136" t="inlineStr">
        <is>
          <t>Billed at a Fixed price</t>
        </is>
      </c>
      <c r="N2136" s="6">
        <f>IF(B2136="","",IF(ISNUMBER(B2136),TEXT(B2136,"YYYY-MM"),LEFT(B2136,7)))</f>
        <v/>
      </c>
    </row>
    <row r="2137">
      <c r="A2137" t="inlineStr">
        <is>
          <t>Augustus Asamoah</t>
        </is>
      </c>
      <c r="B2137" s="4" t="n">
        <v>46069</v>
      </c>
      <c r="C2137" t="inlineStr">
        <is>
          <t>/</t>
        </is>
      </c>
      <c r="D2137" t="inlineStr">
        <is>
          <t>Augustus Asamoah</t>
        </is>
      </c>
      <c r="E2137" t="inlineStr">
        <is>
          <t>OdooBot</t>
        </is>
      </c>
      <c r="F2137" s="5" t="n">
        <v>46154.70721064815</v>
      </c>
      <c r="H2137" t="inlineStr">
        <is>
          <t>PCGH784</t>
        </is>
      </c>
      <c r="I2137" t="n">
        <v>0</v>
      </c>
      <c r="J2137" t="inlineStr">
        <is>
          <t>PCGH784 - Desk Study (3) (Okeosisi Jonathan)</t>
        </is>
      </c>
      <c r="L2137" t="b">
        <v>1</v>
      </c>
      <c r="M2137" t="inlineStr">
        <is>
          <t>Billed at a Fixed price</t>
        </is>
      </c>
      <c r="N2137" s="6">
        <f>IF(B2137="","",IF(ISNUMBER(B2137),TEXT(B2137,"YYYY-MM"),LEFT(B2137,7)))</f>
        <v/>
      </c>
    </row>
    <row r="2138">
      <c r="A2138" t="inlineStr">
        <is>
          <t>Afua Serwah Akoto Prempeh</t>
        </is>
      </c>
      <c r="B2138" s="4" t="n">
        <v>46069</v>
      </c>
      <c r="C2138" t="inlineStr">
        <is>
          <t>/</t>
        </is>
      </c>
      <c r="D2138" t="inlineStr">
        <is>
          <t>Afua Serwah Akoto Prempeh</t>
        </is>
      </c>
      <c r="E2138" t="inlineStr">
        <is>
          <t>OdooBot</t>
        </is>
      </c>
      <c r="F2138" s="5" t="n">
        <v>46154.70721064815</v>
      </c>
      <c r="H2138" t="inlineStr">
        <is>
          <t>Non-Billable Tasks</t>
        </is>
      </c>
      <c r="I2138" t="n">
        <v>1</v>
      </c>
      <c r="L2138" t="b">
        <v>0</v>
      </c>
      <c r="M2138" t="inlineStr">
        <is>
          <t>Non-Billable</t>
        </is>
      </c>
      <c r="N2138" s="6">
        <f>IF(B2138="","",IF(ISNUMBER(B2138),TEXT(B2138,"YYYY-MM"),LEFT(B2138,7)))</f>
        <v/>
      </c>
    </row>
    <row r="2139">
      <c r="A2139" t="inlineStr">
        <is>
          <t>Afua Serwah Akoto Prempeh</t>
        </is>
      </c>
      <c r="B2139" s="4" t="n">
        <v>46069</v>
      </c>
      <c r="C2139" t="inlineStr">
        <is>
          <t>/</t>
        </is>
      </c>
      <c r="D2139" t="inlineStr">
        <is>
          <t>Afua Serwah Akoto Prempeh</t>
        </is>
      </c>
      <c r="E2139" t="inlineStr">
        <is>
          <t>OdooBot</t>
        </is>
      </c>
      <c r="F2139" s="5" t="n">
        <v>46154.70721064815</v>
      </c>
      <c r="H2139" t="inlineStr">
        <is>
          <t>P23AC00C00 - FGMC</t>
        </is>
      </c>
      <c r="I2139" t="n">
        <v>2</v>
      </c>
      <c r="L2139" t="b">
        <v>0</v>
      </c>
      <c r="M2139" t="inlineStr">
        <is>
          <t>Non-Billable</t>
        </is>
      </c>
      <c r="N2139" s="6">
        <f>IF(B2139="","",IF(ISNUMBER(B2139),TEXT(B2139,"YYYY-MM"),LEFT(B2139,7)))</f>
        <v/>
      </c>
    </row>
    <row r="2140">
      <c r="A2140" t="inlineStr">
        <is>
          <t>Afua Serwah Akoto Prempeh</t>
        </is>
      </c>
      <c r="B2140" s="4" t="n">
        <v>46069</v>
      </c>
      <c r="C2140" t="inlineStr">
        <is>
          <t>/</t>
        </is>
      </c>
      <c r="D2140" t="inlineStr">
        <is>
          <t>Afua Serwah Akoto Prempeh</t>
        </is>
      </c>
      <c r="E2140" t="inlineStr">
        <is>
          <t>OdooBot</t>
        </is>
      </c>
      <c r="F2140" s="5" t="n">
        <v>46154.70721064815</v>
      </c>
      <c r="H2140" t="inlineStr">
        <is>
          <t>Non-Billable Tasks</t>
        </is>
      </c>
      <c r="I2140" t="n">
        <v>3</v>
      </c>
      <c r="K2140" t="inlineStr">
        <is>
          <t>Communication/Data/Training</t>
        </is>
      </c>
      <c r="L2140" t="b">
        <v>0</v>
      </c>
      <c r="M2140" t="inlineStr">
        <is>
          <t>Non-Billable</t>
        </is>
      </c>
      <c r="N2140" s="6">
        <f>IF(B2140="","",IF(ISNUMBER(B2140),TEXT(B2140,"YYYY-MM"),LEFT(B2140,7)))</f>
        <v/>
      </c>
    </row>
    <row r="2141">
      <c r="A2141" t="inlineStr">
        <is>
          <t>Louis Defo</t>
        </is>
      </c>
      <c r="B2141" s="4" t="n">
        <v>46069</v>
      </c>
      <c r="C2141" t="inlineStr">
        <is>
          <t>mapping initiatives</t>
        </is>
      </c>
      <c r="D2141" t="inlineStr">
        <is>
          <t>Louis Defo</t>
        </is>
      </c>
      <c r="E2141" t="inlineStr">
        <is>
          <t>OdooBot</t>
        </is>
      </c>
      <c r="F2141" s="5" t="n">
        <v>46154.70721064815</v>
      </c>
      <c r="H2141" t="inlineStr">
        <is>
          <t>P23AC00C00 - FGMC</t>
        </is>
      </c>
      <c r="I2141" t="n">
        <v>8</v>
      </c>
      <c r="L2141" t="b">
        <v>0</v>
      </c>
      <c r="M2141" t="inlineStr">
        <is>
          <t>Non-Billable</t>
        </is>
      </c>
      <c r="N2141" s="6">
        <f>IF(B2141="","",IF(ISNUMBER(B2141),TEXT(B2141,"YYYY-MM"),LEFT(B2141,7)))</f>
        <v/>
      </c>
    </row>
    <row r="2142">
      <c r="A2142" t="inlineStr">
        <is>
          <t>Helena Tetteh</t>
        </is>
      </c>
      <c r="B2142" s="4" t="n">
        <v>46069</v>
      </c>
      <c r="C2142" t="inlineStr">
        <is>
          <t>L&amp;C LJ_technical planning session_with AA,FA</t>
        </is>
      </c>
      <c r="D2142" t="inlineStr">
        <is>
          <t xml:space="preserve">Helena Tetteh </t>
        </is>
      </c>
      <c r="E2142" t="inlineStr">
        <is>
          <t>OdooBot</t>
        </is>
      </c>
      <c r="F2142" s="5" t="n">
        <v>46154.70721064815</v>
      </c>
      <c r="H2142" t="inlineStr">
        <is>
          <t>Non-Billable Tasks</t>
        </is>
      </c>
      <c r="I2142" t="n">
        <v>1</v>
      </c>
      <c r="K2142" t="inlineStr">
        <is>
          <t>Professional development and Knowledge sharing(training,global knowledge calls,exchange weeks)</t>
        </is>
      </c>
      <c r="L2142" t="b">
        <v>0</v>
      </c>
      <c r="M2142" t="inlineStr">
        <is>
          <t>Non-Billable</t>
        </is>
      </c>
      <c r="N2142" s="6">
        <f>IF(B2142="","",IF(ISNUMBER(B2142),TEXT(B2142,"YYYY-MM"),LEFT(B2142,7)))</f>
        <v/>
      </c>
    </row>
    <row r="2143">
      <c r="A2143" t="inlineStr">
        <is>
          <t>Helena Tetteh</t>
        </is>
      </c>
      <c r="B2143" s="4" t="n">
        <v>46069</v>
      </c>
      <c r="C2143" t="inlineStr">
        <is>
          <t>FGMC-Bridge (ToR)</t>
        </is>
      </c>
      <c r="D2143" t="inlineStr">
        <is>
          <t xml:space="preserve">Helena Tetteh </t>
        </is>
      </c>
      <c r="E2143" t="inlineStr">
        <is>
          <t>OdooBot</t>
        </is>
      </c>
      <c r="F2143" s="5" t="n">
        <v>46154.70721064815</v>
      </c>
      <c r="H2143" t="inlineStr">
        <is>
          <t>P23AC00C00 - FGMC</t>
        </is>
      </c>
      <c r="I2143" t="n">
        <v>2.5</v>
      </c>
      <c r="K2143" t="inlineStr">
        <is>
          <t>Output 2.3</t>
        </is>
      </c>
      <c r="L2143" t="b">
        <v>0</v>
      </c>
      <c r="M2143" t="inlineStr">
        <is>
          <t>Non-Billable</t>
        </is>
      </c>
      <c r="N2143" s="6">
        <f>IF(B2143="","",IF(ISNUMBER(B2143),TEXT(B2143,"YYYY-MM"),LEFT(B2143,7)))</f>
        <v/>
      </c>
    </row>
    <row r="2144">
      <c r="A2144" t="inlineStr">
        <is>
          <t>Helena Tetteh</t>
        </is>
      </c>
      <c r="B2144" s="4" t="n">
        <v>46069</v>
      </c>
      <c r="C2144" t="inlineStr">
        <is>
          <t>BIP_catch-on on PIA BIP action plan with Eben</t>
        </is>
      </c>
      <c r="D2144" t="inlineStr">
        <is>
          <t xml:space="preserve">Helena Tetteh </t>
        </is>
      </c>
      <c r="E2144" t="inlineStr">
        <is>
          <t>OdooBot</t>
        </is>
      </c>
      <c r="F2144" s="5" t="n">
        <v>46154.70721064815</v>
      </c>
      <c r="H2144" t="inlineStr">
        <is>
          <t>Non-Billable Tasks</t>
        </is>
      </c>
      <c r="I2144" t="n">
        <v>1</v>
      </c>
      <c r="K2144" t="inlineStr">
        <is>
          <t>Portfolio Team Management</t>
        </is>
      </c>
      <c r="L2144" t="b">
        <v>0</v>
      </c>
      <c r="M2144" t="inlineStr">
        <is>
          <t>Non-Billable</t>
        </is>
      </c>
      <c r="N2144" s="6">
        <f>IF(B2144="","",IF(ISNUMBER(B2144),TEXT(B2144,"YYYY-MM"),LEFT(B2144,7)))</f>
        <v/>
      </c>
    </row>
    <row r="2145">
      <c r="A2145" t="inlineStr">
        <is>
          <t>Helena Tetteh</t>
        </is>
      </c>
      <c r="B2145" s="4" t="n">
        <v>46069</v>
      </c>
      <c r="C2145" t="inlineStr">
        <is>
          <t>BIP_Addressing partner assessment criteria gaps</t>
        </is>
      </c>
      <c r="D2145" t="inlineStr">
        <is>
          <t xml:space="preserve">Helena Tetteh </t>
        </is>
      </c>
      <c r="E2145" t="inlineStr">
        <is>
          <t>OdooBot</t>
        </is>
      </c>
      <c r="F2145" s="5" t="n">
        <v>46154.70721064815</v>
      </c>
      <c r="H2145" t="inlineStr">
        <is>
          <t>Non-Billable Tasks</t>
        </is>
      </c>
      <c r="I2145" t="n">
        <v>2.5</v>
      </c>
      <c r="K2145" t="inlineStr">
        <is>
          <t>Portfolio Team Management</t>
        </is>
      </c>
      <c r="L2145" t="b">
        <v>0</v>
      </c>
      <c r="M2145" t="inlineStr">
        <is>
          <t>Non-Billable</t>
        </is>
      </c>
      <c r="N2145" s="6">
        <f>IF(B2145="","",IF(ISNUMBER(B2145),TEXT(B2145,"YYYY-MM"),LEFT(B2145,7)))</f>
        <v/>
      </c>
    </row>
    <row r="2146">
      <c r="A2146" t="inlineStr">
        <is>
          <t>Helena Tetteh</t>
        </is>
      </c>
      <c r="B2146" s="4" t="n">
        <v>46069</v>
      </c>
      <c r="C2146" t="inlineStr">
        <is>
          <t xml:space="preserve">PIA bi-weekly check-in
</t>
        </is>
      </c>
      <c r="D2146" t="inlineStr">
        <is>
          <t xml:space="preserve">Helena Tetteh </t>
        </is>
      </c>
      <c r="E2146" t="inlineStr">
        <is>
          <t>OdooBot</t>
        </is>
      </c>
      <c r="F2146" s="5" t="n">
        <v>46154.70721064815</v>
      </c>
      <c r="H2146" t="inlineStr">
        <is>
          <t>Non-Billable Tasks</t>
        </is>
      </c>
      <c r="I2146" t="n">
        <v>1</v>
      </c>
      <c r="K2146" t="inlineStr">
        <is>
          <t>Portfolio Team Management</t>
        </is>
      </c>
      <c r="L2146" t="b">
        <v>0</v>
      </c>
      <c r="M2146" t="inlineStr">
        <is>
          <t>Non-Billable</t>
        </is>
      </c>
      <c r="N2146" s="6">
        <f>IF(B2146="","",IF(ISNUMBER(B2146),TEXT(B2146,"YYYY-MM"),LEFT(B2146,7)))</f>
        <v/>
      </c>
    </row>
    <row r="2147">
      <c r="A2147" t="inlineStr">
        <is>
          <t>Clement Obeng-Manu</t>
        </is>
      </c>
      <c r="B2147" s="4" t="n">
        <v>46069</v>
      </c>
      <c r="C2147" t="inlineStr">
        <is>
          <t>/</t>
        </is>
      </c>
      <c r="D2147" t="inlineStr">
        <is>
          <t>Clement Obeng-Manu</t>
        </is>
      </c>
      <c r="E2147" t="inlineStr">
        <is>
          <t>OdooBot</t>
        </is>
      </c>
      <c r="F2147" s="5" t="n">
        <v>46154.70721064815</v>
      </c>
      <c r="G2147" t="inlineStr">
        <is>
          <t>Analysis and Reporting (3)</t>
        </is>
      </c>
      <c r="H2147" t="inlineStr">
        <is>
          <t>PCGH722</t>
        </is>
      </c>
      <c r="I2147" t="n">
        <v>8</v>
      </c>
      <c r="J2147" t="inlineStr">
        <is>
          <t>PCGH722 - Analysis and Reporting (3) (Sucrivoire SA)</t>
        </is>
      </c>
      <c r="K2147" t="inlineStr">
        <is>
          <t>Analysis and Reporting (3)</t>
        </is>
      </c>
      <c r="L2147" t="b">
        <v>1</v>
      </c>
      <c r="M2147" t="inlineStr">
        <is>
          <t>Billed at a Fixed price</t>
        </is>
      </c>
      <c r="N2147" s="6">
        <f>IF(B2147="","",IF(ISNUMBER(B2147),TEXT(B2147,"YYYY-MM"),LEFT(B2147,7)))</f>
        <v/>
      </c>
    </row>
    <row r="2148">
      <c r="A2148" t="inlineStr">
        <is>
          <t>Kingsley Fitz-Gerald Severine</t>
        </is>
      </c>
      <c r="B2148" s="4" t="n">
        <v>46069</v>
      </c>
      <c r="C2148" t="inlineStr">
        <is>
          <t>/</t>
        </is>
      </c>
      <c r="D2148" t="inlineStr">
        <is>
          <t>Kingsley Fitz-Gerald Severine</t>
        </is>
      </c>
      <c r="E2148" t="inlineStr">
        <is>
          <t>OdooBot</t>
        </is>
      </c>
      <c r="F2148" s="5" t="n">
        <v>46154.70721064815</v>
      </c>
      <c r="G2148" t="inlineStr">
        <is>
          <t>Field survey and Data Collection)</t>
        </is>
      </c>
      <c r="H2148" t="inlineStr">
        <is>
          <t>PCGH784</t>
        </is>
      </c>
      <c r="I2148" t="n">
        <v>8</v>
      </c>
      <c r="J2148" t="inlineStr">
        <is>
          <t>PCGH784 -  Field data collection  (3) (Okeosisi Jonathan)</t>
        </is>
      </c>
      <c r="K2148" t="inlineStr">
        <is>
          <t>Stakeholder Consultations</t>
        </is>
      </c>
      <c r="L2148" t="b">
        <v>1</v>
      </c>
      <c r="M2148" t="inlineStr">
        <is>
          <t>Billed at a Fixed price</t>
        </is>
      </c>
      <c r="N2148" s="6">
        <f>IF(B2148="","",IF(ISNUMBER(B2148),TEXT(B2148,"YYYY-MM"),LEFT(B2148,7)))</f>
        <v/>
      </c>
    </row>
    <row r="2149">
      <c r="A2149" t="inlineStr">
        <is>
          <t>Kwadwo Baniako Nti</t>
        </is>
      </c>
      <c r="B2149" s="4" t="n">
        <v>46069</v>
      </c>
      <c r="C2149" t="inlineStr">
        <is>
          <t>/</t>
        </is>
      </c>
      <c r="D2149" t="inlineStr">
        <is>
          <t>Kwadwo Baniako Nti</t>
        </is>
      </c>
      <c r="E2149" t="inlineStr">
        <is>
          <t>OdooBot</t>
        </is>
      </c>
      <c r="F2149" s="5" t="n">
        <v>46154.70721064815</v>
      </c>
      <c r="G2149" t="inlineStr">
        <is>
          <t>Field verification and reporting in Nigeria (3)</t>
        </is>
      </c>
      <c r="H2149" t="inlineStr">
        <is>
          <t>PCGH775 - ESDD of Valency Operations for FMO</t>
        </is>
      </c>
      <c r="I2149" t="n">
        <v>8</v>
      </c>
      <c r="J2149" t="inlineStr">
        <is>
          <t>PCGH775 - Field Verification (3) (Valency International DMCC)</t>
        </is>
      </c>
      <c r="K2149" t="inlineStr">
        <is>
          <t>Site audit/ assessment (Nigeria)</t>
        </is>
      </c>
      <c r="L2149" t="b">
        <v>1</v>
      </c>
      <c r="M2149" t="inlineStr">
        <is>
          <t>Billed at a Fixed price</t>
        </is>
      </c>
      <c r="N2149" s="6">
        <f>IF(B2149="","",IF(ISNUMBER(B2149),TEXT(B2149,"YYYY-MM"),LEFT(B2149,7)))</f>
        <v/>
      </c>
    </row>
    <row r="2150">
      <c r="A2150" t="inlineStr">
        <is>
          <t>Afua Serwah Akoto Prempeh</t>
        </is>
      </c>
      <c r="B2150" s="4" t="n">
        <v>46069</v>
      </c>
      <c r="C2150" t="inlineStr">
        <is>
          <t>/PIA Bi-wwekly check in</t>
        </is>
      </c>
      <c r="D2150" t="inlineStr">
        <is>
          <t>Afua Serwah Akoto Prempeh</t>
        </is>
      </c>
      <c r="E2150" t="inlineStr">
        <is>
          <t>OdooBot</t>
        </is>
      </c>
      <c r="F2150" s="5" t="n">
        <v>46154.70721064815</v>
      </c>
      <c r="H2150" t="inlineStr">
        <is>
          <t>Non-Billable Tasks</t>
        </is>
      </c>
      <c r="I2150" t="n">
        <v>0.75</v>
      </c>
      <c r="L2150" t="b">
        <v>0</v>
      </c>
      <c r="M2150" t="inlineStr">
        <is>
          <t>Non-Billable</t>
        </is>
      </c>
      <c r="N2150" s="6">
        <f>IF(B2150="","",IF(ISNUMBER(B2150),TEXT(B2150,"YYYY-MM"),LEFT(B2150,7)))</f>
        <v/>
      </c>
    </row>
    <row r="2151">
      <c r="A2151" t="inlineStr">
        <is>
          <t>Afua Serwah Akoto Prempeh</t>
        </is>
      </c>
      <c r="B2151" s="4" t="n">
        <v>46069</v>
      </c>
      <c r="C2151" t="inlineStr">
        <is>
          <t>/Review of partner assessment questionnaire</t>
        </is>
      </c>
      <c r="D2151" t="inlineStr">
        <is>
          <t>Afua Serwah Akoto Prempeh</t>
        </is>
      </c>
      <c r="E2151" t="inlineStr">
        <is>
          <t>OdooBot</t>
        </is>
      </c>
      <c r="F2151" s="5" t="n">
        <v>46154.70721064815</v>
      </c>
      <c r="H2151" t="inlineStr">
        <is>
          <t>Non-Billable Tasks</t>
        </is>
      </c>
      <c r="I2151" t="n">
        <v>1.25</v>
      </c>
      <c r="L2151" t="b">
        <v>0</v>
      </c>
      <c r="M2151" t="inlineStr">
        <is>
          <t>Non-Billable</t>
        </is>
      </c>
      <c r="N2151" s="6">
        <f>IF(B2151="","",IF(ISNUMBER(B2151),TEXT(B2151,"YYYY-MM"),LEFT(B2151,7)))</f>
        <v/>
      </c>
    </row>
    <row r="2152">
      <c r="A2152" t="inlineStr">
        <is>
          <t>Joseph Isaiah Mensah</t>
        </is>
      </c>
      <c r="B2152" s="4" t="n">
        <v>46067</v>
      </c>
      <c r="C2152" t="inlineStr">
        <is>
          <t>/</t>
        </is>
      </c>
      <c r="D2152" t="inlineStr">
        <is>
          <t>Joseph Isaiah Mensah</t>
        </is>
      </c>
      <c r="E2152" t="inlineStr">
        <is>
          <t>Joseph Isaiah Mensah</t>
        </is>
      </c>
      <c r="F2152" s="5" t="n">
        <v>46162.76883101852</v>
      </c>
      <c r="H2152" t="inlineStr">
        <is>
          <t>PCGH774 -Evaluation Deep-Dive Action Plans by Socfin Group</t>
        </is>
      </c>
      <c r="I2152" t="n">
        <v>0</v>
      </c>
      <c r="J2152" t="inlineStr">
        <is>
          <t>PCGH774 - Project Management (2) (Socfinco FR SA)</t>
        </is>
      </c>
      <c r="L2152" t="b">
        <v>1</v>
      </c>
      <c r="M2152" t="inlineStr">
        <is>
          <t>Billed at a Fixed price</t>
        </is>
      </c>
      <c r="N2152" s="6">
        <f>IF(B2152="","",IF(ISNUMBER(B2152),TEXT(B2152,"YYYY-MM"),LEFT(B2152,7)))</f>
        <v/>
      </c>
    </row>
    <row r="2153">
      <c r="A2153" t="inlineStr">
        <is>
          <t>Joseph Isaiah Mensah</t>
        </is>
      </c>
      <c r="B2153" s="4" t="n">
        <v>46067</v>
      </c>
      <c r="C2153" t="inlineStr">
        <is>
          <t>/</t>
        </is>
      </c>
      <c r="D2153" t="inlineStr">
        <is>
          <t>Joseph Isaiah Mensah</t>
        </is>
      </c>
      <c r="E2153" t="inlineStr">
        <is>
          <t>Joseph Isaiah Mensah</t>
        </is>
      </c>
      <c r="F2153" s="5" t="n">
        <v>46162.76395833334</v>
      </c>
      <c r="H2153" t="inlineStr">
        <is>
          <t>PCGH774 -Evaluation Deep-Dive Action Plans by Socfin Group</t>
        </is>
      </c>
      <c r="I2153" t="n">
        <v>8</v>
      </c>
      <c r="J2153" t="inlineStr">
        <is>
          <t>PCGH774 - Field Verification (2) (Socfinco FR SA)</t>
        </is>
      </c>
      <c r="K2153" t="inlineStr">
        <is>
          <t>[Cameroon, Socapalm （Dibombari + Edéa + Mbongo + Mbambou） Report review] - Field verification/observation/community and stakeholder engagement</t>
        </is>
      </c>
      <c r="L2153" t="b">
        <v>1</v>
      </c>
      <c r="M2153" t="inlineStr">
        <is>
          <t>Billed at a Fixed price</t>
        </is>
      </c>
      <c r="N2153" s="6">
        <f>IF(B2153="","",IF(ISNUMBER(B2153),TEXT(B2153,"YYYY-MM"),LEFT(B2153,7)))</f>
        <v/>
      </c>
    </row>
    <row r="2154">
      <c r="A2154" t="inlineStr">
        <is>
          <t>Joseph Isaiah Mensah</t>
        </is>
      </c>
      <c r="B2154" s="4" t="n">
        <v>46067</v>
      </c>
      <c r="C2154" t="inlineStr">
        <is>
          <t>EU proposal</t>
        </is>
      </c>
      <c r="D2154" t="inlineStr">
        <is>
          <t>Joseph Isaiah Mensah</t>
        </is>
      </c>
      <c r="E2154" t="inlineStr">
        <is>
          <t>Joseph Isaiah Mensah</t>
        </is>
      </c>
      <c r="F2154" s="5" t="n">
        <v>46162.73708333333</v>
      </c>
      <c r="H2154" t="inlineStr">
        <is>
          <t>Non-Billable Tasks</t>
        </is>
      </c>
      <c r="I2154" t="n">
        <v>6</v>
      </c>
      <c r="K2154" t="inlineStr">
        <is>
          <t>Business Development and Networking</t>
        </is>
      </c>
      <c r="L2154" t="b">
        <v>0</v>
      </c>
      <c r="M2154" t="inlineStr">
        <is>
          <t>Non-Billable</t>
        </is>
      </c>
      <c r="N2154" s="6">
        <f>IF(B2154="","",IF(ISNUMBER(B2154),TEXT(B2154,"YYYY-MM"),LEFT(B2154,7)))</f>
        <v/>
      </c>
    </row>
    <row r="2155">
      <c r="A2155" t="inlineStr">
        <is>
          <t>Augustus Asamoah</t>
        </is>
      </c>
      <c r="B2155" s="4" t="n">
        <v>46067</v>
      </c>
      <c r="C2155" t="inlineStr">
        <is>
          <t>/</t>
        </is>
      </c>
      <c r="D2155" t="inlineStr">
        <is>
          <t>Augustus Asamoah</t>
        </is>
      </c>
      <c r="E2155" t="inlineStr">
        <is>
          <t>OdooBot</t>
        </is>
      </c>
      <c r="F2155" s="5" t="n">
        <v>46154.70721064815</v>
      </c>
      <c r="H2155" t="inlineStr">
        <is>
          <t>Non-Billable Tasks</t>
        </is>
      </c>
      <c r="I2155" t="n">
        <v>0</v>
      </c>
      <c r="L2155" t="b">
        <v>0</v>
      </c>
      <c r="M2155" t="inlineStr">
        <is>
          <t>Non-Billable</t>
        </is>
      </c>
      <c r="N2155" s="6">
        <f>IF(B2155="","",IF(ISNUMBER(B2155),TEXT(B2155,"YYYY-MM"),LEFT(B2155,7)))</f>
        <v/>
      </c>
    </row>
    <row r="2156">
      <c r="A2156" t="inlineStr">
        <is>
          <t>Joseph Isaiah Mensah</t>
        </is>
      </c>
      <c r="B2156" s="4" t="n">
        <v>46066</v>
      </c>
      <c r="C2156" t="inlineStr">
        <is>
          <t>/</t>
        </is>
      </c>
      <c r="D2156" t="inlineStr">
        <is>
          <t>Joseph Isaiah Mensah</t>
        </is>
      </c>
      <c r="E2156" t="inlineStr">
        <is>
          <t>Joseph Isaiah Mensah</t>
        </is>
      </c>
      <c r="F2156" s="5" t="n">
        <v>46162.64746527778</v>
      </c>
      <c r="G2156" t="inlineStr">
        <is>
          <t>Field verification and reporting in Nigeria (3)</t>
        </is>
      </c>
      <c r="H2156" t="inlineStr">
        <is>
          <t>PCGH775 - ESDD of Valency Operations for FMO</t>
        </is>
      </c>
      <c r="I2156" t="n">
        <v>8</v>
      </c>
      <c r="J2156" t="inlineStr">
        <is>
          <t>PCGH775 - Field Verification (3) (Valency International DMCC)</t>
        </is>
      </c>
      <c r="K2156" t="inlineStr">
        <is>
          <t>Site audit/ assessment (Nigeria)</t>
        </is>
      </c>
      <c r="L2156" t="b">
        <v>1</v>
      </c>
      <c r="M2156" t="inlineStr">
        <is>
          <t>Billed at a Fixed price</t>
        </is>
      </c>
      <c r="N2156" s="6">
        <f>IF(B2156="","",IF(ISNUMBER(B2156),TEXT(B2156,"YYYY-MM"),LEFT(B2156,7)))</f>
        <v/>
      </c>
    </row>
    <row r="2157">
      <c r="A2157" t="inlineStr">
        <is>
          <t>James Parker Mckeown</t>
        </is>
      </c>
      <c r="B2157" s="4" t="n">
        <v>46066</v>
      </c>
      <c r="C2157" t="inlineStr">
        <is>
          <t>/</t>
        </is>
      </c>
      <c r="D2157" t="inlineStr">
        <is>
          <t>James Parker Mckeown</t>
        </is>
      </c>
      <c r="E2157" t="inlineStr">
        <is>
          <t>James Parker Mckeown</t>
        </is>
      </c>
      <c r="F2157" s="5" t="n">
        <v>46162.03082175926</v>
      </c>
      <c r="H2157" t="inlineStr">
        <is>
          <t>Non-Billable Tasks</t>
        </is>
      </c>
      <c r="I2157" t="n">
        <v>1.5</v>
      </c>
      <c r="K2157" t="inlineStr">
        <is>
          <t>Professional development and Knowledge sharing(training,global knowledge calls,exchange weeks)</t>
        </is>
      </c>
      <c r="L2157" t="b">
        <v>0</v>
      </c>
      <c r="M2157" t="inlineStr">
        <is>
          <t>Non-Billable</t>
        </is>
      </c>
      <c r="N2157" s="6">
        <f>IF(B2157="","",IF(ISNUMBER(B2157),TEXT(B2157,"YYYY-MM"),LEFT(B2157,7)))</f>
        <v/>
      </c>
    </row>
    <row r="2158">
      <c r="A2158" t="inlineStr">
        <is>
          <t>James Parker Mckeown</t>
        </is>
      </c>
      <c r="B2158" s="4" t="n">
        <v>46066</v>
      </c>
      <c r="C2158" t="inlineStr">
        <is>
          <t>/</t>
        </is>
      </c>
      <c r="D2158" t="inlineStr">
        <is>
          <t>James Parker Mckeown</t>
        </is>
      </c>
      <c r="E2158" t="inlineStr">
        <is>
          <t>James Parker Mckeown</t>
        </is>
      </c>
      <c r="F2158" s="5" t="n">
        <v>46162.02503472222</v>
      </c>
      <c r="G2158" t="inlineStr">
        <is>
          <t>Output 2.3</t>
        </is>
      </c>
      <c r="H2158" t="inlineStr">
        <is>
          <t>P23AC00C00 - FGMC</t>
        </is>
      </c>
      <c r="I2158" t="n">
        <v>3</v>
      </c>
      <c r="K2158" t="inlineStr">
        <is>
          <t>P23AC22A00 - Output Two (Elevating Local Solutions - West Africa)</t>
        </is>
      </c>
      <c r="L2158" t="b">
        <v>0</v>
      </c>
      <c r="M2158" t="inlineStr">
        <is>
          <t>Non-Billable</t>
        </is>
      </c>
      <c r="N2158" s="6">
        <f>IF(B2158="","",IF(ISNUMBER(B2158),TEXT(B2158,"YYYY-MM"),LEFT(B2158,7)))</f>
        <v/>
      </c>
    </row>
    <row r="2159">
      <c r="A2159" t="inlineStr">
        <is>
          <t>Louis Defo</t>
        </is>
      </c>
      <c r="B2159" s="4" t="n">
        <v>46066</v>
      </c>
      <c r="C2159" t="inlineStr">
        <is>
          <t>/</t>
        </is>
      </c>
      <c r="D2159" t="inlineStr">
        <is>
          <t>Louis Defo</t>
        </is>
      </c>
      <c r="E2159" t="inlineStr">
        <is>
          <t>Louis Defo</t>
        </is>
      </c>
      <c r="F2159" s="5" t="n">
        <v>46161.35164351852</v>
      </c>
      <c r="H2159" t="inlineStr">
        <is>
          <t>PCGH787</t>
        </is>
      </c>
      <c r="I2159" t="n">
        <v>8</v>
      </c>
      <c r="J2159" t="inlineStr">
        <is>
          <t>PCGH787 - Desk Study (3) (Proforest Limited(PCUK GBP))</t>
        </is>
      </c>
      <c r="L2159" t="b">
        <v>1</v>
      </c>
      <c r="M2159" t="inlineStr">
        <is>
          <t>Billed at a Fixed price</t>
        </is>
      </c>
      <c r="N2159" s="6">
        <f>IF(B2159="","",IF(ISNUMBER(B2159),TEXT(B2159,"YYYY-MM"),LEFT(B2159,7)))</f>
        <v/>
      </c>
    </row>
    <row r="2160">
      <c r="A2160" t="inlineStr">
        <is>
          <t>Frederick Antwi</t>
        </is>
      </c>
      <c r="B2160" s="4" t="n">
        <v>46066</v>
      </c>
      <c r="C2160" t="inlineStr">
        <is>
          <t>/</t>
        </is>
      </c>
      <c r="D2160" t="inlineStr">
        <is>
          <t>Frederick Antwi</t>
        </is>
      </c>
      <c r="E2160" t="inlineStr">
        <is>
          <t>Frederick Antwi</t>
        </is>
      </c>
      <c r="F2160" s="5" t="n">
        <v>46160.57380787037</v>
      </c>
      <c r="H2160" t="inlineStr">
        <is>
          <t>P13NC00A00 - WALMART II</t>
        </is>
      </c>
      <c r="I2160" t="n">
        <v>8</v>
      </c>
      <c r="L2160" t="b">
        <v>0</v>
      </c>
      <c r="M2160" t="inlineStr">
        <is>
          <t>Non-Billable</t>
        </is>
      </c>
      <c r="N2160" s="6">
        <f>IF(B2160="","",IF(ISNUMBER(B2160),TEXT(B2160,"YYYY-MM"),LEFT(B2160,7)))</f>
        <v/>
      </c>
    </row>
    <row r="2161">
      <c r="A2161" t="inlineStr">
        <is>
          <t>Ekow Nyamekye Tawiah</t>
        </is>
      </c>
      <c r="B2161" s="4" t="n">
        <v>46066</v>
      </c>
      <c r="C2161" t="inlineStr">
        <is>
          <t>/</t>
        </is>
      </c>
      <c r="D2161" t="inlineStr">
        <is>
          <t>Ekow Nyamekye Tawiah</t>
        </is>
      </c>
      <c r="E2161" t="inlineStr">
        <is>
          <t>OdooBot</t>
        </is>
      </c>
      <c r="F2161" s="5" t="n">
        <v>46154.70721064815</v>
      </c>
      <c r="H2161" t="inlineStr">
        <is>
          <t>PCGH722</t>
        </is>
      </c>
      <c r="I2161" t="n">
        <v>2.5</v>
      </c>
      <c r="L2161" t="b">
        <v>1</v>
      </c>
      <c r="M2161" t="inlineStr">
        <is>
          <t>Non-Billable</t>
        </is>
      </c>
      <c r="N2161" s="6">
        <f>IF(B2161="","",IF(ISNUMBER(B2161),TEXT(B2161,"YYYY-MM"),LEFT(B2161,7)))</f>
        <v/>
      </c>
    </row>
    <row r="2162">
      <c r="A2162" t="inlineStr">
        <is>
          <t>Ekow Nyamekye Tawiah</t>
        </is>
      </c>
      <c r="B2162" s="4" t="n">
        <v>46066</v>
      </c>
      <c r="C2162" t="inlineStr">
        <is>
          <t>/</t>
        </is>
      </c>
      <c r="D2162" t="inlineStr">
        <is>
          <t>Ekow Nyamekye Tawiah</t>
        </is>
      </c>
      <c r="E2162" t="inlineStr">
        <is>
          <t>OdooBot</t>
        </is>
      </c>
      <c r="F2162" s="5" t="n">
        <v>46154.70721064815</v>
      </c>
      <c r="H2162" t="inlineStr">
        <is>
          <t>Non-Billable Tasks</t>
        </is>
      </c>
      <c r="I2162" t="n">
        <v>1.5</v>
      </c>
      <c r="K2162" t="inlineStr">
        <is>
          <t>Professional development and Knowledge sharing(training,global knowledge calls,exchange weeks)</t>
        </is>
      </c>
      <c r="L2162" t="b">
        <v>0</v>
      </c>
      <c r="M2162" t="inlineStr">
        <is>
          <t>Non-Billable</t>
        </is>
      </c>
      <c r="N2162" s="6">
        <f>IF(B2162="","",IF(ISNUMBER(B2162),TEXT(B2162,"YYYY-MM"),LEFT(B2162,7)))</f>
        <v/>
      </c>
    </row>
    <row r="2163">
      <c r="A2163" t="inlineStr">
        <is>
          <t>Afua Serwah Akoto Prempeh</t>
        </is>
      </c>
      <c r="B2163" s="4" t="n">
        <v>46066</v>
      </c>
      <c r="C2163" t="inlineStr">
        <is>
          <t>/</t>
        </is>
      </c>
      <c r="D2163" t="inlineStr">
        <is>
          <t>Afua Serwah Akoto Prempeh</t>
        </is>
      </c>
      <c r="E2163" t="inlineStr">
        <is>
          <t>OdooBot</t>
        </is>
      </c>
      <c r="F2163" s="5" t="n">
        <v>46154.70721064815</v>
      </c>
      <c r="H2163" t="inlineStr">
        <is>
          <t>Non-Billable Tasks</t>
        </is>
      </c>
      <c r="I2163" t="n">
        <v>8</v>
      </c>
      <c r="K2163" t="inlineStr">
        <is>
          <t>Communication/Data/Training</t>
        </is>
      </c>
      <c r="L2163" t="b">
        <v>0</v>
      </c>
      <c r="M2163" t="inlineStr">
        <is>
          <t>Non-Billable</t>
        </is>
      </c>
      <c r="N2163" s="6">
        <f>IF(B2163="","",IF(ISNUMBER(B2163),TEXT(B2163,"YYYY-MM"),LEFT(B2163,7)))</f>
        <v/>
      </c>
    </row>
    <row r="2164">
      <c r="A2164" t="inlineStr">
        <is>
          <t>Helena Tetteh</t>
        </is>
      </c>
      <c r="B2164" s="4" t="n">
        <v>46066</v>
      </c>
      <c r="C2164" t="inlineStr">
        <is>
          <t>Programme Management_Partner assessment/verting criteria development</t>
        </is>
      </c>
      <c r="D2164" t="inlineStr">
        <is>
          <t xml:space="preserve">Helena Tetteh </t>
        </is>
      </c>
      <c r="E2164" t="inlineStr">
        <is>
          <t>OdooBot</t>
        </is>
      </c>
      <c r="F2164" s="5" t="n">
        <v>46154.70721064815</v>
      </c>
      <c r="H2164" t="inlineStr">
        <is>
          <t>Non-Billable Tasks</t>
        </is>
      </c>
      <c r="I2164" t="n">
        <v>4</v>
      </c>
      <c r="K2164" t="inlineStr">
        <is>
          <t>Portfolio Team Management</t>
        </is>
      </c>
      <c r="L2164" t="b">
        <v>0</v>
      </c>
      <c r="M2164" t="inlineStr">
        <is>
          <t>Non-Billable</t>
        </is>
      </c>
      <c r="N2164" s="6">
        <f>IF(B2164="","",IF(ISNUMBER(B2164),TEXT(B2164,"YYYY-MM"),LEFT(B2164,7)))</f>
        <v/>
      </c>
    </row>
    <row r="2165">
      <c r="A2165" t="inlineStr">
        <is>
          <t>Helena Tetteh</t>
        </is>
      </c>
      <c r="B2165" s="4" t="n">
        <v>46066</v>
      </c>
      <c r="C2165" t="inlineStr">
        <is>
          <t>Internal Planning Meeting_Landscape and Cocoa Learning Journey in Ghana</t>
        </is>
      </c>
      <c r="D2165" t="inlineStr">
        <is>
          <t xml:space="preserve">Helena Tetteh </t>
        </is>
      </c>
      <c r="E2165" t="inlineStr">
        <is>
          <t>OdooBot</t>
        </is>
      </c>
      <c r="F2165" s="5" t="n">
        <v>46154.70721064815</v>
      </c>
      <c r="H2165" t="inlineStr">
        <is>
          <t>Non-Billable Tasks</t>
        </is>
      </c>
      <c r="I2165" t="n">
        <v>2</v>
      </c>
      <c r="K2165" t="inlineStr">
        <is>
          <t>Professional development and Knowledge sharing(training,global knowledge calls,exchange weeks)</t>
        </is>
      </c>
      <c r="L2165" t="b">
        <v>0</v>
      </c>
      <c r="M2165" t="inlineStr">
        <is>
          <t>Non-Billable</t>
        </is>
      </c>
      <c r="N2165" s="6">
        <f>IF(B2165="","",IF(ISNUMBER(B2165),TEXT(B2165,"YYYY-MM"),LEFT(B2165,7)))</f>
        <v/>
      </c>
    </row>
    <row r="2166">
      <c r="A2166" t="inlineStr">
        <is>
          <t>Helena Tetteh</t>
        </is>
      </c>
      <c r="B2166" s="4" t="n">
        <v>46066</v>
      </c>
      <c r="C2166" t="inlineStr">
        <is>
          <t>Ulula Audit_ LLJ BUDGET AND FINANCE MEETING WITH LEAD</t>
        </is>
      </c>
      <c r="D2166" t="inlineStr">
        <is>
          <t xml:space="preserve">Helena Tetteh </t>
        </is>
      </c>
      <c r="E2166" t="inlineStr">
        <is>
          <t>OdooBot</t>
        </is>
      </c>
      <c r="F2166" s="5" t="n">
        <v>46154.70721064815</v>
      </c>
      <c r="H2166" t="inlineStr">
        <is>
          <t>P13GC00A00 - GAC Ulula</t>
        </is>
      </c>
      <c r="I2166" t="n">
        <v>2</v>
      </c>
      <c r="L2166" t="b">
        <v>0</v>
      </c>
      <c r="M2166" t="inlineStr">
        <is>
          <t>Non-Billable</t>
        </is>
      </c>
      <c r="N2166" s="6">
        <f>IF(B2166="","",IF(ISNUMBER(B2166),TEXT(B2166,"YYYY-MM"),LEFT(B2166,7)))</f>
        <v/>
      </c>
    </row>
    <row r="2167">
      <c r="A2167" t="inlineStr">
        <is>
          <t>Clement Obeng-Manu</t>
        </is>
      </c>
      <c r="B2167" s="4" t="n">
        <v>46066</v>
      </c>
      <c r="C2167" t="inlineStr">
        <is>
          <t>/</t>
        </is>
      </c>
      <c r="D2167" t="inlineStr">
        <is>
          <t>Clement Obeng-Manu</t>
        </is>
      </c>
      <c r="E2167" t="inlineStr">
        <is>
          <t>OdooBot</t>
        </is>
      </c>
      <c r="F2167" s="5" t="n">
        <v>46154.70721064815</v>
      </c>
      <c r="H2167" t="inlineStr">
        <is>
          <t>PCGH777</t>
        </is>
      </c>
      <c r="I2167" t="n">
        <v>8</v>
      </c>
      <c r="J2167" t="inlineStr">
        <is>
          <t>PCGH777 - Desk Study (3) (Proforest Limited(PCUK GBP))</t>
        </is>
      </c>
      <c r="L2167" t="b">
        <v>1</v>
      </c>
      <c r="M2167" t="inlineStr">
        <is>
          <t>Billed at a Fixed price</t>
        </is>
      </c>
      <c r="N2167" s="6">
        <f>IF(B2167="","",IF(ISNUMBER(B2167),TEXT(B2167,"YYYY-MM"),LEFT(B2167,7)))</f>
        <v/>
      </c>
    </row>
    <row r="2168">
      <c r="A2168" t="inlineStr">
        <is>
          <t>Stephen Doso</t>
        </is>
      </c>
      <c r="B2168" s="4" t="n">
        <v>46066</v>
      </c>
      <c r="C2168" t="inlineStr">
        <is>
          <t>/</t>
        </is>
      </c>
      <c r="D2168" t="inlineStr">
        <is>
          <t>Stephen Doso</t>
        </is>
      </c>
      <c r="E2168" t="inlineStr">
        <is>
          <t>OdooBot</t>
        </is>
      </c>
      <c r="F2168" s="5" t="n">
        <v>46154.70721064815</v>
      </c>
      <c r="G2168" t="inlineStr">
        <is>
          <t>Field verification and reporting in Nigeria  (2)</t>
        </is>
      </c>
      <c r="H2168" t="inlineStr">
        <is>
          <t>PCGH775 - ESDD of Valency Operations for FMO</t>
        </is>
      </c>
      <c r="I2168" t="n">
        <v>8</v>
      </c>
      <c r="J2168" t="inlineStr">
        <is>
          <t>PCGH775 - Field Verification (2) (Valency International DMCC)</t>
        </is>
      </c>
      <c r="K2168" t="inlineStr">
        <is>
          <t>Site audit/ assessment (Nigeria)</t>
        </is>
      </c>
      <c r="L2168" t="b">
        <v>1</v>
      </c>
      <c r="M2168" t="inlineStr">
        <is>
          <t>Billed at a Fixed price</t>
        </is>
      </c>
      <c r="N2168" s="6">
        <f>IF(B2168="","",IF(ISNUMBER(B2168),TEXT(B2168,"YYYY-MM"),LEFT(B2168,7)))</f>
        <v/>
      </c>
    </row>
    <row r="2169">
      <c r="A2169" t="inlineStr">
        <is>
          <t>Kingsley Fitz-Gerald Severine</t>
        </is>
      </c>
      <c r="B2169" s="4" t="n">
        <v>46066</v>
      </c>
      <c r="C2169" t="inlineStr">
        <is>
          <t>/</t>
        </is>
      </c>
      <c r="D2169" t="inlineStr">
        <is>
          <t>Kingsley Fitz-Gerald Severine</t>
        </is>
      </c>
      <c r="E2169" t="inlineStr">
        <is>
          <t>OdooBot</t>
        </is>
      </c>
      <c r="F2169" s="5" t="n">
        <v>46154.70721064815</v>
      </c>
      <c r="G2169" t="inlineStr">
        <is>
          <t>Desk-based Review</t>
        </is>
      </c>
      <c r="H2169" t="inlineStr">
        <is>
          <t>PCGH784</t>
        </is>
      </c>
      <c r="I2169" t="n">
        <v>8</v>
      </c>
      <c r="J2169" t="inlineStr">
        <is>
          <t>PCGH784 - Desk Study (3) (Okeosisi Jonathan)</t>
        </is>
      </c>
      <c r="K2169" t="inlineStr">
        <is>
          <t>Desk review and survey tools</t>
        </is>
      </c>
      <c r="L2169" t="b">
        <v>1</v>
      </c>
      <c r="M2169" t="inlineStr">
        <is>
          <t>Billed at a Fixed price</t>
        </is>
      </c>
      <c r="N2169" s="6">
        <f>IF(B2169="","",IF(ISNUMBER(B2169),TEXT(B2169,"YYYY-MM"),LEFT(B2169,7)))</f>
        <v/>
      </c>
    </row>
    <row r="2170">
      <c r="A2170" t="inlineStr">
        <is>
          <t>Kwadwo Baniako Nti</t>
        </is>
      </c>
      <c r="B2170" s="4" t="n">
        <v>46066</v>
      </c>
      <c r="C2170" t="inlineStr">
        <is>
          <t>/</t>
        </is>
      </c>
      <c r="D2170" t="inlineStr">
        <is>
          <t>Kwadwo Baniako Nti</t>
        </is>
      </c>
      <c r="E2170" t="inlineStr">
        <is>
          <t>OdooBot</t>
        </is>
      </c>
      <c r="F2170" s="5" t="n">
        <v>46154.70721064815</v>
      </c>
      <c r="G2170" t="inlineStr">
        <is>
          <t>Field verification and reporting in Nigeria (3)</t>
        </is>
      </c>
      <c r="H2170" t="inlineStr">
        <is>
          <t>PCGH775 - ESDD of Valency Operations for FMO</t>
        </is>
      </c>
      <c r="I2170" t="n">
        <v>8</v>
      </c>
      <c r="J2170" t="inlineStr">
        <is>
          <t>PCGH775 - Field Verification (3) (Valency International DMCC)</t>
        </is>
      </c>
      <c r="K2170" t="inlineStr">
        <is>
          <t>Site audit/ assessment (Nigeria)</t>
        </is>
      </c>
      <c r="L2170" t="b">
        <v>1</v>
      </c>
      <c r="M2170" t="inlineStr">
        <is>
          <t>Billed at a Fixed price</t>
        </is>
      </c>
      <c r="N2170" s="6">
        <f>IF(B2170="","",IF(ISNUMBER(B2170),TEXT(B2170,"YYYY-MM"),LEFT(B2170,7)))</f>
        <v/>
      </c>
    </row>
    <row r="2171">
      <c r="A2171" t="inlineStr">
        <is>
          <t>Augustus Asamoah</t>
        </is>
      </c>
      <c r="B2171" s="4" t="n">
        <v>46066</v>
      </c>
      <c r="C2171" t="inlineStr">
        <is>
          <t>/</t>
        </is>
      </c>
      <c r="D2171" t="inlineStr">
        <is>
          <t>Augustus Asamoah</t>
        </is>
      </c>
      <c r="E2171" t="inlineStr">
        <is>
          <t>OdooBot</t>
        </is>
      </c>
      <c r="F2171" s="5" t="n">
        <v>46154.70721064815</v>
      </c>
      <c r="H2171" t="inlineStr">
        <is>
          <t>Non-Billable Tasks</t>
        </is>
      </c>
      <c r="I2171" t="n">
        <v>6</v>
      </c>
      <c r="L2171" t="b">
        <v>0</v>
      </c>
      <c r="M2171" t="inlineStr">
        <is>
          <t>Non-Billable</t>
        </is>
      </c>
      <c r="N2171" s="6">
        <f>IF(B2171="","",IF(ISNUMBER(B2171),TEXT(B2171,"YYYY-MM"),LEFT(B2171,7)))</f>
        <v/>
      </c>
    </row>
    <row r="2172">
      <c r="A2172" t="inlineStr">
        <is>
          <t>Daleba Bernard Kpenahi Raymond</t>
        </is>
      </c>
      <c r="B2172" s="4" t="n">
        <v>46066</v>
      </c>
      <c r="C2172" t="inlineStr">
        <is>
          <t>PFAFR BRIDGE: Weekly Catch-up</t>
        </is>
      </c>
      <c r="D2172" t="inlineStr">
        <is>
          <t>Daleba Bernard Kpenahi Raymond</t>
        </is>
      </c>
      <c r="E2172" t="inlineStr">
        <is>
          <t>OdooBot</t>
        </is>
      </c>
      <c r="F2172" s="5" t="n">
        <v>46154.70721064815</v>
      </c>
      <c r="G2172" t="inlineStr">
        <is>
          <t>Output 2.2</t>
        </is>
      </c>
      <c r="H2172" t="inlineStr">
        <is>
          <t>P23AC00C00 - FGMC</t>
        </is>
      </c>
      <c r="I2172" t="n">
        <v>0</v>
      </c>
      <c r="K2172" t="inlineStr">
        <is>
          <t>P23AC42A00 - Accelerating Implementation.</t>
        </is>
      </c>
      <c r="L2172" t="b">
        <v>0</v>
      </c>
      <c r="M2172" t="inlineStr">
        <is>
          <t>Non-Billable</t>
        </is>
      </c>
      <c r="N2172" s="6">
        <f>IF(B2172="","",IF(ISNUMBER(B2172),TEXT(B2172,"YYYY-MM"),LEFT(B2172,7)))</f>
        <v/>
      </c>
    </row>
    <row r="2173">
      <c r="A2173" t="inlineStr">
        <is>
          <t>Daleba Bernard Kpenahi Raymond</t>
        </is>
      </c>
      <c r="B2173" s="4" t="n">
        <v>46066</v>
      </c>
      <c r="C2173" t="inlineStr">
        <is>
          <t>/</t>
        </is>
      </c>
      <c r="D2173" t="inlineStr">
        <is>
          <t>Daleba Bernard Kpenahi Raymond</t>
        </is>
      </c>
      <c r="E2173" t="inlineStr">
        <is>
          <t>OdooBot</t>
        </is>
      </c>
      <c r="F2173" s="5" t="n">
        <v>46154.70721064815</v>
      </c>
      <c r="H2173" t="inlineStr">
        <is>
          <t>PCGH775 - ESDD of Valency Operations for FMO</t>
        </is>
      </c>
      <c r="I2173" t="n">
        <v>0</v>
      </c>
      <c r="J2173" t="inlineStr">
        <is>
          <t>PCGH775 - Kick-Off Meeting (Valency International DMCC)</t>
        </is>
      </c>
      <c r="L2173" t="b">
        <v>1</v>
      </c>
      <c r="M2173" t="inlineStr">
        <is>
          <t>Billed at a Fixed price</t>
        </is>
      </c>
      <c r="N2173" s="6">
        <f>IF(B2173="","",IF(ISNUMBER(B2173),TEXT(B2173,"YYYY-MM"),LEFT(B2173,7)))</f>
        <v/>
      </c>
    </row>
    <row r="2174">
      <c r="A2174" t="inlineStr">
        <is>
          <t>Daleba Bernard Kpenahi Raymond</t>
        </is>
      </c>
      <c r="B2174" s="4" t="n">
        <v>46066</v>
      </c>
      <c r="C2174" t="inlineStr">
        <is>
          <t xml:space="preserve">Red Flag and full assessment report </t>
        </is>
      </c>
      <c r="D2174" t="inlineStr">
        <is>
          <t>Daleba Bernard Kpenahi Raymond</t>
        </is>
      </c>
      <c r="E2174" t="inlineStr">
        <is>
          <t>OdooBot</t>
        </is>
      </c>
      <c r="F2174" s="5" t="n">
        <v>46154.70721064815</v>
      </c>
      <c r="G2174" t="inlineStr">
        <is>
          <t>Field verification and reporting in Ivory Coast (3)</t>
        </is>
      </c>
      <c r="H2174" t="inlineStr">
        <is>
          <t>PCGH775 - ESDD of Valency Operations for FMO</t>
        </is>
      </c>
      <c r="I2174" t="n">
        <v>8</v>
      </c>
      <c r="J2174" t="inlineStr">
        <is>
          <t>PCGH775 - Field Verification (3) (Valency International DMCC)</t>
        </is>
      </c>
      <c r="K2174" t="inlineStr">
        <is>
          <t>Analysis and reporting in Ivory Coast</t>
        </is>
      </c>
      <c r="L2174" t="b">
        <v>1</v>
      </c>
      <c r="M2174" t="inlineStr">
        <is>
          <t>Billed at a Fixed price</t>
        </is>
      </c>
      <c r="N2174" s="6">
        <f>IF(B2174="","",IF(ISNUMBER(B2174),TEXT(B2174,"YYYY-MM"),LEFT(B2174,7)))</f>
        <v/>
      </c>
    </row>
    <row r="2175">
      <c r="A2175" t="inlineStr">
        <is>
          <t>Joseph Isaiah Mensah</t>
        </is>
      </c>
      <c r="B2175" s="4" t="n">
        <v>46065</v>
      </c>
      <c r="C2175" t="inlineStr">
        <is>
          <t>/</t>
        </is>
      </c>
      <c r="D2175" t="inlineStr">
        <is>
          <t>Joseph Isaiah Mensah</t>
        </is>
      </c>
      <c r="E2175" t="inlineStr">
        <is>
          <t>Joseph Isaiah Mensah</t>
        </is>
      </c>
      <c r="F2175" s="5" t="n">
        <v>46162.64740740741</v>
      </c>
      <c r="G2175" t="inlineStr">
        <is>
          <t>Field verification and reporting in Nigeria (3)</t>
        </is>
      </c>
      <c r="H2175" t="inlineStr">
        <is>
          <t>PCGH775 - ESDD of Valency Operations for FMO</t>
        </is>
      </c>
      <c r="I2175" t="n">
        <v>8</v>
      </c>
      <c r="J2175" t="inlineStr">
        <is>
          <t>PCGH775 - Field Verification (3) (Valency International DMCC)</t>
        </is>
      </c>
      <c r="K2175" t="inlineStr">
        <is>
          <t>Site audit/ assessment (Nigeria)</t>
        </is>
      </c>
      <c r="L2175" t="b">
        <v>1</v>
      </c>
      <c r="M2175" t="inlineStr">
        <is>
          <t>Billed at a Fixed price</t>
        </is>
      </c>
      <c r="N2175" s="6">
        <f>IF(B2175="","",IF(ISNUMBER(B2175),TEXT(B2175,"YYYY-MM"),LEFT(B2175,7)))</f>
        <v/>
      </c>
    </row>
    <row r="2176">
      <c r="A2176" t="inlineStr">
        <is>
          <t>James Parker Mckeown</t>
        </is>
      </c>
      <c r="B2176" s="4" t="n">
        <v>46065</v>
      </c>
      <c r="C2176" t="inlineStr">
        <is>
          <t>Global RSP call - February</t>
        </is>
      </c>
      <c r="D2176" t="inlineStr">
        <is>
          <t>James Parker Mckeown</t>
        </is>
      </c>
      <c r="E2176" t="inlineStr">
        <is>
          <t>James Parker Mckeown</t>
        </is>
      </c>
      <c r="F2176" s="5" t="n">
        <v>46162.02864583334</v>
      </c>
      <c r="H2176" t="inlineStr">
        <is>
          <t>Non-Billable Tasks</t>
        </is>
      </c>
      <c r="I2176" t="n">
        <v>1.5</v>
      </c>
      <c r="K2176" t="inlineStr">
        <is>
          <t>Professional development and Knowledge sharing(training,global knowledge calls,exchange weeks)</t>
        </is>
      </c>
      <c r="L2176" t="b">
        <v>0</v>
      </c>
      <c r="M2176" t="inlineStr">
        <is>
          <t>Non-Billable</t>
        </is>
      </c>
      <c r="N2176" s="6">
        <f>IF(B2176="","",IF(ISNUMBER(B2176),TEXT(B2176,"YYYY-MM"),LEFT(B2176,7)))</f>
        <v/>
      </c>
    </row>
    <row r="2177">
      <c r="A2177" t="inlineStr">
        <is>
          <t>James Parker Mckeown</t>
        </is>
      </c>
      <c r="B2177" s="4" t="n">
        <v>46065</v>
      </c>
      <c r="C2177" t="inlineStr">
        <is>
          <t xml:space="preserve">JP/SPH BRIDGE catch up
</t>
        </is>
      </c>
      <c r="D2177" t="inlineStr">
        <is>
          <t>James Parker Mckeown</t>
        </is>
      </c>
      <c r="E2177" t="inlineStr">
        <is>
          <t>James Parker Mckeown</t>
        </is>
      </c>
      <c r="F2177" s="5" t="n">
        <v>46162.02701388889</v>
      </c>
      <c r="G2177" t="inlineStr">
        <is>
          <t>Output 4</t>
        </is>
      </c>
      <c r="H2177" t="inlineStr">
        <is>
          <t>P23AC00C00 - FGMC</t>
        </is>
      </c>
      <c r="I2177" t="n">
        <v>2</v>
      </c>
      <c r="K2177" t="inlineStr">
        <is>
          <t>P23AC03A00 - Project Management</t>
        </is>
      </c>
      <c r="L2177" t="b">
        <v>0</v>
      </c>
      <c r="M2177" t="inlineStr">
        <is>
          <t>Non-Billable</t>
        </is>
      </c>
      <c r="N2177" s="6">
        <f>IF(B2177="","",IF(ISNUMBER(B2177),TEXT(B2177,"YYYY-MM"),LEFT(B2177,7)))</f>
        <v/>
      </c>
    </row>
    <row r="2178">
      <c r="A2178" t="inlineStr">
        <is>
          <t>James Parker Mckeown</t>
        </is>
      </c>
      <c r="B2178" s="4" t="n">
        <v>46065</v>
      </c>
      <c r="C2178" t="inlineStr">
        <is>
          <t xml:space="preserve">GIS interview </t>
        </is>
      </c>
      <c r="D2178" t="inlineStr">
        <is>
          <t>James Parker Mckeown</t>
        </is>
      </c>
      <c r="E2178" t="inlineStr">
        <is>
          <t>James Parker Mckeown</t>
        </is>
      </c>
      <c r="F2178" s="5" t="n">
        <v>46162.02615740741</v>
      </c>
      <c r="H2178" t="inlineStr">
        <is>
          <t>Non-Billable Tasks</t>
        </is>
      </c>
      <c r="I2178" t="n">
        <v>1</v>
      </c>
      <c r="K2178" t="inlineStr">
        <is>
          <t>Other management activities</t>
        </is>
      </c>
      <c r="L2178" t="b">
        <v>0</v>
      </c>
      <c r="M2178" t="inlineStr">
        <is>
          <t>Non-Billable</t>
        </is>
      </c>
      <c r="N2178" s="6">
        <f>IF(B2178="","",IF(ISNUMBER(B2178),TEXT(B2178,"YYYY-MM"),LEFT(B2178,7)))</f>
        <v/>
      </c>
    </row>
    <row r="2179">
      <c r="A2179" t="inlineStr">
        <is>
          <t>James Parker Mckeown</t>
        </is>
      </c>
      <c r="B2179" s="4" t="n">
        <v>46065</v>
      </c>
      <c r="C2179" t="inlineStr">
        <is>
          <t>/</t>
        </is>
      </c>
      <c r="D2179" t="inlineStr">
        <is>
          <t>James Parker Mckeown</t>
        </is>
      </c>
      <c r="E2179" t="inlineStr">
        <is>
          <t>James Parker Mckeown</t>
        </is>
      </c>
      <c r="F2179" s="5" t="n">
        <v>46162.02479166666</v>
      </c>
      <c r="G2179" t="inlineStr">
        <is>
          <t>Output 2.3</t>
        </is>
      </c>
      <c r="H2179" t="inlineStr">
        <is>
          <t>P23AC00C00 - FGMC</t>
        </is>
      </c>
      <c r="I2179" t="n">
        <v>3</v>
      </c>
      <c r="K2179" t="inlineStr">
        <is>
          <t>P23AC22A00 - Output Two (Elevating Local Solutions - West Africa)</t>
        </is>
      </c>
      <c r="L2179" t="b">
        <v>0</v>
      </c>
      <c r="M2179" t="inlineStr">
        <is>
          <t>Non-Billable</t>
        </is>
      </c>
      <c r="N2179" s="6">
        <f>IF(B2179="","",IF(ISNUMBER(B2179),TEXT(B2179,"YYYY-MM"),LEFT(B2179,7)))</f>
        <v/>
      </c>
    </row>
    <row r="2180">
      <c r="A2180" t="inlineStr">
        <is>
          <t>James Parker Mckeown</t>
        </is>
      </c>
      <c r="B2180" s="4" t="n">
        <v>46065</v>
      </c>
      <c r="C2180" t="inlineStr">
        <is>
          <t>PFAFR BRIDGE: Weekly Catch-up</t>
        </is>
      </c>
      <c r="D2180" t="inlineStr">
        <is>
          <t>James Parker Mckeown</t>
        </is>
      </c>
      <c r="E2180" t="inlineStr">
        <is>
          <t>James Parker Mckeown</t>
        </is>
      </c>
      <c r="F2180" s="5" t="n">
        <v>46162.02425925926</v>
      </c>
      <c r="G2180" t="inlineStr">
        <is>
          <t>Output 4</t>
        </is>
      </c>
      <c r="H2180" t="inlineStr">
        <is>
          <t>P23AC00C00 - FGMC</t>
        </is>
      </c>
      <c r="I2180" t="n">
        <v>2</v>
      </c>
      <c r="K2180" t="inlineStr">
        <is>
          <t>P23AC03A00 - Project Management</t>
        </is>
      </c>
      <c r="L2180" t="b">
        <v>0</v>
      </c>
      <c r="M2180" t="inlineStr">
        <is>
          <t>Non-Billable</t>
        </is>
      </c>
      <c r="N2180" s="6">
        <f>IF(B2180="","",IF(ISNUMBER(B2180),TEXT(B2180,"YYYY-MM"),LEFT(B2180,7)))</f>
        <v/>
      </c>
    </row>
    <row r="2181">
      <c r="A2181" t="inlineStr">
        <is>
          <t>Louis Defo</t>
        </is>
      </c>
      <c r="B2181" s="4" t="n">
        <v>46065</v>
      </c>
      <c r="C2181" t="inlineStr">
        <is>
          <t>/</t>
        </is>
      </c>
      <c r="D2181" t="inlineStr">
        <is>
          <t>Louis Defo</t>
        </is>
      </c>
      <c r="E2181" t="inlineStr">
        <is>
          <t>Louis Defo</t>
        </is>
      </c>
      <c r="F2181" s="5" t="n">
        <v>46161.35148148148</v>
      </c>
      <c r="H2181" t="inlineStr">
        <is>
          <t>PCGH787</t>
        </is>
      </c>
      <c r="I2181" t="n">
        <v>8</v>
      </c>
      <c r="J2181" t="inlineStr">
        <is>
          <t>PCGH787 - Desk Study (3) (Proforest Limited(PCUK GBP))</t>
        </is>
      </c>
      <c r="L2181" t="b">
        <v>1</v>
      </c>
      <c r="M2181" t="inlineStr">
        <is>
          <t>Billed at a Fixed price</t>
        </is>
      </c>
      <c r="N2181" s="6">
        <f>IF(B2181="","",IF(ISNUMBER(B2181),TEXT(B2181,"YYYY-MM"),LEFT(B2181,7)))</f>
        <v/>
      </c>
    </row>
    <row r="2182">
      <c r="A2182" t="inlineStr">
        <is>
          <t>Frederick Antwi</t>
        </is>
      </c>
      <c r="B2182" s="4" t="n">
        <v>46065</v>
      </c>
      <c r="C2182" t="inlineStr">
        <is>
          <t>/</t>
        </is>
      </c>
      <c r="D2182" t="inlineStr">
        <is>
          <t>Frederick Antwi</t>
        </is>
      </c>
      <c r="E2182" t="inlineStr">
        <is>
          <t>Frederick Antwi</t>
        </is>
      </c>
      <c r="F2182" s="5" t="n">
        <v>46160.57362268519</v>
      </c>
      <c r="H2182" t="inlineStr">
        <is>
          <t>P13NC00A00 - WALMART II</t>
        </is>
      </c>
      <c r="I2182" t="n">
        <v>8</v>
      </c>
      <c r="L2182" t="b">
        <v>0</v>
      </c>
      <c r="M2182" t="inlineStr">
        <is>
          <t>Non-Billable</t>
        </is>
      </c>
      <c r="N2182" s="6">
        <f>IF(B2182="","",IF(ISNUMBER(B2182),TEXT(B2182,"YYYY-MM"),LEFT(B2182,7)))</f>
        <v/>
      </c>
    </row>
    <row r="2183">
      <c r="A2183" t="inlineStr">
        <is>
          <t>Ekow Nyamekye Tawiah</t>
        </is>
      </c>
      <c r="B2183" s="4" t="n">
        <v>46065</v>
      </c>
      <c r="C2183" t="inlineStr">
        <is>
          <t>/</t>
        </is>
      </c>
      <c r="D2183" t="inlineStr">
        <is>
          <t>Ekow Nyamekye Tawiah</t>
        </is>
      </c>
      <c r="E2183" t="inlineStr">
        <is>
          <t>OdooBot</t>
        </is>
      </c>
      <c r="F2183" s="5" t="n">
        <v>46154.70721064815</v>
      </c>
      <c r="H2183" t="inlineStr">
        <is>
          <t>PCGH722</t>
        </is>
      </c>
      <c r="I2183" t="n">
        <v>2.5</v>
      </c>
      <c r="L2183" t="b">
        <v>1</v>
      </c>
      <c r="M2183" t="inlineStr">
        <is>
          <t>Non-Billable</t>
        </is>
      </c>
      <c r="N2183" s="6">
        <f>IF(B2183="","",IF(ISNUMBER(B2183),TEXT(B2183,"YYYY-MM"),LEFT(B2183,7)))</f>
        <v/>
      </c>
    </row>
    <row r="2184">
      <c r="A2184" t="inlineStr">
        <is>
          <t>Ekow Nyamekye Tawiah</t>
        </is>
      </c>
      <c r="B2184" s="4" t="n">
        <v>46065</v>
      </c>
      <c r="C2184" t="inlineStr">
        <is>
          <t>/</t>
        </is>
      </c>
      <c r="D2184" t="inlineStr">
        <is>
          <t>Ekow Nyamekye Tawiah</t>
        </is>
      </c>
      <c r="E2184" t="inlineStr">
        <is>
          <t>OdooBot</t>
        </is>
      </c>
      <c r="F2184" s="5" t="n">
        <v>46154.70721064815</v>
      </c>
      <c r="H2184" t="inlineStr">
        <is>
          <t>Non-Billable Tasks</t>
        </is>
      </c>
      <c r="I2184" t="n">
        <v>1.5</v>
      </c>
      <c r="K2184" t="inlineStr">
        <is>
          <t>Professional development and Knowledge sharing(training,global knowledge calls,exchange weeks)</t>
        </is>
      </c>
      <c r="L2184" t="b">
        <v>0</v>
      </c>
      <c r="M2184" t="inlineStr">
        <is>
          <t>Non-Billable</t>
        </is>
      </c>
      <c r="N2184" s="6">
        <f>IF(B2184="","",IF(ISNUMBER(B2184),TEXT(B2184,"YYYY-MM"),LEFT(B2184,7)))</f>
        <v/>
      </c>
    </row>
    <row r="2185">
      <c r="A2185" t="inlineStr">
        <is>
          <t>Afua Serwah Akoto Prempeh</t>
        </is>
      </c>
      <c r="B2185" s="4" t="n">
        <v>46065</v>
      </c>
      <c r="C2185" t="inlineStr">
        <is>
          <t>/</t>
        </is>
      </c>
      <c r="D2185" t="inlineStr">
        <is>
          <t>Afua Serwah Akoto Prempeh</t>
        </is>
      </c>
      <c r="E2185" t="inlineStr">
        <is>
          <t>OdooBot</t>
        </is>
      </c>
      <c r="F2185" s="5" t="n">
        <v>46154.70721064815</v>
      </c>
      <c r="H2185" t="inlineStr">
        <is>
          <t>Non-Billable Tasks</t>
        </is>
      </c>
      <c r="I2185" t="n">
        <v>8</v>
      </c>
      <c r="K2185" t="inlineStr">
        <is>
          <t>Communication/Data/Training</t>
        </is>
      </c>
      <c r="L2185" t="b">
        <v>0</v>
      </c>
      <c r="M2185" t="inlineStr">
        <is>
          <t>Non-Billable</t>
        </is>
      </c>
      <c r="N2185" s="6">
        <f>IF(B2185="","",IF(ISNUMBER(B2185),TEXT(B2185,"YYYY-MM"),LEFT(B2185,7)))</f>
        <v/>
      </c>
    </row>
    <row r="2186">
      <c r="A2186" t="inlineStr">
        <is>
          <t>Helena Tetteh</t>
        </is>
      </c>
      <c r="B2186" s="4" t="n">
        <v>46065</v>
      </c>
      <c r="C2186" t="inlineStr">
        <is>
          <t>/</t>
        </is>
      </c>
      <c r="D2186" t="inlineStr">
        <is>
          <t xml:space="preserve">Helena Tetteh </t>
        </is>
      </c>
      <c r="E2186" t="inlineStr">
        <is>
          <t>OdooBot</t>
        </is>
      </c>
      <c r="F2186" s="5" t="n">
        <v>46154.70721064815</v>
      </c>
      <c r="H2186" t="inlineStr">
        <is>
          <t>Non-Billable Tasks</t>
        </is>
      </c>
      <c r="I2186" t="n">
        <v>1.833333333333333</v>
      </c>
      <c r="K2186" t="inlineStr">
        <is>
          <t>Communication/Data/Training</t>
        </is>
      </c>
      <c r="L2186" t="b">
        <v>0</v>
      </c>
      <c r="M2186" t="inlineStr">
        <is>
          <t>Non-Billable</t>
        </is>
      </c>
      <c r="N2186" s="6">
        <f>IF(B2186="","",IF(ISNUMBER(B2186),TEXT(B2186,"YYYY-MM"),LEFT(B2186,7)))</f>
        <v/>
      </c>
    </row>
    <row r="2187">
      <c r="A2187" t="inlineStr">
        <is>
          <t>Helena Tetteh</t>
        </is>
      </c>
      <c r="B2187" s="4" t="n">
        <v>46065</v>
      </c>
      <c r="C2187" t="inlineStr">
        <is>
          <t>/</t>
        </is>
      </c>
      <c r="D2187" t="inlineStr">
        <is>
          <t xml:space="preserve">Helena Tetteh </t>
        </is>
      </c>
      <c r="E2187" t="inlineStr">
        <is>
          <t>OdooBot</t>
        </is>
      </c>
      <c r="F2187" s="5" t="n">
        <v>46154.70721064815</v>
      </c>
      <c r="H2187" t="inlineStr">
        <is>
          <t>Non-Billable Tasks</t>
        </is>
      </c>
      <c r="I2187" t="n">
        <v>4.666666666666667</v>
      </c>
      <c r="K2187" t="inlineStr">
        <is>
          <t>Portfolio Team Management</t>
        </is>
      </c>
      <c r="L2187" t="b">
        <v>0</v>
      </c>
      <c r="M2187" t="inlineStr">
        <is>
          <t>Non-Billable</t>
        </is>
      </c>
      <c r="N2187" s="6">
        <f>IF(B2187="","",IF(ISNUMBER(B2187),TEXT(B2187,"YYYY-MM"),LEFT(B2187,7)))</f>
        <v/>
      </c>
    </row>
    <row r="2188">
      <c r="A2188" t="inlineStr">
        <is>
          <t>Helena Tetteh</t>
        </is>
      </c>
      <c r="B2188" s="4" t="n">
        <v>46065</v>
      </c>
      <c r="C2188" t="inlineStr">
        <is>
          <t>Global RSP Call_February</t>
        </is>
      </c>
      <c r="D2188" t="inlineStr">
        <is>
          <t xml:space="preserve">Helena Tetteh </t>
        </is>
      </c>
      <c r="E2188" t="inlineStr">
        <is>
          <t>OdooBot</t>
        </is>
      </c>
      <c r="F2188" s="5" t="n">
        <v>46154.70721064815</v>
      </c>
      <c r="H2188" t="inlineStr">
        <is>
          <t>Non-Billable Tasks</t>
        </is>
      </c>
      <c r="I2188" t="n">
        <v>1.5</v>
      </c>
      <c r="K2188" t="inlineStr">
        <is>
          <t>Professional development and Knowledge sharing(training,global knowledge calls,exchange weeks)</t>
        </is>
      </c>
      <c r="L2188" t="b">
        <v>0</v>
      </c>
      <c r="M2188" t="inlineStr">
        <is>
          <t>Non-Billable</t>
        </is>
      </c>
      <c r="N2188" s="6">
        <f>IF(B2188="","",IF(ISNUMBER(B2188),TEXT(B2188,"YYYY-MM"),LEFT(B2188,7)))</f>
        <v/>
      </c>
    </row>
    <row r="2189">
      <c r="A2189" t="inlineStr">
        <is>
          <t>Clement Obeng-Manu</t>
        </is>
      </c>
      <c r="B2189" s="4" t="n">
        <v>46065</v>
      </c>
      <c r="C2189" t="inlineStr">
        <is>
          <t>/</t>
        </is>
      </c>
      <c r="D2189" t="inlineStr">
        <is>
          <t>Clement Obeng-Manu</t>
        </is>
      </c>
      <c r="E2189" t="inlineStr">
        <is>
          <t>OdooBot</t>
        </is>
      </c>
      <c r="F2189" s="5" t="n">
        <v>46154.70721064815</v>
      </c>
      <c r="H2189" t="inlineStr">
        <is>
          <t>PCGH776 - Deforestation Risk-Assessment Cashew-Coast</t>
        </is>
      </c>
      <c r="I2189" t="n">
        <v>8</v>
      </c>
      <c r="J2189" t="inlineStr">
        <is>
          <t>PCGH776 - Data collection and review (3) (Cashew Coast Products Inc)</t>
        </is>
      </c>
      <c r="L2189" t="b">
        <v>1</v>
      </c>
      <c r="M2189" t="inlineStr">
        <is>
          <t>Billed at a Fixed price</t>
        </is>
      </c>
      <c r="N2189" s="6">
        <f>IF(B2189="","",IF(ISNUMBER(B2189),TEXT(B2189,"YYYY-MM"),LEFT(B2189,7)))</f>
        <v/>
      </c>
    </row>
    <row r="2190">
      <c r="A2190" t="inlineStr">
        <is>
          <t>Stephen Doso</t>
        </is>
      </c>
      <c r="B2190" s="4" t="n">
        <v>46065</v>
      </c>
      <c r="C2190" t="inlineStr">
        <is>
          <t>/</t>
        </is>
      </c>
      <c r="D2190" t="inlineStr">
        <is>
          <t>Stephen Doso</t>
        </is>
      </c>
      <c r="E2190" t="inlineStr">
        <is>
          <t>OdooBot</t>
        </is>
      </c>
      <c r="F2190" s="5" t="n">
        <v>46154.70721064815</v>
      </c>
      <c r="G2190" t="inlineStr">
        <is>
          <t>Field verification and reporting in Nigeria  (2)</t>
        </is>
      </c>
      <c r="H2190" t="inlineStr">
        <is>
          <t>PCGH775 - ESDD of Valency Operations for FMO</t>
        </is>
      </c>
      <c r="I2190" t="n">
        <v>8</v>
      </c>
      <c r="J2190" t="inlineStr">
        <is>
          <t>PCGH775 - Field Verification (2) (Valency International DMCC)</t>
        </is>
      </c>
      <c r="K2190" t="inlineStr">
        <is>
          <t>Site audit/ assessment (Nigeria)</t>
        </is>
      </c>
      <c r="L2190" t="b">
        <v>1</v>
      </c>
      <c r="M2190" t="inlineStr">
        <is>
          <t>Billed at a Fixed price</t>
        </is>
      </c>
      <c r="N2190" s="6">
        <f>IF(B2190="","",IF(ISNUMBER(B2190),TEXT(B2190,"YYYY-MM"),LEFT(B2190,7)))</f>
        <v/>
      </c>
    </row>
    <row r="2191">
      <c r="A2191" t="inlineStr">
        <is>
          <t>Kingsley Fitz-Gerald Severine</t>
        </is>
      </c>
      <c r="B2191" s="4" t="n">
        <v>46065</v>
      </c>
      <c r="C2191" t="inlineStr">
        <is>
          <t>Preparation of opening meeting, workplans, printing of maps and stakeholder sheets, purchase of batteries for sub-consultant and general field work organisation</t>
        </is>
      </c>
      <c r="D2191" t="inlineStr">
        <is>
          <t>Kingsley Fitz-Gerald Severine</t>
        </is>
      </c>
      <c r="E2191" t="inlineStr">
        <is>
          <t>OdooBot</t>
        </is>
      </c>
      <c r="F2191" s="5" t="n">
        <v>46154.70721064815</v>
      </c>
      <c r="G2191" t="inlineStr">
        <is>
          <t>Desk-based Review</t>
        </is>
      </c>
      <c r="H2191" t="inlineStr">
        <is>
          <t>PCGH784</t>
        </is>
      </c>
      <c r="I2191" t="n">
        <v>6.5</v>
      </c>
      <c r="J2191" t="inlineStr">
        <is>
          <t>PCGH784 - Desk Study (3) (Okeosisi Jonathan)</t>
        </is>
      </c>
      <c r="K2191" t="inlineStr">
        <is>
          <t>Desk review and survey tools</t>
        </is>
      </c>
      <c r="L2191" t="b">
        <v>1</v>
      </c>
      <c r="M2191" t="inlineStr">
        <is>
          <t>Billed at a Fixed price</t>
        </is>
      </c>
      <c r="N2191" s="6">
        <f>IF(B2191="","",IF(ISNUMBER(B2191),TEXT(B2191,"YYYY-MM"),LEFT(B2191,7)))</f>
        <v/>
      </c>
    </row>
    <row r="2192">
      <c r="A2192" t="inlineStr">
        <is>
          <t>Kwadwo Baniako Nti</t>
        </is>
      </c>
      <c r="B2192" s="4" t="n">
        <v>46065</v>
      </c>
      <c r="C2192" t="inlineStr">
        <is>
          <t>/</t>
        </is>
      </c>
      <c r="D2192" t="inlineStr">
        <is>
          <t>Kwadwo Baniako Nti</t>
        </is>
      </c>
      <c r="E2192" t="inlineStr">
        <is>
          <t>OdooBot</t>
        </is>
      </c>
      <c r="F2192" s="5" t="n">
        <v>46154.70721064815</v>
      </c>
      <c r="G2192" t="inlineStr">
        <is>
          <t>Field verification and reporting in Nigeria (3)</t>
        </is>
      </c>
      <c r="H2192" t="inlineStr">
        <is>
          <t>PCGH775 - ESDD of Valency Operations for FMO</t>
        </is>
      </c>
      <c r="I2192" t="n">
        <v>8</v>
      </c>
      <c r="J2192" t="inlineStr">
        <is>
          <t>PCGH775 - Field Verification (3) (Valency International DMCC)</t>
        </is>
      </c>
      <c r="K2192" t="inlineStr">
        <is>
          <t>Site audit/ assessment (Nigeria)</t>
        </is>
      </c>
      <c r="L2192" t="b">
        <v>1</v>
      </c>
      <c r="M2192" t="inlineStr">
        <is>
          <t>Billed at a Fixed price</t>
        </is>
      </c>
      <c r="N2192" s="6">
        <f>IF(B2192="","",IF(ISNUMBER(B2192),TEXT(B2192,"YYYY-MM"),LEFT(B2192,7)))</f>
        <v/>
      </c>
    </row>
    <row r="2193">
      <c r="A2193" t="inlineStr">
        <is>
          <t>Augustus Asamoah</t>
        </is>
      </c>
      <c r="B2193" s="4" t="n">
        <v>46065</v>
      </c>
      <c r="C2193" t="inlineStr">
        <is>
          <t>/</t>
        </is>
      </c>
      <c r="D2193" t="inlineStr">
        <is>
          <t>Augustus Asamoah</t>
        </is>
      </c>
      <c r="E2193" t="inlineStr">
        <is>
          <t>OdooBot</t>
        </is>
      </c>
      <c r="F2193" s="5" t="n">
        <v>46154.70721064815</v>
      </c>
      <c r="G2193" t="inlineStr">
        <is>
          <t>Programme Personnel and Management</t>
        </is>
      </c>
      <c r="H2193" t="inlineStr">
        <is>
          <t>P13NC00A00 - WALMART II</t>
        </is>
      </c>
      <c r="I2193" t="n">
        <v>2</v>
      </c>
      <c r="K2193" t="inlineStr">
        <is>
          <t>Programme Personnel</t>
        </is>
      </c>
      <c r="L2193" t="b">
        <v>0</v>
      </c>
      <c r="M2193" t="inlineStr">
        <is>
          <t>Non-Billable</t>
        </is>
      </c>
      <c r="N2193" s="6">
        <f>IF(B2193="","",IF(ISNUMBER(B2193),TEXT(B2193,"YYYY-MM"),LEFT(B2193,7)))</f>
        <v/>
      </c>
    </row>
    <row r="2194">
      <c r="A2194" t="inlineStr">
        <is>
          <t>Augustus Asamoah</t>
        </is>
      </c>
      <c r="B2194" s="4" t="n">
        <v>46065</v>
      </c>
      <c r="C2194" t="inlineStr">
        <is>
          <t>/</t>
        </is>
      </c>
      <c r="D2194" t="inlineStr">
        <is>
          <t>Augustus Asamoah</t>
        </is>
      </c>
      <c r="E2194" t="inlineStr">
        <is>
          <t>OdooBot</t>
        </is>
      </c>
      <c r="F2194" s="5" t="n">
        <v>46154.70721064815</v>
      </c>
      <c r="G2194" t="inlineStr">
        <is>
          <t>Programme Personnel and Management</t>
        </is>
      </c>
      <c r="H2194" t="inlineStr">
        <is>
          <t>P13QC00A00 - EFI Programme</t>
        </is>
      </c>
      <c r="I2194" t="n">
        <v>3</v>
      </c>
      <c r="K2194" t="inlineStr">
        <is>
          <t>Programme Personnel</t>
        </is>
      </c>
      <c r="L2194" t="b">
        <v>0</v>
      </c>
      <c r="M2194" t="inlineStr">
        <is>
          <t>Non-Billable</t>
        </is>
      </c>
      <c r="N2194" s="6">
        <f>IF(B2194="","",IF(ISNUMBER(B2194),TEXT(B2194,"YYYY-MM"),LEFT(B2194,7)))</f>
        <v/>
      </c>
    </row>
    <row r="2195">
      <c r="A2195" t="inlineStr">
        <is>
          <t>Augustus Asamoah</t>
        </is>
      </c>
      <c r="B2195" s="4" t="n">
        <v>46065</v>
      </c>
      <c r="C2195" t="inlineStr">
        <is>
          <t>/</t>
        </is>
      </c>
      <c r="D2195" t="inlineStr">
        <is>
          <t>Augustus Asamoah</t>
        </is>
      </c>
      <c r="E2195" t="inlineStr">
        <is>
          <t>OdooBot</t>
        </is>
      </c>
      <c r="F2195" s="5" t="n">
        <v>46154.70721064815</v>
      </c>
      <c r="H2195" t="inlineStr">
        <is>
          <t>PCGH771</t>
        </is>
      </c>
      <c r="I2195" t="n">
        <v>3</v>
      </c>
      <c r="J2195" t="inlineStr">
        <is>
          <t>PCGH771 - Desk Study (2) (Okeosisi Jonathan)</t>
        </is>
      </c>
      <c r="L2195" t="b">
        <v>1</v>
      </c>
      <c r="M2195" t="inlineStr">
        <is>
          <t>Billed at a Fixed price</t>
        </is>
      </c>
      <c r="N2195" s="6">
        <f>IF(B2195="","",IF(ISNUMBER(B2195),TEXT(B2195,"YYYY-MM"),LEFT(B2195,7)))</f>
        <v/>
      </c>
    </row>
    <row r="2196">
      <c r="A2196" t="inlineStr">
        <is>
          <t>Daleba Bernard Kpenahi Raymond</t>
        </is>
      </c>
      <c r="B2196" s="4" t="n">
        <v>46065</v>
      </c>
      <c r="C2196" t="inlineStr">
        <is>
          <t>/</t>
        </is>
      </c>
      <c r="D2196" t="inlineStr">
        <is>
          <t>Daleba Bernard Kpenahi Raymond</t>
        </is>
      </c>
      <c r="E2196" t="inlineStr">
        <is>
          <t>OdooBot</t>
        </is>
      </c>
      <c r="F2196" s="5" t="n">
        <v>46154.70721064815</v>
      </c>
      <c r="G2196" t="inlineStr">
        <is>
          <t>Output 2.2</t>
        </is>
      </c>
      <c r="H2196" t="inlineStr">
        <is>
          <t>P23AC00C00 - FGMC</t>
        </is>
      </c>
      <c r="I2196" t="n">
        <v>3</v>
      </c>
      <c r="K2196" t="inlineStr">
        <is>
          <t>P23AC42A00 - Accelerating Implementation.</t>
        </is>
      </c>
      <c r="L2196" t="b">
        <v>0</v>
      </c>
      <c r="M2196" t="inlineStr">
        <is>
          <t>Non-Billable</t>
        </is>
      </c>
      <c r="N2196" s="6">
        <f>IF(B2196="","",IF(ISNUMBER(B2196),TEXT(B2196,"YYYY-MM"),LEFT(B2196,7)))</f>
        <v/>
      </c>
    </row>
    <row r="2197">
      <c r="A2197" t="inlineStr">
        <is>
          <t>Daleba Bernard Kpenahi Raymond</t>
        </is>
      </c>
      <c r="B2197" s="4" t="n">
        <v>46065</v>
      </c>
      <c r="C2197" t="inlineStr">
        <is>
          <t>/</t>
        </is>
      </c>
      <c r="D2197" t="inlineStr">
        <is>
          <t>Daleba Bernard Kpenahi Raymond</t>
        </is>
      </c>
      <c r="E2197" t="inlineStr">
        <is>
          <t>OdooBot</t>
        </is>
      </c>
      <c r="F2197" s="5" t="n">
        <v>46154.70721064815</v>
      </c>
      <c r="G2197" t="inlineStr">
        <is>
          <t>Field verification and reporting in Ivory Coast (3)</t>
        </is>
      </c>
      <c r="H2197" t="inlineStr">
        <is>
          <t>PCGH775 - ESDD of Valency Operations for FMO</t>
        </is>
      </c>
      <c r="I2197" t="n">
        <v>5</v>
      </c>
      <c r="J2197" t="inlineStr">
        <is>
          <t>PCGH775 - Field Verification (3) (Valency International DMCC)</t>
        </is>
      </c>
      <c r="K2197" t="inlineStr">
        <is>
          <t>Analysis and reporting in Ivory Coast</t>
        </is>
      </c>
      <c r="L2197" t="b">
        <v>1</v>
      </c>
      <c r="M2197" t="inlineStr">
        <is>
          <t>Billed at a Fixed price</t>
        </is>
      </c>
      <c r="N2197" s="6">
        <f>IF(B2197="","",IF(ISNUMBER(B2197),TEXT(B2197,"YYYY-MM"),LEFT(B2197,7)))</f>
        <v/>
      </c>
    </row>
    <row r="2198">
      <c r="A2198" t="inlineStr">
        <is>
          <t>Kingsley Fitz-Gerald Severine</t>
        </is>
      </c>
      <c r="B2198" s="4" t="n">
        <v>46065</v>
      </c>
      <c r="C2198" t="inlineStr">
        <is>
          <t>Global RSP Call</t>
        </is>
      </c>
      <c r="D2198" t="inlineStr">
        <is>
          <t>Kingsley Fitz-Gerald Severine</t>
        </is>
      </c>
      <c r="E2198" t="inlineStr">
        <is>
          <t>OdooBot</t>
        </is>
      </c>
      <c r="F2198" s="5" t="n">
        <v>46154.70721064815</v>
      </c>
      <c r="H2198" t="inlineStr">
        <is>
          <t>Non-Billable Tasks</t>
        </is>
      </c>
      <c r="I2198" t="n">
        <v>1.5</v>
      </c>
      <c r="K2198" t="inlineStr">
        <is>
          <t>Professional development and Knowledge sharing(training,global knowledge calls,exchange weeks)</t>
        </is>
      </c>
      <c r="L2198" t="b">
        <v>0</v>
      </c>
      <c r="M2198" t="inlineStr">
        <is>
          <t>Non-Billable</t>
        </is>
      </c>
      <c r="N2198" s="6">
        <f>IF(B2198="","",IF(ISNUMBER(B2198),TEXT(B2198,"YYYY-MM"),LEFT(B2198,7)))</f>
        <v/>
      </c>
    </row>
    <row r="2199">
      <c r="A2199" t="inlineStr">
        <is>
          <t>James Parker Mckeown</t>
        </is>
      </c>
      <c r="B2199" s="4" t="n">
        <v>46064</v>
      </c>
      <c r="C2199" t="inlineStr">
        <is>
          <t xml:space="preserve">FGMC: Mapping Liberia local solutions </t>
        </is>
      </c>
      <c r="D2199" t="inlineStr">
        <is>
          <t>James Parker Mckeown</t>
        </is>
      </c>
      <c r="E2199" t="inlineStr">
        <is>
          <t>James Parker Mckeown</t>
        </is>
      </c>
      <c r="F2199" s="5" t="n">
        <v>46162.02280092592</v>
      </c>
      <c r="G2199" t="inlineStr">
        <is>
          <t>Output 2.3</t>
        </is>
      </c>
      <c r="H2199" t="inlineStr">
        <is>
          <t>P23AC00C00 - FGMC</t>
        </is>
      </c>
      <c r="I2199" t="n">
        <v>3</v>
      </c>
      <c r="K2199" t="inlineStr">
        <is>
          <t>P23AC22A00 - Output Two (Elevating Local Solutions - West Africa)</t>
        </is>
      </c>
      <c r="L2199" t="b">
        <v>0</v>
      </c>
      <c r="M2199" t="inlineStr">
        <is>
          <t>Non-Billable</t>
        </is>
      </c>
      <c r="N2199" s="6">
        <f>IF(B2199="","",IF(ISNUMBER(B2199),TEXT(B2199,"YYYY-MM"),LEFT(B2199,7)))</f>
        <v/>
      </c>
    </row>
    <row r="2200">
      <c r="A2200" t="inlineStr">
        <is>
          <t>James Parker Mckeown</t>
        </is>
      </c>
      <c r="B2200" s="4" t="n">
        <v>46064</v>
      </c>
      <c r="C2200" t="inlineStr">
        <is>
          <t xml:space="preserve">Discussion on building a system for Programmes data with clement </t>
        </is>
      </c>
      <c r="D2200" t="inlineStr">
        <is>
          <t>James Parker Mckeown</t>
        </is>
      </c>
      <c r="E2200" t="inlineStr">
        <is>
          <t>James Parker Mckeown</t>
        </is>
      </c>
      <c r="F2200" s="5" t="n">
        <v>46162.02197916667</v>
      </c>
      <c r="H2200" t="inlineStr">
        <is>
          <t>Non-Billable Tasks</t>
        </is>
      </c>
      <c r="I2200" t="n">
        <v>1.5</v>
      </c>
      <c r="K2200" t="inlineStr">
        <is>
          <t>Communication/Data/Training</t>
        </is>
      </c>
      <c r="L2200" t="b">
        <v>0</v>
      </c>
      <c r="M2200" t="inlineStr">
        <is>
          <t>Non-Billable</t>
        </is>
      </c>
      <c r="N2200" s="6">
        <f>IF(B2200="","",IF(ISNUMBER(B2200),TEXT(B2200,"YYYY-MM"),LEFT(B2200,7)))</f>
        <v/>
      </c>
    </row>
    <row r="2201">
      <c r="A2201" t="inlineStr">
        <is>
          <t>James Parker Mckeown</t>
        </is>
      </c>
      <c r="B2201" s="4" t="n">
        <v>46064</v>
      </c>
      <c r="C2201" t="inlineStr">
        <is>
          <t xml:space="preserve">Assets - landscapes + with Ali and Rosei Maltly </t>
        </is>
      </c>
      <c r="D2201" t="inlineStr">
        <is>
          <t>James Parker Mckeown</t>
        </is>
      </c>
      <c r="E2201" t="inlineStr">
        <is>
          <t>James Parker Mckeown</t>
        </is>
      </c>
      <c r="F2201" s="5" t="n">
        <v>46162.02128472222</v>
      </c>
      <c r="H2201" t="inlineStr">
        <is>
          <t>Non-Billable Tasks</t>
        </is>
      </c>
      <c r="I2201" t="n">
        <v>1</v>
      </c>
      <c r="K2201" t="inlineStr">
        <is>
          <t>Communication/Data/Training</t>
        </is>
      </c>
      <c r="L2201" t="b">
        <v>0</v>
      </c>
      <c r="M2201" t="inlineStr">
        <is>
          <t>Non-Billable</t>
        </is>
      </c>
      <c r="N2201" s="6">
        <f>IF(B2201="","",IF(ISNUMBER(B2201),TEXT(B2201,"YYYY-MM"),LEFT(B2201,7)))</f>
        <v/>
      </c>
    </row>
    <row r="2202">
      <c r="A2202" t="inlineStr">
        <is>
          <t>James Parker Mckeown</t>
        </is>
      </c>
      <c r="B2202" s="4" t="n">
        <v>46064</v>
      </c>
      <c r="C2202" t="inlineStr">
        <is>
          <t>FEUR/PFAFR - Catch-up Barry-Callebaut landscapes</t>
        </is>
      </c>
      <c r="D2202" t="inlineStr">
        <is>
          <t>James Parker Mckeown</t>
        </is>
      </c>
      <c r="E2202" t="inlineStr">
        <is>
          <t>James Parker Mckeown</t>
        </is>
      </c>
      <c r="F2202" s="5" t="n">
        <v>46162.02003472222</v>
      </c>
      <c r="H2202" t="inlineStr">
        <is>
          <t>Non-Billable Tasks</t>
        </is>
      </c>
      <c r="I2202" t="n">
        <v>1</v>
      </c>
      <c r="K2202" t="inlineStr">
        <is>
          <t>Business Development and Networking</t>
        </is>
      </c>
      <c r="L2202" t="b">
        <v>0</v>
      </c>
      <c r="M2202" t="inlineStr">
        <is>
          <t>Non-Billable</t>
        </is>
      </c>
      <c r="N2202" s="6">
        <f>IF(B2202="","",IF(ISNUMBER(B2202),TEXT(B2202,"YYYY-MM"),LEFT(B2202,7)))</f>
        <v/>
      </c>
    </row>
    <row r="2203">
      <c r="A2203" t="inlineStr">
        <is>
          <t>James Parker Mckeown</t>
        </is>
      </c>
      <c r="B2203" s="4" t="n">
        <v>46064</v>
      </c>
      <c r="C2203" t="inlineStr">
        <is>
          <t>Landscape and Cocoa Learning Journey_Ghana</t>
        </is>
      </c>
      <c r="D2203" t="inlineStr">
        <is>
          <t>James Parker Mckeown</t>
        </is>
      </c>
      <c r="E2203" t="inlineStr">
        <is>
          <t>James Parker Mckeown</t>
        </is>
      </c>
      <c r="F2203" s="5" t="n">
        <v>46162.0188425926</v>
      </c>
      <c r="H2203" t="inlineStr">
        <is>
          <t>Non-Billable Tasks</t>
        </is>
      </c>
      <c r="I2203" t="n">
        <v>1.5</v>
      </c>
      <c r="K2203" t="inlineStr">
        <is>
          <t>Internal Focal points and workstreams</t>
        </is>
      </c>
      <c r="L2203" t="b">
        <v>0</v>
      </c>
      <c r="M2203" t="inlineStr">
        <is>
          <t>Non-Billable</t>
        </is>
      </c>
      <c r="N2203" s="6">
        <f>IF(B2203="","",IF(ISNUMBER(B2203),TEXT(B2203,"YYYY-MM"),LEFT(B2203,7)))</f>
        <v/>
      </c>
    </row>
    <row r="2204">
      <c r="A2204" t="inlineStr">
        <is>
          <t>Louis Defo</t>
        </is>
      </c>
      <c r="B2204" s="4" t="n">
        <v>46064</v>
      </c>
      <c r="C2204" t="inlineStr">
        <is>
          <t>/</t>
        </is>
      </c>
      <c r="D2204" t="inlineStr">
        <is>
          <t>Louis Defo</t>
        </is>
      </c>
      <c r="E2204" t="inlineStr">
        <is>
          <t>Louis Defo</t>
        </is>
      </c>
      <c r="F2204" s="5" t="n">
        <v>46161.35121527778</v>
      </c>
      <c r="H2204" t="inlineStr">
        <is>
          <t>Non-Billable Tasks</t>
        </is>
      </c>
      <c r="I2204" t="n">
        <v>8</v>
      </c>
      <c r="L2204" t="b">
        <v>0</v>
      </c>
      <c r="M2204" t="inlineStr">
        <is>
          <t>Non-Billable</t>
        </is>
      </c>
      <c r="N2204" s="6">
        <f>IF(B2204="","",IF(ISNUMBER(B2204),TEXT(B2204,"YYYY-MM"),LEFT(B2204,7)))</f>
        <v/>
      </c>
    </row>
    <row r="2205">
      <c r="A2205" t="inlineStr">
        <is>
          <t>Frederick Antwi</t>
        </is>
      </c>
      <c r="B2205" s="4" t="n">
        <v>46064</v>
      </c>
      <c r="C2205" t="inlineStr">
        <is>
          <t>/</t>
        </is>
      </c>
      <c r="D2205" t="inlineStr">
        <is>
          <t>Frederick Antwi</t>
        </is>
      </c>
      <c r="E2205" t="inlineStr">
        <is>
          <t>Frederick Antwi</t>
        </is>
      </c>
      <c r="F2205" s="5" t="n">
        <v>46160.57349537037</v>
      </c>
      <c r="H2205" t="inlineStr">
        <is>
          <t>P13NC00A00 - WALMART II</t>
        </is>
      </c>
      <c r="I2205" t="n">
        <v>7</v>
      </c>
      <c r="L2205" t="b">
        <v>0</v>
      </c>
      <c r="M2205" t="inlineStr">
        <is>
          <t>Non-Billable</t>
        </is>
      </c>
      <c r="N2205" s="6">
        <f>IF(B2205="","",IF(ISNUMBER(B2205),TEXT(B2205,"YYYY-MM"),LEFT(B2205,7)))</f>
        <v/>
      </c>
    </row>
    <row r="2206">
      <c r="A2206" t="inlineStr">
        <is>
          <t>Frederick Antwi</t>
        </is>
      </c>
      <c r="B2206" s="4" t="n">
        <v>46064</v>
      </c>
      <c r="C2206" t="inlineStr">
        <is>
          <t>/</t>
        </is>
      </c>
      <c r="D2206" t="inlineStr">
        <is>
          <t>Frederick Antwi</t>
        </is>
      </c>
      <c r="E2206" t="inlineStr">
        <is>
          <t>Frederick Antwi</t>
        </is>
      </c>
      <c r="F2206" s="5" t="n">
        <v>46160.5733912037</v>
      </c>
      <c r="H2206" t="inlineStr">
        <is>
          <t>PCGH777</t>
        </is>
      </c>
      <c r="I2206" t="n">
        <v>1</v>
      </c>
      <c r="J2206" t="inlineStr">
        <is>
          <t>PCGH777 - Desk Study (3) (Proforest Limited(PCUK GBP))</t>
        </is>
      </c>
      <c r="L2206" t="b">
        <v>1</v>
      </c>
      <c r="M2206" t="inlineStr">
        <is>
          <t>Billed at a Fixed price</t>
        </is>
      </c>
      <c r="N2206" s="6">
        <f>IF(B2206="","",IF(ISNUMBER(B2206),TEXT(B2206,"YYYY-MM"),LEFT(B2206,7)))</f>
        <v/>
      </c>
    </row>
    <row r="2207">
      <c r="A2207" t="inlineStr">
        <is>
          <t>Ekow Nyamekye Tawiah</t>
        </is>
      </c>
      <c r="B2207" s="4" t="n">
        <v>46064</v>
      </c>
      <c r="C2207" t="inlineStr">
        <is>
          <t>/</t>
        </is>
      </c>
      <c r="D2207" t="inlineStr">
        <is>
          <t>Ekow Nyamekye Tawiah</t>
        </is>
      </c>
      <c r="E2207" t="inlineStr">
        <is>
          <t>OdooBot</t>
        </is>
      </c>
      <c r="F2207" s="5" t="n">
        <v>46154.70721064815</v>
      </c>
      <c r="H2207" t="inlineStr">
        <is>
          <t>PCGH722</t>
        </is>
      </c>
      <c r="I2207" t="n">
        <v>3</v>
      </c>
      <c r="L2207" t="b">
        <v>1</v>
      </c>
      <c r="M2207" t="inlineStr">
        <is>
          <t>Non-Billable</t>
        </is>
      </c>
      <c r="N2207" s="6">
        <f>IF(B2207="","",IF(ISNUMBER(B2207),TEXT(B2207,"YYYY-MM"),LEFT(B2207,7)))</f>
        <v/>
      </c>
    </row>
    <row r="2208">
      <c r="A2208" t="inlineStr">
        <is>
          <t>Ekow Nyamekye Tawiah</t>
        </is>
      </c>
      <c r="B2208" s="4" t="n">
        <v>46064</v>
      </c>
      <c r="C2208" t="inlineStr">
        <is>
          <t>Deforestation risk thinking</t>
        </is>
      </c>
      <c r="D2208" t="inlineStr">
        <is>
          <t>Ekow Nyamekye Tawiah</t>
        </is>
      </c>
      <c r="E2208" t="inlineStr">
        <is>
          <t>Michael Anim</t>
        </is>
      </c>
      <c r="F2208" s="5" t="n">
        <v>46163.53209490741</v>
      </c>
      <c r="H2208" t="inlineStr">
        <is>
          <t>PCGH778 - General Support</t>
        </is>
      </c>
      <c r="I2208" t="n">
        <v>1</v>
      </c>
      <c r="J2208" t="inlineStr">
        <is>
          <t>PCGH778 - Support to Other Workstreams (3) (Proforest Limited(PCUK GBP))</t>
        </is>
      </c>
      <c r="L2208" t="b">
        <v>1</v>
      </c>
      <c r="M2208" t="inlineStr">
        <is>
          <t>Billed at a Fixed price</t>
        </is>
      </c>
      <c r="N2208" s="6">
        <f>IF(B2208="","",IF(ISNUMBER(B2208),TEXT(B2208,"YYYY-MM"),LEFT(B2208,7)))</f>
        <v/>
      </c>
    </row>
    <row r="2209">
      <c r="A2209" t="inlineStr">
        <is>
          <t>Afua Serwah Akoto Prempeh</t>
        </is>
      </c>
      <c r="B2209" s="4" t="n">
        <v>46064</v>
      </c>
      <c r="C2209" t="inlineStr">
        <is>
          <t>/</t>
        </is>
      </c>
      <c r="D2209" t="inlineStr">
        <is>
          <t>Afua Serwah Akoto Prempeh</t>
        </is>
      </c>
      <c r="E2209" t="inlineStr">
        <is>
          <t>OdooBot</t>
        </is>
      </c>
      <c r="F2209" s="5" t="n">
        <v>46154.70721064815</v>
      </c>
      <c r="H2209" t="inlineStr">
        <is>
          <t>P23AC00C00 - FGMC</t>
        </is>
      </c>
      <c r="I2209" t="n">
        <v>3.5</v>
      </c>
      <c r="L2209" t="b">
        <v>0</v>
      </c>
      <c r="M2209" t="inlineStr">
        <is>
          <t>Non-Billable</t>
        </is>
      </c>
      <c r="N2209" s="6">
        <f>IF(B2209="","",IF(ISNUMBER(B2209),TEXT(B2209,"YYYY-MM"),LEFT(B2209,7)))</f>
        <v/>
      </c>
    </row>
    <row r="2210">
      <c r="A2210" t="inlineStr">
        <is>
          <t>Afua Serwah Akoto Prempeh</t>
        </is>
      </c>
      <c r="B2210" s="4" t="n">
        <v>46064</v>
      </c>
      <c r="C2210" t="inlineStr">
        <is>
          <t>/</t>
        </is>
      </c>
      <c r="D2210" t="inlineStr">
        <is>
          <t>Afua Serwah Akoto Prempeh</t>
        </is>
      </c>
      <c r="E2210" t="inlineStr">
        <is>
          <t>OdooBot</t>
        </is>
      </c>
      <c r="F2210" s="5" t="n">
        <v>46154.70721064815</v>
      </c>
      <c r="H2210" t="inlineStr">
        <is>
          <t>Non-Billable Tasks</t>
        </is>
      </c>
      <c r="I2210" t="n">
        <v>4.5</v>
      </c>
      <c r="K2210" t="inlineStr">
        <is>
          <t>Communication/Data/Training</t>
        </is>
      </c>
      <c r="L2210" t="b">
        <v>0</v>
      </c>
      <c r="M2210" t="inlineStr">
        <is>
          <t>Non-Billable</t>
        </is>
      </c>
      <c r="N2210" s="6">
        <f>IF(B2210="","",IF(ISNUMBER(B2210),TEXT(B2210,"YYYY-MM"),LEFT(B2210,7)))</f>
        <v/>
      </c>
    </row>
    <row r="2211">
      <c r="A2211" t="inlineStr">
        <is>
          <t>Helena Tetteh</t>
        </is>
      </c>
      <c r="B2211" s="4" t="n">
        <v>46064</v>
      </c>
      <c r="C2211" t="inlineStr">
        <is>
          <t>/</t>
        </is>
      </c>
      <c r="D2211" t="inlineStr">
        <is>
          <t xml:space="preserve">Helena Tetteh </t>
        </is>
      </c>
      <c r="E2211" t="inlineStr">
        <is>
          <t>OdooBot</t>
        </is>
      </c>
      <c r="F2211" s="5" t="n">
        <v>46154.70721064815</v>
      </c>
      <c r="H2211" t="inlineStr">
        <is>
          <t>P13GC00A00 - GAC Ulula</t>
        </is>
      </c>
      <c r="I2211" t="n">
        <v>8</v>
      </c>
      <c r="L2211" t="b">
        <v>0</v>
      </c>
      <c r="M2211" t="inlineStr">
        <is>
          <t>Non-Billable</t>
        </is>
      </c>
      <c r="N2211" s="6">
        <f>IF(B2211="","",IF(ISNUMBER(B2211),TEXT(B2211,"YYYY-MM"),LEFT(B2211,7)))</f>
        <v/>
      </c>
    </row>
    <row r="2212">
      <c r="A2212" t="inlineStr">
        <is>
          <t>Clement Obeng-Manu</t>
        </is>
      </c>
      <c r="B2212" s="4" t="n">
        <v>46064</v>
      </c>
      <c r="C2212" t="inlineStr">
        <is>
          <t>/</t>
        </is>
      </c>
      <c r="D2212" t="inlineStr">
        <is>
          <t>Clement Obeng-Manu</t>
        </is>
      </c>
      <c r="E2212" t="inlineStr">
        <is>
          <t>OdooBot</t>
        </is>
      </c>
      <c r="F2212" s="5" t="n">
        <v>46154.70721064815</v>
      </c>
      <c r="H2212" t="inlineStr">
        <is>
          <t>PCGH777</t>
        </is>
      </c>
      <c r="I2212" t="n">
        <v>4</v>
      </c>
      <c r="J2212" t="inlineStr">
        <is>
          <t>PCGH777 - Desk Study (3) (Proforest Limited(PCUK GBP))</t>
        </is>
      </c>
      <c r="L2212" t="b">
        <v>1</v>
      </c>
      <c r="M2212" t="inlineStr">
        <is>
          <t>Billed at a Fixed price</t>
        </is>
      </c>
      <c r="N2212" s="6">
        <f>IF(B2212="","",IF(ISNUMBER(B2212),TEXT(B2212,"YYYY-MM"),LEFT(B2212,7)))</f>
        <v/>
      </c>
    </row>
    <row r="2213">
      <c r="A2213" t="inlineStr">
        <is>
          <t>Clement Obeng-Manu</t>
        </is>
      </c>
      <c r="B2213" s="4" t="n">
        <v>46064</v>
      </c>
      <c r="C2213" t="inlineStr">
        <is>
          <t>/</t>
        </is>
      </c>
      <c r="D2213" t="inlineStr">
        <is>
          <t>Clement Obeng-Manu</t>
        </is>
      </c>
      <c r="E2213" t="inlineStr">
        <is>
          <t>OdooBot</t>
        </is>
      </c>
      <c r="F2213" s="5" t="n">
        <v>46154.70721064815</v>
      </c>
      <c r="H2213" t="inlineStr">
        <is>
          <t>PCGH722</t>
        </is>
      </c>
      <c r="I2213" t="n">
        <v>4</v>
      </c>
      <c r="L2213" t="b">
        <v>1</v>
      </c>
      <c r="M2213" t="inlineStr">
        <is>
          <t>Non-Billable</t>
        </is>
      </c>
      <c r="N2213" s="6">
        <f>IF(B2213="","",IF(ISNUMBER(B2213),TEXT(B2213,"YYYY-MM"),LEFT(B2213,7)))</f>
        <v/>
      </c>
    </row>
    <row r="2214">
      <c r="A2214" t="inlineStr">
        <is>
          <t>Stephen Doso</t>
        </is>
      </c>
      <c r="B2214" s="4" t="n">
        <v>46064</v>
      </c>
      <c r="C2214" t="inlineStr">
        <is>
          <t>/</t>
        </is>
      </c>
      <c r="D2214" t="inlineStr">
        <is>
          <t>Stephen Doso</t>
        </is>
      </c>
      <c r="E2214" t="inlineStr">
        <is>
          <t>OdooBot</t>
        </is>
      </c>
      <c r="F2214" s="5" t="n">
        <v>46154.70721064815</v>
      </c>
      <c r="G2214" t="inlineStr">
        <is>
          <t>Field verification and reporting in Nigeria  (2)</t>
        </is>
      </c>
      <c r="H2214" t="inlineStr">
        <is>
          <t>PCGH775 - ESDD of Valency Operations for FMO</t>
        </is>
      </c>
      <c r="I2214" t="n">
        <v>8</v>
      </c>
      <c r="J2214" t="inlineStr">
        <is>
          <t>PCGH775 - Field Verification (2) (Valency International DMCC)</t>
        </is>
      </c>
      <c r="K2214" t="inlineStr">
        <is>
          <t>Site audit/ assessment (Nigeria)</t>
        </is>
      </c>
      <c r="L2214" t="b">
        <v>1</v>
      </c>
      <c r="M2214" t="inlineStr">
        <is>
          <t>Billed at a Fixed price</t>
        </is>
      </c>
      <c r="N2214" s="6">
        <f>IF(B2214="","",IF(ISNUMBER(B2214),TEXT(B2214,"YYYY-MM"),LEFT(B2214,7)))</f>
        <v/>
      </c>
    </row>
    <row r="2215">
      <c r="A2215" t="inlineStr">
        <is>
          <t>Kwadwo Baniako Nti</t>
        </is>
      </c>
      <c r="B2215" s="4" t="n">
        <v>46064</v>
      </c>
      <c r="C2215" t="inlineStr">
        <is>
          <t>/</t>
        </is>
      </c>
      <c r="D2215" t="inlineStr">
        <is>
          <t>Kwadwo Baniako Nti</t>
        </is>
      </c>
      <c r="E2215" t="inlineStr">
        <is>
          <t>OdooBot</t>
        </is>
      </c>
      <c r="F2215" s="5" t="n">
        <v>46154.70721064815</v>
      </c>
      <c r="G2215" t="inlineStr">
        <is>
          <t>Field verification and reporting in Nigeria (3)</t>
        </is>
      </c>
      <c r="H2215" t="inlineStr">
        <is>
          <t>PCGH775 - ESDD of Valency Operations for FMO</t>
        </is>
      </c>
      <c r="I2215" t="n">
        <v>8</v>
      </c>
      <c r="J2215" t="inlineStr">
        <is>
          <t>PCGH775 - Field Verification (3) (Valency International DMCC)</t>
        </is>
      </c>
      <c r="K2215" t="inlineStr">
        <is>
          <t>Site audit/ assessment (Nigeria)</t>
        </is>
      </c>
      <c r="L2215" t="b">
        <v>1</v>
      </c>
      <c r="M2215" t="inlineStr">
        <is>
          <t>Billed at a Fixed price</t>
        </is>
      </c>
      <c r="N2215" s="6">
        <f>IF(B2215="","",IF(ISNUMBER(B2215),TEXT(B2215,"YYYY-MM"),LEFT(B2215,7)))</f>
        <v/>
      </c>
    </row>
    <row r="2216">
      <c r="A2216" t="inlineStr">
        <is>
          <t>Augustus Asamoah</t>
        </is>
      </c>
      <c r="B2216" s="4" t="n">
        <v>46064</v>
      </c>
      <c r="C2216" t="inlineStr">
        <is>
          <t>/</t>
        </is>
      </c>
      <c r="D2216" t="inlineStr">
        <is>
          <t>Augustus Asamoah</t>
        </is>
      </c>
      <c r="E2216" t="inlineStr">
        <is>
          <t>OdooBot</t>
        </is>
      </c>
      <c r="F2216" s="5" t="n">
        <v>46154.70721064815</v>
      </c>
      <c r="H2216" t="inlineStr">
        <is>
          <t>PCGH771</t>
        </is>
      </c>
      <c r="I2216" t="n">
        <v>5</v>
      </c>
      <c r="J2216" t="inlineStr">
        <is>
          <t>PCGH771 - Desk Study (2) (Okeosisi Jonathan)</t>
        </is>
      </c>
      <c r="L2216" t="b">
        <v>1</v>
      </c>
      <c r="M2216" t="inlineStr">
        <is>
          <t>Billed at a Fixed price</t>
        </is>
      </c>
      <c r="N2216" s="6">
        <f>IF(B2216="","",IF(ISNUMBER(B2216),TEXT(B2216,"YYYY-MM"),LEFT(B2216,7)))</f>
        <v/>
      </c>
    </row>
    <row r="2217">
      <c r="A2217" t="inlineStr">
        <is>
          <t>Augustus Asamoah</t>
        </is>
      </c>
      <c r="B2217" s="4" t="n">
        <v>46064</v>
      </c>
      <c r="C2217" t="inlineStr">
        <is>
          <t>/</t>
        </is>
      </c>
      <c r="D2217" t="inlineStr">
        <is>
          <t>Augustus Asamoah</t>
        </is>
      </c>
      <c r="E2217" t="inlineStr">
        <is>
          <t>OdooBot</t>
        </is>
      </c>
      <c r="F2217" s="5" t="n">
        <v>46154.70721064815</v>
      </c>
      <c r="H2217" t="inlineStr">
        <is>
          <t>Non-Billable Tasks</t>
        </is>
      </c>
      <c r="I2217" t="n">
        <v>3</v>
      </c>
      <c r="K2217" t="inlineStr">
        <is>
          <t>Other management activities</t>
        </is>
      </c>
      <c r="L2217" t="b">
        <v>0</v>
      </c>
      <c r="M2217" t="inlineStr">
        <is>
          <t>Non-Billable</t>
        </is>
      </c>
      <c r="N2217" s="6">
        <f>IF(B2217="","",IF(ISNUMBER(B2217),TEXT(B2217,"YYYY-MM"),LEFT(B2217,7)))</f>
        <v/>
      </c>
    </row>
    <row r="2218">
      <c r="A2218" t="inlineStr">
        <is>
          <t>Daleba Bernard Kpenahi Raymond</t>
        </is>
      </c>
      <c r="B2218" s="4" t="n">
        <v>46064</v>
      </c>
      <c r="C2218" t="inlineStr">
        <is>
          <t>/</t>
        </is>
      </c>
      <c r="D2218" t="inlineStr">
        <is>
          <t>Daleba Bernard Kpenahi Raymond</t>
        </is>
      </c>
      <c r="E2218" t="inlineStr">
        <is>
          <t>OdooBot</t>
        </is>
      </c>
      <c r="F2218" s="5" t="n">
        <v>46154.70721064815</v>
      </c>
      <c r="H2218" t="inlineStr">
        <is>
          <t>PCGH775 - ESDD of Valency Operations for FMO</t>
        </is>
      </c>
      <c r="I2218" t="n">
        <v>8</v>
      </c>
      <c r="J2218" t="inlineStr">
        <is>
          <t>PCGH775 - Kick-Off Meeting (Valency International DMCC)</t>
        </is>
      </c>
      <c r="L2218" t="b">
        <v>1</v>
      </c>
      <c r="M2218" t="inlineStr">
        <is>
          <t>Billed at a Fixed price</t>
        </is>
      </c>
      <c r="N2218" s="6">
        <f>IF(B2218="","",IF(ISNUMBER(B2218),TEXT(B2218,"YYYY-MM"),LEFT(B2218,7)))</f>
        <v/>
      </c>
    </row>
    <row r="2219">
      <c r="A2219" t="inlineStr">
        <is>
          <t>Daleba Bernard Kpenahi Raymond</t>
        </is>
      </c>
      <c r="B2219" s="4" t="n">
        <v>46064</v>
      </c>
      <c r="C2219" t="inlineStr">
        <is>
          <t>/</t>
        </is>
      </c>
      <c r="D2219" t="inlineStr">
        <is>
          <t>Daleba Bernard Kpenahi Raymond</t>
        </is>
      </c>
      <c r="E2219" t="inlineStr">
        <is>
          <t>OdooBot</t>
        </is>
      </c>
      <c r="F2219" s="5" t="n">
        <v>46154.70721064815</v>
      </c>
      <c r="G2219" t="inlineStr">
        <is>
          <t>Field verification and reporting in Ivory Coast (3)</t>
        </is>
      </c>
      <c r="H2219" t="inlineStr">
        <is>
          <t>PCGH775 - ESDD of Valency Operations for FMO</t>
        </is>
      </c>
      <c r="I2219" t="n">
        <v>0</v>
      </c>
      <c r="J2219" t="inlineStr">
        <is>
          <t>PCGH775 - Field Verification (3) (Valency International DMCC)</t>
        </is>
      </c>
      <c r="K2219" t="inlineStr">
        <is>
          <t>Analysis and reporting in Ivory Coast</t>
        </is>
      </c>
      <c r="L2219" t="b">
        <v>1</v>
      </c>
      <c r="M2219" t="inlineStr">
        <is>
          <t>Billed at a Fixed price</t>
        </is>
      </c>
      <c r="N2219" s="6">
        <f>IF(B2219="","",IF(ISNUMBER(B2219),TEXT(B2219,"YYYY-MM"),LEFT(B2219,7)))</f>
        <v/>
      </c>
    </row>
    <row r="2220">
      <c r="A2220" t="inlineStr">
        <is>
          <t>Kingsley Fitz-Gerald Severine</t>
        </is>
      </c>
      <c r="B2220" s="4" t="n">
        <v>46064</v>
      </c>
      <c r="C2220" t="inlineStr">
        <is>
          <t>/</t>
        </is>
      </c>
      <c r="D2220" t="inlineStr">
        <is>
          <t>Kingsley Fitz-Gerald Severine</t>
        </is>
      </c>
      <c r="E2220" t="inlineStr">
        <is>
          <t>OdooBot</t>
        </is>
      </c>
      <c r="F2220" s="5" t="n">
        <v>46154.70721064815</v>
      </c>
      <c r="H2220" t="inlineStr">
        <is>
          <t>PCGH771</t>
        </is>
      </c>
      <c r="I2220" t="n">
        <v>8</v>
      </c>
      <c r="J2220" t="inlineStr">
        <is>
          <t>PCGH771 - Analysis and Reporting (3) (Okeosisi Jonathan)</t>
        </is>
      </c>
      <c r="K2220" t="inlineStr">
        <is>
          <t>Analysis and Reporting (Reporting)</t>
        </is>
      </c>
      <c r="L2220" t="b">
        <v>1</v>
      </c>
      <c r="M2220" t="inlineStr">
        <is>
          <t>Billed at a Fixed price</t>
        </is>
      </c>
      <c r="N2220" s="6">
        <f>IF(B2220="","",IF(ISNUMBER(B2220),TEXT(B2220,"YYYY-MM"),LEFT(B2220,7)))</f>
        <v/>
      </c>
    </row>
    <row r="2221">
      <c r="A2221" t="inlineStr">
        <is>
          <t>Michael Anim</t>
        </is>
      </c>
      <c r="B2221" s="4" t="n">
        <v>46063</v>
      </c>
      <c r="C2221" t="inlineStr">
        <is>
          <t>/</t>
        </is>
      </c>
      <c r="D2221" t="inlineStr">
        <is>
          <t>Patricia Offei</t>
        </is>
      </c>
      <c r="E2221" t="inlineStr">
        <is>
          <t>Michael Anim</t>
        </is>
      </c>
      <c r="F2221" s="5" t="n">
        <v>46163.55091435185</v>
      </c>
      <c r="G2221" t="inlineStr">
        <is>
          <t>Field verification and reporting in Ivory Coast (3)</t>
        </is>
      </c>
      <c r="H2221" t="inlineStr">
        <is>
          <t>PCGH775 - ESDD of Valency Operations for FMO</t>
        </is>
      </c>
      <c r="I2221" t="n">
        <v>6</v>
      </c>
      <c r="J2221" t="inlineStr">
        <is>
          <t>PCGH775 - Field Verification (3) (Valency International DMCC)</t>
        </is>
      </c>
      <c r="K2221" t="inlineStr">
        <is>
          <t>Analysis and reporting in Ivory Coast</t>
        </is>
      </c>
      <c r="L2221" t="b">
        <v>1</v>
      </c>
      <c r="M2221" t="inlineStr">
        <is>
          <t>Billed at a Fixed price</t>
        </is>
      </c>
      <c r="N2221" s="6">
        <f>IF(B2221="","",IF(ISNUMBER(B2221),TEXT(B2221,"YYYY-MM"),LEFT(B2221,7)))</f>
        <v/>
      </c>
    </row>
    <row r="2222">
      <c r="A2222" t="inlineStr">
        <is>
          <t>Joseph Isaiah Mensah</t>
        </is>
      </c>
      <c r="B2222" s="4" t="n">
        <v>46063</v>
      </c>
      <c r="C2222" t="inlineStr">
        <is>
          <t>/</t>
        </is>
      </c>
      <c r="D2222" t="inlineStr">
        <is>
          <t>Joseph Isaiah Mensah</t>
        </is>
      </c>
      <c r="E2222" t="inlineStr">
        <is>
          <t>Joseph Isaiah Mensah</t>
        </is>
      </c>
      <c r="F2222" s="5" t="n">
        <v>46162.64456018519</v>
      </c>
      <c r="G2222" t="inlineStr">
        <is>
          <t>Field verification and reporting in Nigeria (3)</t>
        </is>
      </c>
      <c r="H2222" t="inlineStr">
        <is>
          <t>PCGH775 - ESDD of Valency Operations for FMO</t>
        </is>
      </c>
      <c r="I2222" t="n">
        <v>8</v>
      </c>
      <c r="J2222" t="inlineStr">
        <is>
          <t>PCGH775 - Field Verification (3) (Valency International DMCC)</t>
        </is>
      </c>
      <c r="K2222" t="inlineStr">
        <is>
          <t>Site audit/ assessment (Nigeria)</t>
        </is>
      </c>
      <c r="L2222" t="b">
        <v>1</v>
      </c>
      <c r="M2222" t="inlineStr">
        <is>
          <t>Billed at a Fixed price</t>
        </is>
      </c>
      <c r="N2222" s="6">
        <f>IF(B2222="","",IF(ISNUMBER(B2222),TEXT(B2222,"YYYY-MM"),LEFT(B2222,7)))</f>
        <v/>
      </c>
    </row>
    <row r="2223">
      <c r="A2223" t="inlineStr">
        <is>
          <t>Joseph Isaiah Mensah</t>
        </is>
      </c>
      <c r="B2223" s="4" t="n">
        <v>46063</v>
      </c>
      <c r="C2223" t="inlineStr">
        <is>
          <t>/</t>
        </is>
      </c>
      <c r="D2223" t="inlineStr">
        <is>
          <t>Joseph Isaiah Mensah</t>
        </is>
      </c>
      <c r="E2223" t="inlineStr">
        <is>
          <t>Joseph Isaiah Mensah</t>
        </is>
      </c>
      <c r="F2223" s="5" t="n">
        <v>46162.64438657407</v>
      </c>
      <c r="G2223" t="inlineStr">
        <is>
          <t>Field verification and reporting in Nigeria (3)</t>
        </is>
      </c>
      <c r="H2223" t="inlineStr">
        <is>
          <t>PCGH775 - ESDD of Valency Operations for FMO</t>
        </is>
      </c>
      <c r="I2223" t="n">
        <v>8</v>
      </c>
      <c r="J2223" t="inlineStr">
        <is>
          <t>PCGH775 - Field Verification (3) (Valency International DMCC)</t>
        </is>
      </c>
      <c r="K2223" t="inlineStr">
        <is>
          <t>Site audit/ assessment (Nigeria)</t>
        </is>
      </c>
      <c r="L2223" t="b">
        <v>1</v>
      </c>
      <c r="M2223" t="inlineStr">
        <is>
          <t>Billed at a Fixed price</t>
        </is>
      </c>
      <c r="N2223" s="6">
        <f>IF(B2223="","",IF(ISNUMBER(B2223),TEXT(B2223,"YYYY-MM"),LEFT(B2223,7)))</f>
        <v/>
      </c>
    </row>
    <row r="2224">
      <c r="A2224" t="inlineStr">
        <is>
          <t>James Parker Mckeown</t>
        </is>
      </c>
      <c r="B2224" s="4" t="n">
        <v>46063</v>
      </c>
      <c r="C2224" t="inlineStr">
        <is>
          <t xml:space="preserve">PFAFR BRIDGE catch up with the whole team </t>
        </is>
      </c>
      <c r="D2224" t="inlineStr">
        <is>
          <t>James Parker Mckeown</t>
        </is>
      </c>
      <c r="E2224" t="inlineStr">
        <is>
          <t>James Parker Mckeown</t>
        </is>
      </c>
      <c r="F2224" s="5" t="n">
        <v>46162.01798611111</v>
      </c>
      <c r="G2224" t="inlineStr">
        <is>
          <t>Output 4</t>
        </is>
      </c>
      <c r="H2224" t="inlineStr">
        <is>
          <t>P23AC00C00 - FGMC</t>
        </is>
      </c>
      <c r="I2224" t="n">
        <v>1.5</v>
      </c>
      <c r="K2224" t="inlineStr">
        <is>
          <t>P23AC03A00 - Project Management</t>
        </is>
      </c>
      <c r="L2224" t="b">
        <v>0</v>
      </c>
      <c r="M2224" t="inlineStr">
        <is>
          <t>Non-Billable</t>
        </is>
      </c>
      <c r="N2224" s="6">
        <f>IF(B2224="","",IF(ISNUMBER(B2224),TEXT(B2224,"YYYY-MM"),LEFT(B2224,7)))</f>
        <v/>
      </c>
    </row>
    <row r="2225">
      <c r="A2225" t="inlineStr">
        <is>
          <t>James Parker Mckeown</t>
        </is>
      </c>
      <c r="B2225" s="4" t="n">
        <v>46063</v>
      </c>
      <c r="C2225" t="inlineStr">
        <is>
          <t xml:space="preserve">FGMC check-ups with Joseph &amp; Helena </t>
        </is>
      </c>
      <c r="D2225" t="inlineStr">
        <is>
          <t>James Parker Mckeown</t>
        </is>
      </c>
      <c r="E2225" t="inlineStr">
        <is>
          <t>James Parker Mckeown</t>
        </is>
      </c>
      <c r="F2225" s="5" t="n">
        <v>46162.01694444445</v>
      </c>
      <c r="G2225" t="inlineStr">
        <is>
          <t>Output 4</t>
        </is>
      </c>
      <c r="H2225" t="inlineStr">
        <is>
          <t>P23AC00C00 - FGMC</t>
        </is>
      </c>
      <c r="I2225" t="n">
        <v>3.5</v>
      </c>
      <c r="K2225" t="inlineStr">
        <is>
          <t>P23AC03A00 - Project Management</t>
        </is>
      </c>
      <c r="L2225" t="b">
        <v>0</v>
      </c>
      <c r="M2225" t="inlineStr">
        <is>
          <t>Non-Billable</t>
        </is>
      </c>
      <c r="N2225" s="6">
        <f>IF(B2225="","",IF(ISNUMBER(B2225),TEXT(B2225,"YYYY-MM"),LEFT(B2225,7)))</f>
        <v/>
      </c>
    </row>
    <row r="2226">
      <c r="A2226" t="inlineStr">
        <is>
          <t>James Parker Mckeown</t>
        </is>
      </c>
      <c r="B2226" s="4" t="n">
        <v>46063</v>
      </c>
      <c r="C2226" t="inlineStr">
        <is>
          <t>FutureFoodS proposal</t>
        </is>
      </c>
      <c r="D2226" t="inlineStr">
        <is>
          <t>James Parker Mckeown</t>
        </is>
      </c>
      <c r="E2226" t="inlineStr">
        <is>
          <t>James Parker Mckeown</t>
        </is>
      </c>
      <c r="F2226" s="5" t="n">
        <v>46162.01569444445</v>
      </c>
      <c r="H2226" t="inlineStr">
        <is>
          <t>Non-Billable Tasks</t>
        </is>
      </c>
      <c r="I2226" t="n">
        <v>2</v>
      </c>
      <c r="K2226" t="inlineStr">
        <is>
          <t>Business Development and Networking</t>
        </is>
      </c>
      <c r="L2226" t="b">
        <v>0</v>
      </c>
      <c r="M2226" t="inlineStr">
        <is>
          <t>Non-Billable</t>
        </is>
      </c>
      <c r="N2226" s="6">
        <f>IF(B2226="","",IF(ISNUMBER(B2226),TEXT(B2226,"YYYY-MM"),LEFT(B2226,7)))</f>
        <v/>
      </c>
    </row>
    <row r="2227">
      <c r="A2227" t="inlineStr">
        <is>
          <t>James Parker Mckeown</t>
        </is>
      </c>
      <c r="B2227" s="4" t="n">
        <v>46063</v>
      </c>
      <c r="C2227" t="inlineStr">
        <is>
          <t>Follow-up on GVL work</t>
        </is>
      </c>
      <c r="D2227" t="inlineStr">
        <is>
          <t>James Parker Mckeown</t>
        </is>
      </c>
      <c r="E2227" t="inlineStr">
        <is>
          <t>James Parker Mckeown</t>
        </is>
      </c>
      <c r="F2227" s="5" t="n">
        <v>46162.01489583333</v>
      </c>
      <c r="H2227" t="inlineStr">
        <is>
          <t>PCGH762 - GVL HCSA Restoration Project</t>
        </is>
      </c>
      <c r="I2227" t="n">
        <v>2</v>
      </c>
      <c r="J2227" t="inlineStr">
        <is>
          <t>PCGH762 - Development and Implementation of MEL Framework (Golden Veroleum Liberia)</t>
        </is>
      </c>
      <c r="L2227" t="b">
        <v>1</v>
      </c>
      <c r="M2227" t="inlineStr">
        <is>
          <t>Billed at a Fixed price</t>
        </is>
      </c>
      <c r="N2227" s="6">
        <f>IF(B2227="","",IF(ISNUMBER(B2227),TEXT(B2227,"YYYY-MM"),LEFT(B2227,7)))</f>
        <v/>
      </c>
    </row>
    <row r="2228">
      <c r="A2228" t="inlineStr">
        <is>
          <t>Louis Defo</t>
        </is>
      </c>
      <c r="B2228" s="4" t="n">
        <v>46063</v>
      </c>
      <c r="C2228" t="inlineStr">
        <is>
          <t>/</t>
        </is>
      </c>
      <c r="D2228" t="inlineStr">
        <is>
          <t>Louis Defo</t>
        </is>
      </c>
      <c r="E2228" t="inlineStr">
        <is>
          <t>Louis Defo</t>
        </is>
      </c>
      <c r="F2228" s="5" t="n">
        <v>46161.35060185185</v>
      </c>
      <c r="H2228" t="inlineStr">
        <is>
          <t>PCGH787</t>
        </is>
      </c>
      <c r="I2228" t="n">
        <v>8</v>
      </c>
      <c r="J2228" t="inlineStr">
        <is>
          <t>PCGH787 - Desk Study (3) (Proforest Limited(PCUK GBP))</t>
        </is>
      </c>
      <c r="L2228" t="b">
        <v>1</v>
      </c>
      <c r="M2228" t="inlineStr">
        <is>
          <t>Billed at a Fixed price</t>
        </is>
      </c>
      <c r="N2228" s="6">
        <f>IF(B2228="","",IF(ISNUMBER(B2228),TEXT(B2228,"YYYY-MM"),LEFT(B2228,7)))</f>
        <v/>
      </c>
    </row>
    <row r="2229">
      <c r="A2229" t="inlineStr">
        <is>
          <t>Frederick Antwi</t>
        </is>
      </c>
      <c r="B2229" s="4" t="n">
        <v>46063</v>
      </c>
      <c r="C2229" t="inlineStr">
        <is>
          <t>/</t>
        </is>
      </c>
      <c r="D2229" t="inlineStr">
        <is>
          <t>Frederick Antwi</t>
        </is>
      </c>
      <c r="E2229" t="inlineStr">
        <is>
          <t>Frederick Antwi</t>
        </is>
      </c>
      <c r="F2229" s="5" t="n">
        <v>46160.57296296296</v>
      </c>
      <c r="H2229" t="inlineStr">
        <is>
          <t>PCGH777</t>
        </is>
      </c>
      <c r="I2229" t="n">
        <v>1</v>
      </c>
      <c r="J2229" t="inlineStr">
        <is>
          <t>PCGH777 - Desk Study (3) (Proforest Limited(PCUK GBP))</t>
        </is>
      </c>
      <c r="L2229" t="b">
        <v>1</v>
      </c>
      <c r="M2229" t="inlineStr">
        <is>
          <t>Billed at a Fixed price</t>
        </is>
      </c>
      <c r="N2229" s="6">
        <f>IF(B2229="","",IF(ISNUMBER(B2229),TEXT(B2229,"YYYY-MM"),LEFT(B2229,7)))</f>
        <v/>
      </c>
    </row>
    <row r="2230">
      <c r="A2230" t="inlineStr">
        <is>
          <t>Frederick Antwi</t>
        </is>
      </c>
      <c r="B2230" s="4" t="n">
        <v>46063</v>
      </c>
      <c r="C2230" t="inlineStr">
        <is>
          <t>/</t>
        </is>
      </c>
      <c r="D2230" t="inlineStr">
        <is>
          <t>Frederick Antwi</t>
        </is>
      </c>
      <c r="E2230" t="inlineStr">
        <is>
          <t>Frederick Antwi</t>
        </is>
      </c>
      <c r="F2230" s="5" t="n">
        <v>46160.57299768519</v>
      </c>
      <c r="H2230" t="inlineStr">
        <is>
          <t>P13NC00A00 - WALMART II</t>
        </is>
      </c>
      <c r="I2230" t="n">
        <v>7</v>
      </c>
      <c r="L2230" t="b">
        <v>0</v>
      </c>
      <c r="M2230" t="inlineStr">
        <is>
          <t>Non-Billable</t>
        </is>
      </c>
      <c r="N2230" s="6">
        <f>IF(B2230="","",IF(ISNUMBER(B2230),TEXT(B2230,"YYYY-MM"),LEFT(B2230,7)))</f>
        <v/>
      </c>
    </row>
    <row r="2231">
      <c r="A2231" t="inlineStr">
        <is>
          <t>Ekow Nyamekye Tawiah</t>
        </is>
      </c>
      <c r="B2231" s="4" t="n">
        <v>46063</v>
      </c>
      <c r="C2231" t="inlineStr">
        <is>
          <t>/</t>
        </is>
      </c>
      <c r="D2231" t="inlineStr">
        <is>
          <t>Ekow Nyamekye Tawiah</t>
        </is>
      </c>
      <c r="E2231" t="inlineStr">
        <is>
          <t>OdooBot</t>
        </is>
      </c>
      <c r="F2231" s="5" t="n">
        <v>46154.70721064815</v>
      </c>
      <c r="H2231" t="inlineStr">
        <is>
          <t>PCGH722</t>
        </is>
      </c>
      <c r="I2231" t="n">
        <v>4</v>
      </c>
      <c r="L2231" t="b">
        <v>1</v>
      </c>
      <c r="M2231" t="inlineStr">
        <is>
          <t>Non-Billable</t>
        </is>
      </c>
      <c r="N2231" s="6">
        <f>IF(B2231="","",IF(ISNUMBER(B2231),TEXT(B2231,"YYYY-MM"),LEFT(B2231,7)))</f>
        <v/>
      </c>
    </row>
    <row r="2232">
      <c r="A2232" t="inlineStr">
        <is>
          <t>Afua Serwah Akoto Prempeh</t>
        </is>
      </c>
      <c r="B2232" s="4" t="n">
        <v>46063</v>
      </c>
      <c r="C2232" t="inlineStr">
        <is>
          <t>/</t>
        </is>
      </c>
      <c r="D2232" t="inlineStr">
        <is>
          <t>Afua Serwah Akoto Prempeh</t>
        </is>
      </c>
      <c r="E2232" t="inlineStr">
        <is>
          <t>OdooBot</t>
        </is>
      </c>
      <c r="F2232" s="5" t="n">
        <v>46154.70721064815</v>
      </c>
      <c r="H2232" t="inlineStr">
        <is>
          <t>P23AC00C00 - FGMC</t>
        </is>
      </c>
      <c r="I2232" t="n">
        <v>2</v>
      </c>
      <c r="L2232" t="b">
        <v>0</v>
      </c>
      <c r="M2232" t="inlineStr">
        <is>
          <t>Non-Billable</t>
        </is>
      </c>
      <c r="N2232" s="6">
        <f>IF(B2232="","",IF(ISNUMBER(B2232),TEXT(B2232,"YYYY-MM"),LEFT(B2232,7)))</f>
        <v/>
      </c>
    </row>
    <row r="2233">
      <c r="A2233" t="inlineStr">
        <is>
          <t>Afua Serwah Akoto Prempeh</t>
        </is>
      </c>
      <c r="B2233" s="4" t="n">
        <v>46063</v>
      </c>
      <c r="C2233" t="inlineStr">
        <is>
          <t>/</t>
        </is>
      </c>
      <c r="D2233" t="inlineStr">
        <is>
          <t>Afua Serwah Akoto Prempeh</t>
        </is>
      </c>
      <c r="E2233" t="inlineStr">
        <is>
          <t>OdooBot</t>
        </is>
      </c>
      <c r="F2233" s="5" t="n">
        <v>46154.70721064815</v>
      </c>
      <c r="H2233" t="inlineStr">
        <is>
          <t>Non-Billable Tasks</t>
        </is>
      </c>
      <c r="I2233" t="n">
        <v>6</v>
      </c>
      <c r="K2233" t="inlineStr">
        <is>
          <t>Communication/Data/Training</t>
        </is>
      </c>
      <c r="L2233" t="b">
        <v>0</v>
      </c>
      <c r="M2233" t="inlineStr">
        <is>
          <t>Non-Billable</t>
        </is>
      </c>
      <c r="N2233" s="6">
        <f>IF(B2233="","",IF(ISNUMBER(B2233),TEXT(B2233,"YYYY-MM"),LEFT(B2233,7)))</f>
        <v/>
      </c>
    </row>
    <row r="2234">
      <c r="A2234" t="inlineStr">
        <is>
          <t>Helena Tetteh</t>
        </is>
      </c>
      <c r="B2234" s="4" t="n">
        <v>46063</v>
      </c>
      <c r="C2234" t="inlineStr">
        <is>
          <t>/</t>
        </is>
      </c>
      <c r="D2234" t="inlineStr">
        <is>
          <t xml:space="preserve">Helena Tetteh </t>
        </is>
      </c>
      <c r="E2234" t="inlineStr">
        <is>
          <t>OdooBot</t>
        </is>
      </c>
      <c r="F2234" s="5" t="n">
        <v>46154.70721064815</v>
      </c>
      <c r="H2234" t="inlineStr">
        <is>
          <t>Non-Billable Tasks</t>
        </is>
      </c>
      <c r="I2234" t="n">
        <v>2.5</v>
      </c>
      <c r="K2234" t="inlineStr">
        <is>
          <t>Portfolio Team Management</t>
        </is>
      </c>
      <c r="L2234" t="b">
        <v>0</v>
      </c>
      <c r="M2234" t="inlineStr">
        <is>
          <t>Non-Billable</t>
        </is>
      </c>
      <c r="N2234" s="6">
        <f>IF(B2234="","",IF(ISNUMBER(B2234),TEXT(B2234,"YYYY-MM"),LEFT(B2234,7)))</f>
        <v/>
      </c>
    </row>
    <row r="2235">
      <c r="A2235" t="inlineStr">
        <is>
          <t>Helena Tetteh</t>
        </is>
      </c>
      <c r="B2235" s="4" t="n">
        <v>46063</v>
      </c>
      <c r="C2235" t="inlineStr">
        <is>
          <t>ToR development/review</t>
        </is>
      </c>
      <c r="D2235" t="inlineStr">
        <is>
          <t xml:space="preserve">Helena Tetteh </t>
        </is>
      </c>
      <c r="E2235" t="inlineStr">
        <is>
          <t>OdooBot</t>
        </is>
      </c>
      <c r="F2235" s="5" t="n">
        <v>46154.70721064815</v>
      </c>
      <c r="H2235" t="inlineStr">
        <is>
          <t>P23AC00C00 - FGMC</t>
        </is>
      </c>
      <c r="I2235" t="n">
        <v>2.5</v>
      </c>
      <c r="K2235" t="inlineStr">
        <is>
          <t>Output 2.3</t>
        </is>
      </c>
      <c r="L2235" t="b">
        <v>0</v>
      </c>
      <c r="M2235" t="inlineStr">
        <is>
          <t>Non-Billable</t>
        </is>
      </c>
      <c r="N2235" s="6">
        <f>IF(B2235="","",IF(ISNUMBER(B2235),TEXT(B2235,"YYYY-MM"),LEFT(B2235,7)))</f>
        <v/>
      </c>
    </row>
    <row r="2236">
      <c r="A2236" t="inlineStr">
        <is>
          <t>Helena Tetteh</t>
        </is>
      </c>
      <c r="B2236" s="4" t="n">
        <v>46063</v>
      </c>
      <c r="C2236" t="inlineStr">
        <is>
          <t>PFAFR BRIDGE: Weekly Catch-up</t>
        </is>
      </c>
      <c r="D2236" t="inlineStr">
        <is>
          <t xml:space="preserve">Helena Tetteh </t>
        </is>
      </c>
      <c r="E2236" t="inlineStr">
        <is>
          <t>OdooBot</t>
        </is>
      </c>
      <c r="F2236" s="5" t="n">
        <v>46154.70721064815</v>
      </c>
      <c r="H2236" t="inlineStr">
        <is>
          <t>P23AC00C00 - FGMC</t>
        </is>
      </c>
      <c r="I2236" t="n">
        <v>2</v>
      </c>
      <c r="K2236" t="inlineStr">
        <is>
          <t>Output 2.3</t>
        </is>
      </c>
      <c r="L2236" t="b">
        <v>0</v>
      </c>
      <c r="M2236" t="inlineStr">
        <is>
          <t>Non-Billable</t>
        </is>
      </c>
      <c r="N2236" s="6">
        <f>IF(B2236="","",IF(ISNUMBER(B2236),TEXT(B2236,"YYYY-MM"),LEFT(B2236,7)))</f>
        <v/>
      </c>
    </row>
    <row r="2237">
      <c r="A2237" t="inlineStr">
        <is>
          <t>Helena Tetteh</t>
        </is>
      </c>
      <c r="B2237" s="4" t="n">
        <v>46063</v>
      </c>
      <c r="C2237" t="inlineStr">
        <is>
          <t>Discussion on building a system for Programmes data</t>
        </is>
      </c>
      <c r="D2237" t="inlineStr">
        <is>
          <t xml:space="preserve">Helena Tetteh </t>
        </is>
      </c>
      <c r="E2237" t="inlineStr">
        <is>
          <t>OdooBot</t>
        </is>
      </c>
      <c r="F2237" s="5" t="n">
        <v>46154.70721064815</v>
      </c>
      <c r="H2237" t="inlineStr">
        <is>
          <t>Non-Billable Tasks</t>
        </is>
      </c>
      <c r="I2237" t="n">
        <v>1</v>
      </c>
      <c r="K2237" t="inlineStr">
        <is>
          <t>Communication/Data/Training</t>
        </is>
      </c>
      <c r="L2237" t="b">
        <v>0</v>
      </c>
      <c r="M2237" t="inlineStr">
        <is>
          <t>Non-Billable</t>
        </is>
      </c>
      <c r="N2237" s="6">
        <f>IF(B2237="","",IF(ISNUMBER(B2237),TEXT(B2237,"YYYY-MM"),LEFT(B2237,7)))</f>
        <v/>
      </c>
    </row>
    <row r="2238">
      <c r="A2238" t="inlineStr">
        <is>
          <t>Clement Obeng-Manu</t>
        </is>
      </c>
      <c r="B2238" s="4" t="n">
        <v>46063</v>
      </c>
      <c r="C2238" t="inlineStr">
        <is>
          <t>/</t>
        </is>
      </c>
      <c r="D2238" t="inlineStr">
        <is>
          <t>Clement Obeng-Manu</t>
        </is>
      </c>
      <c r="E2238" t="inlineStr">
        <is>
          <t>OdooBot</t>
        </is>
      </c>
      <c r="F2238" s="5" t="n">
        <v>46154.70721064815</v>
      </c>
      <c r="H2238" t="inlineStr">
        <is>
          <t>PCGH777</t>
        </is>
      </c>
      <c r="I2238" t="n">
        <v>4</v>
      </c>
      <c r="J2238" t="inlineStr">
        <is>
          <t>PCGH777 - Desk Study (3) (Proforest Limited(PCUK GBP))</t>
        </is>
      </c>
      <c r="L2238" t="b">
        <v>1</v>
      </c>
      <c r="M2238" t="inlineStr">
        <is>
          <t>Billed at a Fixed price</t>
        </is>
      </c>
      <c r="N2238" s="6">
        <f>IF(B2238="","",IF(ISNUMBER(B2238),TEXT(B2238,"YYYY-MM"),LEFT(B2238,7)))</f>
        <v/>
      </c>
    </row>
    <row r="2239">
      <c r="A2239" t="inlineStr">
        <is>
          <t>Clement Obeng-Manu</t>
        </is>
      </c>
      <c r="B2239" s="4" t="n">
        <v>46063</v>
      </c>
      <c r="C2239" t="inlineStr">
        <is>
          <t>/</t>
        </is>
      </c>
      <c r="D2239" t="inlineStr">
        <is>
          <t>Clement Obeng-Manu</t>
        </is>
      </c>
      <c r="E2239" t="inlineStr">
        <is>
          <t>OdooBot</t>
        </is>
      </c>
      <c r="F2239" s="5" t="n">
        <v>46154.70721064815</v>
      </c>
      <c r="H2239" t="inlineStr">
        <is>
          <t>PCGH722</t>
        </is>
      </c>
      <c r="I2239" t="n">
        <v>4</v>
      </c>
      <c r="L2239" t="b">
        <v>1</v>
      </c>
      <c r="M2239" t="inlineStr">
        <is>
          <t>Non-Billable</t>
        </is>
      </c>
      <c r="N2239" s="6">
        <f>IF(B2239="","",IF(ISNUMBER(B2239),TEXT(B2239,"YYYY-MM"),LEFT(B2239,7)))</f>
        <v/>
      </c>
    </row>
    <row r="2240">
      <c r="A2240" t="inlineStr">
        <is>
          <t>Stephen Doso</t>
        </is>
      </c>
      <c r="B2240" s="4" t="n">
        <v>46063</v>
      </c>
      <c r="C2240" t="inlineStr">
        <is>
          <t>/</t>
        </is>
      </c>
      <c r="D2240" t="inlineStr">
        <is>
          <t>Stephen Doso</t>
        </is>
      </c>
      <c r="E2240" t="inlineStr">
        <is>
          <t>OdooBot</t>
        </is>
      </c>
      <c r="F2240" s="5" t="n">
        <v>46154.70721064815</v>
      </c>
      <c r="G2240" t="inlineStr">
        <is>
          <t>Field verification and reporting in Nigeria  (2)</t>
        </is>
      </c>
      <c r="H2240" t="inlineStr">
        <is>
          <t>PCGH775 - ESDD of Valency Operations for FMO</t>
        </is>
      </c>
      <c r="I2240" t="n">
        <v>8</v>
      </c>
      <c r="J2240" t="inlineStr">
        <is>
          <t>PCGH775 - Field Verification (2) (Valency International DMCC)</t>
        </is>
      </c>
      <c r="K2240" t="inlineStr">
        <is>
          <t>Site audit/ assessment (Nigeria)</t>
        </is>
      </c>
      <c r="L2240" t="b">
        <v>1</v>
      </c>
      <c r="M2240" t="inlineStr">
        <is>
          <t>Billed at a Fixed price</t>
        </is>
      </c>
      <c r="N2240" s="6">
        <f>IF(B2240="","",IF(ISNUMBER(B2240),TEXT(B2240,"YYYY-MM"),LEFT(B2240,7)))</f>
        <v/>
      </c>
    </row>
    <row r="2241">
      <c r="A2241" t="inlineStr">
        <is>
          <t>Kwadwo Baniako Nti</t>
        </is>
      </c>
      <c r="B2241" s="4" t="n">
        <v>46063</v>
      </c>
      <c r="C2241" t="inlineStr">
        <is>
          <t>/</t>
        </is>
      </c>
      <c r="D2241" t="inlineStr">
        <is>
          <t>Kwadwo Baniako Nti</t>
        </is>
      </c>
      <c r="E2241" t="inlineStr">
        <is>
          <t>OdooBot</t>
        </is>
      </c>
      <c r="F2241" s="5" t="n">
        <v>46154.70721064815</v>
      </c>
      <c r="G2241" t="inlineStr">
        <is>
          <t>Field verification and reporting in Nigeria (3)</t>
        </is>
      </c>
      <c r="H2241" t="inlineStr">
        <is>
          <t>PCGH775 - ESDD of Valency Operations for FMO</t>
        </is>
      </c>
      <c r="I2241" t="n">
        <v>8</v>
      </c>
      <c r="J2241" t="inlineStr">
        <is>
          <t>PCGH775 - Field Verification (3) (Valency International DMCC)</t>
        </is>
      </c>
      <c r="K2241" t="inlineStr">
        <is>
          <t>Site audit/ assessment (Nigeria)</t>
        </is>
      </c>
      <c r="L2241" t="b">
        <v>1</v>
      </c>
      <c r="M2241" t="inlineStr">
        <is>
          <t>Billed at a Fixed price</t>
        </is>
      </c>
      <c r="N2241" s="6">
        <f>IF(B2241="","",IF(ISNUMBER(B2241),TEXT(B2241,"YYYY-MM"),LEFT(B2241,7)))</f>
        <v/>
      </c>
    </row>
    <row r="2242">
      <c r="A2242" t="inlineStr">
        <is>
          <t>Augustus Asamoah</t>
        </is>
      </c>
      <c r="B2242" s="4" t="n">
        <v>46063</v>
      </c>
      <c r="C2242" t="inlineStr">
        <is>
          <t>/</t>
        </is>
      </c>
      <c r="D2242" t="inlineStr">
        <is>
          <t>Augustus Asamoah</t>
        </is>
      </c>
      <c r="E2242" t="inlineStr">
        <is>
          <t>OdooBot</t>
        </is>
      </c>
      <c r="F2242" s="5" t="n">
        <v>46154.70721064815</v>
      </c>
      <c r="H2242" t="inlineStr">
        <is>
          <t>PCGH771</t>
        </is>
      </c>
      <c r="I2242" t="n">
        <v>3</v>
      </c>
      <c r="J2242" t="inlineStr">
        <is>
          <t>PCGH771 - Desk Study (2) (Okeosisi Jonathan)</t>
        </is>
      </c>
      <c r="L2242" t="b">
        <v>1</v>
      </c>
      <c r="M2242" t="inlineStr">
        <is>
          <t>Billed at a Fixed price</t>
        </is>
      </c>
      <c r="N2242" s="6">
        <f>IF(B2242="","",IF(ISNUMBER(B2242),TEXT(B2242,"YYYY-MM"),LEFT(B2242,7)))</f>
        <v/>
      </c>
    </row>
    <row r="2243">
      <c r="A2243" t="inlineStr">
        <is>
          <t>Augustus Asamoah</t>
        </is>
      </c>
      <c r="B2243" s="4" t="n">
        <v>46063</v>
      </c>
      <c r="C2243" t="inlineStr">
        <is>
          <t>/</t>
        </is>
      </c>
      <c r="D2243" t="inlineStr">
        <is>
          <t>Augustus Asamoah</t>
        </is>
      </c>
      <c r="E2243" t="inlineStr">
        <is>
          <t>OdooBot</t>
        </is>
      </c>
      <c r="F2243" s="5" t="n">
        <v>46154.70721064815</v>
      </c>
      <c r="G2243" t="inlineStr">
        <is>
          <t>Programme Personnel and Management</t>
        </is>
      </c>
      <c r="H2243" t="inlineStr">
        <is>
          <t>P13QC00A00 - EFI Programme</t>
        </is>
      </c>
      <c r="I2243" t="n">
        <v>0</v>
      </c>
      <c r="K2243" t="inlineStr">
        <is>
          <t>Programme Personnel</t>
        </is>
      </c>
      <c r="L2243" t="b">
        <v>0</v>
      </c>
      <c r="M2243" t="inlineStr">
        <is>
          <t>Non-Billable</t>
        </is>
      </c>
      <c r="N2243" s="6">
        <f>IF(B2243="","",IF(ISNUMBER(B2243),TEXT(B2243,"YYYY-MM"),LEFT(B2243,7)))</f>
        <v/>
      </c>
    </row>
    <row r="2244">
      <c r="A2244" t="inlineStr">
        <is>
          <t>Augustus Asamoah</t>
        </is>
      </c>
      <c r="B2244" s="4" t="n">
        <v>46063</v>
      </c>
      <c r="C2244" t="inlineStr">
        <is>
          <t>/</t>
        </is>
      </c>
      <c r="D2244" t="inlineStr">
        <is>
          <t>Augustus Asamoah</t>
        </is>
      </c>
      <c r="E2244" t="inlineStr">
        <is>
          <t>OdooBot</t>
        </is>
      </c>
      <c r="F2244" s="5" t="n">
        <v>46154.70721064815</v>
      </c>
      <c r="H2244" t="inlineStr">
        <is>
          <t>Non-Billable Tasks</t>
        </is>
      </c>
      <c r="I2244" t="n">
        <v>3</v>
      </c>
      <c r="K2244" t="inlineStr">
        <is>
          <t>Other management activities</t>
        </is>
      </c>
      <c r="L2244" t="b">
        <v>0</v>
      </c>
      <c r="M2244" t="inlineStr">
        <is>
          <t>Non-Billable</t>
        </is>
      </c>
      <c r="N2244" s="6">
        <f>IF(B2244="","",IF(ISNUMBER(B2244),TEXT(B2244,"YYYY-MM"),LEFT(B2244,7)))</f>
        <v/>
      </c>
    </row>
    <row r="2245">
      <c r="A2245" t="inlineStr">
        <is>
          <t>Daleba Bernard Kpenahi Raymond</t>
        </is>
      </c>
      <c r="B2245" s="4" t="n">
        <v>46063</v>
      </c>
      <c r="C2245" t="inlineStr">
        <is>
          <t>/</t>
        </is>
      </c>
      <c r="D2245" t="inlineStr">
        <is>
          <t>Daleba Bernard Kpenahi Raymond</t>
        </is>
      </c>
      <c r="E2245" t="inlineStr">
        <is>
          <t>OdooBot</t>
        </is>
      </c>
      <c r="F2245" s="5" t="n">
        <v>46154.70721064815</v>
      </c>
      <c r="G2245" t="inlineStr">
        <is>
          <t>Output 2.2</t>
        </is>
      </c>
      <c r="H2245" t="inlineStr">
        <is>
          <t>P23AC00C00 - FGMC</t>
        </is>
      </c>
      <c r="I2245" t="n">
        <v>2</v>
      </c>
      <c r="K2245" t="inlineStr">
        <is>
          <t>P23AC42A00 - Accelerating Implementation.</t>
        </is>
      </c>
      <c r="L2245" t="b">
        <v>0</v>
      </c>
      <c r="M2245" t="inlineStr">
        <is>
          <t>Non-Billable</t>
        </is>
      </c>
      <c r="N2245" s="6">
        <f>IF(B2245="","",IF(ISNUMBER(B2245),TEXT(B2245,"YYYY-MM"),LEFT(B2245,7)))</f>
        <v/>
      </c>
    </row>
    <row r="2246">
      <c r="A2246" t="inlineStr">
        <is>
          <t>Daleba Bernard Kpenahi Raymond</t>
        </is>
      </c>
      <c r="B2246" s="4" t="n">
        <v>46063</v>
      </c>
      <c r="C2246" t="inlineStr">
        <is>
          <t>/</t>
        </is>
      </c>
      <c r="D2246" t="inlineStr">
        <is>
          <t>Daleba Bernard Kpenahi Raymond</t>
        </is>
      </c>
      <c r="E2246" t="inlineStr">
        <is>
          <t>OdooBot</t>
        </is>
      </c>
      <c r="F2246" s="5" t="n">
        <v>46154.70721064815</v>
      </c>
      <c r="G2246" t="inlineStr">
        <is>
          <t>Field verification and reporting in Ivory Coast (3)</t>
        </is>
      </c>
      <c r="H2246" t="inlineStr">
        <is>
          <t>PCGH775 - ESDD of Valency Operations for FMO</t>
        </is>
      </c>
      <c r="I2246" t="n">
        <v>6</v>
      </c>
      <c r="J2246" t="inlineStr">
        <is>
          <t>PCGH775 - Field Verification (3) (Valency International DMCC)</t>
        </is>
      </c>
      <c r="K2246" t="inlineStr">
        <is>
          <t>Analysis and reporting in Ivory Coast</t>
        </is>
      </c>
      <c r="L2246" t="b">
        <v>1</v>
      </c>
      <c r="M2246" t="inlineStr">
        <is>
          <t>Billed at a Fixed price</t>
        </is>
      </c>
      <c r="N2246" s="6">
        <f>IF(B2246="","",IF(ISNUMBER(B2246),TEXT(B2246,"YYYY-MM"),LEFT(B2246,7)))</f>
        <v/>
      </c>
    </row>
    <row r="2247">
      <c r="A2247" t="inlineStr">
        <is>
          <t>Kingsley Fitz-Gerald Severine</t>
        </is>
      </c>
      <c r="B2247" s="4" t="n">
        <v>46063</v>
      </c>
      <c r="C2247" t="inlineStr">
        <is>
          <t>/</t>
        </is>
      </c>
      <c r="D2247" t="inlineStr">
        <is>
          <t>Kingsley Fitz-Gerald Severine</t>
        </is>
      </c>
      <c r="E2247" t="inlineStr">
        <is>
          <t>OdooBot</t>
        </is>
      </c>
      <c r="F2247" s="5" t="n">
        <v>46154.70721064815</v>
      </c>
      <c r="H2247" t="inlineStr">
        <is>
          <t>PCGH771</t>
        </is>
      </c>
      <c r="I2247" t="n">
        <v>8</v>
      </c>
      <c r="J2247" t="inlineStr">
        <is>
          <t>PCGH771 - Analysis and Reporting (3) (Okeosisi Jonathan)</t>
        </is>
      </c>
      <c r="K2247" t="inlineStr">
        <is>
          <t>Analysis and Reporting (Reporting)</t>
        </is>
      </c>
      <c r="L2247" t="b">
        <v>1</v>
      </c>
      <c r="M2247" t="inlineStr">
        <is>
          <t>Billed at a Fixed price</t>
        </is>
      </c>
      <c r="N2247" s="6">
        <f>IF(B2247="","",IF(ISNUMBER(B2247),TEXT(B2247,"YYYY-MM"),LEFT(B2247,7)))</f>
        <v/>
      </c>
    </row>
    <row r="2248">
      <c r="A2248" t="inlineStr">
        <is>
          <t>Michael Anim</t>
        </is>
      </c>
      <c r="B2248" s="4" t="n">
        <v>46062</v>
      </c>
      <c r="C2248" t="inlineStr">
        <is>
          <t>/</t>
        </is>
      </c>
      <c r="D2248" t="inlineStr">
        <is>
          <t>Patricia Offei</t>
        </is>
      </c>
      <c r="E2248" t="inlineStr">
        <is>
          <t>Michael Anim</t>
        </is>
      </c>
      <c r="F2248" s="5" t="n">
        <v>46163.55012731482</v>
      </c>
      <c r="G2248" t="inlineStr">
        <is>
          <t>Field verification and reporting in Ivory Coast (3)</t>
        </is>
      </c>
      <c r="H2248" t="inlineStr">
        <is>
          <t>PCGH775 - ESDD of Valency Operations for FMO</t>
        </is>
      </c>
      <c r="I2248" t="n">
        <v>6</v>
      </c>
      <c r="J2248" t="inlineStr">
        <is>
          <t>PCGH775 - Field Verification (3) (Valency International DMCC)</t>
        </is>
      </c>
      <c r="K2248" t="inlineStr">
        <is>
          <t>Analysis and reporting in Ivory Coast</t>
        </is>
      </c>
      <c r="L2248" t="b">
        <v>1</v>
      </c>
      <c r="M2248" t="inlineStr">
        <is>
          <t>Billed at a Fixed price</t>
        </is>
      </c>
      <c r="N2248" s="6">
        <f>IF(B2248="","",IF(ISNUMBER(B2248),TEXT(B2248,"YYYY-MM"),LEFT(B2248,7)))</f>
        <v/>
      </c>
    </row>
    <row r="2249">
      <c r="A2249" t="inlineStr">
        <is>
          <t>Joseph Isaiah Mensah</t>
        </is>
      </c>
      <c r="B2249" s="4" t="n">
        <v>46062</v>
      </c>
      <c r="C2249" t="inlineStr">
        <is>
          <t>/</t>
        </is>
      </c>
      <c r="D2249" t="inlineStr">
        <is>
          <t>Joseph Isaiah Mensah</t>
        </is>
      </c>
      <c r="E2249" t="inlineStr">
        <is>
          <t>Joseph Isaiah Mensah</t>
        </is>
      </c>
      <c r="F2249" s="5" t="n">
        <v>46162.64733796296</v>
      </c>
      <c r="G2249" t="inlineStr">
        <is>
          <t>Field verification and reporting in Nigeria (3)</t>
        </is>
      </c>
      <c r="H2249" t="inlineStr">
        <is>
          <t>PCGH775 - ESDD of Valency Operations for FMO</t>
        </is>
      </c>
      <c r="I2249" t="n">
        <v>8</v>
      </c>
      <c r="J2249" t="inlineStr">
        <is>
          <t>PCGH775 - Field Verification (3) (Valency International DMCC)</t>
        </is>
      </c>
      <c r="K2249" t="inlineStr">
        <is>
          <t>Site audit/ assessment (Nigeria)</t>
        </is>
      </c>
      <c r="L2249" t="b">
        <v>1</v>
      </c>
      <c r="M2249" t="inlineStr">
        <is>
          <t>Billed at a Fixed price</t>
        </is>
      </c>
      <c r="N2249" s="6">
        <f>IF(B2249="","",IF(ISNUMBER(B2249),TEXT(B2249,"YYYY-MM"),LEFT(B2249,7)))</f>
        <v/>
      </c>
    </row>
    <row r="2250">
      <c r="A2250" t="inlineStr">
        <is>
          <t>Louis Defo</t>
        </is>
      </c>
      <c r="B2250" s="4" t="n">
        <v>46062</v>
      </c>
      <c r="C2250" t="inlineStr">
        <is>
          <t>/</t>
        </is>
      </c>
      <c r="D2250" t="inlineStr">
        <is>
          <t>Louis Defo</t>
        </is>
      </c>
      <c r="E2250" t="inlineStr">
        <is>
          <t>Louis Defo</t>
        </is>
      </c>
      <c r="F2250" s="5" t="n">
        <v>46161.35042824074</v>
      </c>
      <c r="H2250" t="inlineStr">
        <is>
          <t>PCGH787</t>
        </is>
      </c>
      <c r="I2250" t="n">
        <v>8</v>
      </c>
      <c r="J2250" t="inlineStr">
        <is>
          <t>PCGH787 - Desk Study (3) (Proforest Limited(PCUK GBP))</t>
        </is>
      </c>
      <c r="L2250" t="b">
        <v>1</v>
      </c>
      <c r="M2250" t="inlineStr">
        <is>
          <t>Billed at a Fixed price</t>
        </is>
      </c>
      <c r="N2250" s="6">
        <f>IF(B2250="","",IF(ISNUMBER(B2250),TEXT(B2250,"YYYY-MM"),LEFT(B2250,7)))</f>
        <v/>
      </c>
    </row>
    <row r="2251">
      <c r="A2251" t="inlineStr">
        <is>
          <t>Frederick Antwi</t>
        </is>
      </c>
      <c r="B2251" s="4" t="n">
        <v>46062</v>
      </c>
      <c r="C2251" t="inlineStr">
        <is>
          <t>Discussions on priority areas for data collections in Ghana- Cocoa</t>
        </is>
      </c>
      <c r="D2251" t="inlineStr">
        <is>
          <t>Frederick Antwi</t>
        </is>
      </c>
      <c r="E2251" t="inlineStr">
        <is>
          <t>Frederick Antwi</t>
        </is>
      </c>
      <c r="F2251" s="5" t="n">
        <v>46160.57282407407</v>
      </c>
      <c r="H2251" t="inlineStr">
        <is>
          <t>PCGH777</t>
        </is>
      </c>
      <c r="I2251" t="n">
        <v>1</v>
      </c>
      <c r="J2251" t="inlineStr">
        <is>
          <t>PCGH777 - Desk Study (3) (Proforest Limited(PCUK GBP))</t>
        </is>
      </c>
      <c r="L2251" t="b">
        <v>1</v>
      </c>
      <c r="M2251" t="inlineStr">
        <is>
          <t>Billed at a Fixed price</t>
        </is>
      </c>
      <c r="N2251" s="6">
        <f>IF(B2251="","",IF(ISNUMBER(B2251),TEXT(B2251,"YYYY-MM"),LEFT(B2251,7)))</f>
        <v/>
      </c>
    </row>
    <row r="2252">
      <c r="A2252" t="inlineStr">
        <is>
          <t>Frederick Antwi</t>
        </is>
      </c>
      <c r="B2252" s="4" t="n">
        <v>46062</v>
      </c>
      <c r="C2252" t="inlineStr">
        <is>
          <t>/</t>
        </is>
      </c>
      <c r="D2252" t="inlineStr">
        <is>
          <t>Frederick Antwi</t>
        </is>
      </c>
      <c r="E2252" t="inlineStr">
        <is>
          <t>Frederick Antwi</t>
        </is>
      </c>
      <c r="F2252" s="5" t="n">
        <v>46160.5740625</v>
      </c>
      <c r="H2252" t="inlineStr">
        <is>
          <t>P13NC00A00 - WALMART II</t>
        </is>
      </c>
      <c r="I2252" t="n">
        <v>7</v>
      </c>
      <c r="L2252" t="b">
        <v>0</v>
      </c>
      <c r="M2252" t="inlineStr">
        <is>
          <t>Non-Billable</t>
        </is>
      </c>
      <c r="N2252" s="6">
        <f>IF(B2252="","",IF(ISNUMBER(B2252),TEXT(B2252,"YYYY-MM"),LEFT(B2252,7)))</f>
        <v/>
      </c>
    </row>
    <row r="2253">
      <c r="A2253" t="inlineStr">
        <is>
          <t>James Parker Mckeown</t>
        </is>
      </c>
      <c r="B2253" s="4" t="n">
        <v>46062</v>
      </c>
      <c r="C2253" t="inlineStr">
        <is>
          <t xml:space="preserve">medical examination </t>
        </is>
      </c>
      <c r="D2253" t="inlineStr">
        <is>
          <t>James Parker Mckeown</t>
        </is>
      </c>
      <c r="E2253" t="inlineStr">
        <is>
          <t>James Parker Mckeown</t>
        </is>
      </c>
      <c r="F2253" s="5" t="n">
        <v>46159.04170138889</v>
      </c>
      <c r="H2253" t="inlineStr">
        <is>
          <t>Non-Billable Tasks</t>
        </is>
      </c>
      <c r="I2253" t="n">
        <v>4</v>
      </c>
      <c r="K2253" t="inlineStr">
        <is>
          <t>Other management activities</t>
        </is>
      </c>
      <c r="L2253" t="b">
        <v>0</v>
      </c>
      <c r="M2253" t="inlineStr">
        <is>
          <t>Non-Billable</t>
        </is>
      </c>
      <c r="N2253" s="6">
        <f>IF(B2253="","",IF(ISNUMBER(B2253),TEXT(B2253,"YYYY-MM"),LEFT(B2253,7)))</f>
        <v/>
      </c>
    </row>
    <row r="2254">
      <c r="A2254" t="inlineStr">
        <is>
          <t>James Parker Mckeown</t>
        </is>
      </c>
      <c r="B2254" s="4" t="n">
        <v>46062</v>
      </c>
      <c r="C2254" t="inlineStr">
        <is>
          <t>FGMC-Work plan finalization</t>
        </is>
      </c>
      <c r="D2254" t="inlineStr">
        <is>
          <t>James Parker Mckeown</t>
        </is>
      </c>
      <c r="E2254" t="inlineStr">
        <is>
          <t>James Parker Mckeown</t>
        </is>
      </c>
      <c r="F2254" s="5" t="n">
        <v>46159.04010416667</v>
      </c>
      <c r="G2254" t="inlineStr">
        <is>
          <t>Output 4</t>
        </is>
      </c>
      <c r="H2254" t="inlineStr">
        <is>
          <t>P23AC00C00 - FGMC</t>
        </is>
      </c>
      <c r="I2254" t="n">
        <v>2</v>
      </c>
      <c r="K2254" t="inlineStr">
        <is>
          <t>P23AC03A00 - Project Management</t>
        </is>
      </c>
      <c r="L2254" t="b">
        <v>0</v>
      </c>
      <c r="M2254" t="inlineStr">
        <is>
          <t>Non-Billable</t>
        </is>
      </c>
      <c r="N2254" s="6">
        <f>IF(B2254="","",IF(ISNUMBER(B2254),TEXT(B2254,"YYYY-MM"),LEFT(B2254,7)))</f>
        <v/>
      </c>
    </row>
    <row r="2255">
      <c r="A2255" t="inlineStr">
        <is>
          <t>James Parker Mckeown</t>
        </is>
      </c>
      <c r="B2255" s="4" t="n">
        <v>46062</v>
      </c>
      <c r="C2255" t="inlineStr">
        <is>
          <t>REVIEW OF TRAINING REPORT</t>
        </is>
      </c>
      <c r="D2255" t="inlineStr">
        <is>
          <t>James Parker Mckeown</t>
        </is>
      </c>
      <c r="E2255" t="inlineStr">
        <is>
          <t>James Parker Mckeown</t>
        </is>
      </c>
      <c r="F2255" s="5" t="n">
        <v>46159.039375</v>
      </c>
      <c r="H2255" t="inlineStr">
        <is>
          <t>PCGH763</t>
        </is>
      </c>
      <c r="I2255" t="n">
        <v>1</v>
      </c>
      <c r="K2255" t="inlineStr">
        <is>
          <t>Analysis and Reporting</t>
        </is>
      </c>
      <c r="L2255" t="b">
        <v>1</v>
      </c>
      <c r="M2255" t="inlineStr">
        <is>
          <t>Non-Billable</t>
        </is>
      </c>
      <c r="N2255" s="6">
        <f>IF(B2255="","",IF(ISNUMBER(B2255),TEXT(B2255,"YYYY-MM"),LEFT(B2255,7)))</f>
        <v/>
      </c>
    </row>
    <row r="2256">
      <c r="A2256" t="inlineStr">
        <is>
          <t>James Parker Mckeown</t>
        </is>
      </c>
      <c r="B2256" s="4" t="n">
        <v>46062</v>
      </c>
      <c r="C2256" t="inlineStr">
        <is>
          <t xml:space="preserve">PFAFR BRIDGE: Weekly Catch-up
</t>
        </is>
      </c>
      <c r="D2256" t="inlineStr">
        <is>
          <t>James Parker Mckeown</t>
        </is>
      </c>
      <c r="E2256" t="inlineStr">
        <is>
          <t>James Parker Mckeown</t>
        </is>
      </c>
      <c r="F2256" s="5" t="n">
        <v>46159.03802083333</v>
      </c>
      <c r="G2256" t="inlineStr">
        <is>
          <t>Output 4</t>
        </is>
      </c>
      <c r="H2256" t="inlineStr">
        <is>
          <t>P23AC00C00 - FGMC</t>
        </is>
      </c>
      <c r="I2256" t="n">
        <v>2</v>
      </c>
      <c r="K2256" t="inlineStr">
        <is>
          <t>P23AC03A00 - Project Management</t>
        </is>
      </c>
      <c r="L2256" t="b">
        <v>0</v>
      </c>
      <c r="M2256" t="inlineStr">
        <is>
          <t>Non-Billable</t>
        </is>
      </c>
      <c r="N2256" s="6">
        <f>IF(B2256="","",IF(ISNUMBER(B2256),TEXT(B2256,"YYYY-MM"),LEFT(B2256,7)))</f>
        <v/>
      </c>
    </row>
    <row r="2257">
      <c r="A2257" t="inlineStr">
        <is>
          <t>Stephen Doso</t>
        </is>
      </c>
      <c r="B2257" s="4" t="n">
        <v>46062</v>
      </c>
      <c r="C2257" t="inlineStr">
        <is>
          <t>/</t>
        </is>
      </c>
      <c r="D2257" t="inlineStr">
        <is>
          <t>Stephen Doso</t>
        </is>
      </c>
      <c r="E2257" t="inlineStr">
        <is>
          <t>OdooBot</t>
        </is>
      </c>
      <c r="F2257" s="5" t="n">
        <v>46154.70721064815</v>
      </c>
      <c r="H2257" t="inlineStr">
        <is>
          <t>PCGH774 -Evaluation Deep-Dive Action Plans by Socfin Group</t>
        </is>
      </c>
      <c r="I2257" t="n">
        <v>8</v>
      </c>
      <c r="J2257" t="inlineStr">
        <is>
          <t>PCGH774 - Tier 3 (Socfinco FR SA)</t>
        </is>
      </c>
      <c r="K2257" t="inlineStr">
        <is>
          <t>Okomu - Review of operational documents</t>
        </is>
      </c>
      <c r="L2257" t="b">
        <v>1</v>
      </c>
      <c r="M2257" t="inlineStr">
        <is>
          <t>Billed at a Fixed price</t>
        </is>
      </c>
      <c r="N2257" s="6">
        <f>IF(B2257="","",IF(ISNUMBER(B2257),TEXT(B2257,"YYYY-MM"),LEFT(B2257,7)))</f>
        <v/>
      </c>
    </row>
    <row r="2258">
      <c r="A2258" t="inlineStr">
        <is>
          <t>Stephen Doso</t>
        </is>
      </c>
      <c r="B2258" s="4" t="n">
        <v>46062</v>
      </c>
      <c r="C2258" t="inlineStr">
        <is>
          <t>/</t>
        </is>
      </c>
      <c r="D2258" t="inlineStr">
        <is>
          <t>Stephen Doso</t>
        </is>
      </c>
      <c r="E2258" t="inlineStr">
        <is>
          <t>OdooBot</t>
        </is>
      </c>
      <c r="F2258" s="5" t="n">
        <v>46154.70721064815</v>
      </c>
      <c r="G2258" t="inlineStr">
        <is>
          <t>Desk study, development of assessment framework &amp; online meetings (2)</t>
        </is>
      </c>
      <c r="H2258" t="inlineStr">
        <is>
          <t>PCGH775 - ESDD of Valency Operations for FMO</t>
        </is>
      </c>
      <c r="I2258" t="n">
        <v>0</v>
      </c>
      <c r="J2258" t="inlineStr">
        <is>
          <t>PCGH775 - Development of Assessment Framework (2) (Valency International DMCC)</t>
        </is>
      </c>
      <c r="K2258" t="inlineStr">
        <is>
          <t>Preparations and online meetings to discuss red flags</t>
        </is>
      </c>
      <c r="L2258" t="b">
        <v>1</v>
      </c>
      <c r="M2258" t="inlineStr">
        <is>
          <t>Billed at a Fixed price</t>
        </is>
      </c>
      <c r="N2258" s="6">
        <f>IF(B2258="","",IF(ISNUMBER(B2258),TEXT(B2258,"YYYY-MM"),LEFT(B2258,7)))</f>
        <v/>
      </c>
    </row>
    <row r="2259">
      <c r="A2259" t="inlineStr">
        <is>
          <t>Ekow Nyamekye Tawiah</t>
        </is>
      </c>
      <c r="B2259" s="4" t="n">
        <v>46062</v>
      </c>
      <c r="C2259" t="inlineStr">
        <is>
          <t>Borotou-Koro Analysis and Reporting</t>
        </is>
      </c>
      <c r="D2259" t="inlineStr">
        <is>
          <t>Ekow Nyamekye Tawiah</t>
        </is>
      </c>
      <c r="E2259" t="inlineStr">
        <is>
          <t>OdooBot</t>
        </is>
      </c>
      <c r="F2259" s="5" t="n">
        <v>46154.70721064815</v>
      </c>
      <c r="H2259" t="inlineStr">
        <is>
          <t>PCGH722</t>
        </is>
      </c>
      <c r="I2259" t="n">
        <v>2.5</v>
      </c>
      <c r="J2259" t="inlineStr">
        <is>
          <t>PCGH722 - Analysis and Reporting (3) (Sucrivoire SA)</t>
        </is>
      </c>
      <c r="L2259" t="b">
        <v>1</v>
      </c>
      <c r="M2259" t="inlineStr">
        <is>
          <t>Billed at a Fixed price</t>
        </is>
      </c>
      <c r="N2259" s="6">
        <f>IF(B2259="","",IF(ISNUMBER(B2259),TEXT(B2259,"YYYY-MM"),LEFT(B2259,7)))</f>
        <v/>
      </c>
    </row>
    <row r="2260">
      <c r="A2260" t="inlineStr">
        <is>
          <t>Ekow Nyamekye Tawiah</t>
        </is>
      </c>
      <c r="B2260" s="4" t="n">
        <v>46062</v>
      </c>
      <c r="C2260" t="inlineStr">
        <is>
          <t>Global Data Call</t>
        </is>
      </c>
      <c r="D2260" t="inlineStr">
        <is>
          <t>Ekow Nyamekye Tawiah</t>
        </is>
      </c>
      <c r="E2260" t="inlineStr">
        <is>
          <t>OdooBot</t>
        </is>
      </c>
      <c r="F2260" s="5" t="n">
        <v>46154.70721064815</v>
      </c>
      <c r="H2260" t="inlineStr">
        <is>
          <t>Non-Billable Tasks</t>
        </is>
      </c>
      <c r="I2260" t="n">
        <v>1.5</v>
      </c>
      <c r="K2260" t="inlineStr">
        <is>
          <t>Professional development and Knowledge sharing(training,global knowledge calls,exchange weeks)</t>
        </is>
      </c>
      <c r="L2260" t="b">
        <v>0</v>
      </c>
      <c r="M2260" t="inlineStr">
        <is>
          <t>Non-Billable</t>
        </is>
      </c>
      <c r="N2260" s="6">
        <f>IF(B2260="","",IF(ISNUMBER(B2260),TEXT(B2260,"YYYY-MM"),LEFT(B2260,7)))</f>
        <v/>
      </c>
    </row>
    <row r="2261">
      <c r="A2261" t="inlineStr">
        <is>
          <t>Afua Serwah Akoto Prempeh</t>
        </is>
      </c>
      <c r="B2261" s="4" t="n">
        <v>46062</v>
      </c>
      <c r="C2261" t="inlineStr">
        <is>
          <t>/</t>
        </is>
      </c>
      <c r="D2261" t="inlineStr">
        <is>
          <t>Afua Serwah Akoto Prempeh</t>
        </is>
      </c>
      <c r="E2261" t="inlineStr">
        <is>
          <t>OdooBot</t>
        </is>
      </c>
      <c r="F2261" s="5" t="n">
        <v>46154.70721064815</v>
      </c>
      <c r="H2261" t="inlineStr">
        <is>
          <t>Non-Billable Tasks</t>
        </is>
      </c>
      <c r="I2261" t="n">
        <v>5</v>
      </c>
      <c r="K2261" t="inlineStr">
        <is>
          <t>Communication/Data/Training</t>
        </is>
      </c>
      <c r="L2261" t="b">
        <v>0</v>
      </c>
      <c r="M2261" t="inlineStr">
        <is>
          <t>Non-Billable</t>
        </is>
      </c>
      <c r="N2261" s="6">
        <f>IF(B2261="","",IF(ISNUMBER(B2261),TEXT(B2261,"YYYY-MM"),LEFT(B2261,7)))</f>
        <v/>
      </c>
    </row>
    <row r="2262">
      <c r="A2262" t="inlineStr">
        <is>
          <t>Afua Serwah Akoto Prempeh</t>
        </is>
      </c>
      <c r="B2262" s="4" t="n">
        <v>46062</v>
      </c>
      <c r="C2262" t="inlineStr">
        <is>
          <t>/</t>
        </is>
      </c>
      <c r="D2262" t="inlineStr">
        <is>
          <t>Afua Serwah Akoto Prempeh</t>
        </is>
      </c>
      <c r="E2262" t="inlineStr">
        <is>
          <t>OdooBot</t>
        </is>
      </c>
      <c r="F2262" s="5" t="n">
        <v>46154.70721064815</v>
      </c>
      <c r="H2262" t="inlineStr">
        <is>
          <t>P23AC00C00 - FGMC</t>
        </is>
      </c>
      <c r="I2262" t="n">
        <v>3</v>
      </c>
      <c r="L2262" t="b">
        <v>0</v>
      </c>
      <c r="M2262" t="inlineStr">
        <is>
          <t>Non-Billable</t>
        </is>
      </c>
      <c r="N2262" s="6">
        <f>IF(B2262="","",IF(ISNUMBER(B2262),TEXT(B2262,"YYYY-MM"),LEFT(B2262,7)))</f>
        <v/>
      </c>
    </row>
    <row r="2263">
      <c r="A2263" t="inlineStr">
        <is>
          <t>Helena Tetteh</t>
        </is>
      </c>
      <c r="B2263" s="4" t="n">
        <v>46062</v>
      </c>
      <c r="C2263" t="inlineStr">
        <is>
          <t>/</t>
        </is>
      </c>
      <c r="D2263" t="inlineStr">
        <is>
          <t xml:space="preserve">Helena Tetteh </t>
        </is>
      </c>
      <c r="E2263" t="inlineStr">
        <is>
          <t>OdooBot</t>
        </is>
      </c>
      <c r="F2263" s="5" t="n">
        <v>46154.70721064815</v>
      </c>
      <c r="H2263" t="inlineStr">
        <is>
          <t>P13GC00A00 - GAC Ulula</t>
        </is>
      </c>
      <c r="I2263" t="n">
        <v>2</v>
      </c>
      <c r="L2263" t="b">
        <v>0</v>
      </c>
      <c r="M2263" t="inlineStr">
        <is>
          <t>Non-Billable</t>
        </is>
      </c>
      <c r="N2263" s="6">
        <f>IF(B2263="","",IF(ISNUMBER(B2263),TEXT(B2263,"YYYY-MM"),LEFT(B2263,7)))</f>
        <v/>
      </c>
    </row>
    <row r="2264">
      <c r="A2264" t="inlineStr">
        <is>
          <t>Helena Tetteh</t>
        </is>
      </c>
      <c r="B2264" s="4" t="n">
        <v>46062</v>
      </c>
      <c r="C2264" t="inlineStr">
        <is>
          <t>/</t>
        </is>
      </c>
      <c r="D2264" t="inlineStr">
        <is>
          <t xml:space="preserve">Helena Tetteh </t>
        </is>
      </c>
      <c r="E2264" t="inlineStr">
        <is>
          <t>OdooBot</t>
        </is>
      </c>
      <c r="F2264" s="5" t="n">
        <v>46154.70721064815</v>
      </c>
      <c r="H2264" t="inlineStr">
        <is>
          <t>Non-Billable Tasks</t>
        </is>
      </c>
      <c r="I2264" t="n">
        <v>1</v>
      </c>
      <c r="K2264" t="inlineStr">
        <is>
          <t>Communication/Data/Training</t>
        </is>
      </c>
      <c r="L2264" t="b">
        <v>0</v>
      </c>
      <c r="M2264" t="inlineStr">
        <is>
          <t>Non-Billable</t>
        </is>
      </c>
      <c r="N2264" s="6">
        <f>IF(B2264="","",IF(ISNUMBER(B2264),TEXT(B2264,"YYYY-MM"),LEFT(B2264,7)))</f>
        <v/>
      </c>
    </row>
    <row r="2265">
      <c r="A2265" t="inlineStr">
        <is>
          <t>Helena Tetteh</t>
        </is>
      </c>
      <c r="B2265" s="4" t="n">
        <v>46062</v>
      </c>
      <c r="C2265" t="inlineStr">
        <is>
          <t>Mapping_Ghana</t>
        </is>
      </c>
      <c r="D2265" t="inlineStr">
        <is>
          <t xml:space="preserve">Helena Tetteh </t>
        </is>
      </c>
      <c r="E2265" t="inlineStr">
        <is>
          <t>OdooBot</t>
        </is>
      </c>
      <c r="F2265" s="5" t="n">
        <v>46154.70721064815</v>
      </c>
      <c r="H2265" t="inlineStr">
        <is>
          <t>P23AC00C00 - FGMC</t>
        </is>
      </c>
      <c r="I2265" t="n">
        <v>2.5</v>
      </c>
      <c r="K2265" t="inlineStr">
        <is>
          <t>Output 2.3</t>
        </is>
      </c>
      <c r="L2265" t="b">
        <v>0</v>
      </c>
      <c r="M2265" t="inlineStr">
        <is>
          <t>Non-Billable</t>
        </is>
      </c>
      <c r="N2265" s="6">
        <f>IF(B2265="","",IF(ISNUMBER(B2265),TEXT(B2265,"YYYY-MM"),LEFT(B2265,7)))</f>
        <v/>
      </c>
    </row>
    <row r="2266">
      <c r="A2266" t="inlineStr">
        <is>
          <t>Helena Tetteh</t>
        </is>
      </c>
      <c r="B2266" s="4" t="n">
        <v>46062</v>
      </c>
      <c r="C2266" t="inlineStr">
        <is>
          <t>Landscape &amp; Cocoa Learning Journey_Planning</t>
        </is>
      </c>
      <c r="D2266" t="inlineStr">
        <is>
          <t xml:space="preserve">Helena Tetteh </t>
        </is>
      </c>
      <c r="E2266" t="inlineStr">
        <is>
          <t>OdooBot</t>
        </is>
      </c>
      <c r="F2266" s="5" t="n">
        <v>46154.70721064815</v>
      </c>
      <c r="H2266" t="inlineStr">
        <is>
          <t>Non-Billable Tasks</t>
        </is>
      </c>
      <c r="I2266" t="n">
        <v>2.5</v>
      </c>
      <c r="K2266" t="inlineStr">
        <is>
          <t>Professional development and Knowledge sharing(training,global knowledge calls,exchange weeks)</t>
        </is>
      </c>
      <c r="L2266" t="b">
        <v>0</v>
      </c>
      <c r="M2266" t="inlineStr">
        <is>
          <t>Non-Billable</t>
        </is>
      </c>
      <c r="N2266" s="6">
        <f>IF(B2266="","",IF(ISNUMBER(B2266),TEXT(B2266,"YYYY-MM"),LEFT(B2266,7)))</f>
        <v/>
      </c>
    </row>
    <row r="2267">
      <c r="A2267" t="inlineStr">
        <is>
          <t>Clement Obeng-Manu</t>
        </is>
      </c>
      <c r="B2267" s="4" t="n">
        <v>46062</v>
      </c>
      <c r="C2267" t="inlineStr">
        <is>
          <t>/</t>
        </is>
      </c>
      <c r="D2267" t="inlineStr">
        <is>
          <t>Clement Obeng-Manu</t>
        </is>
      </c>
      <c r="E2267" t="inlineStr">
        <is>
          <t>OdooBot</t>
        </is>
      </c>
      <c r="F2267" s="5" t="n">
        <v>46154.70721064815</v>
      </c>
      <c r="H2267" t="inlineStr">
        <is>
          <t>PCGH722</t>
        </is>
      </c>
      <c r="I2267" t="n">
        <v>6</v>
      </c>
      <c r="L2267" t="b">
        <v>1</v>
      </c>
      <c r="M2267" t="inlineStr">
        <is>
          <t>Non-Billable</t>
        </is>
      </c>
      <c r="N2267" s="6">
        <f>IF(B2267="","",IF(ISNUMBER(B2267),TEXT(B2267,"YYYY-MM"),LEFT(B2267,7)))</f>
        <v/>
      </c>
    </row>
    <row r="2268">
      <c r="A2268" t="inlineStr">
        <is>
          <t>Clement Obeng-Manu</t>
        </is>
      </c>
      <c r="B2268" s="4" t="n">
        <v>46062</v>
      </c>
      <c r="C2268" t="inlineStr">
        <is>
          <t>/</t>
        </is>
      </c>
      <c r="D2268" t="inlineStr">
        <is>
          <t>Clement Obeng-Manu</t>
        </is>
      </c>
      <c r="E2268" t="inlineStr">
        <is>
          <t>OdooBot</t>
        </is>
      </c>
      <c r="F2268" s="5" t="n">
        <v>46154.70721064815</v>
      </c>
      <c r="H2268" t="inlineStr">
        <is>
          <t>PCGH777</t>
        </is>
      </c>
      <c r="I2268" t="n">
        <v>0</v>
      </c>
      <c r="J2268" t="inlineStr">
        <is>
          <t>PCGH777 - Desk Study (3) (Proforest Limited(PCUK GBP))</t>
        </is>
      </c>
      <c r="L2268" t="b">
        <v>1</v>
      </c>
      <c r="M2268" t="inlineStr">
        <is>
          <t>Billed at a Fixed price</t>
        </is>
      </c>
      <c r="N2268" s="6">
        <f>IF(B2268="","",IF(ISNUMBER(B2268),TEXT(B2268,"YYYY-MM"),LEFT(B2268,7)))</f>
        <v/>
      </c>
    </row>
    <row r="2269">
      <c r="A2269" t="inlineStr">
        <is>
          <t>Clement Obeng-Manu</t>
        </is>
      </c>
      <c r="B2269" s="4" t="n">
        <v>46062</v>
      </c>
      <c r="C2269" t="inlineStr">
        <is>
          <t>/</t>
        </is>
      </c>
      <c r="D2269" t="inlineStr">
        <is>
          <t>Clement Obeng-Manu</t>
        </is>
      </c>
      <c r="E2269" t="inlineStr">
        <is>
          <t>OdooBot</t>
        </is>
      </c>
      <c r="F2269" s="5" t="n">
        <v>46154.70721064815</v>
      </c>
      <c r="H2269" t="inlineStr">
        <is>
          <t>PCGH776 - Deforestation Risk-Assessment Cashew-Coast</t>
        </is>
      </c>
      <c r="I2269" t="n">
        <v>2</v>
      </c>
      <c r="J2269" t="inlineStr">
        <is>
          <t>PCGH776 - Data collection and review (3) (Cashew Coast Products Inc)</t>
        </is>
      </c>
      <c r="L2269" t="b">
        <v>1</v>
      </c>
      <c r="M2269" t="inlineStr">
        <is>
          <t>Billed at a Fixed price</t>
        </is>
      </c>
      <c r="N2269" s="6">
        <f>IF(B2269="","",IF(ISNUMBER(B2269),TEXT(B2269,"YYYY-MM"),LEFT(B2269,7)))</f>
        <v/>
      </c>
    </row>
    <row r="2270">
      <c r="A2270" t="inlineStr">
        <is>
          <t>Kwadwo Baniako Nti</t>
        </is>
      </c>
      <c r="B2270" s="4" t="n">
        <v>46062</v>
      </c>
      <c r="C2270" t="inlineStr">
        <is>
          <t>/</t>
        </is>
      </c>
      <c r="D2270" t="inlineStr">
        <is>
          <t>Kwadwo Baniako Nti</t>
        </is>
      </c>
      <c r="E2270" t="inlineStr">
        <is>
          <t>OdooBot</t>
        </is>
      </c>
      <c r="F2270" s="5" t="n">
        <v>46154.70721064815</v>
      </c>
      <c r="G2270" t="inlineStr">
        <is>
          <t>Field verification and reporting in Nigeria (3)</t>
        </is>
      </c>
      <c r="H2270" t="inlineStr">
        <is>
          <t>PCGH775 - ESDD of Valency Operations for FMO</t>
        </is>
      </c>
      <c r="I2270" t="n">
        <v>8</v>
      </c>
      <c r="J2270" t="inlineStr">
        <is>
          <t>PCGH775 - Field Verification (3) (Valency International DMCC)</t>
        </is>
      </c>
      <c r="K2270" t="inlineStr">
        <is>
          <t>Site audit/ assessment (Nigeria)</t>
        </is>
      </c>
      <c r="L2270" t="b">
        <v>1</v>
      </c>
      <c r="M2270" t="inlineStr">
        <is>
          <t>Billed at a Fixed price</t>
        </is>
      </c>
      <c r="N2270" s="6">
        <f>IF(B2270="","",IF(ISNUMBER(B2270),TEXT(B2270,"YYYY-MM"),LEFT(B2270,7)))</f>
        <v/>
      </c>
    </row>
    <row r="2271">
      <c r="A2271" t="inlineStr">
        <is>
          <t>Augustus Asamoah</t>
        </is>
      </c>
      <c r="B2271" s="4" t="n">
        <v>46062</v>
      </c>
      <c r="C2271" t="inlineStr">
        <is>
          <t>/</t>
        </is>
      </c>
      <c r="D2271" t="inlineStr">
        <is>
          <t>Augustus Asamoah</t>
        </is>
      </c>
      <c r="E2271" t="inlineStr">
        <is>
          <t>OdooBot</t>
        </is>
      </c>
      <c r="F2271" s="5" t="n">
        <v>46154.70721064815</v>
      </c>
      <c r="G2271" t="inlineStr">
        <is>
          <t>Programme Personnel and Management</t>
        </is>
      </c>
      <c r="H2271" t="inlineStr">
        <is>
          <t>P13NC00A00 - WALMART II</t>
        </is>
      </c>
      <c r="I2271" t="n">
        <v>2</v>
      </c>
      <c r="K2271" t="inlineStr">
        <is>
          <t>Programme Personnel</t>
        </is>
      </c>
      <c r="L2271" t="b">
        <v>0</v>
      </c>
      <c r="M2271" t="inlineStr">
        <is>
          <t>Non-Billable</t>
        </is>
      </c>
      <c r="N2271" s="6">
        <f>IF(B2271="","",IF(ISNUMBER(B2271),TEXT(B2271,"YYYY-MM"),LEFT(B2271,7)))</f>
        <v/>
      </c>
    </row>
    <row r="2272">
      <c r="A2272" t="inlineStr">
        <is>
          <t>Augustus Asamoah</t>
        </is>
      </c>
      <c r="B2272" s="4" t="n">
        <v>46062</v>
      </c>
      <c r="C2272" t="inlineStr">
        <is>
          <t>Inception Report</t>
        </is>
      </c>
      <c r="D2272" t="inlineStr">
        <is>
          <t>Augustus Asamoah</t>
        </is>
      </c>
      <c r="E2272" t="inlineStr">
        <is>
          <t>OdooBot</t>
        </is>
      </c>
      <c r="F2272" s="5" t="n">
        <v>46154.70721064815</v>
      </c>
      <c r="G2272" t="inlineStr">
        <is>
          <t>Programme Personnel and Management</t>
        </is>
      </c>
      <c r="H2272" t="inlineStr">
        <is>
          <t>P13QC00A00 - EFI Programme</t>
        </is>
      </c>
      <c r="I2272" t="n">
        <v>0</v>
      </c>
      <c r="K2272" t="inlineStr">
        <is>
          <t>Programme Personnel</t>
        </is>
      </c>
      <c r="L2272" t="b">
        <v>0</v>
      </c>
      <c r="M2272" t="inlineStr">
        <is>
          <t>Non-Billable</t>
        </is>
      </c>
      <c r="N2272" s="6">
        <f>IF(B2272="","",IF(ISNUMBER(B2272),TEXT(B2272,"YYYY-MM"),LEFT(B2272,7)))</f>
        <v/>
      </c>
    </row>
    <row r="2273">
      <c r="A2273" t="inlineStr">
        <is>
          <t>Augustus Asamoah</t>
        </is>
      </c>
      <c r="B2273" s="4" t="n">
        <v>46062</v>
      </c>
      <c r="C2273" t="inlineStr">
        <is>
          <t>Erua Scoping report</t>
        </is>
      </c>
      <c r="D2273" t="inlineStr">
        <is>
          <t>Augustus Asamoah</t>
        </is>
      </c>
      <c r="E2273" t="inlineStr">
        <is>
          <t>OdooBot</t>
        </is>
      </c>
      <c r="F2273" s="5" t="n">
        <v>46154.70721064815</v>
      </c>
      <c r="H2273" t="inlineStr">
        <is>
          <t>PCGH771</t>
        </is>
      </c>
      <c r="I2273" t="n">
        <v>4</v>
      </c>
      <c r="J2273" t="inlineStr">
        <is>
          <t>PCGH771 - Desk Study (2) (Okeosisi Jonathan)</t>
        </is>
      </c>
      <c r="L2273" t="b">
        <v>1</v>
      </c>
      <c r="M2273" t="inlineStr">
        <is>
          <t>Billed at a Fixed price</t>
        </is>
      </c>
      <c r="N2273" s="6">
        <f>IF(B2273="","",IF(ISNUMBER(B2273),TEXT(B2273,"YYYY-MM"),LEFT(B2273,7)))</f>
        <v/>
      </c>
    </row>
    <row r="2274">
      <c r="A2274" t="inlineStr">
        <is>
          <t>Augustus Asamoah</t>
        </is>
      </c>
      <c r="B2274" s="4" t="n">
        <v>46062</v>
      </c>
      <c r="C2274" t="inlineStr">
        <is>
          <t>Induction and Onboarding for Abel Ansu</t>
        </is>
      </c>
      <c r="D2274" t="inlineStr">
        <is>
          <t>Augustus Asamoah</t>
        </is>
      </c>
      <c r="E2274" t="inlineStr">
        <is>
          <t>OdooBot</t>
        </is>
      </c>
      <c r="F2274" s="5" t="n">
        <v>46154.70721064815</v>
      </c>
      <c r="H2274" t="inlineStr">
        <is>
          <t>Non-Billable Tasks</t>
        </is>
      </c>
      <c r="I2274" t="n">
        <v>1</v>
      </c>
      <c r="K2274" t="inlineStr">
        <is>
          <t>Other management activities</t>
        </is>
      </c>
      <c r="L2274" t="b">
        <v>0</v>
      </c>
      <c r="M2274" t="inlineStr">
        <is>
          <t>Non-Billable</t>
        </is>
      </c>
      <c r="N2274" s="6">
        <f>IF(B2274="","",IF(ISNUMBER(B2274),TEXT(B2274,"YYYY-MM"),LEFT(B2274,7)))</f>
        <v/>
      </c>
    </row>
    <row r="2275">
      <c r="A2275" t="inlineStr">
        <is>
          <t>Daleba Bernard Kpenahi Raymond</t>
        </is>
      </c>
      <c r="B2275" s="4" t="n">
        <v>46062</v>
      </c>
      <c r="C2275" t="inlineStr">
        <is>
          <t>/</t>
        </is>
      </c>
      <c r="D2275" t="inlineStr">
        <is>
          <t>Daleba Bernard Kpenahi Raymond</t>
        </is>
      </c>
      <c r="E2275" t="inlineStr">
        <is>
          <t>OdooBot</t>
        </is>
      </c>
      <c r="F2275" s="5" t="n">
        <v>46154.70721064815</v>
      </c>
      <c r="H2275" t="inlineStr">
        <is>
          <t>PCGH775 - ESDD of Valency Operations for FMO</t>
        </is>
      </c>
      <c r="I2275" t="n">
        <v>2</v>
      </c>
      <c r="J2275" t="inlineStr">
        <is>
          <t>PCGH775 - Kick-Off Meeting (Valency International DMCC)</t>
        </is>
      </c>
      <c r="L2275" t="b">
        <v>1</v>
      </c>
      <c r="M2275" t="inlineStr">
        <is>
          <t>Billed at a Fixed price</t>
        </is>
      </c>
      <c r="N2275" s="6">
        <f>IF(B2275="","",IF(ISNUMBER(B2275),TEXT(B2275,"YYYY-MM"),LEFT(B2275,7)))</f>
        <v/>
      </c>
    </row>
    <row r="2276">
      <c r="A2276" t="inlineStr">
        <is>
          <t>Daleba Bernard Kpenahi Raymond</t>
        </is>
      </c>
      <c r="B2276" s="4" t="n">
        <v>46062</v>
      </c>
      <c r="C2276" t="inlineStr">
        <is>
          <t>/</t>
        </is>
      </c>
      <c r="D2276" t="inlineStr">
        <is>
          <t>Daleba Bernard Kpenahi Raymond</t>
        </is>
      </c>
      <c r="E2276" t="inlineStr">
        <is>
          <t>OdooBot</t>
        </is>
      </c>
      <c r="F2276" s="5" t="n">
        <v>46154.70721064815</v>
      </c>
      <c r="G2276" t="inlineStr">
        <is>
          <t>Field verification and reporting in Ivory Coast (3)</t>
        </is>
      </c>
      <c r="H2276" t="inlineStr">
        <is>
          <t>PCGH775 - ESDD of Valency Operations for FMO</t>
        </is>
      </c>
      <c r="I2276" t="n">
        <v>6</v>
      </c>
      <c r="J2276" t="inlineStr">
        <is>
          <t>PCGH775 - Field Verification (3) (Valency International DMCC)</t>
        </is>
      </c>
      <c r="K2276" t="inlineStr">
        <is>
          <t>Analysis and reporting in Ivory Coast</t>
        </is>
      </c>
      <c r="L2276" t="b">
        <v>1</v>
      </c>
      <c r="M2276" t="inlineStr">
        <is>
          <t>Billed at a Fixed price</t>
        </is>
      </c>
      <c r="N2276" s="6">
        <f>IF(B2276="","",IF(ISNUMBER(B2276),TEXT(B2276,"YYYY-MM"),LEFT(B2276,7)))</f>
        <v/>
      </c>
    </row>
    <row r="2277">
      <c r="A2277" t="inlineStr">
        <is>
          <t>Kingsley Fitz-Gerald Severine</t>
        </is>
      </c>
      <c r="B2277" s="4" t="n">
        <v>46062</v>
      </c>
      <c r="C2277" t="inlineStr">
        <is>
          <t>/</t>
        </is>
      </c>
      <c r="D2277" t="inlineStr">
        <is>
          <t>Kingsley Fitz-Gerald Severine</t>
        </is>
      </c>
      <c r="E2277" t="inlineStr">
        <is>
          <t>OdooBot</t>
        </is>
      </c>
      <c r="F2277" s="5" t="n">
        <v>46154.70721064815</v>
      </c>
      <c r="H2277" t="inlineStr">
        <is>
          <t>PCGH771</t>
        </is>
      </c>
      <c r="I2277" t="n">
        <v>8</v>
      </c>
      <c r="J2277" t="inlineStr">
        <is>
          <t>PCGH771 - Analysis and Reporting (3) (Okeosisi Jonathan)</t>
        </is>
      </c>
      <c r="K2277" t="inlineStr">
        <is>
          <t>Analysis and Reporting (Reporting)</t>
        </is>
      </c>
      <c r="L2277" t="b">
        <v>1</v>
      </c>
      <c r="M2277" t="inlineStr">
        <is>
          <t>Billed at a Fixed price</t>
        </is>
      </c>
      <c r="N2277" s="6">
        <f>IF(B2277="","",IF(ISNUMBER(B2277),TEXT(B2277,"YYYY-MM"),LEFT(B2277,7)))</f>
        <v/>
      </c>
    </row>
    <row r="2278">
      <c r="A2278" t="inlineStr">
        <is>
          <t>Joseph Isaiah Mensah</t>
        </is>
      </c>
      <c r="B2278" s="4" t="n">
        <v>46059</v>
      </c>
      <c r="C2278" t="inlineStr">
        <is>
          <t>/</t>
        </is>
      </c>
      <c r="D2278" t="inlineStr">
        <is>
          <t>Joseph Isaiah Mensah</t>
        </is>
      </c>
      <c r="E2278" t="inlineStr">
        <is>
          <t>Joseph Isaiah Mensah</t>
        </is>
      </c>
      <c r="F2278" s="5" t="n">
        <v>46162.64300925926</v>
      </c>
      <c r="H2278" t="inlineStr">
        <is>
          <t>PCGH775 - ESDD of Valency Operations for FMO</t>
        </is>
      </c>
      <c r="I2278" t="n">
        <v>8</v>
      </c>
      <c r="J2278" t="inlineStr">
        <is>
          <t>PCGH775 - Kick-Off Meeting (Valency International DMCC)</t>
        </is>
      </c>
      <c r="L2278" t="b">
        <v>1</v>
      </c>
      <c r="M2278" t="inlineStr">
        <is>
          <t>Billed at a Fixed price</t>
        </is>
      </c>
      <c r="N2278" s="6">
        <f>IF(B2278="","",IF(ISNUMBER(B2278),TEXT(B2278,"YYYY-MM"),LEFT(B2278,7)))</f>
        <v/>
      </c>
    </row>
    <row r="2279">
      <c r="A2279" t="inlineStr">
        <is>
          <t>Louis Defo</t>
        </is>
      </c>
      <c r="B2279" s="4" t="n">
        <v>46059</v>
      </c>
      <c r="C2279" t="inlineStr">
        <is>
          <t>/</t>
        </is>
      </c>
      <c r="D2279" t="inlineStr">
        <is>
          <t>Louis Defo</t>
        </is>
      </c>
      <c r="E2279" t="inlineStr">
        <is>
          <t>Louis Defo</t>
        </is>
      </c>
      <c r="F2279" s="5" t="n">
        <v>46161.34634259259</v>
      </c>
      <c r="H2279" t="inlineStr">
        <is>
          <t>P23AC00C00 - FGMC</t>
        </is>
      </c>
      <c r="I2279" t="n">
        <v>8</v>
      </c>
      <c r="L2279" t="b">
        <v>0</v>
      </c>
      <c r="M2279" t="inlineStr">
        <is>
          <t>Non-Billable</t>
        </is>
      </c>
      <c r="N2279" s="6">
        <f>IF(B2279="","",IF(ISNUMBER(B2279),TEXT(B2279,"YYYY-MM"),LEFT(B2279,7)))</f>
        <v/>
      </c>
    </row>
    <row r="2280">
      <c r="A2280" t="inlineStr">
        <is>
          <t>Frederick Antwi</t>
        </is>
      </c>
      <c r="B2280" s="4" t="n">
        <v>46059</v>
      </c>
      <c r="C2280" t="inlineStr">
        <is>
          <t>/</t>
        </is>
      </c>
      <c r="D2280" t="inlineStr">
        <is>
          <t>Frederick Antwi</t>
        </is>
      </c>
      <c r="E2280" t="inlineStr">
        <is>
          <t>Frederick Antwi</t>
        </is>
      </c>
      <c r="F2280" s="5" t="n">
        <v>46160.56870370371</v>
      </c>
      <c r="H2280" t="inlineStr">
        <is>
          <t>P13PC00A00 - Private Sector Companies</t>
        </is>
      </c>
      <c r="I2280" t="n">
        <v>8</v>
      </c>
      <c r="L2280" t="b">
        <v>0</v>
      </c>
      <c r="M2280" t="inlineStr">
        <is>
          <t>Non-Billable</t>
        </is>
      </c>
      <c r="N2280" s="6">
        <f>IF(B2280="","",IF(ISNUMBER(B2280),TEXT(B2280,"YYYY-MM"),LEFT(B2280,7)))</f>
        <v/>
      </c>
    </row>
    <row r="2281">
      <c r="A2281" t="inlineStr">
        <is>
          <t>James Parker Mckeown</t>
        </is>
      </c>
      <c r="B2281" s="4" t="n">
        <v>46059</v>
      </c>
      <c r="C2281" t="inlineStr">
        <is>
          <t>Landscape Exchange Week ​2026 Planning document review</t>
        </is>
      </c>
      <c r="D2281" t="inlineStr">
        <is>
          <t>James Parker Mckeown</t>
        </is>
      </c>
      <c r="E2281" t="inlineStr">
        <is>
          <t>James Parker Mckeown</t>
        </is>
      </c>
      <c r="F2281" s="5" t="n">
        <v>46159.03738425926</v>
      </c>
      <c r="H2281" t="inlineStr">
        <is>
          <t>Non-Billable Tasks</t>
        </is>
      </c>
      <c r="I2281" t="n">
        <v>3</v>
      </c>
      <c r="K2281" t="inlineStr">
        <is>
          <t>Internal Focal points and workstreams</t>
        </is>
      </c>
      <c r="L2281" t="b">
        <v>0</v>
      </c>
      <c r="M2281" t="inlineStr">
        <is>
          <t>Non-Billable</t>
        </is>
      </c>
      <c r="N2281" s="6">
        <f>IF(B2281="","",IF(ISNUMBER(B2281),TEXT(B2281,"YYYY-MM"),LEFT(B2281,7)))</f>
        <v/>
      </c>
    </row>
    <row r="2282">
      <c r="A2282" t="inlineStr">
        <is>
          <t>Ekow Nyamekye Tawiah</t>
        </is>
      </c>
      <c r="B2282" s="4" t="n">
        <v>46059</v>
      </c>
      <c r="C2282" t="inlineStr">
        <is>
          <t>/</t>
        </is>
      </c>
      <c r="D2282" t="inlineStr">
        <is>
          <t>Ekow Nyamekye Tawiah</t>
        </is>
      </c>
      <c r="E2282" t="inlineStr">
        <is>
          <t>OdooBot</t>
        </is>
      </c>
      <c r="F2282" s="5" t="n">
        <v>46154.70721064815</v>
      </c>
      <c r="H2282" t="inlineStr">
        <is>
          <t>PCGH722</t>
        </is>
      </c>
      <c r="I2282" t="n">
        <v>4</v>
      </c>
      <c r="J2282" t="inlineStr">
        <is>
          <t>PCGH722 - Analysis and Reporting (3) (Sucrivoire SA)</t>
        </is>
      </c>
      <c r="K2282" t="inlineStr">
        <is>
          <t>Analysis and Reporting (3)</t>
        </is>
      </c>
      <c r="L2282" t="b">
        <v>1</v>
      </c>
      <c r="M2282" t="inlineStr">
        <is>
          <t>Billed at a Fixed price</t>
        </is>
      </c>
      <c r="N2282" s="6">
        <f>IF(B2282="","",IF(ISNUMBER(B2282),TEXT(B2282,"YYYY-MM"),LEFT(B2282,7)))</f>
        <v/>
      </c>
    </row>
    <row r="2283">
      <c r="A2283" t="inlineStr">
        <is>
          <t>Afua Serwah Akoto Prempeh</t>
        </is>
      </c>
      <c r="B2283" s="4" t="n">
        <v>46059</v>
      </c>
      <c r="C2283" t="inlineStr">
        <is>
          <t>/</t>
        </is>
      </c>
      <c r="D2283" t="inlineStr">
        <is>
          <t>Afua Serwah Akoto Prempeh</t>
        </is>
      </c>
      <c r="E2283" t="inlineStr">
        <is>
          <t>OdooBot</t>
        </is>
      </c>
      <c r="F2283" s="5" t="n">
        <v>46154.70721064815</v>
      </c>
      <c r="H2283" t="inlineStr">
        <is>
          <t>Non-Billable Tasks</t>
        </is>
      </c>
      <c r="I2283" t="n">
        <v>8</v>
      </c>
      <c r="K2283" t="inlineStr">
        <is>
          <t>Communication/Data/Training</t>
        </is>
      </c>
      <c r="L2283" t="b">
        <v>0</v>
      </c>
      <c r="M2283" t="inlineStr">
        <is>
          <t>Non-Billable</t>
        </is>
      </c>
      <c r="N2283" s="6">
        <f>IF(B2283="","",IF(ISNUMBER(B2283),TEXT(B2283,"YYYY-MM"),LEFT(B2283,7)))</f>
        <v/>
      </c>
    </row>
    <row r="2284">
      <c r="A2284" t="inlineStr">
        <is>
          <t>Helena Tetteh</t>
        </is>
      </c>
      <c r="B2284" s="4" t="n">
        <v>46059</v>
      </c>
      <c r="C2284" t="inlineStr">
        <is>
          <t>/</t>
        </is>
      </c>
      <c r="D2284" t="inlineStr">
        <is>
          <t xml:space="preserve">Helena Tetteh </t>
        </is>
      </c>
      <c r="E2284" t="inlineStr">
        <is>
          <t>OdooBot</t>
        </is>
      </c>
      <c r="F2284" s="5" t="n">
        <v>46154.70721064815</v>
      </c>
      <c r="H2284" t="inlineStr">
        <is>
          <t>P23AC00C00 - FGMC</t>
        </is>
      </c>
      <c r="I2284" t="n">
        <v>6.5</v>
      </c>
      <c r="K2284" t="inlineStr">
        <is>
          <t>Output 2.3</t>
        </is>
      </c>
      <c r="L2284" t="b">
        <v>0</v>
      </c>
      <c r="M2284" t="inlineStr">
        <is>
          <t>Non-Billable</t>
        </is>
      </c>
      <c r="N2284" s="6">
        <f>IF(B2284="","",IF(ISNUMBER(B2284),TEXT(B2284,"YYYY-MM"),LEFT(B2284,7)))</f>
        <v/>
      </c>
    </row>
    <row r="2285">
      <c r="A2285" t="inlineStr">
        <is>
          <t>Helena Tetteh</t>
        </is>
      </c>
      <c r="B2285" s="4" t="n">
        <v>46059</v>
      </c>
      <c r="C2285" t="inlineStr">
        <is>
          <t>/</t>
        </is>
      </c>
      <c r="D2285" t="inlineStr">
        <is>
          <t xml:space="preserve">Helena Tetteh </t>
        </is>
      </c>
      <c r="E2285" t="inlineStr">
        <is>
          <t>OdooBot</t>
        </is>
      </c>
      <c r="F2285" s="5" t="n">
        <v>46154.70721064815</v>
      </c>
      <c r="H2285" t="inlineStr">
        <is>
          <t>PCGH761</t>
        </is>
      </c>
      <c r="I2285" t="n">
        <v>1.5</v>
      </c>
      <c r="J2285" t="inlineStr">
        <is>
          <t>PCGH761 - Reporting (3) (Fauna and Flora International Liberia)</t>
        </is>
      </c>
      <c r="K2285" t="inlineStr">
        <is>
          <t>Reporting (3)</t>
        </is>
      </c>
      <c r="L2285" t="b">
        <v>1</v>
      </c>
      <c r="M2285" t="inlineStr">
        <is>
          <t>Billed at a Fixed price</t>
        </is>
      </c>
      <c r="N2285" s="6">
        <f>IF(B2285="","",IF(ISNUMBER(B2285),TEXT(B2285,"YYYY-MM"),LEFT(B2285,7)))</f>
        <v/>
      </c>
    </row>
    <row r="2286">
      <c r="A2286" t="inlineStr">
        <is>
          <t>Clement Obeng-Manu</t>
        </is>
      </c>
      <c r="B2286" s="4" t="n">
        <v>46059</v>
      </c>
      <c r="C2286" t="inlineStr">
        <is>
          <t>/</t>
        </is>
      </c>
      <c r="D2286" t="inlineStr">
        <is>
          <t>Clement Obeng-Manu</t>
        </is>
      </c>
      <c r="E2286" t="inlineStr">
        <is>
          <t>OdooBot</t>
        </is>
      </c>
      <c r="F2286" s="5" t="n">
        <v>46154.70721064815</v>
      </c>
      <c r="H2286" t="inlineStr">
        <is>
          <t>PCGH776 - Deforestation Risk-Assessment Cashew-Coast</t>
        </is>
      </c>
      <c r="I2286" t="n">
        <v>8</v>
      </c>
      <c r="J2286" t="inlineStr">
        <is>
          <t>PCGH776 - Data collection and review (3) (Cashew Coast Products Inc)</t>
        </is>
      </c>
      <c r="L2286" t="b">
        <v>1</v>
      </c>
      <c r="M2286" t="inlineStr">
        <is>
          <t>Billed at a Fixed price</t>
        </is>
      </c>
      <c r="N2286" s="6">
        <f>IF(B2286="","",IF(ISNUMBER(B2286),TEXT(B2286,"YYYY-MM"),LEFT(B2286,7)))</f>
        <v/>
      </c>
    </row>
    <row r="2287">
      <c r="A2287" t="inlineStr">
        <is>
          <t>Stephen Doso</t>
        </is>
      </c>
      <c r="B2287" s="4" t="n">
        <v>46059</v>
      </c>
      <c r="C2287" t="inlineStr">
        <is>
          <t>/</t>
        </is>
      </c>
      <c r="D2287" t="inlineStr">
        <is>
          <t>Stephen Doso</t>
        </is>
      </c>
      <c r="E2287" t="inlineStr">
        <is>
          <t>OdooBot</t>
        </is>
      </c>
      <c r="F2287" s="5" t="n">
        <v>46154.70721064815</v>
      </c>
      <c r="G2287" t="inlineStr">
        <is>
          <t>Field verification and reporting in Ivory Coast (3)</t>
        </is>
      </c>
      <c r="H2287" t="inlineStr">
        <is>
          <t>PCGH775 - ESDD of Valency Operations for FMO</t>
        </is>
      </c>
      <c r="I2287" t="n">
        <v>8</v>
      </c>
      <c r="J2287" t="inlineStr">
        <is>
          <t>PCGH775 - Field Verification (3) (Valency International DMCC)</t>
        </is>
      </c>
      <c r="K2287" t="inlineStr">
        <is>
          <t>Site audit/ assessment (Ivory Coast)</t>
        </is>
      </c>
      <c r="L2287" t="b">
        <v>1</v>
      </c>
      <c r="M2287" t="inlineStr">
        <is>
          <t>Billed at a Fixed price</t>
        </is>
      </c>
      <c r="N2287" s="6">
        <f>IF(B2287="","",IF(ISNUMBER(B2287),TEXT(B2287,"YYYY-MM"),LEFT(B2287,7)))</f>
        <v/>
      </c>
    </row>
    <row r="2288">
      <c r="A2288" t="inlineStr">
        <is>
          <t>Kwadwo Baniako Nti</t>
        </is>
      </c>
      <c r="B2288" s="4" t="n">
        <v>46059</v>
      </c>
      <c r="C2288" t="inlineStr">
        <is>
          <t>/</t>
        </is>
      </c>
      <c r="D2288" t="inlineStr">
        <is>
          <t>Kwadwo Baniako Nti</t>
        </is>
      </c>
      <c r="E2288" t="inlineStr">
        <is>
          <t>OdooBot</t>
        </is>
      </c>
      <c r="F2288" s="5" t="n">
        <v>46154.70721064815</v>
      </c>
      <c r="H2288" t="inlineStr">
        <is>
          <t>PCGH775 - ESDD of Valency Operations for FMO</t>
        </is>
      </c>
      <c r="I2288" t="n">
        <v>8</v>
      </c>
      <c r="J2288" t="inlineStr">
        <is>
          <t>PCGH775 - Development of Assessment Framework (3) (Valency International DMCC)</t>
        </is>
      </c>
      <c r="K2288" t="inlineStr">
        <is>
          <t>Desk study, development of assessment framework &amp; online meetings (3)</t>
        </is>
      </c>
      <c r="L2288" t="b">
        <v>1</v>
      </c>
      <c r="M2288" t="inlineStr">
        <is>
          <t>Billed at a Fixed price</t>
        </is>
      </c>
      <c r="N2288" s="6">
        <f>IF(B2288="","",IF(ISNUMBER(B2288),TEXT(B2288,"YYYY-MM"),LEFT(B2288,7)))</f>
        <v/>
      </c>
    </row>
    <row r="2289">
      <c r="A2289" t="inlineStr">
        <is>
          <t>Augustus Asamoah</t>
        </is>
      </c>
      <c r="B2289" s="4" t="n">
        <v>46059</v>
      </c>
      <c r="C2289" t="inlineStr">
        <is>
          <t>/</t>
        </is>
      </c>
      <c r="D2289" t="inlineStr">
        <is>
          <t>Augustus Asamoah</t>
        </is>
      </c>
      <c r="E2289" t="inlineStr">
        <is>
          <t>OdooBot</t>
        </is>
      </c>
      <c r="F2289" s="5" t="n">
        <v>46154.70721064815</v>
      </c>
      <c r="H2289" t="inlineStr">
        <is>
          <t>Non-Billable Tasks</t>
        </is>
      </c>
      <c r="I2289" t="n">
        <v>8</v>
      </c>
      <c r="K2289" t="inlineStr">
        <is>
          <t>Annual Leave</t>
        </is>
      </c>
      <c r="L2289" t="b">
        <v>0</v>
      </c>
      <c r="M2289" t="inlineStr">
        <is>
          <t>Non-Billable</t>
        </is>
      </c>
      <c r="N2289" s="6">
        <f>IF(B2289="","",IF(ISNUMBER(B2289),TEXT(B2289,"YYYY-MM"),LEFT(B2289,7)))</f>
        <v/>
      </c>
    </row>
    <row r="2290">
      <c r="A2290" t="inlineStr">
        <is>
          <t>Augustus Asamoah</t>
        </is>
      </c>
      <c r="B2290" s="4" t="n">
        <v>46059</v>
      </c>
      <c r="C2290" t="inlineStr">
        <is>
          <t>/</t>
        </is>
      </c>
      <c r="D2290" t="inlineStr">
        <is>
          <t>Augustus Asamoah</t>
        </is>
      </c>
      <c r="E2290" t="inlineStr">
        <is>
          <t>OdooBot</t>
        </is>
      </c>
      <c r="F2290" s="5" t="n">
        <v>46154.70721064815</v>
      </c>
      <c r="H2290" t="inlineStr">
        <is>
          <t>PCGH769</t>
        </is>
      </c>
      <c r="I2290" t="n">
        <v>0</v>
      </c>
      <c r="J2290" t="inlineStr">
        <is>
          <t>PCGH769 - Fauna Survey (Biase Plantations Ltd.)</t>
        </is>
      </c>
      <c r="K2290" t="inlineStr">
        <is>
          <t>HCV/HCS - Fauna Survey</t>
        </is>
      </c>
      <c r="L2290" t="b">
        <v>1</v>
      </c>
      <c r="M2290" t="inlineStr">
        <is>
          <t>Billed at a Fixed price</t>
        </is>
      </c>
      <c r="N2290" s="6">
        <f>IF(B2290="","",IF(ISNUMBER(B2290),TEXT(B2290,"YYYY-MM"),LEFT(B2290,7)))</f>
        <v/>
      </c>
    </row>
    <row r="2291">
      <c r="A2291" t="inlineStr">
        <is>
          <t>Daleba Bernard Kpenahi Raymond</t>
        </is>
      </c>
      <c r="B2291" s="4" t="n">
        <v>46059</v>
      </c>
      <c r="C2291" t="inlineStr">
        <is>
          <t>/</t>
        </is>
      </c>
      <c r="D2291" t="inlineStr">
        <is>
          <t>Daleba Bernard Kpenahi Raymond</t>
        </is>
      </c>
      <c r="E2291" t="inlineStr">
        <is>
          <t>OdooBot</t>
        </is>
      </c>
      <c r="F2291" s="5" t="n">
        <v>46154.70721064815</v>
      </c>
      <c r="G2291" t="inlineStr">
        <is>
          <t>Field verification and reporting in Ivory Coast (3)</t>
        </is>
      </c>
      <c r="H2291" t="inlineStr">
        <is>
          <t>PCGH775 - ESDD of Valency Operations for FMO</t>
        </is>
      </c>
      <c r="I2291" t="n">
        <v>8</v>
      </c>
      <c r="J2291" t="inlineStr">
        <is>
          <t>PCGH775 - Field Verification (3) (Valency International DMCC)</t>
        </is>
      </c>
      <c r="K2291" t="inlineStr">
        <is>
          <t>Site audit/ assessment (Ivory Coast)</t>
        </is>
      </c>
      <c r="L2291" t="b">
        <v>1</v>
      </c>
      <c r="M2291" t="inlineStr">
        <is>
          <t>Billed at a Fixed price</t>
        </is>
      </c>
      <c r="N2291" s="6">
        <f>IF(B2291="","",IF(ISNUMBER(B2291),TEXT(B2291,"YYYY-MM"),LEFT(B2291,7)))</f>
        <v/>
      </c>
    </row>
    <row r="2292">
      <c r="A2292" t="inlineStr">
        <is>
          <t>Kingsley Fitz-Gerald Severine</t>
        </is>
      </c>
      <c r="B2292" s="4" t="n">
        <v>46059</v>
      </c>
      <c r="C2292" t="inlineStr">
        <is>
          <t>/</t>
        </is>
      </c>
      <c r="D2292" t="inlineStr">
        <is>
          <t>Kingsley Fitz-Gerald Severine</t>
        </is>
      </c>
      <c r="E2292" t="inlineStr">
        <is>
          <t>OdooBot</t>
        </is>
      </c>
      <c r="F2292" s="5" t="n">
        <v>46154.70721064815</v>
      </c>
      <c r="H2292" t="inlineStr">
        <is>
          <t>PCGH771</t>
        </is>
      </c>
      <c r="I2292" t="n">
        <v>7</v>
      </c>
      <c r="J2292" t="inlineStr">
        <is>
          <t>PCGH771 - Analysis and Reporting (3) (Okeosisi Jonathan)</t>
        </is>
      </c>
      <c r="K2292" t="inlineStr">
        <is>
          <t>Analysis and Reporting (Mapping)</t>
        </is>
      </c>
      <c r="L2292" t="b">
        <v>1</v>
      </c>
      <c r="M2292" t="inlineStr">
        <is>
          <t>Billed at a Fixed price</t>
        </is>
      </c>
      <c r="N2292" s="6">
        <f>IF(B2292="","",IF(ISNUMBER(B2292),TEXT(B2292,"YYYY-MM"),LEFT(B2292,7)))</f>
        <v/>
      </c>
    </row>
    <row r="2293">
      <c r="A2293" t="inlineStr">
        <is>
          <t>Kingsley Fitz-Gerald Severine</t>
        </is>
      </c>
      <c r="B2293" s="4" t="n">
        <v>46059</v>
      </c>
      <c r="C2293" t="inlineStr">
        <is>
          <t>/</t>
        </is>
      </c>
      <c r="D2293" t="inlineStr">
        <is>
          <t>Kingsley Fitz-Gerald Severine</t>
        </is>
      </c>
      <c r="E2293" t="inlineStr">
        <is>
          <t>OdooBot</t>
        </is>
      </c>
      <c r="F2293" s="5" t="n">
        <v>46154.70721064815</v>
      </c>
      <c r="H2293" t="inlineStr">
        <is>
          <t>Non-Billable Tasks</t>
        </is>
      </c>
      <c r="I2293" t="n">
        <v>1</v>
      </c>
      <c r="K2293" t="inlineStr">
        <is>
          <t>Internal Focal points and workstreams</t>
        </is>
      </c>
      <c r="L2293" t="b">
        <v>0</v>
      </c>
      <c r="M2293" t="inlineStr">
        <is>
          <t>Non-Billable</t>
        </is>
      </c>
      <c r="N2293" s="6">
        <f>IF(B2293="","",IF(ISNUMBER(B2293),TEXT(B2293,"YYYY-MM"),LEFT(B2293,7)))</f>
        <v/>
      </c>
    </row>
    <row r="2294">
      <c r="A2294" t="inlineStr">
        <is>
          <t>Joseph Isaiah Mensah</t>
        </is>
      </c>
      <c r="B2294" s="4" t="n">
        <v>46058</v>
      </c>
      <c r="C2294" t="inlineStr">
        <is>
          <t>/</t>
        </is>
      </c>
      <c r="D2294" t="inlineStr">
        <is>
          <t>Joseph Isaiah Mensah</t>
        </is>
      </c>
      <c r="E2294" t="inlineStr">
        <is>
          <t>Joseph Isaiah Mensah</t>
        </is>
      </c>
      <c r="F2294" s="5" t="n">
        <v>46162.62628472222</v>
      </c>
      <c r="G2294" t="inlineStr">
        <is>
          <t>Output 2.3</t>
        </is>
      </c>
      <c r="H2294" t="inlineStr">
        <is>
          <t>P23AC00C00 - FGMC</t>
        </is>
      </c>
      <c r="I2294" t="n">
        <v>8</v>
      </c>
      <c r="K2294" t="inlineStr">
        <is>
          <t>P23AC22A00 - Output Two (Elevating Local Solutions - West Africa)</t>
        </is>
      </c>
      <c r="L2294" t="b">
        <v>0</v>
      </c>
      <c r="M2294" t="inlineStr">
        <is>
          <t>Non-Billable</t>
        </is>
      </c>
      <c r="N2294" s="6">
        <f>IF(B2294="","",IF(ISNUMBER(B2294),TEXT(B2294,"YYYY-MM"),LEFT(B2294,7)))</f>
        <v/>
      </c>
    </row>
    <row r="2295">
      <c r="A2295" t="inlineStr">
        <is>
          <t>Louis Defo</t>
        </is>
      </c>
      <c r="B2295" s="4" t="n">
        <v>46058</v>
      </c>
      <c r="C2295" t="inlineStr">
        <is>
          <t>/</t>
        </is>
      </c>
      <c r="D2295" t="inlineStr">
        <is>
          <t>Louis Defo</t>
        </is>
      </c>
      <c r="E2295" t="inlineStr">
        <is>
          <t>Louis Defo</t>
        </is>
      </c>
      <c r="F2295" s="5" t="n">
        <v>46161.34609953704</v>
      </c>
      <c r="H2295" t="inlineStr">
        <is>
          <t>P23AC00C00 - FGMC</t>
        </is>
      </c>
      <c r="I2295" t="n">
        <v>8</v>
      </c>
      <c r="L2295" t="b">
        <v>0</v>
      </c>
      <c r="M2295" t="inlineStr">
        <is>
          <t>Non-Billable</t>
        </is>
      </c>
      <c r="N2295" s="6">
        <f>IF(B2295="","",IF(ISNUMBER(B2295),TEXT(B2295,"YYYY-MM"),LEFT(B2295,7)))</f>
        <v/>
      </c>
    </row>
    <row r="2296">
      <c r="A2296" t="inlineStr">
        <is>
          <t>Frederick Antwi</t>
        </is>
      </c>
      <c r="B2296" s="4" t="n">
        <v>46058</v>
      </c>
      <c r="C2296" t="inlineStr">
        <is>
          <t>/</t>
        </is>
      </c>
      <c r="D2296" t="inlineStr">
        <is>
          <t>Frederick Antwi</t>
        </is>
      </c>
      <c r="E2296" t="inlineStr">
        <is>
          <t>Frederick Antwi</t>
        </is>
      </c>
      <c r="F2296" s="5" t="n">
        <v>46160.56851851852</v>
      </c>
      <c r="H2296" t="inlineStr">
        <is>
          <t>P13NC00A00 - WALMART II</t>
        </is>
      </c>
      <c r="I2296" t="n">
        <v>8</v>
      </c>
      <c r="L2296" t="b">
        <v>0</v>
      </c>
      <c r="M2296" t="inlineStr">
        <is>
          <t>Non-Billable</t>
        </is>
      </c>
      <c r="N2296" s="6">
        <f>IF(B2296="","",IF(ISNUMBER(B2296),TEXT(B2296,"YYYY-MM"),LEFT(B2296,7)))</f>
        <v/>
      </c>
    </row>
    <row r="2297">
      <c r="A2297" t="inlineStr">
        <is>
          <t>James Parker Mckeown</t>
        </is>
      </c>
      <c r="B2297" s="4" t="n">
        <v>46058</v>
      </c>
      <c r="C2297" t="inlineStr">
        <is>
          <t xml:space="preserve">GVL Q3 activities planning </t>
        </is>
      </c>
      <c r="D2297" t="inlineStr">
        <is>
          <t>James Parker Mckeown</t>
        </is>
      </c>
      <c r="E2297" t="inlineStr">
        <is>
          <t>James Parker Mckeown</t>
        </is>
      </c>
      <c r="F2297" s="5" t="n">
        <v>46159.03555555556</v>
      </c>
      <c r="H2297" t="inlineStr">
        <is>
          <t>PCGH762 - GVL HCSA Restoration Project</t>
        </is>
      </c>
      <c r="I2297" t="n">
        <v>2</v>
      </c>
      <c r="J2297" t="inlineStr">
        <is>
          <t>PCGH762 - Development and Implementation of MEL Framework (Golden Veroleum Liberia)</t>
        </is>
      </c>
      <c r="K2297" t="inlineStr">
        <is>
          <t>Development and Implementation of MEL Framework</t>
        </is>
      </c>
      <c r="L2297" t="b">
        <v>1</v>
      </c>
      <c r="M2297" t="inlineStr">
        <is>
          <t>Billed at a Fixed price</t>
        </is>
      </c>
      <c r="N2297" s="6">
        <f>IF(B2297="","",IF(ISNUMBER(B2297),TEXT(B2297,"YYYY-MM"),LEFT(B2297,7)))</f>
        <v/>
      </c>
    </row>
    <row r="2298">
      <c r="A2298" t="inlineStr">
        <is>
          <t>James Parker Mckeown</t>
        </is>
      </c>
      <c r="B2298" s="4" t="n">
        <v>46058</v>
      </c>
      <c r="C2298" t="inlineStr">
        <is>
          <t>LEW 2026 Core Group meeting</t>
        </is>
      </c>
      <c r="D2298" t="inlineStr">
        <is>
          <t>James Parker Mckeown</t>
        </is>
      </c>
      <c r="E2298" t="inlineStr">
        <is>
          <t>James Parker Mckeown</t>
        </is>
      </c>
      <c r="F2298" s="5" t="n">
        <v>46159.03458333333</v>
      </c>
      <c r="H2298" t="inlineStr">
        <is>
          <t>Non-Billable Tasks</t>
        </is>
      </c>
      <c r="I2298" t="n">
        <v>1</v>
      </c>
      <c r="K2298" t="inlineStr">
        <is>
          <t>Internal Focal points and workstreams</t>
        </is>
      </c>
      <c r="L2298" t="b">
        <v>0</v>
      </c>
      <c r="M2298" t="inlineStr">
        <is>
          <t>Non-Billable</t>
        </is>
      </c>
      <c r="N2298" s="6">
        <f>IF(B2298="","",IF(ISNUMBER(B2298),TEXT(B2298,"YYYY-MM"),LEFT(B2298,7)))</f>
        <v/>
      </c>
    </row>
    <row r="2299">
      <c r="A2299" t="inlineStr">
        <is>
          <t>James Parker Mckeown</t>
        </is>
      </c>
      <c r="B2299" s="4" t="n">
        <v>46058</v>
      </c>
      <c r="C2299" t="inlineStr">
        <is>
          <t>Monthly Landscape Focal Points</t>
        </is>
      </c>
      <c r="D2299" t="inlineStr">
        <is>
          <t>James Parker Mckeown</t>
        </is>
      </c>
      <c r="E2299" t="inlineStr">
        <is>
          <t>James Parker Mckeown</t>
        </is>
      </c>
      <c r="F2299" s="5" t="n">
        <v>46159.03372685185</v>
      </c>
      <c r="H2299" t="inlineStr">
        <is>
          <t>Non-Billable Tasks</t>
        </is>
      </c>
      <c r="I2299" t="n">
        <v>1</v>
      </c>
      <c r="K2299" t="inlineStr">
        <is>
          <t>Internal Focal points and workstreams</t>
        </is>
      </c>
      <c r="L2299" t="b">
        <v>0</v>
      </c>
      <c r="M2299" t="inlineStr">
        <is>
          <t>Non-Billable</t>
        </is>
      </c>
      <c r="N2299" s="6">
        <f>IF(B2299="","",IF(ISNUMBER(B2299),TEXT(B2299,"YYYY-MM"),LEFT(B2299,7)))</f>
        <v/>
      </c>
    </row>
    <row r="2300">
      <c r="A2300" t="inlineStr">
        <is>
          <t>James Parker Mckeown</t>
        </is>
      </c>
      <c r="B2300" s="4" t="n">
        <v>46058</v>
      </c>
      <c r="C2300" t="inlineStr">
        <is>
          <t>Review of FGMC reports for prior month</t>
        </is>
      </c>
      <c r="D2300" t="inlineStr">
        <is>
          <t>James Parker Mckeown</t>
        </is>
      </c>
      <c r="E2300" t="inlineStr">
        <is>
          <t>James Parker Mckeown</t>
        </is>
      </c>
      <c r="F2300" s="5" t="n">
        <v>46159.03296296296</v>
      </c>
      <c r="G2300" t="inlineStr">
        <is>
          <t>Output 4</t>
        </is>
      </c>
      <c r="H2300" t="inlineStr">
        <is>
          <t>P23AC00C00 - FGMC</t>
        </is>
      </c>
      <c r="I2300" t="n">
        <v>1</v>
      </c>
      <c r="K2300" t="inlineStr">
        <is>
          <t>P23AC03A00 - Project Management</t>
        </is>
      </c>
      <c r="L2300" t="b">
        <v>0</v>
      </c>
      <c r="M2300" t="inlineStr">
        <is>
          <t>Non-Billable</t>
        </is>
      </c>
      <c r="N2300" s="6">
        <f>IF(B2300="","",IF(ISNUMBER(B2300),TEXT(B2300,"YYYY-MM"),LEFT(B2300,7)))</f>
        <v/>
      </c>
    </row>
    <row r="2301">
      <c r="A2301" t="inlineStr">
        <is>
          <t>James Parker Mckeown</t>
        </is>
      </c>
      <c r="B2301" s="4" t="n">
        <v>46058</v>
      </c>
      <c r="C2301" t="inlineStr">
        <is>
          <t>FAO meeting preparation</t>
        </is>
      </c>
      <c r="D2301" t="inlineStr">
        <is>
          <t>James Parker Mckeown</t>
        </is>
      </c>
      <c r="E2301" t="inlineStr">
        <is>
          <t>James Parker Mckeown</t>
        </is>
      </c>
      <c r="F2301" s="5" t="n">
        <v>46159.03221064815</v>
      </c>
      <c r="H2301" t="inlineStr">
        <is>
          <t>Non-Billable Tasks</t>
        </is>
      </c>
      <c r="I2301" t="n">
        <v>1</v>
      </c>
      <c r="K2301" t="inlineStr">
        <is>
          <t>Communication/Data/Training</t>
        </is>
      </c>
      <c r="L2301" t="b">
        <v>0</v>
      </c>
      <c r="M2301" t="inlineStr">
        <is>
          <t>Non-Billable</t>
        </is>
      </c>
      <c r="N2301" s="6">
        <f>IF(B2301="","",IF(ISNUMBER(B2301),TEXT(B2301,"YYYY-MM"),LEFT(B2301,7)))</f>
        <v/>
      </c>
    </row>
    <row r="2302">
      <c r="A2302" t="inlineStr">
        <is>
          <t>James Parker Mckeown</t>
        </is>
      </c>
      <c r="B2302" s="4" t="n">
        <v>46058</v>
      </c>
      <c r="C2302" t="inlineStr">
        <is>
          <t>/</t>
        </is>
      </c>
      <c r="D2302" t="inlineStr">
        <is>
          <t>James Parker Mckeown</t>
        </is>
      </c>
      <c r="E2302" t="inlineStr">
        <is>
          <t>James Parker Mckeown</t>
        </is>
      </c>
      <c r="F2302" s="5" t="n">
        <v>46159.0315625</v>
      </c>
      <c r="G2302" t="inlineStr">
        <is>
          <t>Output 4</t>
        </is>
      </c>
      <c r="H2302" t="inlineStr">
        <is>
          <t>P23AC00C00 - FGMC</t>
        </is>
      </c>
      <c r="I2302" t="n">
        <v>3</v>
      </c>
      <c r="K2302" t="inlineStr">
        <is>
          <t>P23AC03A00 - Project Management</t>
        </is>
      </c>
      <c r="L2302" t="b">
        <v>0</v>
      </c>
      <c r="M2302" t="inlineStr">
        <is>
          <t>Non-Billable</t>
        </is>
      </c>
      <c r="N2302" s="6">
        <f>IF(B2302="","",IF(ISNUMBER(B2302),TEXT(B2302,"YYYY-MM"),LEFT(B2302,7)))</f>
        <v/>
      </c>
    </row>
    <row r="2303">
      <c r="A2303" t="inlineStr">
        <is>
          <t>Ekow Nyamekye Tawiah</t>
        </is>
      </c>
      <c r="B2303" s="4" t="n">
        <v>46058</v>
      </c>
      <c r="C2303" t="inlineStr">
        <is>
          <t>/</t>
        </is>
      </c>
      <c r="D2303" t="inlineStr">
        <is>
          <t>Ekow Nyamekye Tawiah</t>
        </is>
      </c>
      <c r="E2303" t="inlineStr">
        <is>
          <t>OdooBot</t>
        </is>
      </c>
      <c r="F2303" s="5" t="n">
        <v>46154.70721064815</v>
      </c>
      <c r="H2303" t="inlineStr">
        <is>
          <t>PCGH722</t>
        </is>
      </c>
      <c r="I2303" t="n">
        <v>4</v>
      </c>
      <c r="J2303" t="inlineStr">
        <is>
          <t>PCGH722 - Analysis and Reporting (3) (Sucrivoire SA)</t>
        </is>
      </c>
      <c r="K2303" t="inlineStr">
        <is>
          <t>Analysis and Reporting (3)</t>
        </is>
      </c>
      <c r="L2303" t="b">
        <v>1</v>
      </c>
      <c r="M2303" t="inlineStr">
        <is>
          <t>Billed at a Fixed price</t>
        </is>
      </c>
      <c r="N2303" s="6">
        <f>IF(B2303="","",IF(ISNUMBER(B2303),TEXT(B2303,"YYYY-MM"),LEFT(B2303,7)))</f>
        <v/>
      </c>
    </row>
    <row r="2304">
      <c r="A2304" t="inlineStr">
        <is>
          <t>Afua Serwah Akoto Prempeh</t>
        </is>
      </c>
      <c r="B2304" s="4" t="n">
        <v>46058</v>
      </c>
      <c r="C2304" t="inlineStr">
        <is>
          <t>/</t>
        </is>
      </c>
      <c r="D2304" t="inlineStr">
        <is>
          <t>Afua Serwah Akoto Prempeh</t>
        </is>
      </c>
      <c r="E2304" t="inlineStr">
        <is>
          <t>OdooBot</t>
        </is>
      </c>
      <c r="F2304" s="5" t="n">
        <v>46154.70721064815</v>
      </c>
      <c r="H2304" t="inlineStr">
        <is>
          <t>Non-Billable Tasks</t>
        </is>
      </c>
      <c r="I2304" t="n">
        <v>8</v>
      </c>
      <c r="K2304" t="inlineStr">
        <is>
          <t>Communication/Data/Training</t>
        </is>
      </c>
      <c r="L2304" t="b">
        <v>0</v>
      </c>
      <c r="M2304" t="inlineStr">
        <is>
          <t>Non-Billable</t>
        </is>
      </c>
      <c r="N2304" s="6">
        <f>IF(B2304="","",IF(ISNUMBER(B2304),TEXT(B2304,"YYYY-MM"),LEFT(B2304,7)))</f>
        <v/>
      </c>
    </row>
    <row r="2305">
      <c r="A2305" t="inlineStr">
        <is>
          <t>Helena Tetteh</t>
        </is>
      </c>
      <c r="B2305" s="4" t="n">
        <v>46058</v>
      </c>
      <c r="C2305" t="inlineStr">
        <is>
          <t>/</t>
        </is>
      </c>
      <c r="D2305" t="inlineStr">
        <is>
          <t xml:space="preserve">Helena Tetteh </t>
        </is>
      </c>
      <c r="E2305" t="inlineStr">
        <is>
          <t>OdooBot</t>
        </is>
      </c>
      <c r="F2305" s="5" t="n">
        <v>46154.70721064815</v>
      </c>
      <c r="H2305" t="inlineStr">
        <is>
          <t>Non-Billable Tasks</t>
        </is>
      </c>
      <c r="I2305" t="n">
        <v>3.5</v>
      </c>
      <c r="K2305" t="inlineStr">
        <is>
          <t>Portfolio Team Management</t>
        </is>
      </c>
      <c r="L2305" t="b">
        <v>0</v>
      </c>
      <c r="M2305" t="inlineStr">
        <is>
          <t>Non-Billable</t>
        </is>
      </c>
      <c r="N2305" s="6">
        <f>IF(B2305="","",IF(ISNUMBER(B2305),TEXT(B2305,"YYYY-MM"),LEFT(B2305,7)))</f>
        <v/>
      </c>
    </row>
    <row r="2306">
      <c r="A2306" t="inlineStr">
        <is>
          <t>Helena Tetteh</t>
        </is>
      </c>
      <c r="B2306" s="4" t="n">
        <v>46058</v>
      </c>
      <c r="C2306" t="inlineStr">
        <is>
          <t>REVIEW OF TRAINING REPORT</t>
        </is>
      </c>
      <c r="D2306" t="inlineStr">
        <is>
          <t xml:space="preserve">Helena Tetteh </t>
        </is>
      </c>
      <c r="E2306" t="inlineStr">
        <is>
          <t>OdooBot</t>
        </is>
      </c>
      <c r="F2306" s="5" t="n">
        <v>46154.70721064815</v>
      </c>
      <c r="H2306" t="inlineStr">
        <is>
          <t>PCGH761</t>
        </is>
      </c>
      <c r="I2306" t="n">
        <v>1</v>
      </c>
      <c r="J2306" t="inlineStr">
        <is>
          <t>PCGH761 - Reporting (3) (Fauna and Flora International Liberia)</t>
        </is>
      </c>
      <c r="K2306" t="inlineStr">
        <is>
          <t>Reporting (3)</t>
        </is>
      </c>
      <c r="L2306" t="b">
        <v>1</v>
      </c>
      <c r="M2306" t="inlineStr">
        <is>
          <t>Billed at a Fixed price</t>
        </is>
      </c>
      <c r="N2306" s="6">
        <f>IF(B2306="","",IF(ISNUMBER(B2306),TEXT(B2306,"YYYY-MM"),LEFT(B2306,7)))</f>
        <v/>
      </c>
    </row>
    <row r="2307">
      <c r="A2307" t="inlineStr">
        <is>
          <t>Helena Tetteh</t>
        </is>
      </c>
      <c r="B2307" s="4" t="n">
        <v>46058</v>
      </c>
      <c r="C2307" t="inlineStr">
        <is>
          <t>/</t>
        </is>
      </c>
      <c r="D2307" t="inlineStr">
        <is>
          <t xml:space="preserve">Helena Tetteh </t>
        </is>
      </c>
      <c r="E2307" t="inlineStr">
        <is>
          <t>OdooBot</t>
        </is>
      </c>
      <c r="F2307" s="5" t="n">
        <v>46154.70721064815</v>
      </c>
      <c r="H2307" t="inlineStr">
        <is>
          <t>P23AC00C00 - FGMC</t>
        </is>
      </c>
      <c r="I2307" t="n">
        <v>2</v>
      </c>
      <c r="K2307" t="inlineStr">
        <is>
          <t>Output 2.3</t>
        </is>
      </c>
      <c r="L2307" t="b">
        <v>0</v>
      </c>
      <c r="M2307" t="inlineStr">
        <is>
          <t>Non-Billable</t>
        </is>
      </c>
      <c r="N2307" s="6">
        <f>IF(B2307="","",IF(ISNUMBER(B2307),TEXT(B2307,"YYYY-MM"),LEFT(B2307,7)))</f>
        <v/>
      </c>
    </row>
    <row r="2308">
      <c r="A2308" t="inlineStr">
        <is>
          <t>Helena Tetteh</t>
        </is>
      </c>
      <c r="B2308" s="4" t="n">
        <v>46058</v>
      </c>
      <c r="C2308" t="inlineStr">
        <is>
          <t>/</t>
        </is>
      </c>
      <c r="D2308" t="inlineStr">
        <is>
          <t xml:space="preserve">Helena Tetteh </t>
        </is>
      </c>
      <c r="E2308" t="inlineStr">
        <is>
          <t>OdooBot</t>
        </is>
      </c>
      <c r="F2308" s="5" t="n">
        <v>46154.70721064815</v>
      </c>
      <c r="H2308" t="inlineStr">
        <is>
          <t>PCGH761</t>
        </is>
      </c>
      <c r="I2308" t="n">
        <v>1.5</v>
      </c>
      <c r="J2308" t="inlineStr">
        <is>
          <t>PCGH761 - Reporting (3) (Fauna and Flora International Liberia)</t>
        </is>
      </c>
      <c r="K2308" t="inlineStr">
        <is>
          <t>Reporting (3)</t>
        </is>
      </c>
      <c r="L2308" t="b">
        <v>1</v>
      </c>
      <c r="M2308" t="inlineStr">
        <is>
          <t>Billed at a Fixed price</t>
        </is>
      </c>
      <c r="N2308" s="6">
        <f>IF(B2308="","",IF(ISNUMBER(B2308),TEXT(B2308,"YYYY-MM"),LEFT(B2308,7)))</f>
        <v/>
      </c>
    </row>
    <row r="2309">
      <c r="A2309" t="inlineStr">
        <is>
          <t>Clement Obeng-Manu</t>
        </is>
      </c>
      <c r="B2309" s="4" t="n">
        <v>46058</v>
      </c>
      <c r="C2309" t="inlineStr">
        <is>
          <t>/</t>
        </is>
      </c>
      <c r="D2309" t="inlineStr">
        <is>
          <t>Clement Obeng-Manu</t>
        </is>
      </c>
      <c r="E2309" t="inlineStr">
        <is>
          <t>OdooBot</t>
        </is>
      </c>
      <c r="F2309" s="5" t="n">
        <v>46154.70721064815</v>
      </c>
      <c r="H2309" t="inlineStr">
        <is>
          <t>PCGH776 - Deforestation Risk-Assessment Cashew-Coast</t>
        </is>
      </c>
      <c r="I2309" t="n">
        <v>2</v>
      </c>
      <c r="J2309" t="inlineStr">
        <is>
          <t>PCGH776 - Data collection and review (3) (Cashew Coast Products Inc)</t>
        </is>
      </c>
      <c r="L2309" t="b">
        <v>1</v>
      </c>
      <c r="M2309" t="inlineStr">
        <is>
          <t>Billed at a Fixed price</t>
        </is>
      </c>
      <c r="N2309" s="6">
        <f>IF(B2309="","",IF(ISNUMBER(B2309),TEXT(B2309,"YYYY-MM"),LEFT(B2309,7)))</f>
        <v/>
      </c>
    </row>
    <row r="2310">
      <c r="A2310" t="inlineStr">
        <is>
          <t>Clement Obeng-Manu</t>
        </is>
      </c>
      <c r="B2310" s="4" t="n">
        <v>46058</v>
      </c>
      <c r="C2310" t="inlineStr">
        <is>
          <t>/</t>
        </is>
      </c>
      <c r="D2310" t="inlineStr">
        <is>
          <t>Clement Obeng-Manu</t>
        </is>
      </c>
      <c r="E2310" t="inlineStr">
        <is>
          <t>OdooBot</t>
        </is>
      </c>
      <c r="F2310" s="5" t="n">
        <v>46154.70721064815</v>
      </c>
      <c r="H2310" t="inlineStr">
        <is>
          <t>PCGH777</t>
        </is>
      </c>
      <c r="I2310" t="n">
        <v>6</v>
      </c>
      <c r="J2310" t="inlineStr">
        <is>
          <t>PCGH777 - Desk Study (3) (Proforest Limited(PCUK GBP))</t>
        </is>
      </c>
      <c r="L2310" t="b">
        <v>1</v>
      </c>
      <c r="M2310" t="inlineStr">
        <is>
          <t>Billed at a Fixed price</t>
        </is>
      </c>
      <c r="N2310" s="6">
        <f>IF(B2310="","",IF(ISNUMBER(B2310),TEXT(B2310,"YYYY-MM"),LEFT(B2310,7)))</f>
        <v/>
      </c>
    </row>
    <row r="2311">
      <c r="A2311" t="inlineStr">
        <is>
          <t>Stephen Doso</t>
        </is>
      </c>
      <c r="B2311" s="4" t="n">
        <v>46058</v>
      </c>
      <c r="C2311" t="inlineStr">
        <is>
          <t>/</t>
        </is>
      </c>
      <c r="D2311" t="inlineStr">
        <is>
          <t>Stephen Doso</t>
        </is>
      </c>
      <c r="E2311" t="inlineStr">
        <is>
          <t>OdooBot</t>
        </is>
      </c>
      <c r="F2311" s="5" t="n">
        <v>46154.70721064815</v>
      </c>
      <c r="G2311" t="inlineStr">
        <is>
          <t>Field verification and reporting in Ivory Coast (3)</t>
        </is>
      </c>
      <c r="H2311" t="inlineStr">
        <is>
          <t>PCGH775 - ESDD of Valency Operations for FMO</t>
        </is>
      </c>
      <c r="I2311" t="n">
        <v>8</v>
      </c>
      <c r="J2311" t="inlineStr">
        <is>
          <t>PCGH775 - Field Verification (3) (Valency International DMCC)</t>
        </is>
      </c>
      <c r="K2311" t="inlineStr">
        <is>
          <t>Site audit/ assessment (Ivory Coast)</t>
        </is>
      </c>
      <c r="L2311" t="b">
        <v>1</v>
      </c>
      <c r="M2311" t="inlineStr">
        <is>
          <t>Billed at a Fixed price</t>
        </is>
      </c>
      <c r="N2311" s="6">
        <f>IF(B2311="","",IF(ISNUMBER(B2311),TEXT(B2311,"YYYY-MM"),LEFT(B2311,7)))</f>
        <v/>
      </c>
    </row>
    <row r="2312">
      <c r="A2312" t="inlineStr">
        <is>
          <t>Kwadwo Baniako Nti</t>
        </is>
      </c>
      <c r="B2312" s="4" t="n">
        <v>46058</v>
      </c>
      <c r="C2312" t="inlineStr">
        <is>
          <t>/</t>
        </is>
      </c>
      <c r="D2312" t="inlineStr">
        <is>
          <t>Kwadwo Baniako Nti</t>
        </is>
      </c>
      <c r="E2312" t="inlineStr">
        <is>
          <t>OdooBot</t>
        </is>
      </c>
      <c r="F2312" s="5" t="n">
        <v>46154.70721064815</v>
      </c>
      <c r="H2312" t="inlineStr">
        <is>
          <t>Non-Billable Tasks</t>
        </is>
      </c>
      <c r="I2312" t="n">
        <v>6.5</v>
      </c>
      <c r="K2312" t="inlineStr">
        <is>
          <t>Professional development and Knowledge sharing(training,global knowledge calls,exchange weeks)</t>
        </is>
      </c>
      <c r="L2312" t="b">
        <v>0</v>
      </c>
      <c r="M2312" t="inlineStr">
        <is>
          <t>Non-Billable</t>
        </is>
      </c>
      <c r="N2312" s="6">
        <f>IF(B2312="","",IF(ISNUMBER(B2312),TEXT(B2312,"YYYY-MM"),LEFT(B2312,7)))</f>
        <v/>
      </c>
    </row>
    <row r="2313">
      <c r="A2313" t="inlineStr">
        <is>
          <t>Kwadwo Baniako Nti</t>
        </is>
      </c>
      <c r="B2313" s="4" t="n">
        <v>46058</v>
      </c>
      <c r="C2313" t="inlineStr">
        <is>
          <t>/</t>
        </is>
      </c>
      <c r="D2313" t="inlineStr">
        <is>
          <t>Kwadwo Baniako Nti</t>
        </is>
      </c>
      <c r="E2313" t="inlineStr">
        <is>
          <t>OdooBot</t>
        </is>
      </c>
      <c r="F2313" s="5" t="n">
        <v>46154.70721064815</v>
      </c>
      <c r="H2313" t="inlineStr">
        <is>
          <t>PCGH775 - ESDD of Valency Operations for FMO</t>
        </is>
      </c>
      <c r="I2313" t="n">
        <v>1.5</v>
      </c>
      <c r="J2313" t="inlineStr">
        <is>
          <t>PCGH775 - Development of Assessment Framework (3) (Valency International DMCC)</t>
        </is>
      </c>
      <c r="K2313" t="inlineStr">
        <is>
          <t>Desk study, development of assessment framework &amp; online meetings (3)</t>
        </is>
      </c>
      <c r="L2313" t="b">
        <v>1</v>
      </c>
      <c r="M2313" t="inlineStr">
        <is>
          <t>Billed at a Fixed price</t>
        </is>
      </c>
      <c r="N2313" s="6">
        <f>IF(B2313="","",IF(ISNUMBER(B2313),TEXT(B2313,"YYYY-MM"),LEFT(B2313,7)))</f>
        <v/>
      </c>
    </row>
    <row r="2314">
      <c r="A2314" t="inlineStr">
        <is>
          <t>Augustus Asamoah</t>
        </is>
      </c>
      <c r="B2314" s="4" t="n">
        <v>46058</v>
      </c>
      <c r="C2314" t="inlineStr">
        <is>
          <t>/</t>
        </is>
      </c>
      <c r="D2314" t="inlineStr">
        <is>
          <t>Augustus Asamoah</t>
        </is>
      </c>
      <c r="E2314" t="inlineStr">
        <is>
          <t>OdooBot</t>
        </is>
      </c>
      <c r="F2314" s="5" t="n">
        <v>46154.70721064815</v>
      </c>
      <c r="H2314" t="inlineStr">
        <is>
          <t>Non-Billable Tasks</t>
        </is>
      </c>
      <c r="I2314" t="n">
        <v>8</v>
      </c>
      <c r="K2314" t="inlineStr">
        <is>
          <t>Annual Leave</t>
        </is>
      </c>
      <c r="L2314" t="b">
        <v>0</v>
      </c>
      <c r="M2314" t="inlineStr">
        <is>
          <t>Non-Billable</t>
        </is>
      </c>
      <c r="N2314" s="6">
        <f>IF(B2314="","",IF(ISNUMBER(B2314),TEXT(B2314,"YYYY-MM"),LEFT(B2314,7)))</f>
        <v/>
      </c>
    </row>
    <row r="2315">
      <c r="A2315" t="inlineStr">
        <is>
          <t>Augustus Asamoah</t>
        </is>
      </c>
      <c r="B2315" s="4" t="n">
        <v>46058</v>
      </c>
      <c r="C2315" t="inlineStr">
        <is>
          <t>/</t>
        </is>
      </c>
      <c r="D2315" t="inlineStr">
        <is>
          <t>Augustus Asamoah</t>
        </is>
      </c>
      <c r="E2315" t="inlineStr">
        <is>
          <t>OdooBot</t>
        </is>
      </c>
      <c r="F2315" s="5" t="n">
        <v>46154.70721064815</v>
      </c>
      <c r="H2315" t="inlineStr">
        <is>
          <t>PCGH769</t>
        </is>
      </c>
      <c r="I2315" t="n">
        <v>0</v>
      </c>
      <c r="J2315" t="inlineStr">
        <is>
          <t>PCGH769 - Fauna Survey (Biase Plantations Ltd.)</t>
        </is>
      </c>
      <c r="K2315" t="inlineStr">
        <is>
          <t>HCV/HCS - Fauna Survey</t>
        </is>
      </c>
      <c r="L2315" t="b">
        <v>1</v>
      </c>
      <c r="M2315" t="inlineStr">
        <is>
          <t>Billed at a Fixed price</t>
        </is>
      </c>
      <c r="N2315" s="6">
        <f>IF(B2315="","",IF(ISNUMBER(B2315),TEXT(B2315,"YYYY-MM"),LEFT(B2315,7)))</f>
        <v/>
      </c>
    </row>
    <row r="2316">
      <c r="A2316" t="inlineStr">
        <is>
          <t>Daleba Bernard Kpenahi Raymond</t>
        </is>
      </c>
      <c r="B2316" s="4" t="n">
        <v>46058</v>
      </c>
      <c r="C2316" t="inlineStr">
        <is>
          <t>/</t>
        </is>
      </c>
      <c r="D2316" t="inlineStr">
        <is>
          <t>Daleba Bernard Kpenahi Raymond</t>
        </is>
      </c>
      <c r="E2316" t="inlineStr">
        <is>
          <t>OdooBot</t>
        </is>
      </c>
      <c r="F2316" s="5" t="n">
        <v>46154.70721064815</v>
      </c>
      <c r="G2316" t="inlineStr">
        <is>
          <t>Field verification and reporting in Ivory Coast (3)</t>
        </is>
      </c>
      <c r="H2316" t="inlineStr">
        <is>
          <t>PCGH775 - ESDD of Valency Operations for FMO</t>
        </is>
      </c>
      <c r="I2316" t="n">
        <v>8</v>
      </c>
      <c r="J2316" t="inlineStr">
        <is>
          <t>PCGH775 - Field Verification (3) (Valency International DMCC)</t>
        </is>
      </c>
      <c r="K2316" t="inlineStr">
        <is>
          <t>Site audit/ assessment (Ivory Coast)</t>
        </is>
      </c>
      <c r="L2316" t="b">
        <v>1</v>
      </c>
      <c r="M2316" t="inlineStr">
        <is>
          <t>Billed at a Fixed price</t>
        </is>
      </c>
      <c r="N2316" s="6">
        <f>IF(B2316="","",IF(ISNUMBER(B2316),TEXT(B2316,"YYYY-MM"),LEFT(B2316,7)))</f>
        <v/>
      </c>
    </row>
    <row r="2317">
      <c r="A2317" t="inlineStr">
        <is>
          <t>Kingsley Fitz-Gerald Severine</t>
        </is>
      </c>
      <c r="B2317" s="4" t="n">
        <v>46058</v>
      </c>
      <c r="C2317" t="inlineStr">
        <is>
          <t>/</t>
        </is>
      </c>
      <c r="D2317" t="inlineStr">
        <is>
          <t>Kingsley Fitz-Gerald Severine</t>
        </is>
      </c>
      <c r="E2317" t="inlineStr">
        <is>
          <t>OdooBot</t>
        </is>
      </c>
      <c r="F2317" s="5" t="n">
        <v>46154.70721064815</v>
      </c>
      <c r="H2317" t="inlineStr">
        <is>
          <t>PCGH771</t>
        </is>
      </c>
      <c r="I2317" t="n">
        <v>8</v>
      </c>
      <c r="J2317" t="inlineStr">
        <is>
          <t>PCGH771 - Analysis and Reporting (3) (Okeosisi Jonathan)</t>
        </is>
      </c>
      <c r="K2317" t="inlineStr">
        <is>
          <t>Analysis and Reporting (Mapping)</t>
        </is>
      </c>
      <c r="L2317" t="b">
        <v>1</v>
      </c>
      <c r="M2317" t="inlineStr">
        <is>
          <t>Billed at a Fixed price</t>
        </is>
      </c>
      <c r="N2317" s="6">
        <f>IF(B2317="","",IF(ISNUMBER(B2317),TEXT(B2317,"YYYY-MM"),LEFT(B2317,7)))</f>
        <v/>
      </c>
    </row>
    <row r="2318">
      <c r="A2318" t="inlineStr">
        <is>
          <t>Joseph Isaiah Mensah</t>
        </is>
      </c>
      <c r="B2318" s="4" t="n">
        <v>46057</v>
      </c>
      <c r="C2318" t="inlineStr">
        <is>
          <t>/</t>
        </is>
      </c>
      <c r="D2318" t="inlineStr">
        <is>
          <t>Joseph Isaiah Mensah</t>
        </is>
      </c>
      <c r="E2318" t="inlineStr">
        <is>
          <t>Joseph Isaiah Mensah</t>
        </is>
      </c>
      <c r="F2318" s="5" t="n">
        <v>46162.62564814815</v>
      </c>
      <c r="H2318" t="inlineStr">
        <is>
          <t>PCGH775 - ESDD of Valency Operations for FMO</t>
        </is>
      </c>
      <c r="I2318" t="n">
        <v>8</v>
      </c>
      <c r="J2318" t="inlineStr">
        <is>
          <t>PCGH775 - Kick-Off Meeting (Valency International DMCC)</t>
        </is>
      </c>
      <c r="L2318" t="b">
        <v>1</v>
      </c>
      <c r="M2318" t="inlineStr">
        <is>
          <t>Billed at a Fixed price</t>
        </is>
      </c>
      <c r="N2318" s="6">
        <f>IF(B2318="","",IF(ISNUMBER(B2318),TEXT(B2318,"YYYY-MM"),LEFT(B2318,7)))</f>
        <v/>
      </c>
    </row>
    <row r="2319">
      <c r="A2319" t="inlineStr">
        <is>
          <t>Louis Defo</t>
        </is>
      </c>
      <c r="B2319" s="4" t="n">
        <v>46057</v>
      </c>
      <c r="C2319" t="inlineStr">
        <is>
          <t>/</t>
        </is>
      </c>
      <c r="D2319" t="inlineStr">
        <is>
          <t>Louis Defo</t>
        </is>
      </c>
      <c r="E2319" t="inlineStr">
        <is>
          <t>Louis Defo</t>
        </is>
      </c>
      <c r="F2319" s="5" t="n">
        <v>46161.34585648148</v>
      </c>
      <c r="H2319" t="inlineStr">
        <is>
          <t>P23AC00C00 - FGMC</t>
        </is>
      </c>
      <c r="I2319" t="n">
        <v>8</v>
      </c>
      <c r="L2319" t="b">
        <v>0</v>
      </c>
      <c r="M2319" t="inlineStr">
        <is>
          <t>Non-Billable</t>
        </is>
      </c>
      <c r="N2319" s="6">
        <f>IF(B2319="","",IF(ISNUMBER(B2319),TEXT(B2319,"YYYY-MM"),LEFT(B2319,7)))</f>
        <v/>
      </c>
    </row>
    <row r="2320">
      <c r="A2320" t="inlineStr">
        <is>
          <t>Frederick Antwi</t>
        </is>
      </c>
      <c r="B2320" s="4" t="n">
        <v>46057</v>
      </c>
      <c r="C2320" t="inlineStr">
        <is>
          <t>/</t>
        </is>
      </c>
      <c r="D2320" t="inlineStr">
        <is>
          <t>Frederick Antwi</t>
        </is>
      </c>
      <c r="E2320" t="inlineStr">
        <is>
          <t>Frederick Antwi</t>
        </is>
      </c>
      <c r="F2320" s="5" t="n">
        <v>46160.56538194444</v>
      </c>
      <c r="H2320" t="inlineStr">
        <is>
          <t>P13PC00A00 - Private Sector Companies</t>
        </is>
      </c>
      <c r="I2320" t="n">
        <v>5</v>
      </c>
      <c r="L2320" t="b">
        <v>0</v>
      </c>
      <c r="M2320" t="inlineStr">
        <is>
          <t>Non-Billable</t>
        </is>
      </c>
      <c r="N2320" s="6">
        <f>IF(B2320="","",IF(ISNUMBER(B2320),TEXT(B2320,"YYYY-MM"),LEFT(B2320,7)))</f>
        <v/>
      </c>
    </row>
    <row r="2321">
      <c r="A2321" t="inlineStr">
        <is>
          <t>Frederick Antwi</t>
        </is>
      </c>
      <c r="B2321" s="4" t="n">
        <v>46057</v>
      </c>
      <c r="C2321" t="inlineStr">
        <is>
          <t>/</t>
        </is>
      </c>
      <c r="D2321" t="inlineStr">
        <is>
          <t>Frederick Antwi</t>
        </is>
      </c>
      <c r="E2321" t="inlineStr">
        <is>
          <t>Frederick Antwi</t>
        </is>
      </c>
      <c r="F2321" s="5" t="n">
        <v>46160.56527777778</v>
      </c>
      <c r="H2321" t="inlineStr">
        <is>
          <t>P13NC00A00 - WALMART II</t>
        </is>
      </c>
      <c r="I2321" t="n">
        <v>3</v>
      </c>
      <c r="L2321" t="b">
        <v>0</v>
      </c>
      <c r="M2321" t="inlineStr">
        <is>
          <t>Non-Billable</t>
        </is>
      </c>
      <c r="N2321" s="6">
        <f>IF(B2321="","",IF(ISNUMBER(B2321),TEXT(B2321,"YYYY-MM"),LEFT(B2321,7)))</f>
        <v/>
      </c>
    </row>
    <row r="2322">
      <c r="A2322" t="inlineStr">
        <is>
          <t>James Parker Mckeown</t>
        </is>
      </c>
      <c r="B2322" s="4" t="n">
        <v>46057</v>
      </c>
      <c r="C2322" t="inlineStr">
        <is>
          <t>FGMC Quarterly reporting</t>
        </is>
      </c>
      <c r="D2322" t="inlineStr">
        <is>
          <t>James Parker Mckeown</t>
        </is>
      </c>
      <c r="E2322" t="inlineStr">
        <is>
          <t>James Parker Mckeown</t>
        </is>
      </c>
      <c r="F2322" s="5" t="n">
        <v>46159.03071759259</v>
      </c>
      <c r="G2322" t="inlineStr">
        <is>
          <t>Output 4</t>
        </is>
      </c>
      <c r="H2322" t="inlineStr">
        <is>
          <t>P23AC00C00 - FGMC</t>
        </is>
      </c>
      <c r="I2322" t="n">
        <v>2</v>
      </c>
      <c r="K2322" t="inlineStr">
        <is>
          <t>P23AC03A00 - Project Management</t>
        </is>
      </c>
      <c r="L2322" t="b">
        <v>0</v>
      </c>
      <c r="M2322" t="inlineStr">
        <is>
          <t>Non-Billable</t>
        </is>
      </c>
      <c r="N2322" s="6">
        <f>IF(B2322="","",IF(ISNUMBER(B2322),TEXT(B2322,"YYYY-MM"),LEFT(B2322,7)))</f>
        <v/>
      </c>
    </row>
    <row r="2323">
      <c r="A2323" t="inlineStr">
        <is>
          <t>James Parker Mckeown</t>
        </is>
      </c>
      <c r="B2323" s="4" t="n">
        <v>46057</v>
      </c>
      <c r="C2323" t="inlineStr">
        <is>
          <t>/</t>
        </is>
      </c>
      <c r="D2323" t="inlineStr">
        <is>
          <t>James Parker Mckeown</t>
        </is>
      </c>
      <c r="E2323" t="inlineStr">
        <is>
          <t>James Parker Mckeown</t>
        </is>
      </c>
      <c r="F2323" s="5" t="n">
        <v>46159.02979166667</v>
      </c>
      <c r="H2323" t="inlineStr">
        <is>
          <t>PCGH762 - GVL HCSA Restoration Project</t>
        </is>
      </c>
      <c r="I2323" t="n">
        <v>1</v>
      </c>
      <c r="J2323" t="inlineStr">
        <is>
          <t>PCGH762 - Baseline Socio-Economic &amp; Environmental Surveys (Golden Veroleum Liberia)</t>
        </is>
      </c>
      <c r="K2323" t="inlineStr">
        <is>
          <t>Baseline Socio-Economic &amp; Environmental Surveys</t>
        </is>
      </c>
      <c r="L2323" t="b">
        <v>1</v>
      </c>
      <c r="M2323" t="inlineStr">
        <is>
          <t>Billed at a Fixed price</t>
        </is>
      </c>
      <c r="N2323" s="6">
        <f>IF(B2323="","",IF(ISNUMBER(B2323),TEXT(B2323,"YYYY-MM"),LEFT(B2323,7)))</f>
        <v/>
      </c>
    </row>
    <row r="2324">
      <c r="A2324" t="inlineStr">
        <is>
          <t>James Parker Mckeown</t>
        </is>
      </c>
      <c r="B2324" s="4" t="n">
        <v>46057</v>
      </c>
      <c r="C2324" t="inlineStr">
        <is>
          <t>/</t>
        </is>
      </c>
      <c r="D2324" t="inlineStr">
        <is>
          <t>James Parker Mckeown</t>
        </is>
      </c>
      <c r="E2324" t="inlineStr">
        <is>
          <t>James Parker Mckeown</t>
        </is>
      </c>
      <c r="F2324" s="5" t="n">
        <v>46159.02924768518</v>
      </c>
      <c r="G2324" t="inlineStr">
        <is>
          <t>Output 2.3</t>
        </is>
      </c>
      <c r="H2324" t="inlineStr">
        <is>
          <t>P23AC00C00 - FGMC</t>
        </is>
      </c>
      <c r="I2324" t="n">
        <v>2</v>
      </c>
      <c r="K2324" t="inlineStr">
        <is>
          <t>P23AC22A00 - Output Two (Elevating Local Solutions - West Africa)</t>
        </is>
      </c>
      <c r="L2324" t="b">
        <v>0</v>
      </c>
      <c r="M2324" t="inlineStr">
        <is>
          <t>Non-Billable</t>
        </is>
      </c>
      <c r="N2324" s="6">
        <f>IF(B2324="","",IF(ISNUMBER(B2324),TEXT(B2324,"YYYY-MM"),LEFT(B2324,7)))</f>
        <v/>
      </c>
    </row>
    <row r="2325">
      <c r="A2325" t="inlineStr">
        <is>
          <t>James Parker Mckeown</t>
        </is>
      </c>
      <c r="B2325" s="4" t="n">
        <v>46057</v>
      </c>
      <c r="C2325" t="inlineStr">
        <is>
          <t>Review call for proposal from CFC</t>
        </is>
      </c>
      <c r="D2325" t="inlineStr">
        <is>
          <t>James Parker Mckeown</t>
        </is>
      </c>
      <c r="E2325" t="inlineStr">
        <is>
          <t>James Parker Mckeown</t>
        </is>
      </c>
      <c r="F2325" s="5" t="n">
        <v>46159.02837962963</v>
      </c>
      <c r="H2325" t="inlineStr">
        <is>
          <t>Non-Billable Tasks</t>
        </is>
      </c>
      <c r="I2325" t="n">
        <v>2</v>
      </c>
      <c r="K2325" t="inlineStr">
        <is>
          <t>Business Development and Networking</t>
        </is>
      </c>
      <c r="L2325" t="b">
        <v>0</v>
      </c>
      <c r="M2325" t="inlineStr">
        <is>
          <t>Non-Billable</t>
        </is>
      </c>
      <c r="N2325" s="6">
        <f>IF(B2325="","",IF(ISNUMBER(B2325),TEXT(B2325,"YYYY-MM"),LEFT(B2325,7)))</f>
        <v/>
      </c>
    </row>
    <row r="2326">
      <c r="A2326" t="inlineStr">
        <is>
          <t>James Parker Mckeown</t>
        </is>
      </c>
      <c r="B2326" s="4" t="n">
        <v>46057</v>
      </c>
      <c r="C2326" t="inlineStr">
        <is>
          <t>GVL Nitrian CF: discussion with Kwadwo on Training plan</t>
        </is>
      </c>
      <c r="D2326" t="inlineStr">
        <is>
          <t>James Parker Mckeown</t>
        </is>
      </c>
      <c r="E2326" t="inlineStr">
        <is>
          <t>James Parker Mckeown</t>
        </is>
      </c>
      <c r="F2326" s="5" t="n">
        <v>46159.02663194444</v>
      </c>
      <c r="H2326" t="inlineStr">
        <is>
          <t>PCGH762 - GVL HCSA Restoration Project</t>
        </is>
      </c>
      <c r="I2326" t="n">
        <v>1</v>
      </c>
      <c r="J2326" t="inlineStr">
        <is>
          <t>PCGH762 - Training and Capacity Building (Golden Veroleum Liberia)</t>
        </is>
      </c>
      <c r="K2326" t="inlineStr">
        <is>
          <t>Training and Capacity Building</t>
        </is>
      </c>
      <c r="L2326" t="b">
        <v>1</v>
      </c>
      <c r="M2326" t="inlineStr">
        <is>
          <t>Billed at a Fixed price</t>
        </is>
      </c>
      <c r="N2326" s="6">
        <f>IF(B2326="","",IF(ISNUMBER(B2326),TEXT(B2326,"YYYY-MM"),LEFT(B2326,7)))</f>
        <v/>
      </c>
    </row>
    <row r="2327">
      <c r="A2327" t="inlineStr">
        <is>
          <t>Ekow Nyamekye Tawiah</t>
        </is>
      </c>
      <c r="B2327" s="4" t="n">
        <v>46057</v>
      </c>
      <c r="C2327" t="inlineStr">
        <is>
          <t>/</t>
        </is>
      </c>
      <c r="D2327" t="inlineStr">
        <is>
          <t>Ekow Nyamekye Tawiah</t>
        </is>
      </c>
      <c r="E2327" t="inlineStr">
        <is>
          <t>OdooBot</t>
        </is>
      </c>
      <c r="F2327" s="5" t="n">
        <v>46154.70721064815</v>
      </c>
      <c r="H2327" t="inlineStr">
        <is>
          <t>PCGH722</t>
        </is>
      </c>
      <c r="I2327" t="n">
        <v>2</v>
      </c>
      <c r="J2327" t="inlineStr">
        <is>
          <t>PCGH722 - Analysis and Reporting (3) (Sucrivoire SA)</t>
        </is>
      </c>
      <c r="K2327" t="inlineStr">
        <is>
          <t>Analysis and Reporting (3)</t>
        </is>
      </c>
      <c r="L2327" t="b">
        <v>1</v>
      </c>
      <c r="M2327" t="inlineStr">
        <is>
          <t>Billed at a Fixed price</t>
        </is>
      </c>
      <c r="N2327" s="6">
        <f>IF(B2327="","",IF(ISNUMBER(B2327),TEXT(B2327,"YYYY-MM"),LEFT(B2327,7)))</f>
        <v/>
      </c>
    </row>
    <row r="2328">
      <c r="A2328" t="inlineStr">
        <is>
          <t>Ekow Nyamekye Tawiah</t>
        </is>
      </c>
      <c r="B2328" s="4" t="n">
        <v>46057</v>
      </c>
      <c r="C2328" t="inlineStr">
        <is>
          <t>Nestle Sugar Call</t>
        </is>
      </c>
      <c r="D2328" t="inlineStr">
        <is>
          <t>Ekow Nyamekye Tawiah</t>
        </is>
      </c>
      <c r="E2328" t="inlineStr">
        <is>
          <t>Michael Anim</t>
        </is>
      </c>
      <c r="F2328" s="5" t="n">
        <v>46163.53211805555</v>
      </c>
      <c r="H2328" t="inlineStr">
        <is>
          <t>PCGH778 - General Support</t>
        </is>
      </c>
      <c r="I2328" t="n">
        <v>2</v>
      </c>
      <c r="J2328" t="inlineStr">
        <is>
          <t>PCGH778 - Support to Other Workstreams (3) (Proforest Limited(PCUK GBP))</t>
        </is>
      </c>
      <c r="L2328" t="b">
        <v>1</v>
      </c>
      <c r="M2328" t="inlineStr">
        <is>
          <t>Billed at a Fixed price</t>
        </is>
      </c>
      <c r="N2328" s="6">
        <f>IF(B2328="","",IF(ISNUMBER(B2328),TEXT(B2328,"YYYY-MM"),LEFT(B2328,7)))</f>
        <v/>
      </c>
    </row>
    <row r="2329">
      <c r="A2329" t="inlineStr">
        <is>
          <t>Afua Serwah Akoto Prempeh</t>
        </is>
      </c>
      <c r="B2329" s="4" t="n">
        <v>46057</v>
      </c>
      <c r="C2329" t="inlineStr">
        <is>
          <t>/</t>
        </is>
      </c>
      <c r="D2329" t="inlineStr">
        <is>
          <t>Afua Serwah Akoto Prempeh</t>
        </is>
      </c>
      <c r="E2329" t="inlineStr">
        <is>
          <t>OdooBot</t>
        </is>
      </c>
      <c r="F2329" s="5" t="n">
        <v>46154.70721064815</v>
      </c>
      <c r="H2329" t="inlineStr">
        <is>
          <t>P23AC00C00 - FGMC</t>
        </is>
      </c>
      <c r="I2329" t="n">
        <v>3.5</v>
      </c>
      <c r="L2329" t="b">
        <v>0</v>
      </c>
      <c r="M2329" t="inlineStr">
        <is>
          <t>Non-Billable</t>
        </is>
      </c>
      <c r="N2329" s="6">
        <f>IF(B2329="","",IF(ISNUMBER(B2329),TEXT(B2329,"YYYY-MM"),LEFT(B2329,7)))</f>
        <v/>
      </c>
    </row>
    <row r="2330">
      <c r="A2330" t="inlineStr">
        <is>
          <t>Afua Serwah Akoto Prempeh</t>
        </is>
      </c>
      <c r="B2330" s="4" t="n">
        <v>46057</v>
      </c>
      <c r="C2330" t="inlineStr">
        <is>
          <t>/</t>
        </is>
      </c>
      <c r="D2330" t="inlineStr">
        <is>
          <t>Afua Serwah Akoto Prempeh</t>
        </is>
      </c>
      <c r="E2330" t="inlineStr">
        <is>
          <t>OdooBot</t>
        </is>
      </c>
      <c r="F2330" s="5" t="n">
        <v>46154.70721064815</v>
      </c>
      <c r="H2330" t="inlineStr">
        <is>
          <t>Non-Billable Tasks</t>
        </is>
      </c>
      <c r="I2330" t="n">
        <v>4.5</v>
      </c>
      <c r="K2330" t="inlineStr">
        <is>
          <t>Communication/Data/Training</t>
        </is>
      </c>
      <c r="L2330" t="b">
        <v>0</v>
      </c>
      <c r="M2330" t="inlineStr">
        <is>
          <t>Non-Billable</t>
        </is>
      </c>
      <c r="N2330" s="6">
        <f>IF(B2330="","",IF(ISNUMBER(B2330),TEXT(B2330,"YYYY-MM"),LEFT(B2330,7)))</f>
        <v/>
      </c>
    </row>
    <row r="2331">
      <c r="A2331" t="inlineStr">
        <is>
          <t>Helena Tetteh</t>
        </is>
      </c>
      <c r="B2331" s="4" t="n">
        <v>46057</v>
      </c>
      <c r="C2331" t="inlineStr">
        <is>
          <t>/</t>
        </is>
      </c>
      <c r="D2331" t="inlineStr">
        <is>
          <t xml:space="preserve">Helena Tetteh </t>
        </is>
      </c>
      <c r="E2331" t="inlineStr">
        <is>
          <t>OdooBot</t>
        </is>
      </c>
      <c r="F2331" s="5" t="n">
        <v>46154.70721064815</v>
      </c>
      <c r="H2331" t="inlineStr">
        <is>
          <t>P23AC00C00 - FGMC</t>
        </is>
      </c>
      <c r="I2331" t="n">
        <v>8</v>
      </c>
      <c r="K2331" t="inlineStr">
        <is>
          <t>Output 2.3</t>
        </is>
      </c>
      <c r="L2331" t="b">
        <v>0</v>
      </c>
      <c r="M2331" t="inlineStr">
        <is>
          <t>Non-Billable</t>
        </is>
      </c>
      <c r="N2331" s="6">
        <f>IF(B2331="","",IF(ISNUMBER(B2331),TEXT(B2331,"YYYY-MM"),LEFT(B2331,7)))</f>
        <v/>
      </c>
    </row>
    <row r="2332">
      <c r="A2332" t="inlineStr">
        <is>
          <t>Clement Obeng-Manu</t>
        </is>
      </c>
      <c r="B2332" s="4" t="n">
        <v>46057</v>
      </c>
      <c r="C2332" t="inlineStr">
        <is>
          <t>/</t>
        </is>
      </c>
      <c r="D2332" t="inlineStr">
        <is>
          <t>Clement Obeng-Manu</t>
        </is>
      </c>
      <c r="E2332" t="inlineStr">
        <is>
          <t>OdooBot</t>
        </is>
      </c>
      <c r="F2332" s="5" t="n">
        <v>46154.70721064815</v>
      </c>
      <c r="H2332" t="inlineStr">
        <is>
          <t>PCGH722</t>
        </is>
      </c>
      <c r="I2332" t="n">
        <v>8</v>
      </c>
      <c r="J2332" t="inlineStr">
        <is>
          <t>PCGH722 - Analysis and Reporting (3) (Sucrivoire SA)</t>
        </is>
      </c>
      <c r="K2332" t="inlineStr">
        <is>
          <t>Analysis and Reporting (3)</t>
        </is>
      </c>
      <c r="L2332" t="b">
        <v>1</v>
      </c>
      <c r="M2332" t="inlineStr">
        <is>
          <t>Billed at a Fixed price</t>
        </is>
      </c>
      <c r="N2332" s="6">
        <f>IF(B2332="","",IF(ISNUMBER(B2332),TEXT(B2332,"YYYY-MM"),LEFT(B2332,7)))</f>
        <v/>
      </c>
    </row>
    <row r="2333">
      <c r="A2333" t="inlineStr">
        <is>
          <t>Stephen Doso</t>
        </is>
      </c>
      <c r="B2333" s="4" t="n">
        <v>46057</v>
      </c>
      <c r="C2333" t="inlineStr">
        <is>
          <t>/</t>
        </is>
      </c>
      <c r="D2333" t="inlineStr">
        <is>
          <t>Stephen Doso</t>
        </is>
      </c>
      <c r="E2333" t="inlineStr">
        <is>
          <t>OdooBot</t>
        </is>
      </c>
      <c r="F2333" s="5" t="n">
        <v>46154.70721064815</v>
      </c>
      <c r="G2333" t="inlineStr">
        <is>
          <t>Field verification and reporting in Ivory Coast (3)</t>
        </is>
      </c>
      <c r="H2333" t="inlineStr">
        <is>
          <t>PCGH775 - ESDD of Valency Operations for FMO</t>
        </is>
      </c>
      <c r="I2333" t="n">
        <v>8</v>
      </c>
      <c r="J2333" t="inlineStr">
        <is>
          <t>PCGH775 - Field Verification (3) (Valency International DMCC)</t>
        </is>
      </c>
      <c r="K2333" t="inlineStr">
        <is>
          <t>Site audit/ assessment (Ivory Coast)</t>
        </is>
      </c>
      <c r="L2333" t="b">
        <v>1</v>
      </c>
      <c r="M2333" t="inlineStr">
        <is>
          <t>Billed at a Fixed price</t>
        </is>
      </c>
      <c r="N2333" s="6">
        <f>IF(B2333="","",IF(ISNUMBER(B2333),TEXT(B2333,"YYYY-MM"),LEFT(B2333,7)))</f>
        <v/>
      </c>
    </row>
    <row r="2334">
      <c r="A2334" t="inlineStr">
        <is>
          <t>Kwadwo Baniako Nti</t>
        </is>
      </c>
      <c r="B2334" s="4" t="n">
        <v>46057</v>
      </c>
      <c r="C2334" t="inlineStr">
        <is>
          <t>/</t>
        </is>
      </c>
      <c r="D2334" t="inlineStr">
        <is>
          <t>Kwadwo Baniako Nti</t>
        </is>
      </c>
      <c r="E2334" t="inlineStr">
        <is>
          <t>OdooBot</t>
        </is>
      </c>
      <c r="F2334" s="5" t="n">
        <v>46154.70721064815</v>
      </c>
      <c r="G2334" t="inlineStr">
        <is>
          <t>Desk Study</t>
        </is>
      </c>
      <c r="H2334" t="inlineStr">
        <is>
          <t>PCGH762 - GVL HCSA Restoration Project</t>
        </is>
      </c>
      <c r="I2334" t="n">
        <v>8</v>
      </c>
      <c r="J2334" t="inlineStr">
        <is>
          <t>PCGH762 - Desk Review, Stakeholder Mapping &amp; Analysis and Engagement (Golden Veroleum Liberia)</t>
        </is>
      </c>
      <c r="K2334" t="inlineStr">
        <is>
          <t>Desk Review, Stakeholder Mapping &amp; Analysis and Engagement</t>
        </is>
      </c>
      <c r="L2334" t="b">
        <v>1</v>
      </c>
      <c r="M2334" t="inlineStr">
        <is>
          <t>Billed at a Fixed price</t>
        </is>
      </c>
      <c r="N2334" s="6">
        <f>IF(B2334="","",IF(ISNUMBER(B2334),TEXT(B2334,"YYYY-MM"),LEFT(B2334,7)))</f>
        <v/>
      </c>
    </row>
    <row r="2335">
      <c r="A2335" t="inlineStr">
        <is>
          <t>Augustus Asamoah</t>
        </is>
      </c>
      <c r="B2335" s="4" t="n">
        <v>46057</v>
      </c>
      <c r="C2335" t="inlineStr">
        <is>
          <t>/</t>
        </is>
      </c>
      <c r="D2335" t="inlineStr">
        <is>
          <t>Augustus Asamoah</t>
        </is>
      </c>
      <c r="E2335" t="inlineStr">
        <is>
          <t>OdooBot</t>
        </is>
      </c>
      <c r="F2335" s="5" t="n">
        <v>46154.70721064815</v>
      </c>
      <c r="H2335" t="inlineStr">
        <is>
          <t>PCGH769</t>
        </is>
      </c>
      <c r="I2335" t="n">
        <v>8</v>
      </c>
      <c r="J2335" t="inlineStr">
        <is>
          <t>PCGH769 - Fauna Survey (Biase Plantations Ltd.)</t>
        </is>
      </c>
      <c r="K2335" t="inlineStr">
        <is>
          <t>HCV/HCS - Fauna Survey</t>
        </is>
      </c>
      <c r="L2335" t="b">
        <v>1</v>
      </c>
      <c r="M2335" t="inlineStr">
        <is>
          <t>Billed at a Fixed price</t>
        </is>
      </c>
      <c r="N2335" s="6">
        <f>IF(B2335="","",IF(ISNUMBER(B2335),TEXT(B2335,"YYYY-MM"),LEFT(B2335,7)))</f>
        <v/>
      </c>
    </row>
    <row r="2336">
      <c r="A2336" t="inlineStr">
        <is>
          <t>Daleba Bernard Kpenahi Raymond</t>
        </is>
      </c>
      <c r="B2336" s="4" t="n">
        <v>46057</v>
      </c>
      <c r="C2336" t="inlineStr">
        <is>
          <t>/</t>
        </is>
      </c>
      <c r="D2336" t="inlineStr">
        <is>
          <t>Daleba Bernard Kpenahi Raymond</t>
        </is>
      </c>
      <c r="E2336" t="inlineStr">
        <is>
          <t>OdooBot</t>
        </is>
      </c>
      <c r="F2336" s="5" t="n">
        <v>46154.70721064815</v>
      </c>
      <c r="G2336" t="inlineStr">
        <is>
          <t>Field verification and reporting in Ivory Coast (3)</t>
        </is>
      </c>
      <c r="H2336" t="inlineStr">
        <is>
          <t>PCGH775 - ESDD of Valency Operations for FMO</t>
        </is>
      </c>
      <c r="I2336" t="n">
        <v>8</v>
      </c>
      <c r="J2336" t="inlineStr">
        <is>
          <t>PCGH775 - Field Verification (3) (Valency International DMCC)</t>
        </is>
      </c>
      <c r="K2336" t="inlineStr">
        <is>
          <t>Site audit/ assessment (Ivory Coast)</t>
        </is>
      </c>
      <c r="L2336" t="b">
        <v>1</v>
      </c>
      <c r="M2336" t="inlineStr">
        <is>
          <t>Billed at a Fixed price</t>
        </is>
      </c>
      <c r="N2336" s="6">
        <f>IF(B2336="","",IF(ISNUMBER(B2336),TEXT(B2336,"YYYY-MM"),LEFT(B2336,7)))</f>
        <v/>
      </c>
    </row>
    <row r="2337">
      <c r="A2337" t="inlineStr">
        <is>
          <t>Kingsley Fitz-Gerald Severine</t>
        </is>
      </c>
      <c r="B2337" s="4" t="n">
        <v>46057</v>
      </c>
      <c r="C2337" t="inlineStr">
        <is>
          <t>/</t>
        </is>
      </c>
      <c r="D2337" t="inlineStr">
        <is>
          <t>Kingsley Fitz-Gerald Severine</t>
        </is>
      </c>
      <c r="E2337" t="inlineStr">
        <is>
          <t>OdooBot</t>
        </is>
      </c>
      <c r="F2337" s="5" t="n">
        <v>46154.70721064815</v>
      </c>
      <c r="H2337" t="inlineStr">
        <is>
          <t>PCGH771</t>
        </is>
      </c>
      <c r="I2337" t="n">
        <v>7</v>
      </c>
      <c r="J2337" t="inlineStr">
        <is>
          <t>PCGH771 - Analysis and Reporting (3) (Okeosisi Jonathan)</t>
        </is>
      </c>
      <c r="K2337" t="inlineStr">
        <is>
          <t>Analysis and Reporting (Mapping)</t>
        </is>
      </c>
      <c r="L2337" t="b">
        <v>1</v>
      </c>
      <c r="M2337" t="inlineStr">
        <is>
          <t>Billed at a Fixed price</t>
        </is>
      </c>
      <c r="N2337" s="6">
        <f>IF(B2337="","",IF(ISNUMBER(B2337),TEXT(B2337,"YYYY-MM"),LEFT(B2337,7)))</f>
        <v/>
      </c>
    </row>
    <row r="2338">
      <c r="A2338" t="inlineStr">
        <is>
          <t>Kingsley Fitz-Gerald Severine</t>
        </is>
      </c>
      <c r="B2338" s="4" t="n">
        <v>46057</v>
      </c>
      <c r="C2338" t="inlineStr">
        <is>
          <t>Review of consultancy action plan</t>
        </is>
      </c>
      <c r="D2338" t="inlineStr">
        <is>
          <t>Kingsley Fitz-Gerald Severine</t>
        </is>
      </c>
      <c r="E2338" t="inlineStr">
        <is>
          <t>OdooBot</t>
        </is>
      </c>
      <c r="F2338" s="5" t="n">
        <v>46154.70721064815</v>
      </c>
      <c r="H2338" t="inlineStr">
        <is>
          <t>Non-Billable Tasks</t>
        </is>
      </c>
      <c r="I2338" t="n">
        <v>1</v>
      </c>
      <c r="K2338" t="inlineStr">
        <is>
          <t>Internal Focal points and workstreams</t>
        </is>
      </c>
      <c r="L2338" t="b">
        <v>0</v>
      </c>
      <c r="M2338" t="inlineStr">
        <is>
          <t>Non-Billable</t>
        </is>
      </c>
      <c r="N2338" s="6">
        <f>IF(B2338="","",IF(ISNUMBER(B2338),TEXT(B2338,"YYYY-MM"),LEFT(B2338,7)))</f>
        <v/>
      </c>
    </row>
    <row r="2339">
      <c r="A2339" t="inlineStr">
        <is>
          <t>Joseph Isaiah Mensah</t>
        </is>
      </c>
      <c r="B2339" s="4" t="n">
        <v>46056</v>
      </c>
      <c r="C2339" t="inlineStr">
        <is>
          <t>/</t>
        </is>
      </c>
      <c r="D2339" t="inlineStr">
        <is>
          <t>Joseph Isaiah Mensah</t>
        </is>
      </c>
      <c r="E2339" t="inlineStr">
        <is>
          <t>Joseph Isaiah Mensah</t>
        </is>
      </c>
      <c r="F2339" s="5" t="n">
        <v>46162.62258101852</v>
      </c>
      <c r="G2339" t="inlineStr">
        <is>
          <t>Output 2.3</t>
        </is>
      </c>
      <c r="H2339" t="inlineStr">
        <is>
          <t>P23AC00C00 - FGMC</t>
        </is>
      </c>
      <c r="I2339" t="n">
        <v>4</v>
      </c>
      <c r="K2339" t="inlineStr">
        <is>
          <t>P23AC22A00 - Output Two (Elevating Local Solutions - West Africa)</t>
        </is>
      </c>
      <c r="L2339" t="b">
        <v>0</v>
      </c>
      <c r="M2339" t="inlineStr">
        <is>
          <t>Non-Billable</t>
        </is>
      </c>
      <c r="N2339" s="6">
        <f>IF(B2339="","",IF(ISNUMBER(B2339),TEXT(B2339,"YYYY-MM"),LEFT(B2339,7)))</f>
        <v/>
      </c>
    </row>
    <row r="2340">
      <c r="A2340" t="inlineStr">
        <is>
          <t>Joseph Isaiah Mensah</t>
        </is>
      </c>
      <c r="B2340" s="4" t="n">
        <v>46056</v>
      </c>
      <c r="C2340" t="inlineStr">
        <is>
          <t>/</t>
        </is>
      </c>
      <c r="D2340" t="inlineStr">
        <is>
          <t>Joseph Isaiah Mensah</t>
        </is>
      </c>
      <c r="E2340" t="inlineStr">
        <is>
          <t>Joseph Isaiah Mensah</t>
        </is>
      </c>
      <c r="F2340" s="5" t="n">
        <v>46162.61702546296</v>
      </c>
      <c r="H2340" t="inlineStr">
        <is>
          <t>Non-Billable Tasks</t>
        </is>
      </c>
      <c r="I2340" t="n">
        <v>1</v>
      </c>
      <c r="K2340" t="inlineStr">
        <is>
          <t>Professional development and Knowledge sharing(training,global knowledge calls,exchange weeks)</t>
        </is>
      </c>
      <c r="L2340" t="b">
        <v>0</v>
      </c>
      <c r="M2340" t="inlineStr">
        <is>
          <t>Non-Billable</t>
        </is>
      </c>
      <c r="N2340" s="6">
        <f>IF(B2340="","",IF(ISNUMBER(B2340),TEXT(B2340,"YYYY-MM"),LEFT(B2340,7)))</f>
        <v/>
      </c>
    </row>
    <row r="2341">
      <c r="A2341" t="inlineStr">
        <is>
          <t>Joseph Isaiah Mensah</t>
        </is>
      </c>
      <c r="B2341" s="4" t="n">
        <v>46056</v>
      </c>
      <c r="C2341" t="inlineStr">
        <is>
          <t>/</t>
        </is>
      </c>
      <c r="D2341" t="inlineStr">
        <is>
          <t>Joseph Isaiah Mensah</t>
        </is>
      </c>
      <c r="E2341" t="inlineStr">
        <is>
          <t>Joseph Isaiah Mensah</t>
        </is>
      </c>
      <c r="F2341" s="5" t="n">
        <v>46162.62239583334</v>
      </c>
      <c r="H2341" t="inlineStr">
        <is>
          <t>P13QC00A00 - EFI Programme</t>
        </is>
      </c>
      <c r="I2341" t="n">
        <v>3</v>
      </c>
      <c r="K2341" t="inlineStr">
        <is>
          <t>Inception Report</t>
        </is>
      </c>
      <c r="L2341" t="b">
        <v>0</v>
      </c>
      <c r="M2341" t="inlineStr">
        <is>
          <t>Non-Billable</t>
        </is>
      </c>
      <c r="N2341" s="6">
        <f>IF(B2341="","",IF(ISNUMBER(B2341),TEXT(B2341,"YYYY-MM"),LEFT(B2341,7)))</f>
        <v/>
      </c>
    </row>
    <row r="2342">
      <c r="A2342" t="inlineStr">
        <is>
          <t>Louis Defo</t>
        </is>
      </c>
      <c r="B2342" s="4" t="n">
        <v>46056</v>
      </c>
      <c r="C2342" t="inlineStr">
        <is>
          <t>/</t>
        </is>
      </c>
      <c r="D2342" t="inlineStr">
        <is>
          <t>Louis Defo</t>
        </is>
      </c>
      <c r="E2342" t="inlineStr">
        <is>
          <t>Louis Defo</t>
        </is>
      </c>
      <c r="F2342" s="5" t="n">
        <v>46161.34553240741</v>
      </c>
      <c r="H2342" t="inlineStr">
        <is>
          <t>P23AC00C00 - FGMC</t>
        </is>
      </c>
      <c r="I2342" t="n">
        <v>8</v>
      </c>
      <c r="L2342" t="b">
        <v>0</v>
      </c>
      <c r="M2342" t="inlineStr">
        <is>
          <t>Non-Billable</t>
        </is>
      </c>
      <c r="N2342" s="6">
        <f>IF(B2342="","",IF(ISNUMBER(B2342),TEXT(B2342,"YYYY-MM"),LEFT(B2342,7)))</f>
        <v/>
      </c>
    </row>
    <row r="2343">
      <c r="A2343" t="inlineStr">
        <is>
          <t>Frederick Antwi</t>
        </is>
      </c>
      <c r="B2343" s="4" t="n">
        <v>46056</v>
      </c>
      <c r="C2343" t="inlineStr">
        <is>
          <t>Community entry into forest fringe communities</t>
        </is>
      </c>
      <c r="D2343" t="inlineStr">
        <is>
          <t>Frederick Antwi</t>
        </is>
      </c>
      <c r="E2343" t="inlineStr">
        <is>
          <t>Frederick Antwi</t>
        </is>
      </c>
      <c r="F2343" s="5" t="n">
        <v>46160.56444444445</v>
      </c>
      <c r="H2343" t="inlineStr">
        <is>
          <t>P13PC00A00 - Private Sector Companies</t>
        </is>
      </c>
      <c r="I2343" t="n">
        <v>8</v>
      </c>
      <c r="L2343" t="b">
        <v>0</v>
      </c>
      <c r="M2343" t="inlineStr">
        <is>
          <t>Non-Billable</t>
        </is>
      </c>
      <c r="N2343" s="6">
        <f>IF(B2343="","",IF(ISNUMBER(B2343),TEXT(B2343,"YYYY-MM"),LEFT(B2343,7)))</f>
        <v/>
      </c>
    </row>
    <row r="2344">
      <c r="A2344" t="inlineStr">
        <is>
          <t>Frederick Antwi</t>
        </is>
      </c>
      <c r="B2344" s="4" t="n">
        <v>46056</v>
      </c>
      <c r="C2344" t="inlineStr">
        <is>
          <t>/</t>
        </is>
      </c>
      <c r="D2344" t="inlineStr">
        <is>
          <t>Frederick Antwi</t>
        </is>
      </c>
      <c r="E2344" t="inlineStr">
        <is>
          <t>Frederick Antwi</t>
        </is>
      </c>
      <c r="F2344" s="5" t="n">
        <v>46160.56459490741</v>
      </c>
      <c r="H2344" t="inlineStr">
        <is>
          <t>P13NC00A00 - WALMART II</t>
        </is>
      </c>
      <c r="I2344" t="n">
        <v>0</v>
      </c>
      <c r="L2344" t="b">
        <v>0</v>
      </c>
      <c r="M2344" t="inlineStr">
        <is>
          <t>Non-Billable</t>
        </is>
      </c>
      <c r="N2344" s="6">
        <f>IF(B2344="","",IF(ISNUMBER(B2344),TEXT(B2344,"YYYY-MM"),LEFT(B2344,7)))</f>
        <v/>
      </c>
    </row>
    <row r="2345">
      <c r="A2345" t="inlineStr">
        <is>
          <t>James Parker Mckeown</t>
        </is>
      </c>
      <c r="B2345" s="4" t="n">
        <v>46056</v>
      </c>
      <c r="C2345" t="inlineStr">
        <is>
          <t>GVL Nitrain Project: Developing framework for Nitrian Community Forest</t>
        </is>
      </c>
      <c r="D2345" t="inlineStr">
        <is>
          <t>James Parker Mckeown</t>
        </is>
      </c>
      <c r="E2345" t="inlineStr">
        <is>
          <t>James Parker Mckeown</t>
        </is>
      </c>
      <c r="F2345" s="5" t="n">
        <v>46159.02599537037</v>
      </c>
      <c r="H2345" t="inlineStr">
        <is>
          <t>PCGH762 - GVL HCSA Restoration Project</t>
        </is>
      </c>
      <c r="I2345" t="n">
        <v>3</v>
      </c>
      <c r="J2345" t="inlineStr">
        <is>
          <t>PCGH762 - Development or Updating of the Management Plan (Golden Veroleum Liberia)</t>
        </is>
      </c>
      <c r="K2345" t="inlineStr">
        <is>
          <t>Development or Updating of the Management Plan</t>
        </is>
      </c>
      <c r="L2345" t="b">
        <v>1</v>
      </c>
      <c r="M2345" t="inlineStr">
        <is>
          <t>Billed at a Fixed price</t>
        </is>
      </c>
      <c r="N2345" s="6">
        <f>IF(B2345="","",IF(ISNUMBER(B2345),TEXT(B2345,"YYYY-MM"),LEFT(B2345,7)))</f>
        <v/>
      </c>
    </row>
    <row r="2346">
      <c r="A2346" t="inlineStr">
        <is>
          <t>James Parker Mckeown</t>
        </is>
      </c>
      <c r="B2346" s="4" t="n">
        <v>46056</v>
      </c>
      <c r="C2346" t="inlineStr">
        <is>
          <t>/</t>
        </is>
      </c>
      <c r="D2346" t="inlineStr">
        <is>
          <t>James Parker Mckeown</t>
        </is>
      </c>
      <c r="E2346" t="inlineStr">
        <is>
          <t>James Parker Mckeown</t>
        </is>
      </c>
      <c r="F2346" s="5" t="n">
        <v>46159.02483796296</v>
      </c>
      <c r="G2346" t="inlineStr">
        <is>
          <t>Output 2.3</t>
        </is>
      </c>
      <c r="H2346" t="inlineStr">
        <is>
          <t>P23AC00C00 - FGMC</t>
        </is>
      </c>
      <c r="I2346" t="n">
        <v>3</v>
      </c>
      <c r="K2346" t="inlineStr">
        <is>
          <t>P23AC22A00 - Output Two (Elevating Local Solutions - West Africa)</t>
        </is>
      </c>
      <c r="L2346" t="b">
        <v>0</v>
      </c>
      <c r="M2346" t="inlineStr">
        <is>
          <t>Non-Billable</t>
        </is>
      </c>
      <c r="N2346" s="6">
        <f>IF(B2346="","",IF(ISNUMBER(B2346),TEXT(B2346,"YYYY-MM"),LEFT(B2346,7)))</f>
        <v/>
      </c>
    </row>
    <row r="2347">
      <c r="A2347" t="inlineStr">
        <is>
          <t>James Parker Mckeown</t>
        </is>
      </c>
      <c r="B2347" s="4" t="n">
        <v>46056</v>
      </c>
      <c r="C2347" t="inlineStr">
        <is>
          <t>BIP Action plan review</t>
        </is>
      </c>
      <c r="D2347" t="inlineStr">
        <is>
          <t>James Parker Mckeown</t>
        </is>
      </c>
      <c r="E2347" t="inlineStr">
        <is>
          <t>James Parker Mckeown</t>
        </is>
      </c>
      <c r="F2347" s="5" t="n">
        <v>46159.02429398148</v>
      </c>
      <c r="H2347" t="inlineStr">
        <is>
          <t>Non-Billable Tasks</t>
        </is>
      </c>
      <c r="I2347" t="n">
        <v>1</v>
      </c>
      <c r="K2347" t="inlineStr">
        <is>
          <t>BIP MSI Mapping Exercise</t>
        </is>
      </c>
      <c r="L2347" t="b">
        <v>0</v>
      </c>
      <c r="M2347" t="inlineStr">
        <is>
          <t>Non-Billable</t>
        </is>
      </c>
      <c r="N2347" s="6">
        <f>IF(B2347="","",IF(ISNUMBER(B2347),TEXT(B2347,"YYYY-MM"),LEFT(B2347,7)))</f>
        <v/>
      </c>
    </row>
    <row r="2348">
      <c r="A2348" t="inlineStr">
        <is>
          <t>James Parker Mckeown</t>
        </is>
      </c>
      <c r="B2348" s="4" t="n">
        <v>46056</v>
      </c>
      <c r="C2348" t="inlineStr">
        <is>
          <t>Discussion on socio-economic data instrument for Nitrian CF</t>
        </is>
      </c>
      <c r="D2348" t="inlineStr">
        <is>
          <t>James Parker Mckeown</t>
        </is>
      </c>
      <c r="E2348" t="inlineStr">
        <is>
          <t>James Parker Mckeown</t>
        </is>
      </c>
      <c r="F2348" s="5" t="n">
        <v>46159.02376157408</v>
      </c>
      <c r="H2348" t="inlineStr">
        <is>
          <t>PCGH762 - GVL HCSA Restoration Project</t>
        </is>
      </c>
      <c r="I2348" t="n">
        <v>1</v>
      </c>
      <c r="J2348" t="inlineStr">
        <is>
          <t>PCGH762 - Baseline Socio-Economic &amp; Environmental Surveys (Golden Veroleum Liberia)</t>
        </is>
      </c>
      <c r="K2348" t="inlineStr">
        <is>
          <t>Baseline Socio-Economic &amp; Environmental Surveys</t>
        </is>
      </c>
      <c r="L2348" t="b">
        <v>1</v>
      </c>
      <c r="M2348" t="inlineStr">
        <is>
          <t>Billed at a Fixed price</t>
        </is>
      </c>
      <c r="N2348" s="6">
        <f>IF(B2348="","",IF(ISNUMBER(B2348),TEXT(B2348,"YYYY-MM"),LEFT(B2348,7)))</f>
        <v/>
      </c>
    </row>
    <row r="2349">
      <c r="A2349" t="inlineStr">
        <is>
          <t>James Parker Mckeown</t>
        </is>
      </c>
      <c r="B2349" s="4" t="n">
        <v>46056</v>
      </c>
      <c r="C2349" t="inlineStr">
        <is>
          <t>CV review for FCDO-FGMC consultancy work</t>
        </is>
      </c>
      <c r="D2349" t="inlineStr">
        <is>
          <t>James Parker Mckeown</t>
        </is>
      </c>
      <c r="E2349" t="inlineStr">
        <is>
          <t>James Parker Mckeown</t>
        </is>
      </c>
      <c r="F2349" s="5" t="n">
        <v>46159.02251157408</v>
      </c>
      <c r="H2349" t="inlineStr">
        <is>
          <t>Non-Billable Tasks</t>
        </is>
      </c>
      <c r="I2349" t="n">
        <v>1</v>
      </c>
      <c r="K2349" t="inlineStr">
        <is>
          <t>Business Development and Networking</t>
        </is>
      </c>
      <c r="L2349" t="b">
        <v>0</v>
      </c>
      <c r="M2349" t="inlineStr">
        <is>
          <t>Non-Billable</t>
        </is>
      </c>
      <c r="N2349" s="6">
        <f>IF(B2349="","",IF(ISNUMBER(B2349),TEXT(B2349,"YYYY-MM"),LEFT(B2349,7)))</f>
        <v/>
      </c>
    </row>
    <row r="2350">
      <c r="A2350" t="inlineStr">
        <is>
          <t>James Parker Mckeown</t>
        </is>
      </c>
      <c r="B2350" s="4" t="n">
        <v>46056</v>
      </c>
      <c r="C2350" t="inlineStr">
        <is>
          <t>/</t>
        </is>
      </c>
      <c r="D2350" t="inlineStr">
        <is>
          <t>James Parker Mckeown</t>
        </is>
      </c>
      <c r="E2350" t="inlineStr">
        <is>
          <t>James Parker Mckeown</t>
        </is>
      </c>
      <c r="F2350" s="5" t="n">
        <v>46159.02180555555</v>
      </c>
      <c r="H2350" t="inlineStr">
        <is>
          <t>Non-Billable Tasks</t>
        </is>
      </c>
      <c r="I2350" t="n">
        <v>1</v>
      </c>
      <c r="K2350" t="inlineStr">
        <is>
          <t>Communication/Data/Training</t>
        </is>
      </c>
      <c r="L2350" t="b">
        <v>0</v>
      </c>
      <c r="M2350" t="inlineStr">
        <is>
          <t>Non-Billable</t>
        </is>
      </c>
      <c r="N2350" s="6">
        <f>IF(B2350="","",IF(ISNUMBER(B2350),TEXT(B2350,"YYYY-MM"),LEFT(B2350,7)))</f>
        <v/>
      </c>
    </row>
    <row r="2351">
      <c r="A2351" t="inlineStr">
        <is>
          <t>Ekow Nyamekye Tawiah</t>
        </is>
      </c>
      <c r="B2351" s="4" t="n">
        <v>46056</v>
      </c>
      <c r="C2351" t="inlineStr">
        <is>
          <t>/</t>
        </is>
      </c>
      <c r="D2351" t="inlineStr">
        <is>
          <t>Ekow Nyamekye Tawiah</t>
        </is>
      </c>
      <c r="E2351" t="inlineStr">
        <is>
          <t>OdooBot</t>
        </is>
      </c>
      <c r="F2351" s="5" t="n">
        <v>46154.70721064815</v>
      </c>
      <c r="H2351" t="inlineStr">
        <is>
          <t>PCGH722</t>
        </is>
      </c>
      <c r="I2351" t="n">
        <v>3</v>
      </c>
      <c r="J2351" t="inlineStr">
        <is>
          <t>PCGH722 - Analysis and Reporting (3) (Sucrivoire SA)</t>
        </is>
      </c>
      <c r="K2351" t="inlineStr">
        <is>
          <t>Analysis and Reporting (3)</t>
        </is>
      </c>
      <c r="L2351" t="b">
        <v>1</v>
      </c>
      <c r="M2351" t="inlineStr">
        <is>
          <t>Billed at a Fixed price</t>
        </is>
      </c>
      <c r="N2351" s="6">
        <f>IF(B2351="","",IF(ISNUMBER(B2351),TEXT(B2351,"YYYY-MM"),LEFT(B2351,7)))</f>
        <v/>
      </c>
    </row>
    <row r="2352">
      <c r="A2352" t="inlineStr">
        <is>
          <t>Ekow Nyamekye Tawiah</t>
        </is>
      </c>
      <c r="B2352" s="4" t="n">
        <v>46056</v>
      </c>
      <c r="C2352" t="inlineStr">
        <is>
          <t>/</t>
        </is>
      </c>
      <c r="D2352" t="inlineStr">
        <is>
          <t>Ekow Nyamekye Tawiah</t>
        </is>
      </c>
      <c r="E2352" t="inlineStr">
        <is>
          <t>OdooBot</t>
        </is>
      </c>
      <c r="F2352" s="5" t="n">
        <v>46154.70721064815</v>
      </c>
      <c r="H2352" t="inlineStr">
        <is>
          <t>Non-Billable Tasks</t>
        </is>
      </c>
      <c r="I2352" t="n">
        <v>1</v>
      </c>
      <c r="K2352" t="inlineStr">
        <is>
          <t>Administrative Tasks</t>
        </is>
      </c>
      <c r="L2352" t="b">
        <v>0</v>
      </c>
      <c r="M2352" t="inlineStr">
        <is>
          <t>Non-Billable</t>
        </is>
      </c>
      <c r="N2352" s="6">
        <f>IF(B2352="","",IF(ISNUMBER(B2352),TEXT(B2352,"YYYY-MM"),LEFT(B2352,7)))</f>
        <v/>
      </c>
    </row>
    <row r="2353">
      <c r="A2353" t="inlineStr">
        <is>
          <t>Afua Serwah Akoto Prempeh</t>
        </is>
      </c>
      <c r="B2353" s="4" t="n">
        <v>46056</v>
      </c>
      <c r="C2353" t="inlineStr">
        <is>
          <t>/</t>
        </is>
      </c>
      <c r="D2353" t="inlineStr">
        <is>
          <t>Afua Serwah Akoto Prempeh</t>
        </is>
      </c>
      <c r="E2353" t="inlineStr">
        <is>
          <t>OdooBot</t>
        </is>
      </c>
      <c r="F2353" s="5" t="n">
        <v>46154.70721064815</v>
      </c>
      <c r="H2353" t="inlineStr">
        <is>
          <t>P23AC00C00 - FGMC</t>
        </is>
      </c>
      <c r="I2353" t="n">
        <v>3</v>
      </c>
      <c r="L2353" t="b">
        <v>0</v>
      </c>
      <c r="M2353" t="inlineStr">
        <is>
          <t>Non-Billable</t>
        </is>
      </c>
      <c r="N2353" s="6">
        <f>IF(B2353="","",IF(ISNUMBER(B2353),TEXT(B2353,"YYYY-MM"),LEFT(B2353,7)))</f>
        <v/>
      </c>
    </row>
    <row r="2354">
      <c r="A2354" t="inlineStr">
        <is>
          <t>Afua Serwah Akoto Prempeh</t>
        </is>
      </c>
      <c r="B2354" s="4" t="n">
        <v>46056</v>
      </c>
      <c r="C2354" t="inlineStr">
        <is>
          <t>/</t>
        </is>
      </c>
      <c r="D2354" t="inlineStr">
        <is>
          <t>Afua Serwah Akoto Prempeh</t>
        </is>
      </c>
      <c r="E2354" t="inlineStr">
        <is>
          <t>OdooBot</t>
        </is>
      </c>
      <c r="F2354" s="5" t="n">
        <v>46154.70721064815</v>
      </c>
      <c r="H2354" t="inlineStr">
        <is>
          <t>Non-Billable Tasks</t>
        </is>
      </c>
      <c r="I2354" t="n">
        <v>5</v>
      </c>
      <c r="K2354" t="inlineStr">
        <is>
          <t>Communication/Data/Training</t>
        </is>
      </c>
      <c r="L2354" t="b">
        <v>0</v>
      </c>
      <c r="M2354" t="inlineStr">
        <is>
          <t>Non-Billable</t>
        </is>
      </c>
      <c r="N2354" s="6">
        <f>IF(B2354="","",IF(ISNUMBER(B2354),TEXT(B2354,"YYYY-MM"),LEFT(B2354,7)))</f>
        <v/>
      </c>
    </row>
    <row r="2355">
      <c r="A2355" t="inlineStr">
        <is>
          <t>Helena Tetteh</t>
        </is>
      </c>
      <c r="B2355" s="4" t="n">
        <v>46056</v>
      </c>
      <c r="C2355" t="inlineStr">
        <is>
          <t>/</t>
        </is>
      </c>
      <c r="D2355" t="inlineStr">
        <is>
          <t xml:space="preserve">Helena Tetteh </t>
        </is>
      </c>
      <c r="E2355" t="inlineStr">
        <is>
          <t>OdooBot</t>
        </is>
      </c>
      <c r="F2355" s="5" t="n">
        <v>46154.70721064815</v>
      </c>
      <c r="H2355" t="inlineStr">
        <is>
          <t>Non-Billable Tasks</t>
        </is>
      </c>
      <c r="I2355" t="n">
        <v>3</v>
      </c>
      <c r="K2355" t="inlineStr">
        <is>
          <t>Professional development and Knowledge sharing(training,global knowledge calls,exchange weeks)</t>
        </is>
      </c>
      <c r="L2355" t="b">
        <v>0</v>
      </c>
      <c r="M2355" t="inlineStr">
        <is>
          <t>Non-Billable</t>
        </is>
      </c>
      <c r="N2355" s="6">
        <f>IF(B2355="","",IF(ISNUMBER(B2355),TEXT(B2355,"YYYY-MM"),LEFT(B2355,7)))</f>
        <v/>
      </c>
    </row>
    <row r="2356">
      <c r="A2356" t="inlineStr">
        <is>
          <t>Helena Tetteh</t>
        </is>
      </c>
      <c r="B2356" s="4" t="n">
        <v>46056</v>
      </c>
      <c r="C2356" t="inlineStr">
        <is>
          <t>Programme management_developing templates for LJIs unified narratives for GH,CMR, LI, NI, CI</t>
        </is>
      </c>
      <c r="D2356" t="inlineStr">
        <is>
          <t xml:space="preserve">Helena Tetteh </t>
        </is>
      </c>
      <c r="E2356" t="inlineStr">
        <is>
          <t>OdooBot</t>
        </is>
      </c>
      <c r="F2356" s="5" t="n">
        <v>46154.70721064815</v>
      </c>
      <c r="H2356" t="inlineStr">
        <is>
          <t>Non-Billable Tasks</t>
        </is>
      </c>
      <c r="I2356" t="n">
        <v>3.5</v>
      </c>
      <c r="K2356" t="inlineStr">
        <is>
          <t>Portfolio Team Management</t>
        </is>
      </c>
      <c r="L2356" t="b">
        <v>0</v>
      </c>
      <c r="M2356" t="inlineStr">
        <is>
          <t>Non-Billable</t>
        </is>
      </c>
      <c r="N2356" s="6">
        <f>IF(B2356="","",IF(ISNUMBER(B2356),TEXT(B2356,"YYYY-MM"),LEFT(B2356,7)))</f>
        <v/>
      </c>
    </row>
    <row r="2357">
      <c r="A2357" t="inlineStr">
        <is>
          <t>Helena Tetteh</t>
        </is>
      </c>
      <c r="B2357" s="4" t="n">
        <v>46056</v>
      </c>
      <c r="C2357" t="inlineStr">
        <is>
          <t>/</t>
        </is>
      </c>
      <c r="D2357" t="inlineStr">
        <is>
          <t xml:space="preserve">Helena Tetteh </t>
        </is>
      </c>
      <c r="E2357" t="inlineStr">
        <is>
          <t>OdooBot</t>
        </is>
      </c>
      <c r="F2357" s="5" t="n">
        <v>46154.70721064815</v>
      </c>
      <c r="H2357" t="inlineStr">
        <is>
          <t>P23AC00C00 - FGMC</t>
        </is>
      </c>
      <c r="I2357" t="n">
        <v>1.5</v>
      </c>
      <c r="K2357" t="inlineStr">
        <is>
          <t>Output 2.3</t>
        </is>
      </c>
      <c r="L2357" t="b">
        <v>0</v>
      </c>
      <c r="M2357" t="inlineStr">
        <is>
          <t>Non-Billable</t>
        </is>
      </c>
      <c r="N2357" s="6">
        <f>IF(B2357="","",IF(ISNUMBER(B2357),TEXT(B2357,"YYYY-MM"),LEFT(B2357,7)))</f>
        <v/>
      </c>
    </row>
    <row r="2358">
      <c r="A2358" t="inlineStr">
        <is>
          <t>Clement Obeng-Manu</t>
        </is>
      </c>
      <c r="B2358" s="4" t="n">
        <v>46056</v>
      </c>
      <c r="C2358" t="inlineStr">
        <is>
          <t>/</t>
        </is>
      </c>
      <c r="D2358" t="inlineStr">
        <is>
          <t>Clement Obeng-Manu</t>
        </is>
      </c>
      <c r="E2358" t="inlineStr">
        <is>
          <t>OdooBot</t>
        </is>
      </c>
      <c r="F2358" s="5" t="n">
        <v>46154.70721064815</v>
      </c>
      <c r="H2358" t="inlineStr">
        <is>
          <t>PCGH722</t>
        </is>
      </c>
      <c r="I2358" t="n">
        <v>8</v>
      </c>
      <c r="J2358" t="inlineStr">
        <is>
          <t>PCGH722 - Analysis and Reporting (3) (Sucrivoire SA)</t>
        </is>
      </c>
      <c r="K2358" t="inlineStr">
        <is>
          <t>Analysis and Reporting (3)</t>
        </is>
      </c>
      <c r="L2358" t="b">
        <v>1</v>
      </c>
      <c r="M2358" t="inlineStr">
        <is>
          <t>Billed at a Fixed price</t>
        </is>
      </c>
      <c r="N2358" s="6">
        <f>IF(B2358="","",IF(ISNUMBER(B2358),TEXT(B2358,"YYYY-MM"),LEFT(B2358,7)))</f>
        <v/>
      </c>
    </row>
    <row r="2359">
      <c r="A2359" t="inlineStr">
        <is>
          <t>Stephen Doso</t>
        </is>
      </c>
      <c r="B2359" s="4" t="n">
        <v>46056</v>
      </c>
      <c r="C2359" t="inlineStr">
        <is>
          <t>/</t>
        </is>
      </c>
      <c r="D2359" t="inlineStr">
        <is>
          <t>Stephen Doso</t>
        </is>
      </c>
      <c r="E2359" t="inlineStr">
        <is>
          <t>OdooBot</t>
        </is>
      </c>
      <c r="F2359" s="5" t="n">
        <v>46154.70721064815</v>
      </c>
      <c r="G2359" t="inlineStr">
        <is>
          <t>Field verification and reporting in Ivory Coast (3)</t>
        </is>
      </c>
      <c r="H2359" t="inlineStr">
        <is>
          <t>PCGH775 - ESDD of Valency Operations for FMO</t>
        </is>
      </c>
      <c r="I2359" t="n">
        <v>8</v>
      </c>
      <c r="J2359" t="inlineStr">
        <is>
          <t>PCGH775 - Field Verification (3) (Valency International DMCC)</t>
        </is>
      </c>
      <c r="K2359" t="inlineStr">
        <is>
          <t>Site audit/ assessment (Ivory Coast)</t>
        </is>
      </c>
      <c r="L2359" t="b">
        <v>1</v>
      </c>
      <c r="M2359" t="inlineStr">
        <is>
          <t>Billed at a Fixed price</t>
        </is>
      </c>
      <c r="N2359" s="6">
        <f>IF(B2359="","",IF(ISNUMBER(B2359),TEXT(B2359,"YYYY-MM"),LEFT(B2359,7)))</f>
        <v/>
      </c>
    </row>
    <row r="2360">
      <c r="A2360" t="inlineStr">
        <is>
          <t>Kwadwo Baniako Nti</t>
        </is>
      </c>
      <c r="B2360" s="4" t="n">
        <v>46056</v>
      </c>
      <c r="C2360" t="inlineStr">
        <is>
          <t>/</t>
        </is>
      </c>
      <c r="D2360" t="inlineStr">
        <is>
          <t>Kwadwo Baniako Nti</t>
        </is>
      </c>
      <c r="E2360" t="inlineStr">
        <is>
          <t>OdooBot</t>
        </is>
      </c>
      <c r="F2360" s="5" t="n">
        <v>46154.70721064815</v>
      </c>
      <c r="G2360" t="inlineStr">
        <is>
          <t>Development or Updating of the Management Plan</t>
        </is>
      </c>
      <c r="H2360" t="inlineStr">
        <is>
          <t>PCGH762 - GVL HCSA Restoration Project</t>
        </is>
      </c>
      <c r="I2360" t="n">
        <v>8</v>
      </c>
      <c r="J2360" t="inlineStr">
        <is>
          <t>PCGH762 - Development or Updating of the Management Plan (Golden Veroleum Liberia)</t>
        </is>
      </c>
      <c r="K2360" t="inlineStr">
        <is>
          <t>Development or Updating of the Management Plan</t>
        </is>
      </c>
      <c r="L2360" t="b">
        <v>1</v>
      </c>
      <c r="M2360" t="inlineStr">
        <is>
          <t>Billed at a Fixed price</t>
        </is>
      </c>
      <c r="N2360" s="6">
        <f>IF(B2360="","",IF(ISNUMBER(B2360),TEXT(B2360,"YYYY-MM"),LEFT(B2360,7)))</f>
        <v/>
      </c>
    </row>
    <row r="2361">
      <c r="A2361" t="inlineStr">
        <is>
          <t>Augustus Asamoah</t>
        </is>
      </c>
      <c r="B2361" s="4" t="n">
        <v>46056</v>
      </c>
      <c r="C2361" t="inlineStr">
        <is>
          <t>/</t>
        </is>
      </c>
      <c r="D2361" t="inlineStr">
        <is>
          <t>Augustus Asamoah</t>
        </is>
      </c>
      <c r="E2361" t="inlineStr">
        <is>
          <t>OdooBot</t>
        </is>
      </c>
      <c r="F2361" s="5" t="n">
        <v>46154.70721064815</v>
      </c>
      <c r="H2361" t="inlineStr">
        <is>
          <t>PCGH769</t>
        </is>
      </c>
      <c r="I2361" t="n">
        <v>8</v>
      </c>
      <c r="J2361" t="inlineStr">
        <is>
          <t>PCGH769 - Fauna Survey (Biase Plantations Ltd.)</t>
        </is>
      </c>
      <c r="K2361" t="inlineStr">
        <is>
          <t>HCV/HCS - Fauna Survey</t>
        </is>
      </c>
      <c r="L2361" t="b">
        <v>1</v>
      </c>
      <c r="M2361" t="inlineStr">
        <is>
          <t>Billed at a Fixed price</t>
        </is>
      </c>
      <c r="N2361" s="6">
        <f>IF(B2361="","",IF(ISNUMBER(B2361),TEXT(B2361,"YYYY-MM"),LEFT(B2361,7)))</f>
        <v/>
      </c>
    </row>
    <row r="2362">
      <c r="A2362" t="inlineStr">
        <is>
          <t>Daleba Bernard Kpenahi Raymond</t>
        </is>
      </c>
      <c r="B2362" s="4" t="n">
        <v>46056</v>
      </c>
      <c r="C2362" t="inlineStr">
        <is>
          <t>/</t>
        </is>
      </c>
      <c r="D2362" t="inlineStr">
        <is>
          <t>Daleba Bernard Kpenahi Raymond</t>
        </is>
      </c>
      <c r="E2362" t="inlineStr">
        <is>
          <t>OdooBot</t>
        </is>
      </c>
      <c r="F2362" s="5" t="n">
        <v>46154.70721064815</v>
      </c>
      <c r="G2362" t="inlineStr">
        <is>
          <t>Field verification and reporting in Ivory Coast (3)</t>
        </is>
      </c>
      <c r="H2362" t="inlineStr">
        <is>
          <t>PCGH775 - ESDD of Valency Operations for FMO</t>
        </is>
      </c>
      <c r="I2362" t="n">
        <v>8</v>
      </c>
      <c r="J2362" t="inlineStr">
        <is>
          <t>PCGH775 - Field Verification (3) (Valency International DMCC)</t>
        </is>
      </c>
      <c r="K2362" t="inlineStr">
        <is>
          <t>Site audit/ assessment (Ivory Coast)</t>
        </is>
      </c>
      <c r="L2362" t="b">
        <v>1</v>
      </c>
      <c r="M2362" t="inlineStr">
        <is>
          <t>Billed at a Fixed price</t>
        </is>
      </c>
      <c r="N2362" s="6">
        <f>IF(B2362="","",IF(ISNUMBER(B2362),TEXT(B2362,"YYYY-MM"),LEFT(B2362,7)))</f>
        <v/>
      </c>
    </row>
    <row r="2363">
      <c r="A2363" t="inlineStr">
        <is>
          <t>Kingsley Fitz-Gerald Severine</t>
        </is>
      </c>
      <c r="B2363" s="4" t="n">
        <v>46056</v>
      </c>
      <c r="C2363" t="inlineStr">
        <is>
          <t>/</t>
        </is>
      </c>
      <c r="D2363" t="inlineStr">
        <is>
          <t>Kingsley Fitz-Gerald Severine</t>
        </is>
      </c>
      <c r="E2363" t="inlineStr">
        <is>
          <t>OdooBot</t>
        </is>
      </c>
      <c r="F2363" s="5" t="n">
        <v>46154.70721064815</v>
      </c>
      <c r="H2363" t="inlineStr">
        <is>
          <t>PCGH771</t>
        </is>
      </c>
      <c r="I2363" t="n">
        <v>8</v>
      </c>
      <c r="J2363" t="inlineStr">
        <is>
          <t>PCGH771 - Analysis and Reporting (3) (Okeosisi Jonathan)</t>
        </is>
      </c>
      <c r="K2363" t="inlineStr">
        <is>
          <t>Analysis and Reporting (Mapping)</t>
        </is>
      </c>
      <c r="L2363" t="b">
        <v>1</v>
      </c>
      <c r="M2363" t="inlineStr">
        <is>
          <t>Billed at a Fixed price</t>
        </is>
      </c>
      <c r="N2363" s="6">
        <f>IF(B2363="","",IF(ISNUMBER(B2363),TEXT(B2363,"YYYY-MM"),LEFT(B2363,7)))</f>
        <v/>
      </c>
    </row>
    <row r="2364">
      <c r="A2364" t="inlineStr">
        <is>
          <t>Joseph Isaiah Mensah</t>
        </is>
      </c>
      <c r="B2364" s="4" t="n">
        <v>46055</v>
      </c>
      <c r="C2364" t="inlineStr">
        <is>
          <t>Review of first draft report (oct-dec 2025)</t>
        </is>
      </c>
      <c r="D2364" t="inlineStr">
        <is>
          <t>Joseph Isaiah Mensah</t>
        </is>
      </c>
      <c r="E2364" t="inlineStr">
        <is>
          <t>Joseph Isaiah Mensah</t>
        </is>
      </c>
      <c r="F2364" s="5" t="n">
        <v>46162.60840277778</v>
      </c>
      <c r="H2364" t="inlineStr">
        <is>
          <t>P23AC00C00 - FGMC</t>
        </is>
      </c>
      <c r="I2364" t="n">
        <v>3</v>
      </c>
      <c r="L2364" t="b">
        <v>0</v>
      </c>
      <c r="M2364" t="inlineStr">
        <is>
          <t>Non-Billable</t>
        </is>
      </c>
      <c r="N2364" s="6">
        <f>IF(B2364="","",IF(ISNUMBER(B2364),TEXT(B2364,"YYYY-MM"),LEFT(B2364,7)))</f>
        <v/>
      </c>
    </row>
    <row r="2365">
      <c r="A2365" t="inlineStr">
        <is>
          <t>Joseph Isaiah Mensah</t>
        </is>
      </c>
      <c r="B2365" s="4" t="n">
        <v>46055</v>
      </c>
      <c r="C2365" t="inlineStr">
        <is>
          <t>ESDD Valency Comms Discussion &amp; alignment session</t>
        </is>
      </c>
      <c r="D2365" t="inlineStr">
        <is>
          <t>Joseph Isaiah Mensah</t>
        </is>
      </c>
      <c r="E2365" t="inlineStr">
        <is>
          <t>Joseph Isaiah Mensah</t>
        </is>
      </c>
      <c r="F2365" s="5" t="n">
        <v>46162.61158564815</v>
      </c>
      <c r="H2365" t="inlineStr">
        <is>
          <t>PCGH775 - ESDD of Valency Operations for FMO</t>
        </is>
      </c>
      <c r="I2365" t="n">
        <v>2</v>
      </c>
      <c r="J2365" t="inlineStr">
        <is>
          <t>PCGH775 - Kick-Off Meeting (Valency International DMCC)</t>
        </is>
      </c>
      <c r="L2365" t="b">
        <v>1</v>
      </c>
      <c r="M2365" t="inlineStr">
        <is>
          <t>Billed at a Fixed price</t>
        </is>
      </c>
      <c r="N2365" s="6">
        <f>IF(B2365="","",IF(ISNUMBER(B2365),TEXT(B2365,"YYYY-MM"),LEFT(B2365,7)))</f>
        <v/>
      </c>
    </row>
    <row r="2366">
      <c r="A2366" t="inlineStr">
        <is>
          <t>Joseph Isaiah Mensah</t>
        </is>
      </c>
      <c r="B2366" s="4" t="n">
        <v>46055</v>
      </c>
      <c r="C2366" t="inlineStr">
        <is>
          <t>[Update]: Supplier engagement kick-off</t>
        </is>
      </c>
      <c r="D2366" t="inlineStr">
        <is>
          <t>Joseph Isaiah Mensah</t>
        </is>
      </c>
      <c r="E2366" t="inlineStr">
        <is>
          <t>Joseph Isaiah Mensah</t>
        </is>
      </c>
      <c r="F2366" s="5" t="n">
        <v>46162.54327546297</v>
      </c>
      <c r="H2366" t="inlineStr">
        <is>
          <t>PCGH778 - General Support</t>
        </is>
      </c>
      <c r="I2366" t="n">
        <v>1</v>
      </c>
      <c r="J2366" t="inlineStr">
        <is>
          <t>PCGH778 - Support to Other Workstreams (3) (Proforest Limited(PCUK GBP))</t>
        </is>
      </c>
      <c r="L2366" t="b">
        <v>1</v>
      </c>
      <c r="M2366" t="inlineStr">
        <is>
          <t>Billed at a Fixed price</t>
        </is>
      </c>
      <c r="N2366" s="6">
        <f>IF(B2366="","",IF(ISNUMBER(B2366),TEXT(B2366,"YYYY-MM"),LEFT(B2366,7)))</f>
        <v/>
      </c>
    </row>
    <row r="2367">
      <c r="A2367" t="inlineStr">
        <is>
          <t>Joseph Isaiah Mensah</t>
        </is>
      </c>
      <c r="B2367" s="4" t="n">
        <v>46055</v>
      </c>
      <c r="C2367" t="inlineStr">
        <is>
          <t>pre-field preparations</t>
        </is>
      </c>
      <c r="D2367" t="inlineStr">
        <is>
          <t>Joseph Isaiah Mensah</t>
        </is>
      </c>
      <c r="E2367" t="inlineStr">
        <is>
          <t>Joseph Isaiah Mensah</t>
        </is>
      </c>
      <c r="F2367" s="5" t="n">
        <v>46162.5125</v>
      </c>
      <c r="H2367" t="inlineStr">
        <is>
          <t>PCGH775 - ESDD of Valency Operations for FMO</t>
        </is>
      </c>
      <c r="I2367" t="n">
        <v>2</v>
      </c>
      <c r="J2367" t="inlineStr">
        <is>
          <t>PCGH775 - Kick-Off Meeting (Valency International DMCC)</t>
        </is>
      </c>
      <c r="L2367" t="b">
        <v>1</v>
      </c>
      <c r="M2367" t="inlineStr">
        <is>
          <t>Billed at a Fixed price</t>
        </is>
      </c>
      <c r="N2367" s="6">
        <f>IF(B2367="","",IF(ISNUMBER(B2367),TEXT(B2367,"YYYY-MM"),LEFT(B2367,7)))</f>
        <v/>
      </c>
    </row>
    <row r="2368">
      <c r="A2368" t="inlineStr">
        <is>
          <t>Louis Defo</t>
        </is>
      </c>
      <c r="B2368" s="4" t="n">
        <v>46055</v>
      </c>
      <c r="C2368" t="inlineStr">
        <is>
          <t>/</t>
        </is>
      </c>
      <c r="D2368" t="inlineStr">
        <is>
          <t>Louis Defo</t>
        </is>
      </c>
      <c r="E2368" t="inlineStr">
        <is>
          <t>Louis Defo</t>
        </is>
      </c>
      <c r="F2368" s="5" t="n">
        <v>46161.34491898148</v>
      </c>
      <c r="H2368" t="inlineStr">
        <is>
          <t>P23AC00C00 - FGMC</t>
        </is>
      </c>
      <c r="I2368" t="n">
        <v>8</v>
      </c>
      <c r="L2368" t="b">
        <v>0</v>
      </c>
      <c r="M2368" t="inlineStr">
        <is>
          <t>Non-Billable</t>
        </is>
      </c>
      <c r="N2368" s="6">
        <f>IF(B2368="","",IF(ISNUMBER(B2368),TEXT(B2368,"YYYY-MM"),LEFT(B2368,7)))</f>
        <v/>
      </c>
    </row>
    <row r="2369">
      <c r="A2369" t="inlineStr">
        <is>
          <t>Frederick Antwi</t>
        </is>
      </c>
      <c r="B2369" s="4" t="n">
        <v>46055</v>
      </c>
      <c r="C2369" t="inlineStr">
        <is>
          <t>/</t>
        </is>
      </c>
      <c r="D2369" t="inlineStr">
        <is>
          <t>Frederick Antwi</t>
        </is>
      </c>
      <c r="E2369" t="inlineStr">
        <is>
          <t>Frederick Antwi</t>
        </is>
      </c>
      <c r="F2369" s="5" t="n">
        <v>46160.56913194444</v>
      </c>
      <c r="H2369" t="inlineStr">
        <is>
          <t>P13PC00A00 - Private Sector Companies</t>
        </is>
      </c>
      <c r="I2369" t="n">
        <v>3</v>
      </c>
      <c r="L2369" t="b">
        <v>0</v>
      </c>
      <c r="M2369" t="inlineStr">
        <is>
          <t>Non-Billable</t>
        </is>
      </c>
      <c r="N2369" s="6">
        <f>IF(B2369="","",IF(ISNUMBER(B2369),TEXT(B2369,"YYYY-MM"),LEFT(B2369,7)))</f>
        <v/>
      </c>
    </row>
    <row r="2370">
      <c r="A2370" t="inlineStr">
        <is>
          <t>Frederick Antwi</t>
        </is>
      </c>
      <c r="B2370" s="4" t="n">
        <v>46055</v>
      </c>
      <c r="C2370" t="inlineStr">
        <is>
          <t>/</t>
        </is>
      </c>
      <c r="D2370" t="inlineStr">
        <is>
          <t>Frederick Antwi</t>
        </is>
      </c>
      <c r="E2370" t="inlineStr">
        <is>
          <t>Frederick Antwi</t>
        </is>
      </c>
      <c r="F2370" s="5" t="n">
        <v>46160.5691087963</v>
      </c>
      <c r="H2370" t="inlineStr">
        <is>
          <t>P13NC00A00 - WALMART II</t>
        </is>
      </c>
      <c r="I2370" t="n">
        <v>3</v>
      </c>
      <c r="L2370" t="b">
        <v>0</v>
      </c>
      <c r="M2370" t="inlineStr">
        <is>
          <t>Non-Billable</t>
        </is>
      </c>
      <c r="N2370" s="6">
        <f>IF(B2370="","",IF(ISNUMBER(B2370),TEXT(B2370,"YYYY-MM"),LEFT(B2370,7)))</f>
        <v/>
      </c>
    </row>
    <row r="2371">
      <c r="A2371" t="inlineStr">
        <is>
          <t>Frederick Antwi</t>
        </is>
      </c>
      <c r="B2371" s="4" t="n">
        <v>46055</v>
      </c>
      <c r="C2371" t="inlineStr">
        <is>
          <t>/</t>
        </is>
      </c>
      <c r="D2371" t="inlineStr">
        <is>
          <t>Frederick Antwi</t>
        </is>
      </c>
      <c r="E2371" t="inlineStr">
        <is>
          <t>Frederick Antwi</t>
        </is>
      </c>
      <c r="F2371" s="5" t="n">
        <v>46160.56913194444</v>
      </c>
      <c r="H2371" t="inlineStr">
        <is>
          <t>PCGH768</t>
        </is>
      </c>
      <c r="I2371" t="n">
        <v>2</v>
      </c>
      <c r="L2371" t="b">
        <v>1</v>
      </c>
      <c r="M2371" t="inlineStr">
        <is>
          <t>Non-Billable</t>
        </is>
      </c>
      <c r="N2371" s="6">
        <f>IF(B2371="","",IF(ISNUMBER(B2371),TEXT(B2371,"YYYY-MM"),LEFT(B2371,7)))</f>
        <v/>
      </c>
    </row>
    <row r="2372">
      <c r="A2372" t="inlineStr">
        <is>
          <t>James Parker Mckeown</t>
        </is>
      </c>
      <c r="B2372" s="4" t="n">
        <v>46055</v>
      </c>
      <c r="C2372" t="inlineStr">
        <is>
          <t xml:space="preserve">Programme Communications with Europe team </t>
        </is>
      </c>
      <c r="D2372" t="inlineStr">
        <is>
          <t>James Parker Mckeown</t>
        </is>
      </c>
      <c r="E2372" t="inlineStr">
        <is>
          <t>James Parker Mckeown</t>
        </is>
      </c>
      <c r="F2372" s="5" t="n">
        <v>46159.021875</v>
      </c>
      <c r="H2372" t="inlineStr">
        <is>
          <t>Non-Billable Tasks</t>
        </is>
      </c>
      <c r="I2372" t="n">
        <v>0</v>
      </c>
      <c r="K2372" t="inlineStr">
        <is>
          <t>Communication/Data/Training</t>
        </is>
      </c>
      <c r="L2372" t="b">
        <v>0</v>
      </c>
      <c r="M2372" t="inlineStr">
        <is>
          <t>Non-Billable</t>
        </is>
      </c>
      <c r="N2372" s="6">
        <f>IF(B2372="","",IF(ISNUMBER(B2372),TEXT(B2372,"YYYY-MM"),LEFT(B2372,7)))</f>
        <v/>
      </c>
    </row>
    <row r="2373">
      <c r="A2373" t="inlineStr">
        <is>
          <t>James Parker Mckeown</t>
        </is>
      </c>
      <c r="B2373" s="4" t="n">
        <v>46055</v>
      </c>
      <c r="C2373" t="inlineStr">
        <is>
          <t>FGMC 2: Local initiative mapping (Liberia)</t>
        </is>
      </c>
      <c r="D2373" t="inlineStr">
        <is>
          <t>James Parker Mckeown</t>
        </is>
      </c>
      <c r="E2373" t="inlineStr">
        <is>
          <t>James Parker Mckeown</t>
        </is>
      </c>
      <c r="F2373" s="5" t="n">
        <v>46159.02033564815</v>
      </c>
      <c r="G2373" t="inlineStr">
        <is>
          <t>Output 2.3</t>
        </is>
      </c>
      <c r="H2373" t="inlineStr">
        <is>
          <t>P23AC00C00 - FGMC</t>
        </is>
      </c>
      <c r="I2373" t="n">
        <v>2</v>
      </c>
      <c r="K2373" t="inlineStr">
        <is>
          <t>P23AC22A00 - Output Two (Elevating Local Solutions - West Africa)</t>
        </is>
      </c>
      <c r="L2373" t="b">
        <v>0</v>
      </c>
      <c r="M2373" t="inlineStr">
        <is>
          <t>Non-Billable</t>
        </is>
      </c>
      <c r="N2373" s="6">
        <f>IF(B2373="","",IF(ISNUMBER(B2373),TEXT(B2373,"YYYY-MM"),LEFT(B2373,7)))</f>
        <v/>
      </c>
    </row>
    <row r="2374">
      <c r="A2374" t="inlineStr">
        <is>
          <t>James Parker Mckeown</t>
        </is>
      </c>
      <c r="B2374" s="4" t="n">
        <v>46055</v>
      </c>
      <c r="C2374" t="inlineStr">
        <is>
          <t>/</t>
        </is>
      </c>
      <c r="D2374" t="inlineStr">
        <is>
          <t>James Parker Mckeown</t>
        </is>
      </c>
      <c r="E2374" t="inlineStr">
        <is>
          <t>James Parker Mckeown</t>
        </is>
      </c>
      <c r="F2374" s="5" t="n">
        <v>46156.87415509259</v>
      </c>
      <c r="H2374" t="inlineStr">
        <is>
          <t>Non-Billable Tasks</t>
        </is>
      </c>
      <c r="I2374" t="n">
        <v>1</v>
      </c>
      <c r="K2374" t="inlineStr">
        <is>
          <t>BIP MSI Mapping Exercise</t>
        </is>
      </c>
      <c r="L2374" t="b">
        <v>0</v>
      </c>
      <c r="M2374" t="inlineStr">
        <is>
          <t>Non-Billable</t>
        </is>
      </c>
      <c r="N2374" s="6">
        <f>IF(B2374="","",IF(ISNUMBER(B2374),TEXT(B2374,"YYYY-MM"),LEFT(B2374,7)))</f>
        <v/>
      </c>
    </row>
    <row r="2375">
      <c r="A2375" t="inlineStr">
        <is>
          <t>James Parker Mckeown</t>
        </is>
      </c>
      <c r="B2375" s="4" t="n">
        <v>46055</v>
      </c>
      <c r="C2375" t="inlineStr">
        <is>
          <t>Developing sub-activities for FGMC programme from April 2026-March 2029</t>
        </is>
      </c>
      <c r="D2375" t="inlineStr">
        <is>
          <t>James Parker Mckeown</t>
        </is>
      </c>
      <c r="E2375" t="inlineStr">
        <is>
          <t>James Parker Mckeown</t>
        </is>
      </c>
      <c r="F2375" s="5" t="n">
        <v>46156.8749537037</v>
      </c>
      <c r="G2375" t="inlineStr">
        <is>
          <t>Output 4</t>
        </is>
      </c>
      <c r="H2375" t="inlineStr">
        <is>
          <t>P23AC00C00 - FGMC</t>
        </is>
      </c>
      <c r="I2375" t="n">
        <v>7</v>
      </c>
      <c r="K2375" t="inlineStr">
        <is>
          <t>P23AC03A00 - Project Management</t>
        </is>
      </c>
      <c r="L2375" t="b">
        <v>0</v>
      </c>
      <c r="M2375" t="inlineStr">
        <is>
          <t>Non-Billable</t>
        </is>
      </c>
      <c r="N2375" s="6">
        <f>IF(B2375="","",IF(ISNUMBER(B2375),TEXT(B2375,"YYYY-MM"),LEFT(B2375,7)))</f>
        <v/>
      </c>
    </row>
    <row r="2376">
      <c r="A2376" t="inlineStr">
        <is>
          <t>Ekow Nyamekye Tawiah</t>
        </is>
      </c>
      <c r="B2376" s="4" t="n">
        <v>46055</v>
      </c>
      <c r="C2376" t="inlineStr">
        <is>
          <t>Odo Requirements Internal Alignment</t>
        </is>
      </c>
      <c r="D2376" t="inlineStr">
        <is>
          <t>Ekow Nyamekye Tawiah</t>
        </is>
      </c>
      <c r="E2376" t="inlineStr">
        <is>
          <t>OdooBot</t>
        </is>
      </c>
      <c r="F2376" s="5" t="n">
        <v>46154.70721064815</v>
      </c>
      <c r="H2376" t="inlineStr">
        <is>
          <t>Non-Billable Tasks</t>
        </is>
      </c>
      <c r="I2376" t="n">
        <v>0</v>
      </c>
      <c r="K2376" t="inlineStr">
        <is>
          <t>Administrative Tasks</t>
        </is>
      </c>
      <c r="L2376" t="b">
        <v>0</v>
      </c>
      <c r="M2376" t="inlineStr">
        <is>
          <t>Non-Billable</t>
        </is>
      </c>
      <c r="N2376" s="6">
        <f>IF(B2376="","",IF(ISNUMBER(B2376),TEXT(B2376,"YYYY-MM"),LEFT(B2376,7)))</f>
        <v/>
      </c>
    </row>
    <row r="2377">
      <c r="A2377" t="inlineStr">
        <is>
          <t>Ekow Nyamekye Tawiah</t>
        </is>
      </c>
      <c r="B2377" s="4" t="n">
        <v>46055</v>
      </c>
      <c r="C2377" t="inlineStr">
        <is>
          <t>Borotou-Koro Analysis and Reporting</t>
        </is>
      </c>
      <c r="D2377" t="inlineStr">
        <is>
          <t>Ekow Nyamekye Tawiah</t>
        </is>
      </c>
      <c r="E2377" t="inlineStr">
        <is>
          <t>OdooBot</t>
        </is>
      </c>
      <c r="F2377" s="5" t="n">
        <v>46154.70721064815</v>
      </c>
      <c r="H2377" t="inlineStr">
        <is>
          <t>PCGH722</t>
        </is>
      </c>
      <c r="I2377" t="n">
        <v>4</v>
      </c>
      <c r="J2377" t="inlineStr">
        <is>
          <t>PCGH722 - Analysis and Reporting (3) (Sucrivoire SA)</t>
        </is>
      </c>
      <c r="K2377" t="inlineStr">
        <is>
          <t>Analysis and Reporting (3)</t>
        </is>
      </c>
      <c r="L2377" t="b">
        <v>1</v>
      </c>
      <c r="M2377" t="inlineStr">
        <is>
          <t>Billed at a Fixed price</t>
        </is>
      </c>
      <c r="N2377" s="6">
        <f>IF(B2377="","",IF(ISNUMBER(B2377),TEXT(B2377,"YYYY-MM"),LEFT(B2377,7)))</f>
        <v/>
      </c>
    </row>
    <row r="2378">
      <c r="A2378" t="inlineStr">
        <is>
          <t>Afua Serwah Akoto Prempeh</t>
        </is>
      </c>
      <c r="B2378" s="4" t="n">
        <v>46055</v>
      </c>
      <c r="C2378" t="inlineStr">
        <is>
          <t>/</t>
        </is>
      </c>
      <c r="D2378" t="inlineStr">
        <is>
          <t>Afua Serwah Akoto Prempeh</t>
        </is>
      </c>
      <c r="E2378" t="inlineStr">
        <is>
          <t>OdooBot</t>
        </is>
      </c>
      <c r="F2378" s="5" t="n">
        <v>46154.70721064815</v>
      </c>
      <c r="H2378" t="inlineStr">
        <is>
          <t>P23AC00C00 - FGMC</t>
        </is>
      </c>
      <c r="I2378" t="n">
        <v>2</v>
      </c>
      <c r="L2378" t="b">
        <v>0</v>
      </c>
      <c r="M2378" t="inlineStr">
        <is>
          <t>Non-Billable</t>
        </is>
      </c>
      <c r="N2378" s="6">
        <f>IF(B2378="","",IF(ISNUMBER(B2378),TEXT(B2378,"YYYY-MM"),LEFT(B2378,7)))</f>
        <v/>
      </c>
    </row>
    <row r="2379">
      <c r="A2379" t="inlineStr">
        <is>
          <t>Afua Serwah Akoto Prempeh</t>
        </is>
      </c>
      <c r="B2379" s="4" t="n">
        <v>46055</v>
      </c>
      <c r="C2379" t="inlineStr">
        <is>
          <t>/</t>
        </is>
      </c>
      <c r="D2379" t="inlineStr">
        <is>
          <t>Afua Serwah Akoto Prempeh</t>
        </is>
      </c>
      <c r="E2379" t="inlineStr">
        <is>
          <t>OdooBot</t>
        </is>
      </c>
      <c r="F2379" s="5" t="n">
        <v>46154.70721064815</v>
      </c>
      <c r="H2379" t="inlineStr">
        <is>
          <t>Non-Billable Tasks</t>
        </is>
      </c>
      <c r="I2379" t="n">
        <v>6</v>
      </c>
      <c r="K2379" t="inlineStr">
        <is>
          <t>Communication/Data/Training</t>
        </is>
      </c>
      <c r="L2379" t="b">
        <v>0</v>
      </c>
      <c r="M2379" t="inlineStr">
        <is>
          <t>Non-Billable</t>
        </is>
      </c>
      <c r="N2379" s="6">
        <f>IF(B2379="","",IF(ISNUMBER(B2379),TEXT(B2379,"YYYY-MM"),LEFT(B2379,7)))</f>
        <v/>
      </c>
    </row>
    <row r="2380">
      <c r="A2380" t="inlineStr">
        <is>
          <t>Helena Tetteh</t>
        </is>
      </c>
      <c r="B2380" s="4" t="n">
        <v>46055</v>
      </c>
      <c r="C2380" t="inlineStr">
        <is>
          <t>/</t>
        </is>
      </c>
      <c r="D2380" t="inlineStr">
        <is>
          <t xml:space="preserve">Helena Tetteh </t>
        </is>
      </c>
      <c r="E2380" t="inlineStr">
        <is>
          <t>OdooBot</t>
        </is>
      </c>
      <c r="F2380" s="5" t="n">
        <v>46154.70721064815</v>
      </c>
      <c r="H2380" t="inlineStr">
        <is>
          <t>P23AC00C00 - FGMC</t>
        </is>
      </c>
      <c r="I2380" t="n">
        <v>-2</v>
      </c>
      <c r="K2380" t="inlineStr">
        <is>
          <t>Output 2.3</t>
        </is>
      </c>
      <c r="L2380" t="b">
        <v>0</v>
      </c>
      <c r="M2380" t="inlineStr">
        <is>
          <t>Non-Billable</t>
        </is>
      </c>
      <c r="N2380" s="6">
        <f>IF(B2380="","",IF(ISNUMBER(B2380),TEXT(B2380,"YYYY-MM"),LEFT(B2380,7)))</f>
        <v/>
      </c>
    </row>
    <row r="2381">
      <c r="A2381" t="inlineStr">
        <is>
          <t>Helena Tetteh</t>
        </is>
      </c>
      <c r="B2381" s="4" t="n">
        <v>46055</v>
      </c>
      <c r="C2381" t="inlineStr">
        <is>
          <t>PFAFR BRIDGE: Weekly Catch-up</t>
        </is>
      </c>
      <c r="D2381" t="inlineStr">
        <is>
          <t xml:space="preserve">Helena Tetteh </t>
        </is>
      </c>
      <c r="E2381" t="inlineStr">
        <is>
          <t>OdooBot</t>
        </is>
      </c>
      <c r="F2381" s="5" t="n">
        <v>46154.70721064815</v>
      </c>
      <c r="H2381" t="inlineStr">
        <is>
          <t>P23AC00C00 - FGMC</t>
        </is>
      </c>
      <c r="I2381" t="n">
        <v>2</v>
      </c>
      <c r="K2381" t="inlineStr">
        <is>
          <t>Output 2.3</t>
        </is>
      </c>
      <c r="L2381" t="b">
        <v>0</v>
      </c>
      <c r="M2381" t="inlineStr">
        <is>
          <t>Non-Billable</t>
        </is>
      </c>
      <c r="N2381" s="6">
        <f>IF(B2381="","",IF(ISNUMBER(B2381),TEXT(B2381,"YYYY-MM"),LEFT(B2381,7)))</f>
        <v/>
      </c>
    </row>
    <row r="2382">
      <c r="A2382" t="inlineStr">
        <is>
          <t>Helena Tetteh</t>
        </is>
      </c>
      <c r="B2382" s="4" t="n">
        <v>46055</v>
      </c>
      <c r="C2382" t="inlineStr">
        <is>
          <t>Busy - PLUP (FFI) Final training report review</t>
        </is>
      </c>
      <c r="D2382" t="inlineStr">
        <is>
          <t xml:space="preserve">Helena Tetteh </t>
        </is>
      </c>
      <c r="E2382" t="inlineStr">
        <is>
          <t>OdooBot</t>
        </is>
      </c>
      <c r="F2382" s="5" t="n">
        <v>46154.70721064815</v>
      </c>
      <c r="H2382" t="inlineStr">
        <is>
          <t>PCGH761</t>
        </is>
      </c>
      <c r="I2382" t="n">
        <v>0</v>
      </c>
      <c r="J2382" t="inlineStr">
        <is>
          <t>PCGH761 - Reporting (3) (Fauna and Flora International Liberia)</t>
        </is>
      </c>
      <c r="K2382" t="inlineStr">
        <is>
          <t>Reporting (3)</t>
        </is>
      </c>
      <c r="L2382" t="b">
        <v>1</v>
      </c>
      <c r="M2382" t="inlineStr">
        <is>
          <t>Billed at a Fixed price</t>
        </is>
      </c>
      <c r="N2382" s="6">
        <f>IF(B2382="","",IF(ISNUMBER(B2382),TEXT(B2382,"YYYY-MM"),LEFT(B2382,7)))</f>
        <v/>
      </c>
    </row>
    <row r="2383">
      <c r="A2383" t="inlineStr">
        <is>
          <t>Helena Tetteh</t>
        </is>
      </c>
      <c r="B2383" s="4" t="n">
        <v>46055</v>
      </c>
      <c r="C2383" t="inlineStr">
        <is>
          <t>BIP Action Plan review and finalization</t>
        </is>
      </c>
      <c r="D2383" t="inlineStr">
        <is>
          <t xml:space="preserve">Helena Tetteh </t>
        </is>
      </c>
      <c r="E2383" t="inlineStr">
        <is>
          <t>OdooBot</t>
        </is>
      </c>
      <c r="F2383" s="5" t="n">
        <v>46154.70721064815</v>
      </c>
      <c r="H2383" t="inlineStr">
        <is>
          <t>Non-Billable Tasks</t>
        </is>
      </c>
      <c r="I2383" t="n">
        <v>1.5</v>
      </c>
      <c r="K2383" t="inlineStr">
        <is>
          <t>Portfolio Team Management</t>
        </is>
      </c>
      <c r="L2383" t="b">
        <v>0</v>
      </c>
      <c r="M2383" t="inlineStr">
        <is>
          <t>Non-Billable</t>
        </is>
      </c>
      <c r="N2383" s="6">
        <f>IF(B2383="","",IF(ISNUMBER(B2383),TEXT(B2383,"YYYY-MM"),LEFT(B2383,7)))</f>
        <v/>
      </c>
    </row>
    <row r="2384">
      <c r="A2384" t="inlineStr">
        <is>
          <t>Helena Tetteh</t>
        </is>
      </c>
      <c r="B2384" s="4" t="n">
        <v>46055</v>
      </c>
      <c r="C2384" t="inlineStr">
        <is>
          <t>GVL_Discussion on socio-economic data instrument for Nitrian CF</t>
        </is>
      </c>
      <c r="D2384" t="inlineStr">
        <is>
          <t xml:space="preserve">Helena Tetteh </t>
        </is>
      </c>
      <c r="E2384" t="inlineStr">
        <is>
          <t>OdooBot</t>
        </is>
      </c>
      <c r="F2384" s="5" t="n">
        <v>46154.70721064815</v>
      </c>
      <c r="H2384" t="inlineStr">
        <is>
          <t>Non-Billable Tasks</t>
        </is>
      </c>
      <c r="I2384" t="n">
        <v>1</v>
      </c>
      <c r="K2384" t="inlineStr">
        <is>
          <t>Communication/Data/Training</t>
        </is>
      </c>
      <c r="L2384" t="b">
        <v>0</v>
      </c>
      <c r="M2384" t="inlineStr">
        <is>
          <t>Non-Billable</t>
        </is>
      </c>
      <c r="N2384" s="6">
        <f>IF(B2384="","",IF(ISNUMBER(B2384),TEXT(B2384,"YYYY-MM"),LEFT(B2384,7)))</f>
        <v/>
      </c>
    </row>
    <row r="2385">
      <c r="A2385" t="inlineStr">
        <is>
          <t>Helena Tetteh</t>
        </is>
      </c>
      <c r="B2385" s="4" t="n">
        <v>46055</v>
      </c>
      <c r="C2385" t="inlineStr">
        <is>
          <t>Mapping_ Ghana</t>
        </is>
      </c>
      <c r="D2385" t="inlineStr">
        <is>
          <t xml:space="preserve">Helena Tetteh </t>
        </is>
      </c>
      <c r="E2385" t="inlineStr">
        <is>
          <t>OdooBot</t>
        </is>
      </c>
      <c r="F2385" s="5" t="n">
        <v>46154.70721064815</v>
      </c>
      <c r="H2385" t="inlineStr">
        <is>
          <t>P23AC00C00 - FGMC</t>
        </is>
      </c>
      <c r="I2385" t="n">
        <v>3.5</v>
      </c>
      <c r="K2385" t="inlineStr">
        <is>
          <t>Output 2.3</t>
        </is>
      </c>
      <c r="L2385" t="b">
        <v>0</v>
      </c>
      <c r="M2385" t="inlineStr">
        <is>
          <t>Non-Billable</t>
        </is>
      </c>
      <c r="N2385" s="6">
        <f>IF(B2385="","",IF(ISNUMBER(B2385),TEXT(B2385,"YYYY-MM"),LEFT(B2385,7)))</f>
        <v/>
      </c>
    </row>
    <row r="2386">
      <c r="A2386" t="inlineStr">
        <is>
          <t>Helena Tetteh</t>
        </is>
      </c>
      <c r="B2386" s="4" t="n">
        <v>46055</v>
      </c>
      <c r="C2386" t="inlineStr">
        <is>
          <t>Landscape &amp;Cocoa learning journey planning _Skeletal itinerary development</t>
        </is>
      </c>
      <c r="D2386" t="inlineStr">
        <is>
          <t xml:space="preserve">Helena Tetteh </t>
        </is>
      </c>
      <c r="E2386" t="inlineStr">
        <is>
          <t>OdooBot</t>
        </is>
      </c>
      <c r="F2386" s="5" t="n">
        <v>46154.70721064815</v>
      </c>
      <c r="H2386" t="inlineStr">
        <is>
          <t>Non-Billable Tasks</t>
        </is>
      </c>
      <c r="I2386" t="n">
        <v>2</v>
      </c>
      <c r="K2386" t="inlineStr">
        <is>
          <t>Professional development and Knowledge sharing(training,global knowledge calls,exchange weeks)</t>
        </is>
      </c>
      <c r="L2386" t="b">
        <v>0</v>
      </c>
      <c r="M2386" t="inlineStr">
        <is>
          <t>Non-Billable</t>
        </is>
      </c>
      <c r="N2386" s="6">
        <f>IF(B2386="","",IF(ISNUMBER(B2386),TEXT(B2386,"YYYY-MM"),LEFT(B2386,7)))</f>
        <v/>
      </c>
    </row>
    <row r="2387">
      <c r="A2387" t="inlineStr">
        <is>
          <t>Clement Obeng-Manu</t>
        </is>
      </c>
      <c r="B2387" s="4" t="n">
        <v>46055</v>
      </c>
      <c r="C2387" t="inlineStr">
        <is>
          <t>/</t>
        </is>
      </c>
      <c r="D2387" t="inlineStr">
        <is>
          <t>Clement Obeng-Manu</t>
        </is>
      </c>
      <c r="E2387" t="inlineStr">
        <is>
          <t>OdooBot</t>
        </is>
      </c>
      <c r="F2387" s="5" t="n">
        <v>46154.70721064815</v>
      </c>
      <c r="H2387" t="inlineStr">
        <is>
          <t>PCGH722</t>
        </is>
      </c>
      <c r="I2387" t="n">
        <v>0</v>
      </c>
      <c r="J2387" t="inlineStr">
        <is>
          <t>PCGH722 - Analysis and Reporting (3) (Sucrivoire SA)</t>
        </is>
      </c>
      <c r="K2387" t="inlineStr">
        <is>
          <t>Analysis and Reporting (3)</t>
        </is>
      </c>
      <c r="L2387" t="b">
        <v>1</v>
      </c>
      <c r="M2387" t="inlineStr">
        <is>
          <t>Billed at a Fixed price</t>
        </is>
      </c>
      <c r="N2387" s="6">
        <f>IF(B2387="","",IF(ISNUMBER(B2387),TEXT(B2387,"YYYY-MM"),LEFT(B2387,7)))</f>
        <v/>
      </c>
    </row>
    <row r="2388">
      <c r="A2388" t="inlineStr">
        <is>
          <t>Clement Obeng-Manu</t>
        </is>
      </c>
      <c r="B2388" s="4" t="n">
        <v>46055</v>
      </c>
      <c r="C2388" t="inlineStr">
        <is>
          <t>/</t>
        </is>
      </c>
      <c r="D2388" t="inlineStr">
        <is>
          <t>Clement Obeng-Manu</t>
        </is>
      </c>
      <c r="E2388" t="inlineStr">
        <is>
          <t>OdooBot</t>
        </is>
      </c>
      <c r="F2388" s="5" t="n">
        <v>46154.70721064815</v>
      </c>
      <c r="H2388" t="inlineStr">
        <is>
          <t>PCGH776 - Deforestation Risk-Assessment Cashew-Coast</t>
        </is>
      </c>
      <c r="I2388" t="n">
        <v>8</v>
      </c>
      <c r="J2388" t="inlineStr">
        <is>
          <t>PCGH776 - Data collection and review (3) (Cashew Coast Products Inc)</t>
        </is>
      </c>
      <c r="L2388" t="b">
        <v>1</v>
      </c>
      <c r="M2388" t="inlineStr">
        <is>
          <t>Billed at a Fixed price</t>
        </is>
      </c>
      <c r="N2388" s="6">
        <f>IF(B2388="","",IF(ISNUMBER(B2388),TEXT(B2388,"YYYY-MM"),LEFT(B2388,7)))</f>
        <v/>
      </c>
    </row>
    <row r="2389">
      <c r="A2389" t="inlineStr">
        <is>
          <t>Clement Obeng-Manu</t>
        </is>
      </c>
      <c r="B2389" s="4" t="n">
        <v>46055</v>
      </c>
      <c r="C2389" t="inlineStr">
        <is>
          <t>/</t>
        </is>
      </c>
      <c r="D2389" t="inlineStr">
        <is>
          <t>Clement Obeng-Manu</t>
        </is>
      </c>
      <c r="E2389" t="inlineStr">
        <is>
          <t>OdooBot</t>
        </is>
      </c>
      <c r="F2389" s="5" t="n">
        <v>46154.70721064815</v>
      </c>
      <c r="H2389" t="inlineStr">
        <is>
          <t>PCGH777</t>
        </is>
      </c>
      <c r="I2389" t="n">
        <v>0</v>
      </c>
      <c r="J2389" t="inlineStr">
        <is>
          <t>PCGH750 - Desk Study and Stakeholder Mapping (Proforest Limited(PCUK GBP))</t>
        </is>
      </c>
      <c r="L2389" t="b">
        <v>1</v>
      </c>
      <c r="M2389" t="inlineStr">
        <is>
          <t>Billed at a Fixed price</t>
        </is>
      </c>
      <c r="N2389" s="6">
        <f>IF(B2389="","",IF(ISNUMBER(B2389),TEXT(B2389,"YYYY-MM"),LEFT(B2389,7)))</f>
        <v/>
      </c>
    </row>
    <row r="2390">
      <c r="A2390" t="inlineStr">
        <is>
          <t>Stephen Doso</t>
        </is>
      </c>
      <c r="B2390" s="4" t="n">
        <v>46055</v>
      </c>
      <c r="C2390" t="inlineStr">
        <is>
          <t>/</t>
        </is>
      </c>
      <c r="D2390" t="inlineStr">
        <is>
          <t>Stephen Doso</t>
        </is>
      </c>
      <c r="E2390" t="inlineStr">
        <is>
          <t>OdooBot</t>
        </is>
      </c>
      <c r="F2390" s="5" t="n">
        <v>46154.70721064815</v>
      </c>
      <c r="G2390" t="inlineStr">
        <is>
          <t>Field verification and reporting in Ivory Coast (3)</t>
        </is>
      </c>
      <c r="H2390" t="inlineStr">
        <is>
          <t>PCGH775 - ESDD of Valency Operations for FMO</t>
        </is>
      </c>
      <c r="I2390" t="n">
        <v>8</v>
      </c>
      <c r="J2390" t="inlineStr">
        <is>
          <t>PCGH775 - Field Verification (3) (Valency International DMCC)</t>
        </is>
      </c>
      <c r="K2390" t="inlineStr">
        <is>
          <t>Site audit/ assessment (Ivory Coast)</t>
        </is>
      </c>
      <c r="L2390" t="b">
        <v>1</v>
      </c>
      <c r="M2390" t="inlineStr">
        <is>
          <t>Billed at a Fixed price</t>
        </is>
      </c>
      <c r="N2390" s="6">
        <f>IF(B2390="","",IF(ISNUMBER(B2390),TEXT(B2390,"YYYY-MM"),LEFT(B2390,7)))</f>
        <v/>
      </c>
    </row>
    <row r="2391">
      <c r="A2391" t="inlineStr">
        <is>
          <t>Kwadwo Baniako Nti</t>
        </is>
      </c>
      <c r="B2391" s="4" t="n">
        <v>46055</v>
      </c>
      <c r="C2391" t="inlineStr">
        <is>
          <t>/</t>
        </is>
      </c>
      <c r="D2391" t="inlineStr">
        <is>
          <t>Kwadwo Baniako Nti</t>
        </is>
      </c>
      <c r="E2391" t="inlineStr">
        <is>
          <t>OdooBot</t>
        </is>
      </c>
      <c r="F2391" s="5" t="n">
        <v>46154.70721064815</v>
      </c>
      <c r="G2391" t="inlineStr">
        <is>
          <t>Development or Updating of the Management Plan</t>
        </is>
      </c>
      <c r="H2391" t="inlineStr">
        <is>
          <t>PCGH762 - GVL HCSA Restoration Project</t>
        </is>
      </c>
      <c r="I2391" t="n">
        <v>8</v>
      </c>
      <c r="J2391" t="inlineStr">
        <is>
          <t>PCGH762 - Development or Updating of the Management Plan (Golden Veroleum Liberia)</t>
        </is>
      </c>
      <c r="K2391" t="inlineStr">
        <is>
          <t>Development or Updating of the Management Plan</t>
        </is>
      </c>
      <c r="L2391" t="b">
        <v>1</v>
      </c>
      <c r="M2391" t="inlineStr">
        <is>
          <t>Billed at a Fixed price</t>
        </is>
      </c>
      <c r="N2391" s="6">
        <f>IF(B2391="","",IF(ISNUMBER(B2391),TEXT(B2391,"YYYY-MM"),LEFT(B2391,7)))</f>
        <v/>
      </c>
    </row>
    <row r="2392">
      <c r="A2392" t="inlineStr">
        <is>
          <t>Kwadwo Baniako Nti</t>
        </is>
      </c>
      <c r="B2392" s="4" t="n">
        <v>46055</v>
      </c>
      <c r="C2392" t="inlineStr">
        <is>
          <t xml:space="preserve">Development, review of Q3 activities </t>
        </is>
      </c>
      <c r="D2392" t="inlineStr">
        <is>
          <t>Kwadwo Baniako Nti</t>
        </is>
      </c>
      <c r="E2392" t="inlineStr">
        <is>
          <t>OdooBot</t>
        </is>
      </c>
      <c r="F2392" s="5" t="n">
        <v>46154.70721064815</v>
      </c>
      <c r="G2392" t="inlineStr">
        <is>
          <t>Desk Study</t>
        </is>
      </c>
      <c r="H2392" t="inlineStr">
        <is>
          <t>PCGH762 - GVL HCSA Restoration Project</t>
        </is>
      </c>
      <c r="I2392" t="n">
        <v>0</v>
      </c>
      <c r="J2392" t="inlineStr">
        <is>
          <t>PCGH762 - Desk Review, Stakeholder Mapping &amp; Analysis and Engagement (Golden Veroleum Liberia)</t>
        </is>
      </c>
      <c r="K2392" t="inlineStr">
        <is>
          <t>Desk Review, Stakeholder Mapping &amp; Analysis and Engagement</t>
        </is>
      </c>
      <c r="L2392" t="b">
        <v>1</v>
      </c>
      <c r="M2392" t="inlineStr">
        <is>
          <t>Billed at a Fixed price</t>
        </is>
      </c>
      <c r="N2392" s="6">
        <f>IF(B2392="","",IF(ISNUMBER(B2392),TEXT(B2392,"YYYY-MM"),LEFT(B2392,7)))</f>
        <v/>
      </c>
    </row>
    <row r="2393">
      <c r="A2393" t="inlineStr">
        <is>
          <t>Kwadwo Baniako Nti</t>
        </is>
      </c>
      <c r="B2393" s="4" t="n">
        <v>46055</v>
      </c>
      <c r="C2393" t="inlineStr">
        <is>
          <t>/</t>
        </is>
      </c>
      <c r="D2393" t="inlineStr">
        <is>
          <t>Kwadwo Baniako Nti</t>
        </is>
      </c>
      <c r="E2393" t="inlineStr">
        <is>
          <t>OdooBot</t>
        </is>
      </c>
      <c r="F2393" s="5" t="n">
        <v>46154.70721064815</v>
      </c>
      <c r="H2393" t="inlineStr">
        <is>
          <t>Non-Billable Tasks</t>
        </is>
      </c>
      <c r="I2393" t="n">
        <v>0</v>
      </c>
      <c r="K2393" t="inlineStr">
        <is>
          <t>Professional development and Knowledge sharing(training,global knowledge calls,exchange weeks)</t>
        </is>
      </c>
      <c r="L2393" t="b">
        <v>0</v>
      </c>
      <c r="M2393" t="inlineStr">
        <is>
          <t>Non-Billable</t>
        </is>
      </c>
      <c r="N2393" s="6">
        <f>IF(B2393="","",IF(ISNUMBER(B2393),TEXT(B2393,"YYYY-MM"),LEFT(B2393,7)))</f>
        <v/>
      </c>
    </row>
    <row r="2394">
      <c r="A2394" t="inlineStr">
        <is>
          <t>Kwadwo Baniako Nti</t>
        </is>
      </c>
      <c r="B2394" s="4" t="n">
        <v>46055</v>
      </c>
      <c r="C2394" t="inlineStr">
        <is>
          <t>Desk review of climate vulnerability and risk for IVC</t>
        </is>
      </c>
      <c r="D2394" t="inlineStr">
        <is>
          <t>Kwadwo Baniako Nti</t>
        </is>
      </c>
      <c r="E2394" t="inlineStr">
        <is>
          <t>OdooBot</t>
        </is>
      </c>
      <c r="F2394" s="5" t="n">
        <v>46154.70721064815</v>
      </c>
      <c r="H2394" t="inlineStr">
        <is>
          <t>PCGH775 - ESDD of Valency Operations for FMO</t>
        </is>
      </c>
      <c r="I2394" t="n">
        <v>0</v>
      </c>
      <c r="K2394" t="inlineStr">
        <is>
          <t>Desk study, development of assessment framework &amp; online meetings (3)</t>
        </is>
      </c>
      <c r="L2394" t="b">
        <v>1</v>
      </c>
      <c r="M2394" t="inlineStr">
        <is>
          <t>Non-Billable</t>
        </is>
      </c>
      <c r="N2394" s="6">
        <f>IF(B2394="","",IF(ISNUMBER(B2394),TEXT(B2394,"YYYY-MM"),LEFT(B2394,7)))</f>
        <v/>
      </c>
    </row>
    <row r="2395">
      <c r="A2395" t="inlineStr">
        <is>
          <t>Augustus Asamoah</t>
        </is>
      </c>
      <c r="B2395" s="4" t="n">
        <v>46055</v>
      </c>
      <c r="C2395" t="inlineStr">
        <is>
          <t>/</t>
        </is>
      </c>
      <c r="D2395" t="inlineStr">
        <is>
          <t>Augustus Asamoah</t>
        </is>
      </c>
      <c r="E2395" t="inlineStr">
        <is>
          <t>OdooBot</t>
        </is>
      </c>
      <c r="F2395" s="5" t="n">
        <v>46154.70721064815</v>
      </c>
      <c r="H2395" t="inlineStr">
        <is>
          <t>Non-Billable Tasks</t>
        </is>
      </c>
      <c r="I2395" t="n">
        <v>0</v>
      </c>
      <c r="K2395" t="inlineStr">
        <is>
          <t>Annual Leave</t>
        </is>
      </c>
      <c r="L2395" t="b">
        <v>0</v>
      </c>
      <c r="M2395" t="inlineStr">
        <is>
          <t>Non-Billable</t>
        </is>
      </c>
      <c r="N2395" s="6">
        <f>IF(B2395="","",IF(ISNUMBER(B2395),TEXT(B2395,"YYYY-MM"),LEFT(B2395,7)))</f>
        <v/>
      </c>
    </row>
    <row r="2396">
      <c r="A2396" t="inlineStr">
        <is>
          <t>Augustus Asamoah</t>
        </is>
      </c>
      <c r="B2396" s="4" t="n">
        <v>46055</v>
      </c>
      <c r="C2396" t="inlineStr">
        <is>
          <t>/</t>
        </is>
      </c>
      <c r="D2396" t="inlineStr">
        <is>
          <t>Augustus Asamoah</t>
        </is>
      </c>
      <c r="E2396" t="inlineStr">
        <is>
          <t>OdooBot</t>
        </is>
      </c>
      <c r="F2396" s="5" t="n">
        <v>46154.70721064815</v>
      </c>
      <c r="H2396" t="inlineStr">
        <is>
          <t>P13NC00A00 - WALMART II</t>
        </is>
      </c>
      <c r="I2396" t="n">
        <v>1</v>
      </c>
      <c r="L2396" t="b">
        <v>0</v>
      </c>
      <c r="M2396" t="inlineStr">
        <is>
          <t>Non-Billable</t>
        </is>
      </c>
      <c r="N2396" s="6">
        <f>IF(B2396="","",IF(ISNUMBER(B2396),TEXT(B2396,"YYYY-MM"),LEFT(B2396,7)))</f>
        <v/>
      </c>
    </row>
    <row r="2397">
      <c r="A2397" t="inlineStr">
        <is>
          <t>Augustus Asamoah</t>
        </is>
      </c>
      <c r="B2397" s="4" t="n">
        <v>46055</v>
      </c>
      <c r="C2397" t="inlineStr">
        <is>
          <t>/</t>
        </is>
      </c>
      <c r="D2397" t="inlineStr">
        <is>
          <t>Augustus Asamoah</t>
        </is>
      </c>
      <c r="E2397" t="inlineStr">
        <is>
          <t>OdooBot</t>
        </is>
      </c>
      <c r="F2397" s="5" t="n">
        <v>46154.70721064815</v>
      </c>
      <c r="H2397" t="inlineStr">
        <is>
          <t>PCGH769</t>
        </is>
      </c>
      <c r="I2397" t="n">
        <v>0</v>
      </c>
      <c r="J2397" t="inlineStr">
        <is>
          <t>PCGH769 - Fauna Survey (Biase Plantations Ltd.)</t>
        </is>
      </c>
      <c r="K2397" t="inlineStr">
        <is>
          <t>HCV/HCS - Fauna Survey</t>
        </is>
      </c>
      <c r="L2397" t="b">
        <v>1</v>
      </c>
      <c r="M2397" t="inlineStr">
        <is>
          <t>Billed at a Fixed price</t>
        </is>
      </c>
      <c r="N2397" s="6">
        <f>IF(B2397="","",IF(ISNUMBER(B2397),TEXT(B2397,"YYYY-MM"),LEFT(B2397,7)))</f>
        <v/>
      </c>
    </row>
    <row r="2398">
      <c r="A2398" t="inlineStr">
        <is>
          <t>Augustus Asamoah</t>
        </is>
      </c>
      <c r="B2398" s="4" t="n">
        <v>46055</v>
      </c>
      <c r="C2398" t="inlineStr">
        <is>
          <t>/</t>
        </is>
      </c>
      <c r="D2398" t="inlineStr">
        <is>
          <t>Augustus Asamoah</t>
        </is>
      </c>
      <c r="E2398" t="inlineStr">
        <is>
          <t>OdooBot</t>
        </is>
      </c>
      <c r="F2398" s="5" t="n">
        <v>46154.70721064815</v>
      </c>
      <c r="H2398" t="inlineStr">
        <is>
          <t>PCGH771</t>
        </is>
      </c>
      <c r="I2398" t="n">
        <v>4</v>
      </c>
      <c r="J2398" t="inlineStr">
        <is>
          <t>PCGH771 - Analysis and Reporting (3) (Okeosisi Jonathan)</t>
        </is>
      </c>
      <c r="K2398" t="inlineStr">
        <is>
          <t>Analysis and Reporting (Reporting)</t>
        </is>
      </c>
      <c r="L2398" t="b">
        <v>1</v>
      </c>
      <c r="M2398" t="inlineStr">
        <is>
          <t>Billed at a Fixed price</t>
        </is>
      </c>
      <c r="N2398" s="6">
        <f>IF(B2398="","",IF(ISNUMBER(B2398),TEXT(B2398,"YYYY-MM"),LEFT(B2398,7)))</f>
        <v/>
      </c>
    </row>
    <row r="2399">
      <c r="A2399" t="inlineStr">
        <is>
          <t>Augustus Asamoah</t>
        </is>
      </c>
      <c r="B2399" s="4" t="n">
        <v>46055</v>
      </c>
      <c r="C2399" t="inlineStr">
        <is>
          <t>Inception Plan</t>
        </is>
      </c>
      <c r="D2399" t="inlineStr">
        <is>
          <t>Augustus Asamoah</t>
        </is>
      </c>
      <c r="E2399" t="inlineStr">
        <is>
          <t>OdooBot</t>
        </is>
      </c>
      <c r="F2399" s="5" t="n">
        <v>46154.70721064815</v>
      </c>
      <c r="G2399" t="inlineStr">
        <is>
          <t>Programme Personnel and Management</t>
        </is>
      </c>
      <c r="H2399" t="inlineStr">
        <is>
          <t>P13QC00A00 - EFI Programme</t>
        </is>
      </c>
      <c r="I2399" t="n">
        <v>3</v>
      </c>
      <c r="K2399" t="inlineStr">
        <is>
          <t>Programme Personnel</t>
        </is>
      </c>
      <c r="L2399" t="b">
        <v>0</v>
      </c>
      <c r="M2399" t="inlineStr">
        <is>
          <t>Non-Billable</t>
        </is>
      </c>
      <c r="N2399" s="6">
        <f>IF(B2399="","",IF(ISNUMBER(B2399),TEXT(B2399,"YYYY-MM"),LEFT(B2399,7)))</f>
        <v/>
      </c>
    </row>
    <row r="2400">
      <c r="A2400" t="inlineStr">
        <is>
          <t>Daleba Bernard Kpenahi Raymond</t>
        </is>
      </c>
      <c r="B2400" s="4" t="n">
        <v>46055</v>
      </c>
      <c r="C2400" t="inlineStr">
        <is>
          <t xml:space="preserve">Valency operations field assessment in Bouake, Daloa and Attingue </t>
        </is>
      </c>
      <c r="D2400" t="inlineStr">
        <is>
          <t>Daleba Bernard Kpenahi Raymond</t>
        </is>
      </c>
      <c r="E2400" t="inlineStr">
        <is>
          <t>OdooBot</t>
        </is>
      </c>
      <c r="F2400" s="5" t="n">
        <v>46154.70721064815</v>
      </c>
      <c r="G2400" t="inlineStr">
        <is>
          <t>Field verification and reporting in Ivory Coast (3)</t>
        </is>
      </c>
      <c r="H2400" t="inlineStr">
        <is>
          <t>PCGH775 - ESDD of Valency Operations for FMO</t>
        </is>
      </c>
      <c r="I2400" t="n">
        <v>8</v>
      </c>
      <c r="J2400" t="inlineStr">
        <is>
          <t>PCGH775 - Field Verification (3) (Valency International DMCC)</t>
        </is>
      </c>
      <c r="K2400" t="inlineStr">
        <is>
          <t>Site audit/ assessment (Ivory Coast)</t>
        </is>
      </c>
      <c r="L2400" t="b">
        <v>1</v>
      </c>
      <c r="M2400" t="inlineStr">
        <is>
          <t>Billed at a Fixed price</t>
        </is>
      </c>
      <c r="N2400" s="6">
        <f>IF(B2400="","",IF(ISNUMBER(B2400),TEXT(B2400,"YYYY-MM"),LEFT(B2400,7)))</f>
        <v/>
      </c>
    </row>
    <row r="2401">
      <c r="A2401" t="inlineStr">
        <is>
          <t>Kingsley Fitz-Gerald Severine</t>
        </is>
      </c>
      <c r="B2401" s="4" t="n">
        <v>46055</v>
      </c>
      <c r="C2401" t="inlineStr">
        <is>
          <t>/</t>
        </is>
      </c>
      <c r="D2401" t="inlineStr">
        <is>
          <t>Kingsley Fitz-Gerald Severine</t>
        </is>
      </c>
      <c r="E2401" t="inlineStr">
        <is>
          <t>OdooBot</t>
        </is>
      </c>
      <c r="F2401" s="5" t="n">
        <v>46154.70721064815</v>
      </c>
      <c r="H2401" t="inlineStr">
        <is>
          <t>PCGH771</t>
        </is>
      </c>
      <c r="I2401" t="n">
        <v>8</v>
      </c>
      <c r="J2401" t="inlineStr">
        <is>
          <t>PCGH771 - Analysis and Reporting (3) (Okeosisi Jonathan)</t>
        </is>
      </c>
      <c r="K2401" t="inlineStr">
        <is>
          <t>Analysis and Reporting (Reporting)</t>
        </is>
      </c>
      <c r="L2401" t="b">
        <v>1</v>
      </c>
      <c r="M2401" t="inlineStr">
        <is>
          <t>Billed at a Fixed price</t>
        </is>
      </c>
      <c r="N2401" s="6">
        <f>IF(B2401="","",IF(ISNUMBER(B2401),TEXT(B2401,"YYYY-MM"),LEFT(B2401,7)))</f>
        <v/>
      </c>
    </row>
    <row r="2402">
      <c r="A2402" t="inlineStr">
        <is>
          <t>Michael Anim</t>
        </is>
      </c>
      <c r="B2402" s="4" t="n">
        <v>46052</v>
      </c>
      <c r="C2402" t="inlineStr">
        <is>
          <t>/</t>
        </is>
      </c>
      <c r="D2402" t="inlineStr">
        <is>
          <t>Patricia Offei</t>
        </is>
      </c>
      <c r="E2402" t="inlineStr">
        <is>
          <t>Michael Anim</t>
        </is>
      </c>
      <c r="F2402" s="5" t="n">
        <v>46163.54895833333</v>
      </c>
      <c r="G2402" t="inlineStr">
        <is>
          <t>Desk study, development of assessment framework &amp; online meetings (3)</t>
        </is>
      </c>
      <c r="H2402" t="inlineStr">
        <is>
          <t>PCGH775 - ESDD of Valency Operations for FMO</t>
        </is>
      </c>
      <c r="I2402" t="n">
        <v>4</v>
      </c>
      <c r="J2402" t="inlineStr">
        <is>
          <t>PCGH775 - Development of Assessment Framework (3) (Valency International DMCC)</t>
        </is>
      </c>
      <c r="K2402" t="inlineStr">
        <is>
          <t>Desk Study</t>
        </is>
      </c>
      <c r="L2402" t="b">
        <v>1</v>
      </c>
      <c r="M2402" t="inlineStr">
        <is>
          <t>Billed at a Fixed price</t>
        </is>
      </c>
      <c r="N2402" s="6">
        <f>IF(B2402="","",IF(ISNUMBER(B2402),TEXT(B2402,"YYYY-MM"),LEFT(B2402,7)))</f>
        <v/>
      </c>
    </row>
    <row r="2403">
      <c r="A2403" t="inlineStr">
        <is>
          <t>Louis Defo</t>
        </is>
      </c>
      <c r="B2403" s="4" t="n">
        <v>46052</v>
      </c>
      <c r="C2403" t="inlineStr">
        <is>
          <t>/</t>
        </is>
      </c>
      <c r="D2403" t="inlineStr">
        <is>
          <t>Louis Defo</t>
        </is>
      </c>
      <c r="E2403" t="inlineStr">
        <is>
          <t>Louis Defo</t>
        </is>
      </c>
      <c r="F2403" s="5" t="n">
        <v>46161.34439814815</v>
      </c>
      <c r="H2403" t="inlineStr">
        <is>
          <t>P23AC00C00 - FGMC</t>
        </is>
      </c>
      <c r="I2403" t="n">
        <v>8</v>
      </c>
      <c r="L2403" t="b">
        <v>0</v>
      </c>
      <c r="M2403" t="inlineStr">
        <is>
          <t>Non-Billable</t>
        </is>
      </c>
      <c r="N2403" s="6">
        <f>IF(B2403="","",IF(ISNUMBER(B2403),TEXT(B2403,"YYYY-MM"),LEFT(B2403,7)))</f>
        <v/>
      </c>
    </row>
    <row r="2404">
      <c r="A2404" t="inlineStr">
        <is>
          <t>Frederick Antwi</t>
        </is>
      </c>
      <c r="B2404" s="4" t="n">
        <v>46052</v>
      </c>
      <c r="C2404" t="inlineStr">
        <is>
          <t>/</t>
        </is>
      </c>
      <c r="D2404" t="inlineStr">
        <is>
          <t>Frederick Antwi</t>
        </is>
      </c>
      <c r="E2404" t="inlineStr">
        <is>
          <t>Frederick Antwi</t>
        </is>
      </c>
      <c r="F2404" s="5" t="n">
        <v>46160.55175925926</v>
      </c>
      <c r="H2404" t="inlineStr">
        <is>
          <t>PCGH768</t>
        </is>
      </c>
      <c r="I2404" t="n">
        <v>8</v>
      </c>
      <c r="L2404" t="b">
        <v>1</v>
      </c>
      <c r="M2404" t="inlineStr">
        <is>
          <t>Non-Billable</t>
        </is>
      </c>
      <c r="N2404" s="6">
        <f>IF(B2404="","",IF(ISNUMBER(B2404),TEXT(B2404,"YYYY-MM"),LEFT(B2404,7)))</f>
        <v/>
      </c>
    </row>
    <row r="2405">
      <c r="A2405" t="inlineStr">
        <is>
          <t>James Parker Mckeown</t>
        </is>
      </c>
      <c r="B2405" s="4" t="n">
        <v>46052</v>
      </c>
      <c r="C2405" t="inlineStr">
        <is>
          <t>Bridge budget splitting: Ghana, Liberia &amp; Cameroon</t>
        </is>
      </c>
      <c r="D2405" t="inlineStr">
        <is>
          <t>James Parker Mckeown</t>
        </is>
      </c>
      <c r="E2405" t="inlineStr">
        <is>
          <t>James Parker Mckeown</t>
        </is>
      </c>
      <c r="F2405" s="5" t="n">
        <v>46156.87267361111</v>
      </c>
      <c r="G2405" t="inlineStr">
        <is>
          <t>Output 4</t>
        </is>
      </c>
      <c r="H2405" t="inlineStr">
        <is>
          <t>P23AC00C00 - FGMC</t>
        </is>
      </c>
      <c r="I2405" t="n">
        <v>3</v>
      </c>
      <c r="K2405" t="inlineStr">
        <is>
          <t>P23AC03A00 - Project Management</t>
        </is>
      </c>
      <c r="L2405" t="b">
        <v>0</v>
      </c>
      <c r="M2405" t="inlineStr">
        <is>
          <t>Non-Billable</t>
        </is>
      </c>
      <c r="N2405" s="6">
        <f>IF(B2405="","",IF(ISNUMBER(B2405),TEXT(B2405,"YYYY-MM"),LEFT(B2405,7)))</f>
        <v/>
      </c>
    </row>
    <row r="2406">
      <c r="A2406" t="inlineStr">
        <is>
          <t>James Parker Mckeown</t>
        </is>
      </c>
      <c r="B2406" s="4" t="n">
        <v>46052</v>
      </c>
      <c r="C2406" t="inlineStr">
        <is>
          <t>PFAFR BRIDGE (Internal): Weekly Catch-up</t>
        </is>
      </c>
      <c r="D2406" t="inlineStr">
        <is>
          <t>James Parker Mckeown</t>
        </is>
      </c>
      <c r="E2406" t="inlineStr">
        <is>
          <t>James Parker Mckeown</t>
        </is>
      </c>
      <c r="F2406" s="5" t="n">
        <v>46156.87199074074</v>
      </c>
      <c r="G2406" t="inlineStr">
        <is>
          <t>Output 4</t>
        </is>
      </c>
      <c r="H2406" t="inlineStr">
        <is>
          <t>P23AC00C00 - FGMC</t>
        </is>
      </c>
      <c r="I2406" t="n">
        <v>4</v>
      </c>
      <c r="K2406" t="inlineStr">
        <is>
          <t>P23AC03A00 - Project Management</t>
        </is>
      </c>
      <c r="L2406" t="b">
        <v>0</v>
      </c>
      <c r="M2406" t="inlineStr">
        <is>
          <t>Non-Billable</t>
        </is>
      </c>
      <c r="N2406" s="6">
        <f>IF(B2406="","",IF(ISNUMBER(B2406),TEXT(B2406,"YYYY-MM"),LEFT(B2406,7)))</f>
        <v/>
      </c>
    </row>
    <row r="2407">
      <c r="A2407" t="inlineStr">
        <is>
          <t>Stephen Doso</t>
        </is>
      </c>
      <c r="B2407" s="4" t="n">
        <v>46052</v>
      </c>
      <c r="C2407" t="inlineStr">
        <is>
          <t>/</t>
        </is>
      </c>
      <c r="D2407" t="inlineStr">
        <is>
          <t>Stephen Doso</t>
        </is>
      </c>
      <c r="E2407" t="inlineStr">
        <is>
          <t>OdooBot</t>
        </is>
      </c>
      <c r="F2407" s="5" t="n">
        <v>46154.70721064815</v>
      </c>
      <c r="H2407" t="inlineStr">
        <is>
          <t>Non-Billable Tasks</t>
        </is>
      </c>
      <c r="I2407" t="n">
        <v>2</v>
      </c>
      <c r="K2407" t="inlineStr">
        <is>
          <t>Portfolio Team Management</t>
        </is>
      </c>
      <c r="L2407" t="b">
        <v>0</v>
      </c>
      <c r="M2407" t="inlineStr">
        <is>
          <t>Non-Billable</t>
        </is>
      </c>
      <c r="N2407" s="6">
        <f>IF(B2407="","",IF(ISNUMBER(B2407),TEXT(B2407,"YYYY-MM"),LEFT(B2407,7)))</f>
        <v/>
      </c>
    </row>
    <row r="2408">
      <c r="A2408" t="inlineStr">
        <is>
          <t>Stephen Doso</t>
        </is>
      </c>
      <c r="B2408" s="4" t="n">
        <v>46052</v>
      </c>
      <c r="C2408" t="inlineStr">
        <is>
          <t>/</t>
        </is>
      </c>
      <c r="D2408" t="inlineStr">
        <is>
          <t>Stephen Doso</t>
        </is>
      </c>
      <c r="E2408" t="inlineStr">
        <is>
          <t>OdooBot</t>
        </is>
      </c>
      <c r="F2408" s="5" t="n">
        <v>46154.70721064815</v>
      </c>
      <c r="G2408" t="inlineStr">
        <is>
          <t>Desk study, development of assessment framework &amp; online meetings (2)</t>
        </is>
      </c>
      <c r="H2408" t="inlineStr">
        <is>
          <t>PCGH775 - ESDD of Valency Operations for FMO</t>
        </is>
      </c>
      <c r="I2408" t="n">
        <v>6</v>
      </c>
      <c r="J2408" t="inlineStr">
        <is>
          <t>PCGH775 - Development of Assessment Framework (2) (Valency International DMCC)</t>
        </is>
      </c>
      <c r="K2408" t="inlineStr">
        <is>
          <t>Preparations and online meetings to discuss red flags</t>
        </is>
      </c>
      <c r="L2408" t="b">
        <v>1</v>
      </c>
      <c r="M2408" t="inlineStr">
        <is>
          <t>Billed at a Fixed price</t>
        </is>
      </c>
      <c r="N2408" s="6">
        <f>IF(B2408="","",IF(ISNUMBER(B2408),TEXT(B2408,"YYYY-MM"),LEFT(B2408,7)))</f>
        <v/>
      </c>
    </row>
    <row r="2409">
      <c r="A2409" t="inlineStr">
        <is>
          <t>Kwadwo Baniako Nti</t>
        </is>
      </c>
      <c r="B2409" s="4" t="n">
        <v>46052</v>
      </c>
      <c r="C2409" t="inlineStr">
        <is>
          <t>/</t>
        </is>
      </c>
      <c r="D2409" t="inlineStr">
        <is>
          <t>Kwadwo Baniako Nti</t>
        </is>
      </c>
      <c r="E2409" t="inlineStr">
        <is>
          <t>OdooBot</t>
        </is>
      </c>
      <c r="F2409" s="5" t="n">
        <v>46154.70721064815</v>
      </c>
      <c r="H2409" t="inlineStr">
        <is>
          <t>PCGH762 - GVL HCSA Restoration Project</t>
        </is>
      </c>
      <c r="I2409" t="n">
        <v>8</v>
      </c>
      <c r="J2409" t="inlineStr">
        <is>
          <t>PCGH762 - Baseline Socio-Economic &amp; Environmental Surveys (Golden Veroleum Liberia)</t>
        </is>
      </c>
      <c r="K2409" t="inlineStr">
        <is>
          <t>Baseline Socio-Economic &amp; Environmental Surveys</t>
        </is>
      </c>
      <c r="L2409" t="b">
        <v>1</v>
      </c>
      <c r="M2409" t="inlineStr">
        <is>
          <t>Billed at a Fixed price</t>
        </is>
      </c>
      <c r="N2409" s="6">
        <f>IF(B2409="","",IF(ISNUMBER(B2409),TEXT(B2409,"YYYY-MM"),LEFT(B2409,7)))</f>
        <v/>
      </c>
    </row>
    <row r="2410">
      <c r="A2410" t="inlineStr">
        <is>
          <t>Daleba Bernard Kpenahi Raymond</t>
        </is>
      </c>
      <c r="B2410" s="4" t="n">
        <v>46052</v>
      </c>
      <c r="C2410" t="inlineStr">
        <is>
          <t>/</t>
        </is>
      </c>
      <c r="D2410" t="inlineStr">
        <is>
          <t>Daleba Bernard Kpenahi Raymond</t>
        </is>
      </c>
      <c r="E2410" t="inlineStr">
        <is>
          <t>OdooBot</t>
        </is>
      </c>
      <c r="F2410" s="5" t="n">
        <v>46154.70721064815</v>
      </c>
      <c r="H2410" t="inlineStr">
        <is>
          <t>Non-Billable Tasks</t>
        </is>
      </c>
      <c r="I2410" t="n">
        <v>4</v>
      </c>
      <c r="K2410" t="inlineStr">
        <is>
          <t>Professional development and Knowledge sharing(training,global knowledge calls,exchange weeks)</t>
        </is>
      </c>
      <c r="L2410" t="b">
        <v>0</v>
      </c>
      <c r="M2410" t="inlineStr">
        <is>
          <t>Non-Billable</t>
        </is>
      </c>
      <c r="N2410" s="6">
        <f>IF(B2410="","",IF(ISNUMBER(B2410),TEXT(B2410,"YYYY-MM"),LEFT(B2410,7)))</f>
        <v/>
      </c>
    </row>
    <row r="2411">
      <c r="A2411" t="inlineStr">
        <is>
          <t>Ekow Nyamekye Tawiah</t>
        </is>
      </c>
      <c r="B2411" s="4" t="n">
        <v>46052</v>
      </c>
      <c r="C2411" t="inlineStr">
        <is>
          <t>PFAFR Responsible Sourcing Catch-up call</t>
        </is>
      </c>
      <c r="D2411" t="inlineStr">
        <is>
          <t>Ekow Nyamekye Tawiah</t>
        </is>
      </c>
      <c r="E2411" t="inlineStr">
        <is>
          <t>OdooBot</t>
        </is>
      </c>
      <c r="F2411" s="5" t="n">
        <v>46154.70721064815</v>
      </c>
      <c r="H2411" t="inlineStr">
        <is>
          <t>Non-Billable Tasks</t>
        </is>
      </c>
      <c r="I2411" t="n">
        <v>1</v>
      </c>
      <c r="K2411" t="inlineStr">
        <is>
          <t>Professional development and Knowledge sharing(training,global knowledge calls,exchange weeks)</t>
        </is>
      </c>
      <c r="L2411" t="b">
        <v>0</v>
      </c>
      <c r="M2411" t="inlineStr">
        <is>
          <t>Non-Billable</t>
        </is>
      </c>
      <c r="N2411" s="6">
        <f>IF(B2411="","",IF(ISNUMBER(B2411),TEXT(B2411,"YYYY-MM"),LEFT(B2411,7)))</f>
        <v/>
      </c>
    </row>
    <row r="2412">
      <c r="A2412" t="inlineStr">
        <is>
          <t>Ekow Nyamekye Tawiah</t>
        </is>
      </c>
      <c r="B2412" s="4" t="n">
        <v>46052</v>
      </c>
      <c r="C2412" t="inlineStr">
        <is>
          <t>/</t>
        </is>
      </c>
      <c r="D2412" t="inlineStr">
        <is>
          <t>Ekow Nyamekye Tawiah</t>
        </is>
      </c>
      <c r="E2412" t="inlineStr">
        <is>
          <t>OdooBot</t>
        </is>
      </c>
      <c r="F2412" s="5" t="n">
        <v>46154.70721064815</v>
      </c>
      <c r="H2412" t="inlineStr">
        <is>
          <t>PCGH761</t>
        </is>
      </c>
      <c r="I2412" t="n">
        <v>3</v>
      </c>
      <c r="J2412" t="inlineStr">
        <is>
          <t>PCGH761 - Inception (3) (Fauna and Flora International Liberia)</t>
        </is>
      </c>
      <c r="L2412" t="b">
        <v>1</v>
      </c>
      <c r="M2412" t="inlineStr">
        <is>
          <t>Billed at a Fixed price</t>
        </is>
      </c>
      <c r="N2412" s="6">
        <f>IF(B2412="","",IF(ISNUMBER(B2412),TEXT(B2412,"YYYY-MM"),LEFT(B2412,7)))</f>
        <v/>
      </c>
    </row>
    <row r="2413">
      <c r="A2413" t="inlineStr">
        <is>
          <t>Afua Serwah Akoto Prempeh</t>
        </is>
      </c>
      <c r="B2413" s="4" t="n">
        <v>46052</v>
      </c>
      <c r="C2413" t="inlineStr">
        <is>
          <t>/</t>
        </is>
      </c>
      <c r="D2413" t="inlineStr">
        <is>
          <t>Afua Serwah Akoto Prempeh</t>
        </is>
      </c>
      <c r="E2413" t="inlineStr">
        <is>
          <t>OdooBot</t>
        </is>
      </c>
      <c r="F2413" s="5" t="n">
        <v>46154.70721064815</v>
      </c>
      <c r="H2413" t="inlineStr">
        <is>
          <t>Non-Billable Tasks</t>
        </is>
      </c>
      <c r="I2413" t="n">
        <v>6</v>
      </c>
      <c r="K2413" t="inlineStr">
        <is>
          <t>Communication/Data/Training</t>
        </is>
      </c>
      <c r="L2413" t="b">
        <v>0</v>
      </c>
      <c r="M2413" t="inlineStr">
        <is>
          <t>Non-Billable</t>
        </is>
      </c>
      <c r="N2413" s="6">
        <f>IF(B2413="","",IF(ISNUMBER(B2413),TEXT(B2413,"YYYY-MM"),LEFT(B2413,7)))</f>
        <v/>
      </c>
    </row>
    <row r="2414">
      <c r="A2414" t="inlineStr">
        <is>
          <t>Afua Serwah Akoto Prempeh</t>
        </is>
      </c>
      <c r="B2414" s="4" t="n">
        <v>46052</v>
      </c>
      <c r="C2414" t="inlineStr">
        <is>
          <t>/</t>
        </is>
      </c>
      <c r="D2414" t="inlineStr">
        <is>
          <t>Afua Serwah Akoto Prempeh</t>
        </is>
      </c>
      <c r="E2414" t="inlineStr">
        <is>
          <t>OdooBot</t>
        </is>
      </c>
      <c r="F2414" s="5" t="n">
        <v>46154.70721064815</v>
      </c>
      <c r="H2414" t="inlineStr">
        <is>
          <t>P23AC00C00 - FGMC</t>
        </is>
      </c>
      <c r="I2414" t="n">
        <v>2</v>
      </c>
      <c r="L2414" t="b">
        <v>0</v>
      </c>
      <c r="M2414" t="inlineStr">
        <is>
          <t>Non-Billable</t>
        </is>
      </c>
      <c r="N2414" s="6">
        <f>IF(B2414="","",IF(ISNUMBER(B2414),TEXT(B2414,"YYYY-MM"),LEFT(B2414,7)))</f>
        <v/>
      </c>
    </row>
    <row r="2415">
      <c r="A2415" t="inlineStr">
        <is>
          <t>Helena Tetteh</t>
        </is>
      </c>
      <c r="B2415" s="4" t="n">
        <v>46052</v>
      </c>
      <c r="C2415" t="inlineStr">
        <is>
          <t>/</t>
        </is>
      </c>
      <c r="D2415" t="inlineStr">
        <is>
          <t xml:space="preserve">Helena Tetteh </t>
        </is>
      </c>
      <c r="E2415" t="inlineStr">
        <is>
          <t>OdooBot</t>
        </is>
      </c>
      <c r="F2415" s="5" t="n">
        <v>46154.70721064815</v>
      </c>
      <c r="H2415" t="inlineStr">
        <is>
          <t>P23AC00C00 - FGMC</t>
        </is>
      </c>
      <c r="I2415" t="n">
        <v>2.666666666666667</v>
      </c>
      <c r="K2415" t="inlineStr">
        <is>
          <t>Output 2.3</t>
        </is>
      </c>
      <c r="L2415" t="b">
        <v>0</v>
      </c>
      <c r="M2415" t="inlineStr">
        <is>
          <t>Non-Billable</t>
        </is>
      </c>
      <c r="N2415" s="6">
        <f>IF(B2415="","",IF(ISNUMBER(B2415),TEXT(B2415,"YYYY-MM"),LEFT(B2415,7)))</f>
        <v/>
      </c>
    </row>
    <row r="2416">
      <c r="A2416" t="inlineStr">
        <is>
          <t>Helena Tetteh</t>
        </is>
      </c>
      <c r="B2416" s="4" t="n">
        <v>46052</v>
      </c>
      <c r="C2416" t="inlineStr">
        <is>
          <t>/</t>
        </is>
      </c>
      <c r="D2416" t="inlineStr">
        <is>
          <t xml:space="preserve">Helena Tetteh </t>
        </is>
      </c>
      <c r="E2416" t="inlineStr">
        <is>
          <t>OdooBot</t>
        </is>
      </c>
      <c r="F2416" s="5" t="n">
        <v>46154.70721064815</v>
      </c>
      <c r="H2416" t="inlineStr">
        <is>
          <t>Non-Billable Tasks</t>
        </is>
      </c>
      <c r="I2416" t="n">
        <v>4.333333333333333</v>
      </c>
      <c r="K2416" t="inlineStr">
        <is>
          <t>Professional development and Knowledge sharing(training,global knowledge calls,exchange weeks)</t>
        </is>
      </c>
      <c r="L2416" t="b">
        <v>0</v>
      </c>
      <c r="M2416" t="inlineStr">
        <is>
          <t>Non-Billable</t>
        </is>
      </c>
      <c r="N2416" s="6">
        <f>IF(B2416="","",IF(ISNUMBER(B2416),TEXT(B2416,"YYYY-MM"),LEFT(B2416,7)))</f>
        <v/>
      </c>
    </row>
    <row r="2417">
      <c r="A2417" t="inlineStr">
        <is>
          <t>Helena Tetteh</t>
        </is>
      </c>
      <c r="B2417" s="4" t="n">
        <v>46052</v>
      </c>
      <c r="C2417" t="inlineStr">
        <is>
          <t>PIA BIP Action plan_Alignment</t>
        </is>
      </c>
      <c r="D2417" t="inlineStr">
        <is>
          <t xml:space="preserve">Helena Tetteh </t>
        </is>
      </c>
      <c r="E2417" t="inlineStr">
        <is>
          <t>OdooBot</t>
        </is>
      </c>
      <c r="F2417" s="5" t="n">
        <v>46154.70721064815</v>
      </c>
      <c r="H2417" t="inlineStr">
        <is>
          <t>Non-Billable Tasks</t>
        </is>
      </c>
      <c r="I2417" t="n">
        <v>1</v>
      </c>
      <c r="K2417" t="inlineStr">
        <is>
          <t>Portfolio Team Management</t>
        </is>
      </c>
      <c r="L2417" t="b">
        <v>0</v>
      </c>
      <c r="M2417" t="inlineStr">
        <is>
          <t>Non-Billable</t>
        </is>
      </c>
      <c r="N2417" s="6">
        <f>IF(B2417="","",IF(ISNUMBER(B2417),TEXT(B2417,"YYYY-MM"),LEFT(B2417,7)))</f>
        <v/>
      </c>
    </row>
    <row r="2418">
      <c r="A2418" t="inlineStr">
        <is>
          <t>Clement Obeng-Manu</t>
        </is>
      </c>
      <c r="B2418" s="4" t="n">
        <v>46052</v>
      </c>
      <c r="C2418" t="inlineStr">
        <is>
          <t xml:space="preserve">Review of Borotou Integrated HCV HCSA report </t>
        </is>
      </c>
      <c r="D2418" t="inlineStr">
        <is>
          <t>Clement Obeng-Manu</t>
        </is>
      </c>
      <c r="E2418" t="inlineStr">
        <is>
          <t>OdooBot</t>
        </is>
      </c>
      <c r="F2418" s="5" t="n">
        <v>46154.70721064815</v>
      </c>
      <c r="H2418" t="inlineStr">
        <is>
          <t>PCGH722</t>
        </is>
      </c>
      <c r="I2418" t="n">
        <v>8</v>
      </c>
      <c r="J2418" t="inlineStr">
        <is>
          <t>PCGH722 - Analysis and Reporting (3) (Sucrivoire SA)</t>
        </is>
      </c>
      <c r="K2418" t="inlineStr">
        <is>
          <t>Analysis and Reporting (3)</t>
        </is>
      </c>
      <c r="L2418" t="b">
        <v>1</v>
      </c>
      <c r="M2418" t="inlineStr">
        <is>
          <t>Billed at a Fixed price</t>
        </is>
      </c>
      <c r="N2418" s="6">
        <f>IF(B2418="","",IF(ISNUMBER(B2418),TEXT(B2418,"YYYY-MM"),LEFT(B2418,7)))</f>
        <v/>
      </c>
    </row>
    <row r="2419">
      <c r="A2419" t="inlineStr">
        <is>
          <t>Augustus Asamoah</t>
        </is>
      </c>
      <c r="B2419" s="4" t="n">
        <v>46052</v>
      </c>
      <c r="C2419" t="inlineStr">
        <is>
          <t>/</t>
        </is>
      </c>
      <c r="D2419" t="inlineStr">
        <is>
          <t>Augustus Asamoah</t>
        </is>
      </c>
      <c r="E2419" t="inlineStr">
        <is>
          <t>OdooBot</t>
        </is>
      </c>
      <c r="F2419" s="5" t="n">
        <v>46154.70721064815</v>
      </c>
      <c r="G2419" t="inlineStr">
        <is>
          <t>Programme Personnel and Management</t>
        </is>
      </c>
      <c r="H2419" t="inlineStr">
        <is>
          <t>P13QC00A00 - EFI Programme</t>
        </is>
      </c>
      <c r="I2419" t="n">
        <v>3</v>
      </c>
      <c r="K2419" t="inlineStr">
        <is>
          <t>Programme Personnel</t>
        </is>
      </c>
      <c r="L2419" t="b">
        <v>0</v>
      </c>
      <c r="M2419" t="inlineStr">
        <is>
          <t>Non-Billable</t>
        </is>
      </c>
      <c r="N2419" s="6">
        <f>IF(B2419="","",IF(ISNUMBER(B2419),TEXT(B2419,"YYYY-MM"),LEFT(B2419,7)))</f>
        <v/>
      </c>
    </row>
    <row r="2420">
      <c r="A2420" t="inlineStr">
        <is>
          <t>Augustus Asamoah</t>
        </is>
      </c>
      <c r="B2420" s="4" t="n">
        <v>46052</v>
      </c>
      <c r="C2420" t="inlineStr">
        <is>
          <t>/</t>
        </is>
      </c>
      <c r="D2420" t="inlineStr">
        <is>
          <t>Augustus Asamoah</t>
        </is>
      </c>
      <c r="E2420" t="inlineStr">
        <is>
          <t>OdooBot</t>
        </is>
      </c>
      <c r="F2420" s="5" t="n">
        <v>46154.70721064815</v>
      </c>
      <c r="H2420" t="inlineStr">
        <is>
          <t>P13NC00A00 - WALMART II</t>
        </is>
      </c>
      <c r="I2420" t="n">
        <v>5</v>
      </c>
      <c r="L2420" t="b">
        <v>0</v>
      </c>
      <c r="M2420" t="inlineStr">
        <is>
          <t>Non-Billable</t>
        </is>
      </c>
      <c r="N2420" s="6">
        <f>IF(B2420="","",IF(ISNUMBER(B2420),TEXT(B2420,"YYYY-MM"),LEFT(B2420,7)))</f>
        <v/>
      </c>
    </row>
    <row r="2421">
      <c r="A2421" t="inlineStr">
        <is>
          <t>Daleba Bernard Kpenahi Raymond</t>
        </is>
      </c>
      <c r="B2421" s="4" t="n">
        <v>46052</v>
      </c>
      <c r="C2421" t="inlineStr">
        <is>
          <t>/</t>
        </is>
      </c>
      <c r="D2421" t="inlineStr">
        <is>
          <t>Daleba Bernard Kpenahi Raymond</t>
        </is>
      </c>
      <c r="E2421" t="inlineStr">
        <is>
          <t>OdooBot</t>
        </is>
      </c>
      <c r="F2421" s="5" t="n">
        <v>46154.70721064815</v>
      </c>
      <c r="G2421" t="inlineStr">
        <is>
          <t>Desk study, development of assessment framework &amp; online meetings (2)</t>
        </is>
      </c>
      <c r="H2421" t="inlineStr">
        <is>
          <t>PCGH775 - ESDD of Valency Operations for FMO</t>
        </is>
      </c>
      <c r="I2421" t="n">
        <v>4</v>
      </c>
      <c r="J2421" t="inlineStr">
        <is>
          <t>PCGH775 - Development of Assessment Framework (2) (Valency International DMCC)</t>
        </is>
      </c>
      <c r="K2421" t="inlineStr">
        <is>
          <t>Desk-study</t>
        </is>
      </c>
      <c r="L2421" t="b">
        <v>1</v>
      </c>
      <c r="M2421" t="inlineStr">
        <is>
          <t>Billed at a Fixed price</t>
        </is>
      </c>
      <c r="N2421" s="6">
        <f>IF(B2421="","",IF(ISNUMBER(B2421),TEXT(B2421,"YYYY-MM"),LEFT(B2421,7)))</f>
        <v/>
      </c>
    </row>
    <row r="2422">
      <c r="A2422" t="inlineStr">
        <is>
          <t>Kingsley Fitz-Gerald Severine</t>
        </is>
      </c>
      <c r="B2422" s="4" t="n">
        <v>46052</v>
      </c>
      <c r="C2422" t="inlineStr">
        <is>
          <t>/</t>
        </is>
      </c>
      <c r="D2422" t="inlineStr">
        <is>
          <t>Kingsley Fitz-Gerald Severine</t>
        </is>
      </c>
      <c r="E2422" t="inlineStr">
        <is>
          <t>OdooBot</t>
        </is>
      </c>
      <c r="F2422" s="5" t="n">
        <v>46154.70721064815</v>
      </c>
      <c r="H2422" t="inlineStr">
        <is>
          <t>PCGH769</t>
        </is>
      </c>
      <c r="I2422" t="n">
        <v>7</v>
      </c>
      <c r="J2422" t="inlineStr">
        <is>
          <t>PCGH769 - Analysis and Reporting (2) (Biase Plantations Ltd.)</t>
        </is>
      </c>
      <c r="K2422" t="inlineStr">
        <is>
          <t>HCV/HCS - Reporting</t>
        </is>
      </c>
      <c r="L2422" t="b">
        <v>1</v>
      </c>
      <c r="M2422" t="inlineStr">
        <is>
          <t>Billed at a Fixed price</t>
        </is>
      </c>
      <c r="N2422" s="6">
        <f>IF(B2422="","",IF(ISNUMBER(B2422),TEXT(B2422,"YYYY-MM"),LEFT(B2422,7)))</f>
        <v/>
      </c>
    </row>
    <row r="2423">
      <c r="A2423" t="inlineStr">
        <is>
          <t>Stephen Doso</t>
        </is>
      </c>
      <c r="B2423" s="4" t="n">
        <v>46052</v>
      </c>
      <c r="C2423" t="inlineStr">
        <is>
          <t>/</t>
        </is>
      </c>
      <c r="D2423" t="inlineStr">
        <is>
          <t>Stephen Doso</t>
        </is>
      </c>
      <c r="E2423" t="inlineStr">
        <is>
          <t>OdooBot</t>
        </is>
      </c>
      <c r="F2423" s="5" t="n">
        <v>46154.70721064815</v>
      </c>
      <c r="H2423" t="inlineStr">
        <is>
          <t>PCGH772</t>
        </is>
      </c>
      <c r="I2423" t="n">
        <v>0</v>
      </c>
      <c r="L2423" t="b">
        <v>1</v>
      </c>
      <c r="M2423" t="inlineStr">
        <is>
          <t>Non-Billable</t>
        </is>
      </c>
      <c r="N2423" s="6">
        <f>IF(B2423="","",IF(ISNUMBER(B2423),TEXT(B2423,"YYYY-MM"),LEFT(B2423,7)))</f>
        <v/>
      </c>
    </row>
    <row r="2424">
      <c r="A2424" t="inlineStr">
        <is>
          <t>Joseph Isaiah Mensah</t>
        </is>
      </c>
      <c r="B2424" s="4" t="n">
        <v>46052</v>
      </c>
      <c r="C2424" t="inlineStr">
        <is>
          <t>Preparation of workplans</t>
        </is>
      </c>
      <c r="D2424" t="inlineStr">
        <is>
          <t>Joseph Isaiah Mensah</t>
        </is>
      </c>
      <c r="E2424" t="inlineStr">
        <is>
          <t>OdooBot</t>
        </is>
      </c>
      <c r="F2424" s="5" t="n">
        <v>46154.70721064815</v>
      </c>
      <c r="H2424" t="inlineStr">
        <is>
          <t>P23AC00C00 - FGMC</t>
        </is>
      </c>
      <c r="I2424" t="n">
        <v>8</v>
      </c>
      <c r="L2424" t="b">
        <v>0</v>
      </c>
      <c r="M2424" t="inlineStr">
        <is>
          <t>Non-Billable</t>
        </is>
      </c>
      <c r="N2424" s="6">
        <f>IF(B2424="","",IF(ISNUMBER(B2424),TEXT(B2424,"YYYY-MM"),LEFT(B2424,7)))</f>
        <v/>
      </c>
    </row>
    <row r="2425">
      <c r="A2425" t="inlineStr">
        <is>
          <t>Michael Anim</t>
        </is>
      </c>
      <c r="B2425" s="4" t="n">
        <v>46051</v>
      </c>
      <c r="C2425" t="inlineStr">
        <is>
          <t>/</t>
        </is>
      </c>
      <c r="D2425" t="inlineStr">
        <is>
          <t>Patricia Offei</t>
        </is>
      </c>
      <c r="E2425" t="inlineStr">
        <is>
          <t>Michael Anim</t>
        </is>
      </c>
      <c r="F2425" s="5" t="n">
        <v>46163.54878472222</v>
      </c>
      <c r="G2425" t="inlineStr">
        <is>
          <t>Desk study, development of assessment framework &amp; online meetings (3)</t>
        </is>
      </c>
      <c r="H2425" t="inlineStr">
        <is>
          <t>PCGH775 - ESDD of Valency Operations for FMO</t>
        </is>
      </c>
      <c r="I2425" t="n">
        <v>4</v>
      </c>
      <c r="J2425" t="inlineStr">
        <is>
          <t>PCGH775 - Development of Assessment Framework (3) (Valency International DMCC)</t>
        </is>
      </c>
      <c r="K2425" t="inlineStr">
        <is>
          <t>Desk Study</t>
        </is>
      </c>
      <c r="L2425" t="b">
        <v>1</v>
      </c>
      <c r="M2425" t="inlineStr">
        <is>
          <t>Billed at a Fixed price</t>
        </is>
      </c>
      <c r="N2425" s="6">
        <f>IF(B2425="","",IF(ISNUMBER(B2425),TEXT(B2425,"YYYY-MM"),LEFT(B2425,7)))</f>
        <v/>
      </c>
    </row>
    <row r="2426">
      <c r="A2426" t="inlineStr">
        <is>
          <t>Louis Defo</t>
        </is>
      </c>
      <c r="B2426" s="4" t="n">
        <v>46051</v>
      </c>
      <c r="C2426" t="inlineStr">
        <is>
          <t>/</t>
        </is>
      </c>
      <c r="D2426" t="inlineStr">
        <is>
          <t>Louis Defo</t>
        </is>
      </c>
      <c r="E2426" t="inlineStr">
        <is>
          <t>Louis Defo</t>
        </is>
      </c>
      <c r="F2426" s="5" t="n">
        <v>46161.34415509259</v>
      </c>
      <c r="H2426" t="inlineStr">
        <is>
          <t>P23AC00C00 - FGMC</t>
        </is>
      </c>
      <c r="I2426" t="n">
        <v>8</v>
      </c>
      <c r="L2426" t="b">
        <v>0</v>
      </c>
      <c r="M2426" t="inlineStr">
        <is>
          <t>Non-Billable</t>
        </is>
      </c>
      <c r="N2426" s="6">
        <f>IF(B2426="","",IF(ISNUMBER(B2426),TEXT(B2426,"YYYY-MM"),LEFT(B2426,7)))</f>
        <v/>
      </c>
    </row>
    <row r="2427">
      <c r="A2427" t="inlineStr">
        <is>
          <t>Frederick Antwi</t>
        </is>
      </c>
      <c r="B2427" s="4" t="n">
        <v>46051</v>
      </c>
      <c r="C2427" t="inlineStr">
        <is>
          <t>/</t>
        </is>
      </c>
      <c r="D2427" t="inlineStr">
        <is>
          <t>Frederick Antwi</t>
        </is>
      </c>
      <c r="E2427" t="inlineStr">
        <is>
          <t>Frederick Antwi</t>
        </is>
      </c>
      <c r="F2427" s="5" t="n">
        <v>46160.55138888889</v>
      </c>
      <c r="H2427" t="inlineStr">
        <is>
          <t>PCGH768</t>
        </is>
      </c>
      <c r="I2427" t="n">
        <v>8</v>
      </c>
      <c r="L2427" t="b">
        <v>1</v>
      </c>
      <c r="M2427" t="inlineStr">
        <is>
          <t>Non-Billable</t>
        </is>
      </c>
      <c r="N2427" s="6">
        <f>IF(B2427="","",IF(ISNUMBER(B2427),TEXT(B2427,"YYYY-MM"),LEFT(B2427,7)))</f>
        <v/>
      </c>
    </row>
    <row r="2428">
      <c r="A2428" t="inlineStr">
        <is>
          <t>James Parker Mckeown</t>
        </is>
      </c>
      <c r="B2428" s="4" t="n">
        <v>46051</v>
      </c>
      <c r="C2428" t="inlineStr">
        <is>
          <t>Discussion with Flora expert</t>
        </is>
      </c>
      <c r="D2428" t="inlineStr">
        <is>
          <t>James Parker Mckeown</t>
        </is>
      </c>
      <c r="E2428" t="inlineStr">
        <is>
          <t>James Parker Mckeown</t>
        </is>
      </c>
      <c r="F2428" s="5" t="n">
        <v>46156.87133101852</v>
      </c>
      <c r="H2428" t="inlineStr">
        <is>
          <t>PCGH762 - GVL HCSA Restoration Project</t>
        </is>
      </c>
      <c r="I2428" t="n">
        <v>1</v>
      </c>
      <c r="J2428" t="inlineStr">
        <is>
          <t>PCGH762 - Baseline Socio-Economic &amp; Environmental Surveys (Golden Veroleum Liberia)</t>
        </is>
      </c>
      <c r="K2428" t="inlineStr">
        <is>
          <t>Baseline Socio-Economic &amp; Environmental Surveys</t>
        </is>
      </c>
      <c r="L2428" t="b">
        <v>1</v>
      </c>
      <c r="M2428" t="inlineStr">
        <is>
          <t>Billed at a Fixed price</t>
        </is>
      </c>
      <c r="N2428" s="6">
        <f>IF(B2428="","",IF(ISNUMBER(B2428),TEXT(B2428,"YYYY-MM"),LEFT(B2428,7)))</f>
        <v/>
      </c>
    </row>
    <row r="2429">
      <c r="A2429" t="inlineStr">
        <is>
          <t>James Parker Mckeown</t>
        </is>
      </c>
      <c r="B2429" s="4" t="n">
        <v>46051</v>
      </c>
      <c r="C2429" t="inlineStr">
        <is>
          <t xml:space="preserve">FGMC: Splitting budgets: by countries </t>
        </is>
      </c>
      <c r="D2429" t="inlineStr">
        <is>
          <t>James Parker Mckeown</t>
        </is>
      </c>
      <c r="E2429" t="inlineStr">
        <is>
          <t>James Parker Mckeown</t>
        </is>
      </c>
      <c r="F2429" s="5" t="n">
        <v>46156.87025462963</v>
      </c>
      <c r="G2429" t="inlineStr">
        <is>
          <t>Output 4</t>
        </is>
      </c>
      <c r="H2429" t="inlineStr">
        <is>
          <t>P23AC00C00 - FGMC</t>
        </is>
      </c>
      <c r="I2429" t="n">
        <v>1.5</v>
      </c>
      <c r="K2429" t="inlineStr">
        <is>
          <t>P23AC03A00 - Project Management</t>
        </is>
      </c>
      <c r="L2429" t="b">
        <v>0</v>
      </c>
      <c r="M2429" t="inlineStr">
        <is>
          <t>Non-Billable</t>
        </is>
      </c>
      <c r="N2429" s="6">
        <f>IF(B2429="","",IF(ISNUMBER(B2429),TEXT(B2429,"YYYY-MM"),LEFT(B2429,7)))</f>
        <v/>
      </c>
    </row>
    <row r="2430">
      <c r="A2430" t="inlineStr">
        <is>
          <t>James Parker Mckeown</t>
        </is>
      </c>
      <c r="B2430" s="4" t="n">
        <v>46051</v>
      </c>
      <c r="C2430" t="inlineStr">
        <is>
          <t xml:space="preserve">Mapping local initiatives in Liberia </t>
        </is>
      </c>
      <c r="D2430" t="inlineStr">
        <is>
          <t>James Parker Mckeown</t>
        </is>
      </c>
      <c r="E2430" t="inlineStr">
        <is>
          <t>James Parker Mckeown</t>
        </is>
      </c>
      <c r="F2430" s="5" t="n">
        <v>46156.86961805556</v>
      </c>
      <c r="G2430" t="inlineStr">
        <is>
          <t>Output 2.3</t>
        </is>
      </c>
      <c r="H2430" t="inlineStr">
        <is>
          <t>P23AC00C00 - FGMC</t>
        </is>
      </c>
      <c r="I2430" t="n">
        <v>6</v>
      </c>
      <c r="K2430" t="inlineStr">
        <is>
          <t>P23AC22A00 - Output Two (Elevating Local Solutions - West Africa)</t>
        </is>
      </c>
      <c r="L2430" t="b">
        <v>0</v>
      </c>
      <c r="M2430" t="inlineStr">
        <is>
          <t>Non-Billable</t>
        </is>
      </c>
      <c r="N2430" s="6">
        <f>IF(B2430="","",IF(ISNUMBER(B2430),TEXT(B2430,"YYYY-MM"),LEFT(B2430,7)))</f>
        <v/>
      </c>
    </row>
    <row r="2431">
      <c r="A2431" t="inlineStr">
        <is>
          <t>Stephen Doso</t>
        </is>
      </c>
      <c r="B2431" s="4" t="n">
        <v>46051</v>
      </c>
      <c r="C2431" t="inlineStr">
        <is>
          <t>Meeting with TOPP</t>
        </is>
      </c>
      <c r="D2431" t="inlineStr">
        <is>
          <t>Stephen Doso</t>
        </is>
      </c>
      <c r="E2431" t="inlineStr">
        <is>
          <t>OdooBot</t>
        </is>
      </c>
      <c r="F2431" s="5" t="n">
        <v>46154.70721064815</v>
      </c>
      <c r="H2431" t="inlineStr">
        <is>
          <t>PCGH762 - GVL HCSA Restoration Project</t>
        </is>
      </c>
      <c r="I2431" t="n">
        <v>1</v>
      </c>
      <c r="J2431" t="inlineStr">
        <is>
          <t>PCGH763 - Desk study (Due diligence) (Jopafram Nigeria Limited)</t>
        </is>
      </c>
      <c r="K2431" t="inlineStr">
        <is>
          <t>Fundraising and proposal development</t>
        </is>
      </c>
      <c r="L2431" t="b">
        <v>1</v>
      </c>
      <c r="M2431" t="inlineStr">
        <is>
          <t>Billed at a Fixed price</t>
        </is>
      </c>
      <c r="N2431" s="6">
        <f>IF(B2431="","",IF(ISNUMBER(B2431),TEXT(B2431,"YYYY-MM"),LEFT(B2431,7)))</f>
        <v/>
      </c>
    </row>
    <row r="2432">
      <c r="A2432" t="inlineStr">
        <is>
          <t>Stephen Doso</t>
        </is>
      </c>
      <c r="B2432" s="4" t="n">
        <v>46051</v>
      </c>
      <c r="C2432" t="inlineStr">
        <is>
          <t>/</t>
        </is>
      </c>
      <c r="D2432" t="inlineStr">
        <is>
          <t>Stephen Doso</t>
        </is>
      </c>
      <c r="E2432" t="inlineStr">
        <is>
          <t>OdooBot</t>
        </is>
      </c>
      <c r="F2432" s="5" t="n">
        <v>46154.70721064815</v>
      </c>
      <c r="G2432" t="inlineStr">
        <is>
          <t>Desk study, development of assessment framework &amp; online meetings (2)</t>
        </is>
      </c>
      <c r="H2432" t="inlineStr">
        <is>
          <t>PCGH775 - ESDD of Valency Operations for FMO</t>
        </is>
      </c>
      <c r="I2432" t="n">
        <v>3</v>
      </c>
      <c r="J2432" t="inlineStr">
        <is>
          <t>PCGH775 - Development of Assessment Framework (2) (Valency International DMCC)</t>
        </is>
      </c>
      <c r="K2432" t="inlineStr">
        <is>
          <t>Preparations and online meetings to discuss red flags</t>
        </is>
      </c>
      <c r="L2432" t="b">
        <v>1</v>
      </c>
      <c r="M2432" t="inlineStr">
        <is>
          <t>Billed at a Fixed price</t>
        </is>
      </c>
      <c r="N2432" s="6">
        <f>IF(B2432="","",IF(ISNUMBER(B2432),TEXT(B2432,"YYYY-MM"),LEFT(B2432,7)))</f>
        <v/>
      </c>
    </row>
    <row r="2433">
      <c r="A2433" t="inlineStr">
        <is>
          <t>Stephen Doso</t>
        </is>
      </c>
      <c r="B2433" s="4" t="n">
        <v>46051</v>
      </c>
      <c r="C2433" t="inlineStr">
        <is>
          <t>/</t>
        </is>
      </c>
      <c r="D2433" t="inlineStr">
        <is>
          <t>Stephen Doso</t>
        </is>
      </c>
      <c r="E2433" t="inlineStr">
        <is>
          <t>OdooBot</t>
        </is>
      </c>
      <c r="F2433" s="5" t="n">
        <v>46154.70721064815</v>
      </c>
      <c r="H2433" t="inlineStr">
        <is>
          <t>PCGH769</t>
        </is>
      </c>
      <c r="I2433" t="n">
        <v>1</v>
      </c>
      <c r="J2433" t="inlineStr">
        <is>
          <t>PCGH769 - Desk Study (2) (Biase Plantations Ltd.)</t>
        </is>
      </c>
      <c r="K2433" t="inlineStr">
        <is>
          <t>HCV/HCS - Reporting and review</t>
        </is>
      </c>
      <c r="L2433" t="b">
        <v>1</v>
      </c>
      <c r="M2433" t="inlineStr">
        <is>
          <t>Billed at a Fixed price</t>
        </is>
      </c>
      <c r="N2433" s="6">
        <f>IF(B2433="","",IF(ISNUMBER(B2433),TEXT(B2433,"YYYY-MM"),LEFT(B2433,7)))</f>
        <v/>
      </c>
    </row>
    <row r="2434">
      <c r="A2434" t="inlineStr">
        <is>
          <t>Stephen Doso</t>
        </is>
      </c>
      <c r="B2434" s="4" t="n">
        <v>46051</v>
      </c>
      <c r="C2434" t="inlineStr">
        <is>
          <t>/</t>
        </is>
      </c>
      <c r="D2434" t="inlineStr">
        <is>
          <t>Stephen Doso</t>
        </is>
      </c>
      <c r="E2434" t="inlineStr">
        <is>
          <t>OdooBot</t>
        </is>
      </c>
      <c r="F2434" s="5" t="n">
        <v>46154.70721064815</v>
      </c>
      <c r="H2434" t="inlineStr">
        <is>
          <t>PCGH774 -Evaluation Deep-Dive Action Plans by Socfin Group</t>
        </is>
      </c>
      <c r="I2434" t="n">
        <v>4</v>
      </c>
      <c r="J2434" t="inlineStr">
        <is>
          <t>PCGH774 - Management and staff meetings (Socfinco FR SA)</t>
        </is>
      </c>
      <c r="K2434" t="inlineStr">
        <is>
          <t xml:space="preserve">Development of evaluation framework for the RMP 2026 - Development of framework for 2026 RMP </t>
        </is>
      </c>
      <c r="L2434" t="b">
        <v>1</v>
      </c>
      <c r="M2434" t="inlineStr">
        <is>
          <t>Billed at a Fixed price</t>
        </is>
      </c>
      <c r="N2434" s="6">
        <f>IF(B2434="","",IF(ISNUMBER(B2434),TEXT(B2434,"YYYY-MM"),LEFT(B2434,7)))</f>
        <v/>
      </c>
    </row>
    <row r="2435">
      <c r="A2435" t="inlineStr">
        <is>
          <t>Kwadwo Baniako Nti</t>
        </is>
      </c>
      <c r="B2435" s="4" t="n">
        <v>46051</v>
      </c>
      <c r="C2435" t="inlineStr">
        <is>
          <t>/</t>
        </is>
      </c>
      <c r="D2435" t="inlineStr">
        <is>
          <t>Kwadwo Baniako Nti</t>
        </is>
      </c>
      <c r="E2435" t="inlineStr">
        <is>
          <t>OdooBot</t>
        </is>
      </c>
      <c r="F2435" s="5" t="n">
        <v>46154.70721064815</v>
      </c>
      <c r="H2435" t="inlineStr">
        <is>
          <t>PCGH762 - GVL HCSA Restoration Project</t>
        </is>
      </c>
      <c r="I2435" t="n">
        <v>8</v>
      </c>
      <c r="J2435" t="inlineStr">
        <is>
          <t>PCGH762 - Baseline Socio-Economic &amp; Environmental Surveys (Golden Veroleum Liberia)</t>
        </is>
      </c>
      <c r="K2435" t="inlineStr">
        <is>
          <t>Baseline Socio-Economic &amp; Environmental Surveys</t>
        </is>
      </c>
      <c r="L2435" t="b">
        <v>1</v>
      </c>
      <c r="M2435" t="inlineStr">
        <is>
          <t>Billed at a Fixed price</t>
        </is>
      </c>
      <c r="N2435" s="6">
        <f>IF(B2435="","",IF(ISNUMBER(B2435),TEXT(B2435,"YYYY-MM"),LEFT(B2435,7)))</f>
        <v/>
      </c>
    </row>
    <row r="2436">
      <c r="A2436" t="inlineStr">
        <is>
          <t>Ekow Nyamekye Tawiah</t>
        </is>
      </c>
      <c r="B2436" s="4" t="n">
        <v>46051</v>
      </c>
      <c r="C2436" t="inlineStr">
        <is>
          <t>Reporting</t>
        </is>
      </c>
      <c r="D2436" t="inlineStr">
        <is>
          <t>Ekow Nyamekye Tawiah</t>
        </is>
      </c>
      <c r="E2436" t="inlineStr">
        <is>
          <t>OdooBot</t>
        </is>
      </c>
      <c r="F2436" s="5" t="n">
        <v>46154.70721064815</v>
      </c>
      <c r="H2436" t="inlineStr">
        <is>
          <t>PCGH761</t>
        </is>
      </c>
      <c r="I2436" t="n">
        <v>4</v>
      </c>
      <c r="J2436" t="inlineStr">
        <is>
          <t>PCGH761 - Training, Capacity Building and Coaching (3) (Fauna and Flora International Liberia)</t>
        </is>
      </c>
      <c r="L2436" t="b">
        <v>1</v>
      </c>
      <c r="M2436" t="inlineStr">
        <is>
          <t>Billed at a Fixed price</t>
        </is>
      </c>
      <c r="N2436" s="6">
        <f>IF(B2436="","",IF(ISNUMBER(B2436),TEXT(B2436,"YYYY-MM"),LEFT(B2436,7)))</f>
        <v/>
      </c>
    </row>
    <row r="2437">
      <c r="A2437" t="inlineStr">
        <is>
          <t>Afua Serwah Akoto Prempeh</t>
        </is>
      </c>
      <c r="B2437" s="4" t="n">
        <v>46051</v>
      </c>
      <c r="C2437" t="inlineStr">
        <is>
          <t>/</t>
        </is>
      </c>
      <c r="D2437" t="inlineStr">
        <is>
          <t>Afua Serwah Akoto Prempeh</t>
        </is>
      </c>
      <c r="E2437" t="inlineStr">
        <is>
          <t>OdooBot</t>
        </is>
      </c>
      <c r="F2437" s="5" t="n">
        <v>46154.70721064815</v>
      </c>
      <c r="H2437" t="inlineStr">
        <is>
          <t>Non-Billable Tasks</t>
        </is>
      </c>
      <c r="I2437" t="n">
        <v>5</v>
      </c>
      <c r="K2437" t="inlineStr">
        <is>
          <t>Communication/Data/Training</t>
        </is>
      </c>
      <c r="L2437" t="b">
        <v>0</v>
      </c>
      <c r="M2437" t="inlineStr">
        <is>
          <t>Non-Billable</t>
        </is>
      </c>
      <c r="N2437" s="6">
        <f>IF(B2437="","",IF(ISNUMBER(B2437),TEXT(B2437,"YYYY-MM"),LEFT(B2437,7)))</f>
        <v/>
      </c>
    </row>
    <row r="2438">
      <c r="A2438" t="inlineStr">
        <is>
          <t>Afua Serwah Akoto Prempeh</t>
        </is>
      </c>
      <c r="B2438" s="4" t="n">
        <v>46051</v>
      </c>
      <c r="C2438" t="inlineStr">
        <is>
          <t>/</t>
        </is>
      </c>
      <c r="D2438" t="inlineStr">
        <is>
          <t>Afua Serwah Akoto Prempeh</t>
        </is>
      </c>
      <c r="E2438" t="inlineStr">
        <is>
          <t>OdooBot</t>
        </is>
      </c>
      <c r="F2438" s="5" t="n">
        <v>46154.70721064815</v>
      </c>
      <c r="H2438" t="inlineStr">
        <is>
          <t>P23AC00C00 - FGMC</t>
        </is>
      </c>
      <c r="I2438" t="n">
        <v>3</v>
      </c>
      <c r="L2438" t="b">
        <v>0</v>
      </c>
      <c r="M2438" t="inlineStr">
        <is>
          <t>Non-Billable</t>
        </is>
      </c>
      <c r="N2438" s="6">
        <f>IF(B2438="","",IF(ISNUMBER(B2438),TEXT(B2438,"YYYY-MM"),LEFT(B2438,7)))</f>
        <v/>
      </c>
    </row>
    <row r="2439">
      <c r="A2439" t="inlineStr">
        <is>
          <t>Helena Tetteh</t>
        </is>
      </c>
      <c r="B2439" s="4" t="n">
        <v>46051</v>
      </c>
      <c r="C2439" t="inlineStr">
        <is>
          <t>/</t>
        </is>
      </c>
      <c r="D2439" t="inlineStr">
        <is>
          <t xml:space="preserve">Helena Tetteh </t>
        </is>
      </c>
      <c r="E2439" t="inlineStr">
        <is>
          <t>OdooBot</t>
        </is>
      </c>
      <c r="F2439" s="5" t="n">
        <v>46154.70721064815</v>
      </c>
      <c r="H2439" t="inlineStr">
        <is>
          <t>P23AC00C00 - FGMC</t>
        </is>
      </c>
      <c r="I2439" t="n">
        <v>0.5</v>
      </c>
      <c r="K2439" t="inlineStr">
        <is>
          <t>Output 2.3</t>
        </is>
      </c>
      <c r="L2439" t="b">
        <v>0</v>
      </c>
      <c r="M2439" t="inlineStr">
        <is>
          <t>Non-Billable</t>
        </is>
      </c>
      <c r="N2439" s="6">
        <f>IF(B2439="","",IF(ISNUMBER(B2439),TEXT(B2439,"YYYY-MM"),LEFT(B2439,7)))</f>
        <v/>
      </c>
    </row>
    <row r="2440">
      <c r="A2440" t="inlineStr">
        <is>
          <t>Helena Tetteh</t>
        </is>
      </c>
      <c r="B2440" s="4" t="n">
        <v>46051</v>
      </c>
      <c r="C2440" t="inlineStr">
        <is>
          <t>PFAFR BRIDGE Monthly Catch-Up</t>
        </is>
      </c>
      <c r="D2440" t="inlineStr">
        <is>
          <t xml:space="preserve">Helena Tetteh </t>
        </is>
      </c>
      <c r="E2440" t="inlineStr">
        <is>
          <t>OdooBot</t>
        </is>
      </c>
      <c r="F2440" s="5" t="n">
        <v>46154.70721064815</v>
      </c>
      <c r="H2440" t="inlineStr">
        <is>
          <t>P23AC00C00 - FGMC</t>
        </is>
      </c>
      <c r="I2440" t="n">
        <v>1.5</v>
      </c>
      <c r="K2440" t="inlineStr">
        <is>
          <t>Output 2.3</t>
        </is>
      </c>
      <c r="L2440" t="b">
        <v>0</v>
      </c>
      <c r="M2440" t="inlineStr">
        <is>
          <t>Non-Billable</t>
        </is>
      </c>
      <c r="N2440" s="6">
        <f>IF(B2440="","",IF(ISNUMBER(B2440),TEXT(B2440,"YYYY-MM"),LEFT(B2440,7)))</f>
        <v/>
      </c>
    </row>
    <row r="2441">
      <c r="A2441" t="inlineStr">
        <is>
          <t>Helena Tetteh</t>
        </is>
      </c>
      <c r="B2441" s="4" t="n">
        <v>46051</v>
      </c>
      <c r="C2441" t="inlineStr">
        <is>
          <t>PFAFR BRIDGE (Internal): Weekly Catch-up</t>
        </is>
      </c>
      <c r="D2441" t="inlineStr">
        <is>
          <t xml:space="preserve">Helena Tetteh </t>
        </is>
      </c>
      <c r="E2441" t="inlineStr">
        <is>
          <t>OdooBot</t>
        </is>
      </c>
      <c r="F2441" s="5" t="n">
        <v>46154.70721064815</v>
      </c>
      <c r="H2441" t="inlineStr">
        <is>
          <t>P23AC00C00 - FGMC</t>
        </is>
      </c>
      <c r="I2441" t="n">
        <v>1.5</v>
      </c>
      <c r="K2441" t="inlineStr">
        <is>
          <t>Output 2.3</t>
        </is>
      </c>
      <c r="L2441" t="b">
        <v>0</v>
      </c>
      <c r="M2441" t="inlineStr">
        <is>
          <t>Non-Billable</t>
        </is>
      </c>
      <c r="N2441" s="6">
        <f>IF(B2441="","",IF(ISNUMBER(B2441),TEXT(B2441,"YYYY-MM"),LEFT(B2441,7)))</f>
        <v/>
      </c>
    </row>
    <row r="2442">
      <c r="A2442" t="inlineStr">
        <is>
          <t>Helena Tetteh</t>
        </is>
      </c>
      <c r="B2442" s="4" t="n">
        <v>46051</v>
      </c>
      <c r="C2442" t="inlineStr">
        <is>
          <t>FGMC_Bridge Mapping local solutions_Timber</t>
        </is>
      </c>
      <c r="D2442" t="inlineStr">
        <is>
          <t xml:space="preserve">Helena Tetteh </t>
        </is>
      </c>
      <c r="E2442" t="inlineStr">
        <is>
          <t>OdooBot</t>
        </is>
      </c>
      <c r="F2442" s="5" t="n">
        <v>46154.70721064815</v>
      </c>
      <c r="H2442" t="inlineStr">
        <is>
          <t>P23AC00C00 - FGMC</t>
        </is>
      </c>
      <c r="I2442" t="n">
        <v>4.5</v>
      </c>
      <c r="K2442" t="inlineStr">
        <is>
          <t>Output 2.3</t>
        </is>
      </c>
      <c r="L2442" t="b">
        <v>0</v>
      </c>
      <c r="M2442" t="inlineStr">
        <is>
          <t>Non-Billable</t>
        </is>
      </c>
      <c r="N2442" s="6">
        <f>IF(B2442="","",IF(ISNUMBER(B2442),TEXT(B2442,"YYYY-MM"),LEFT(B2442,7)))</f>
        <v/>
      </c>
    </row>
    <row r="2443">
      <c r="A2443" t="inlineStr">
        <is>
          <t>Clement Obeng-Manu</t>
        </is>
      </c>
      <c r="B2443" s="4" t="n">
        <v>46051</v>
      </c>
      <c r="C2443" t="inlineStr">
        <is>
          <t>/</t>
        </is>
      </c>
      <c r="D2443" t="inlineStr">
        <is>
          <t>Clement Obeng-Manu</t>
        </is>
      </c>
      <c r="E2443" t="inlineStr">
        <is>
          <t>OdooBot</t>
        </is>
      </c>
      <c r="F2443" s="5" t="n">
        <v>46154.70721064815</v>
      </c>
      <c r="H2443" t="inlineStr">
        <is>
          <t>PCGH769</t>
        </is>
      </c>
      <c r="I2443" t="n">
        <v>8</v>
      </c>
      <c r="J2443" t="inlineStr">
        <is>
          <t>PCGH769 - Desk Study (3) (Biase Plantations Ltd.)</t>
        </is>
      </c>
      <c r="K2443" t="inlineStr">
        <is>
          <t>HCV/HCS - Desk Study</t>
        </is>
      </c>
      <c r="L2443" t="b">
        <v>1</v>
      </c>
      <c r="M2443" t="inlineStr">
        <is>
          <t>Billed at a Fixed price</t>
        </is>
      </c>
      <c r="N2443" s="6">
        <f>IF(B2443="","",IF(ISNUMBER(B2443),TEXT(B2443,"YYYY-MM"),LEFT(B2443,7)))</f>
        <v/>
      </c>
    </row>
    <row r="2444">
      <c r="A2444" t="inlineStr">
        <is>
          <t>Augustus Asamoah</t>
        </is>
      </c>
      <c r="B2444" s="4" t="n">
        <v>46051</v>
      </c>
      <c r="C2444" t="inlineStr">
        <is>
          <t>/</t>
        </is>
      </c>
      <c r="D2444" t="inlineStr">
        <is>
          <t>Augustus Asamoah</t>
        </is>
      </c>
      <c r="E2444" t="inlineStr">
        <is>
          <t>OdooBot</t>
        </is>
      </c>
      <c r="F2444" s="5" t="n">
        <v>46154.70721064815</v>
      </c>
      <c r="G2444" t="inlineStr">
        <is>
          <t>Programme Personnel and Management</t>
        </is>
      </c>
      <c r="H2444" t="inlineStr">
        <is>
          <t>P13QC00A00 - EFI Programme</t>
        </is>
      </c>
      <c r="I2444" t="n">
        <v>3</v>
      </c>
      <c r="K2444" t="inlineStr">
        <is>
          <t>Programme Personnel</t>
        </is>
      </c>
      <c r="L2444" t="b">
        <v>0</v>
      </c>
      <c r="M2444" t="inlineStr">
        <is>
          <t>Non-Billable</t>
        </is>
      </c>
      <c r="N2444" s="6">
        <f>IF(B2444="","",IF(ISNUMBER(B2444),TEXT(B2444,"YYYY-MM"),LEFT(B2444,7)))</f>
        <v/>
      </c>
    </row>
    <row r="2445">
      <c r="A2445" t="inlineStr">
        <is>
          <t>Augustus Asamoah</t>
        </is>
      </c>
      <c r="B2445" s="4" t="n">
        <v>46051</v>
      </c>
      <c r="C2445" t="inlineStr">
        <is>
          <t>/</t>
        </is>
      </c>
      <c r="D2445" t="inlineStr">
        <is>
          <t>Augustus Asamoah</t>
        </is>
      </c>
      <c r="E2445" t="inlineStr">
        <is>
          <t>OdooBot</t>
        </is>
      </c>
      <c r="F2445" s="5" t="n">
        <v>46154.70721064815</v>
      </c>
      <c r="H2445" t="inlineStr">
        <is>
          <t>P13NC00A00 - WALMART II</t>
        </is>
      </c>
      <c r="I2445" t="n">
        <v>3</v>
      </c>
      <c r="L2445" t="b">
        <v>0</v>
      </c>
      <c r="M2445" t="inlineStr">
        <is>
          <t>Non-Billable</t>
        </is>
      </c>
      <c r="N2445" s="6">
        <f>IF(B2445="","",IF(ISNUMBER(B2445),TEXT(B2445,"YYYY-MM"),LEFT(B2445,7)))</f>
        <v/>
      </c>
    </row>
    <row r="2446">
      <c r="A2446" t="inlineStr">
        <is>
          <t>Augustus Asamoah</t>
        </is>
      </c>
      <c r="B2446" s="4" t="n">
        <v>46051</v>
      </c>
      <c r="C2446" t="inlineStr">
        <is>
          <t>/</t>
        </is>
      </c>
      <c r="D2446" t="inlineStr">
        <is>
          <t>Augustus Asamoah</t>
        </is>
      </c>
      <c r="E2446" t="inlineStr">
        <is>
          <t>OdooBot</t>
        </is>
      </c>
      <c r="F2446" s="5" t="n">
        <v>46154.70721064815</v>
      </c>
      <c r="H2446" t="inlineStr">
        <is>
          <t>Non-Billable Tasks</t>
        </is>
      </c>
      <c r="I2446" t="n">
        <v>2</v>
      </c>
      <c r="K2446" t="inlineStr">
        <is>
          <t>Internal Focal points and workstreams</t>
        </is>
      </c>
      <c r="L2446" t="b">
        <v>0</v>
      </c>
      <c r="M2446" t="inlineStr">
        <is>
          <t>Non-Billable</t>
        </is>
      </c>
      <c r="N2446" s="6">
        <f>IF(B2446="","",IF(ISNUMBER(B2446),TEXT(B2446,"YYYY-MM"),LEFT(B2446,7)))</f>
        <v/>
      </c>
    </row>
    <row r="2447">
      <c r="A2447" t="inlineStr">
        <is>
          <t>Daleba Bernard Kpenahi Raymond</t>
        </is>
      </c>
      <c r="B2447" s="4" t="n">
        <v>46051</v>
      </c>
      <c r="C2447" t="inlineStr">
        <is>
          <t>/</t>
        </is>
      </c>
      <c r="D2447" t="inlineStr">
        <is>
          <t>Daleba Bernard Kpenahi Raymond</t>
        </is>
      </c>
      <c r="E2447" t="inlineStr">
        <is>
          <t>OdooBot</t>
        </is>
      </c>
      <c r="F2447" s="5" t="n">
        <v>46154.70721064815</v>
      </c>
      <c r="G2447" t="inlineStr">
        <is>
          <t>Output 2.2</t>
        </is>
      </c>
      <c r="H2447" t="inlineStr">
        <is>
          <t>P23AC00C00 - FGMC</t>
        </is>
      </c>
      <c r="I2447" t="n">
        <v>4</v>
      </c>
      <c r="K2447" t="inlineStr">
        <is>
          <t>P23AC42A00 - Accelerating Implementation.</t>
        </is>
      </c>
      <c r="L2447" t="b">
        <v>0</v>
      </c>
      <c r="M2447" t="inlineStr">
        <is>
          <t>Non-Billable</t>
        </is>
      </c>
      <c r="N2447" s="6">
        <f>IF(B2447="","",IF(ISNUMBER(B2447),TEXT(B2447,"YYYY-MM"),LEFT(B2447,7)))</f>
        <v/>
      </c>
    </row>
    <row r="2448">
      <c r="A2448" t="inlineStr">
        <is>
          <t>Daleba Bernard Kpenahi Raymond</t>
        </is>
      </c>
      <c r="B2448" s="4" t="n">
        <v>46051</v>
      </c>
      <c r="C2448" t="inlineStr">
        <is>
          <t>/</t>
        </is>
      </c>
      <c r="D2448" t="inlineStr">
        <is>
          <t>Daleba Bernard Kpenahi Raymond</t>
        </is>
      </c>
      <c r="E2448" t="inlineStr">
        <is>
          <t>OdooBot</t>
        </is>
      </c>
      <c r="F2448" s="5" t="n">
        <v>46154.70721064815</v>
      </c>
      <c r="G2448" t="inlineStr">
        <is>
          <t>Desk study, development of assessment framework &amp; online meetings (2)</t>
        </is>
      </c>
      <c r="H2448" t="inlineStr">
        <is>
          <t>PCGH775 - ESDD of Valency Operations for FMO</t>
        </is>
      </c>
      <c r="I2448" t="n">
        <v>4</v>
      </c>
      <c r="J2448" t="inlineStr">
        <is>
          <t>PCGH775 - Development of Assessment Framework (2) (Valency International DMCC)</t>
        </is>
      </c>
      <c r="K2448" t="inlineStr">
        <is>
          <t>Desk-study</t>
        </is>
      </c>
      <c r="L2448" t="b">
        <v>1</v>
      </c>
      <c r="M2448" t="inlineStr">
        <is>
          <t>Billed at a Fixed price</t>
        </is>
      </c>
      <c r="N2448" s="6">
        <f>IF(B2448="","",IF(ISNUMBER(B2448),TEXT(B2448,"YYYY-MM"),LEFT(B2448,7)))</f>
        <v/>
      </c>
    </row>
    <row r="2449">
      <c r="A2449" t="inlineStr">
        <is>
          <t>Kingsley Fitz-Gerald Severine</t>
        </is>
      </c>
      <c r="B2449" s="4" t="n">
        <v>46051</v>
      </c>
      <c r="C2449" t="inlineStr">
        <is>
          <t>/</t>
        </is>
      </c>
      <c r="D2449" t="inlineStr">
        <is>
          <t>Kingsley Fitz-Gerald Severine</t>
        </is>
      </c>
      <c r="E2449" t="inlineStr">
        <is>
          <t>OdooBot</t>
        </is>
      </c>
      <c r="F2449" s="5" t="n">
        <v>46154.70721064815</v>
      </c>
      <c r="H2449" t="inlineStr">
        <is>
          <t>PCGH769</t>
        </is>
      </c>
      <c r="I2449" t="n">
        <v>8</v>
      </c>
      <c r="J2449" t="inlineStr">
        <is>
          <t>PCGH769 - Analysis and Reporting (2) (Biase Plantations Ltd.)</t>
        </is>
      </c>
      <c r="K2449" t="inlineStr">
        <is>
          <t>HCV/HCS - Reporting</t>
        </is>
      </c>
      <c r="L2449" t="b">
        <v>1</v>
      </c>
      <c r="M2449" t="inlineStr">
        <is>
          <t>Billed at a Fixed price</t>
        </is>
      </c>
      <c r="N2449" s="6">
        <f>IF(B2449="","",IF(ISNUMBER(B2449),TEXT(B2449,"YYYY-MM"),LEFT(B2449,7)))</f>
        <v/>
      </c>
    </row>
    <row r="2450">
      <c r="A2450" t="inlineStr">
        <is>
          <t>Joseph Isaiah Mensah</t>
        </is>
      </c>
      <c r="B2450" s="4" t="n">
        <v>46051</v>
      </c>
      <c r="C2450" t="inlineStr">
        <is>
          <t>Preparation of workplans</t>
        </is>
      </c>
      <c r="D2450" t="inlineStr">
        <is>
          <t>Joseph Isaiah Mensah</t>
        </is>
      </c>
      <c r="E2450" t="inlineStr">
        <is>
          <t>OdooBot</t>
        </is>
      </c>
      <c r="F2450" s="5" t="n">
        <v>46154.70721064815</v>
      </c>
      <c r="H2450" t="inlineStr">
        <is>
          <t>P23AC00C00 - FGMC</t>
        </is>
      </c>
      <c r="I2450" t="n">
        <v>5</v>
      </c>
      <c r="L2450" t="b">
        <v>0</v>
      </c>
      <c r="M2450" t="inlineStr">
        <is>
          <t>Non-Billable</t>
        </is>
      </c>
      <c r="N2450" s="6">
        <f>IF(B2450="","",IF(ISNUMBER(B2450),TEXT(B2450,"YYYY-MM"),LEFT(B2450,7)))</f>
        <v/>
      </c>
    </row>
    <row r="2451">
      <c r="A2451" t="inlineStr">
        <is>
          <t>Joseph Isaiah Mensah</t>
        </is>
      </c>
      <c r="B2451" s="4" t="n">
        <v>46051</v>
      </c>
      <c r="C2451" t="inlineStr">
        <is>
          <t>/</t>
        </is>
      </c>
      <c r="D2451" t="inlineStr">
        <is>
          <t>Joseph Isaiah Mensah</t>
        </is>
      </c>
      <c r="E2451" t="inlineStr">
        <is>
          <t>OdooBot</t>
        </is>
      </c>
      <c r="F2451" s="5" t="n">
        <v>46154.70721064815</v>
      </c>
      <c r="G2451" t="inlineStr">
        <is>
          <t>Output 2.3</t>
        </is>
      </c>
      <c r="H2451" t="inlineStr">
        <is>
          <t>P23AC00C00 - FGMC</t>
        </is>
      </c>
      <c r="I2451" t="n">
        <v>2</v>
      </c>
      <c r="K2451" t="inlineStr">
        <is>
          <t>P23AC22A00 - Output Two (Elevating Local Solutions - West Africa)</t>
        </is>
      </c>
      <c r="L2451" t="b">
        <v>0</v>
      </c>
      <c r="M2451" t="inlineStr">
        <is>
          <t>Non-Billable</t>
        </is>
      </c>
      <c r="N2451" s="6">
        <f>IF(B2451="","",IF(ISNUMBER(B2451),TEXT(B2451,"YYYY-MM"),LEFT(B2451,7)))</f>
        <v/>
      </c>
    </row>
    <row r="2452">
      <c r="A2452" t="inlineStr">
        <is>
          <t>Joseph Isaiah Mensah</t>
        </is>
      </c>
      <c r="B2452" s="4" t="n">
        <v>46051</v>
      </c>
      <c r="C2452" t="inlineStr">
        <is>
          <t>/</t>
        </is>
      </c>
      <c r="D2452" t="inlineStr">
        <is>
          <t>Joseph Isaiah Mensah</t>
        </is>
      </c>
      <c r="E2452" t="inlineStr">
        <is>
          <t>OdooBot</t>
        </is>
      </c>
      <c r="F2452" s="5" t="n">
        <v>46154.70721064815</v>
      </c>
      <c r="G2452" t="inlineStr">
        <is>
          <t>Programme Personnel and Management</t>
        </is>
      </c>
      <c r="H2452" t="inlineStr">
        <is>
          <t>P13QC00A00 - EFI Programme</t>
        </is>
      </c>
      <c r="I2452" t="n">
        <v>1</v>
      </c>
      <c r="K2452" t="inlineStr">
        <is>
          <t>Programme Personnel</t>
        </is>
      </c>
      <c r="L2452" t="b">
        <v>0</v>
      </c>
      <c r="M2452" t="inlineStr">
        <is>
          <t>Non-Billable</t>
        </is>
      </c>
      <c r="N2452" s="6">
        <f>IF(B2452="","",IF(ISNUMBER(B2452),TEXT(B2452,"YYYY-MM"),LEFT(B2452,7)))</f>
        <v/>
      </c>
    </row>
    <row r="2453">
      <c r="A2453" t="inlineStr">
        <is>
          <t>Patricia Offei</t>
        </is>
      </c>
      <c r="B2453" s="4" t="n">
        <v>46050</v>
      </c>
      <c r="C2453" t="inlineStr">
        <is>
          <t>THZ Workshop</t>
        </is>
      </c>
      <c r="D2453" t="inlineStr">
        <is>
          <t>Patricia Offei</t>
        </is>
      </c>
      <c r="E2453" t="inlineStr">
        <is>
          <t>Patricia Offei</t>
        </is>
      </c>
      <c r="F2453" s="5" t="n">
        <v>46162.61652777778</v>
      </c>
      <c r="H2453" t="inlineStr">
        <is>
          <t>PCGH778 - General Support</t>
        </is>
      </c>
      <c r="I2453" t="n">
        <v>3</v>
      </c>
      <c r="J2453" t="inlineStr">
        <is>
          <t>PCGH778 - Support to Other Workstreams (3) (Proforest Limited(PCUK GBP))</t>
        </is>
      </c>
      <c r="L2453" t="b">
        <v>1</v>
      </c>
      <c r="M2453" t="inlineStr">
        <is>
          <t>Billed at a Fixed price</t>
        </is>
      </c>
      <c r="N2453" s="6">
        <f>IF(B2453="","",IF(ISNUMBER(B2453),TEXT(B2453,"YYYY-MM"),LEFT(B2453,7)))</f>
        <v/>
      </c>
    </row>
    <row r="2454">
      <c r="A2454" t="inlineStr">
        <is>
          <t>Louis Defo</t>
        </is>
      </c>
      <c r="B2454" s="4" t="n">
        <v>46050</v>
      </c>
      <c r="C2454" t="inlineStr">
        <is>
          <t>/</t>
        </is>
      </c>
      <c r="D2454" t="inlineStr">
        <is>
          <t>Louis Defo</t>
        </is>
      </c>
      <c r="E2454" t="inlineStr">
        <is>
          <t>Louis Defo</t>
        </is>
      </c>
      <c r="F2454" s="5" t="n">
        <v>46161.34391203704</v>
      </c>
      <c r="H2454" t="inlineStr">
        <is>
          <t>P23AC00C00 - FGMC</t>
        </is>
      </c>
      <c r="I2454" t="n">
        <v>8</v>
      </c>
      <c r="L2454" t="b">
        <v>0</v>
      </c>
      <c r="M2454" t="inlineStr">
        <is>
          <t>Non-Billable</t>
        </is>
      </c>
      <c r="N2454" s="6">
        <f>IF(B2454="","",IF(ISNUMBER(B2454),TEXT(B2454,"YYYY-MM"),LEFT(B2454,7)))</f>
        <v/>
      </c>
    </row>
    <row r="2455">
      <c r="A2455" t="inlineStr">
        <is>
          <t>Frederick Antwi</t>
        </is>
      </c>
      <c r="B2455" s="4" t="n">
        <v>46050</v>
      </c>
      <c r="C2455" t="inlineStr">
        <is>
          <t>/</t>
        </is>
      </c>
      <c r="D2455" t="inlineStr">
        <is>
          <t>Frederick Antwi</t>
        </is>
      </c>
      <c r="E2455" t="inlineStr">
        <is>
          <t>Frederick Antwi</t>
        </is>
      </c>
      <c r="F2455" s="5" t="n">
        <v>46160.55130787037</v>
      </c>
      <c r="H2455" t="inlineStr">
        <is>
          <t>P13NC00A00 - WALMART II</t>
        </is>
      </c>
      <c r="I2455" t="n">
        <v>8</v>
      </c>
      <c r="L2455" t="b">
        <v>0</v>
      </c>
      <c r="M2455" t="inlineStr">
        <is>
          <t>Non-Billable</t>
        </is>
      </c>
      <c r="N2455" s="6">
        <f>IF(B2455="","",IF(ISNUMBER(B2455),TEXT(B2455,"YYYY-MM"),LEFT(B2455,7)))</f>
        <v/>
      </c>
    </row>
    <row r="2456">
      <c r="A2456" t="inlineStr">
        <is>
          <t>James Parker Mckeown</t>
        </is>
      </c>
      <c r="B2456" s="4" t="n">
        <v>46050</v>
      </c>
      <c r="C2456" t="inlineStr">
        <is>
          <t>Planning Liberia trip</t>
        </is>
      </c>
      <c r="D2456" t="inlineStr">
        <is>
          <t>James Parker Mckeown</t>
        </is>
      </c>
      <c r="E2456" t="inlineStr">
        <is>
          <t>James Parker Mckeown</t>
        </is>
      </c>
      <c r="F2456" s="5" t="n">
        <v>46156.86892361111</v>
      </c>
      <c r="G2456" t="inlineStr">
        <is>
          <t>Output 4</t>
        </is>
      </c>
      <c r="H2456" t="inlineStr">
        <is>
          <t>P23AC00C00 - FGMC</t>
        </is>
      </c>
      <c r="I2456" t="n">
        <v>1</v>
      </c>
      <c r="K2456" t="inlineStr">
        <is>
          <t>P23AC03A00 - Project Management</t>
        </is>
      </c>
      <c r="L2456" t="b">
        <v>0</v>
      </c>
      <c r="M2456" t="inlineStr">
        <is>
          <t>Non-Billable</t>
        </is>
      </c>
      <c r="N2456" s="6">
        <f>IF(B2456="","",IF(ISNUMBER(B2456),TEXT(B2456,"YYYY-MM"),LEFT(B2456,7)))</f>
        <v/>
      </c>
    </row>
    <row r="2457">
      <c r="A2457" t="inlineStr">
        <is>
          <t>James Parker Mckeown</t>
        </is>
      </c>
      <c r="B2457" s="4" t="n">
        <v>46050</v>
      </c>
      <c r="C2457" t="inlineStr">
        <is>
          <t>Finalizing FGMC revised budget and plan</t>
        </is>
      </c>
      <c r="D2457" t="inlineStr">
        <is>
          <t>James Parker Mckeown</t>
        </is>
      </c>
      <c r="E2457" t="inlineStr">
        <is>
          <t>James Parker Mckeown</t>
        </is>
      </c>
      <c r="F2457" s="5" t="n">
        <v>46156.86806712963</v>
      </c>
      <c r="G2457" t="inlineStr">
        <is>
          <t>Output 4</t>
        </is>
      </c>
      <c r="H2457" t="inlineStr">
        <is>
          <t>P23AC00C00 - FGMC</t>
        </is>
      </c>
      <c r="I2457" t="n">
        <v>2.5</v>
      </c>
      <c r="K2457" t="inlineStr">
        <is>
          <t>P23AC03A00 - Project Management</t>
        </is>
      </c>
      <c r="L2457" t="b">
        <v>0</v>
      </c>
      <c r="M2457" t="inlineStr">
        <is>
          <t>Non-Billable</t>
        </is>
      </c>
      <c r="N2457" s="6">
        <f>IF(B2457="","",IF(ISNUMBER(B2457),TEXT(B2457,"YYYY-MM"),LEFT(B2457,7)))</f>
        <v/>
      </c>
    </row>
    <row r="2458">
      <c r="A2458" t="inlineStr">
        <is>
          <t>James Parker Mckeown</t>
        </is>
      </c>
      <c r="B2458" s="4" t="n">
        <v>46050</v>
      </c>
      <c r="C2458" t="inlineStr">
        <is>
          <t xml:space="preserve">FGMC review of budget and workplan to align with budget submitted to FGMC </t>
        </is>
      </c>
      <c r="D2458" t="inlineStr">
        <is>
          <t>James Parker Mckeown</t>
        </is>
      </c>
      <c r="E2458" t="inlineStr">
        <is>
          <t>James Parker Mckeown</t>
        </is>
      </c>
      <c r="F2458" s="5" t="n">
        <v>46156.86704861111</v>
      </c>
      <c r="G2458" t="inlineStr">
        <is>
          <t>Output 4</t>
        </is>
      </c>
      <c r="H2458" t="inlineStr">
        <is>
          <t>P23AC00C00 - FGMC</t>
        </is>
      </c>
      <c r="I2458" t="n">
        <v>2.5</v>
      </c>
      <c r="K2458" t="inlineStr">
        <is>
          <t>P23AC03A00 - Project Management</t>
        </is>
      </c>
      <c r="L2458" t="b">
        <v>0</v>
      </c>
      <c r="M2458" t="inlineStr">
        <is>
          <t>Non-Billable</t>
        </is>
      </c>
      <c r="N2458" s="6">
        <f>IF(B2458="","",IF(ISNUMBER(B2458),TEXT(B2458,"YYYY-MM"),LEFT(B2458,7)))</f>
        <v/>
      </c>
    </row>
    <row r="2459">
      <c r="A2459" t="inlineStr">
        <is>
          <t>James Parker Mckeown</t>
        </is>
      </c>
      <c r="B2459" s="4" t="n">
        <v>46050</v>
      </c>
      <c r="C2459" t="inlineStr">
        <is>
          <t xml:space="preserve">FGMC Initiative mapping for Liberia </t>
        </is>
      </c>
      <c r="D2459" t="inlineStr">
        <is>
          <t>James Parker Mckeown</t>
        </is>
      </c>
      <c r="E2459" t="inlineStr">
        <is>
          <t>James Parker Mckeown</t>
        </is>
      </c>
      <c r="F2459" s="5" t="n">
        <v>46156.86635416667</v>
      </c>
      <c r="G2459" t="inlineStr">
        <is>
          <t>Output 2.3</t>
        </is>
      </c>
      <c r="H2459" t="inlineStr">
        <is>
          <t>P23AC00C00 - FGMC</t>
        </is>
      </c>
      <c r="I2459" t="n">
        <v>2</v>
      </c>
      <c r="K2459" t="inlineStr">
        <is>
          <t>P23AC22A00 - Output Two (Elevating Local Solutions - West Africa)</t>
        </is>
      </c>
      <c r="L2459" t="b">
        <v>0</v>
      </c>
      <c r="M2459" t="inlineStr">
        <is>
          <t>Non-Billable</t>
        </is>
      </c>
      <c r="N2459" s="6">
        <f>IF(B2459="","",IF(ISNUMBER(B2459),TEXT(B2459,"YYYY-MM"),LEFT(B2459,7)))</f>
        <v/>
      </c>
    </row>
    <row r="2460">
      <c r="A2460" t="inlineStr">
        <is>
          <t>Stephen Doso</t>
        </is>
      </c>
      <c r="B2460" s="4" t="n">
        <v>46050</v>
      </c>
      <c r="C2460" t="inlineStr">
        <is>
          <t>/</t>
        </is>
      </c>
      <c r="D2460" t="inlineStr">
        <is>
          <t>Stephen Doso</t>
        </is>
      </c>
      <c r="E2460" t="inlineStr">
        <is>
          <t>OdooBot</t>
        </is>
      </c>
      <c r="F2460" s="5" t="n">
        <v>46154.70721064815</v>
      </c>
      <c r="H2460" t="inlineStr">
        <is>
          <t>PCGH769</t>
        </is>
      </c>
      <c r="I2460" t="n">
        <v>2</v>
      </c>
      <c r="J2460" t="inlineStr">
        <is>
          <t>PCGH769 - Desk Study (2) (Biase Plantations Ltd.)</t>
        </is>
      </c>
      <c r="K2460" t="inlineStr">
        <is>
          <t>HCV/HCS - Reporting and review</t>
        </is>
      </c>
      <c r="L2460" t="b">
        <v>1</v>
      </c>
      <c r="M2460" t="inlineStr">
        <is>
          <t>Billed at a Fixed price</t>
        </is>
      </c>
      <c r="N2460" s="6">
        <f>IF(B2460="","",IF(ISNUMBER(B2460),TEXT(B2460,"YYYY-MM"),LEFT(B2460,7)))</f>
        <v/>
      </c>
    </row>
    <row r="2461">
      <c r="A2461" t="inlineStr">
        <is>
          <t>Stephen Doso</t>
        </is>
      </c>
      <c r="B2461" s="4" t="n">
        <v>46050</v>
      </c>
      <c r="C2461" t="inlineStr">
        <is>
          <t>/</t>
        </is>
      </c>
      <c r="D2461" t="inlineStr">
        <is>
          <t>Stephen Doso</t>
        </is>
      </c>
      <c r="E2461" t="inlineStr">
        <is>
          <t>OdooBot</t>
        </is>
      </c>
      <c r="F2461" s="5" t="n">
        <v>46154.70721064815</v>
      </c>
      <c r="H2461" t="inlineStr">
        <is>
          <t>PCGH774 -Evaluation Deep-Dive Action Plans by Socfin Group</t>
        </is>
      </c>
      <c r="I2461" t="n">
        <v>4</v>
      </c>
      <c r="J2461" t="inlineStr">
        <is>
          <t>PCGH774 - Management and staff meetings (Socfinco FR SA)</t>
        </is>
      </c>
      <c r="K2461" t="inlineStr">
        <is>
          <t xml:space="preserve">Development of evaluation framework for the RMP 2026 - Development of framework for 2026 RMP </t>
        </is>
      </c>
      <c r="L2461" t="b">
        <v>1</v>
      </c>
      <c r="M2461" t="inlineStr">
        <is>
          <t>Billed at a Fixed price</t>
        </is>
      </c>
      <c r="N2461" s="6">
        <f>IF(B2461="","",IF(ISNUMBER(B2461),TEXT(B2461,"YYYY-MM"),LEFT(B2461,7)))</f>
        <v/>
      </c>
    </row>
    <row r="2462">
      <c r="A2462" t="inlineStr">
        <is>
          <t>Stephen Doso</t>
        </is>
      </c>
      <c r="B2462" s="4" t="n">
        <v>46050</v>
      </c>
      <c r="C2462" t="inlineStr">
        <is>
          <t>/</t>
        </is>
      </c>
      <c r="D2462" t="inlineStr">
        <is>
          <t>Stephen Doso</t>
        </is>
      </c>
      <c r="E2462" t="inlineStr">
        <is>
          <t>OdooBot</t>
        </is>
      </c>
      <c r="F2462" s="5" t="n">
        <v>46154.70721064815</v>
      </c>
      <c r="G2462" t="inlineStr">
        <is>
          <t>Preparations and Kick-off (2)</t>
        </is>
      </c>
      <c r="H2462" t="inlineStr">
        <is>
          <t>PCGH775 - ESDD of Valency Operations for FMO</t>
        </is>
      </c>
      <c r="I2462" t="n">
        <v>2</v>
      </c>
      <c r="J2462" t="inlineStr">
        <is>
          <t>PCGH775 - Kick-Off Meeting (Valency International DMCC)</t>
        </is>
      </c>
      <c r="K2462" t="inlineStr">
        <is>
          <t>Kick-off Meeting</t>
        </is>
      </c>
      <c r="L2462" t="b">
        <v>1</v>
      </c>
      <c r="M2462" t="inlineStr">
        <is>
          <t>Billed at a Fixed price</t>
        </is>
      </c>
      <c r="N2462" s="6">
        <f>IF(B2462="","",IF(ISNUMBER(B2462),TEXT(B2462,"YYYY-MM"),LEFT(B2462,7)))</f>
        <v/>
      </c>
    </row>
    <row r="2463">
      <c r="A2463" t="inlineStr">
        <is>
          <t>Kwadwo Baniako Nti</t>
        </is>
      </c>
      <c r="B2463" s="4" t="n">
        <v>46050</v>
      </c>
      <c r="C2463" t="inlineStr">
        <is>
          <t>/</t>
        </is>
      </c>
      <c r="D2463" t="inlineStr">
        <is>
          <t>Kwadwo Baniako Nti</t>
        </is>
      </c>
      <c r="E2463" t="inlineStr">
        <is>
          <t>OdooBot</t>
        </is>
      </c>
      <c r="F2463" s="5" t="n">
        <v>46154.70721064815</v>
      </c>
      <c r="H2463" t="inlineStr">
        <is>
          <t>PCGH762 - GVL HCSA Restoration Project</t>
        </is>
      </c>
      <c r="I2463" t="n">
        <v>8</v>
      </c>
      <c r="J2463" t="inlineStr">
        <is>
          <t>PCGH762 - Baseline Socio-Economic &amp; Environmental Surveys (Golden Veroleum Liberia)</t>
        </is>
      </c>
      <c r="K2463" t="inlineStr">
        <is>
          <t>Baseline Socio-Economic &amp; Environmental Surveys</t>
        </is>
      </c>
      <c r="L2463" t="b">
        <v>1</v>
      </c>
      <c r="M2463" t="inlineStr">
        <is>
          <t>Billed at a Fixed price</t>
        </is>
      </c>
      <c r="N2463" s="6">
        <f>IF(B2463="","",IF(ISNUMBER(B2463),TEXT(B2463,"YYYY-MM"),LEFT(B2463,7)))</f>
        <v/>
      </c>
    </row>
    <row r="2464">
      <c r="A2464" t="inlineStr">
        <is>
          <t>Daleba Bernard Kpenahi Raymond</t>
        </is>
      </c>
      <c r="B2464" s="4" t="n">
        <v>46050</v>
      </c>
      <c r="C2464" t="inlineStr">
        <is>
          <t>/</t>
        </is>
      </c>
      <c r="D2464" t="inlineStr">
        <is>
          <t>Daleba Bernard Kpenahi Raymond</t>
        </is>
      </c>
      <c r="E2464" t="inlineStr">
        <is>
          <t>OdooBot</t>
        </is>
      </c>
      <c r="F2464" s="5" t="n">
        <v>46154.70721064815</v>
      </c>
      <c r="H2464" t="inlineStr">
        <is>
          <t>Non-Billable Tasks</t>
        </is>
      </c>
      <c r="I2464" t="n">
        <v>8</v>
      </c>
      <c r="K2464" t="inlineStr">
        <is>
          <t>Professional development and Knowledge sharing(training,global knowledge calls,exchange weeks)</t>
        </is>
      </c>
      <c r="L2464" t="b">
        <v>0</v>
      </c>
      <c r="M2464" t="inlineStr">
        <is>
          <t>Non-Billable</t>
        </is>
      </c>
      <c r="N2464" s="6">
        <f>IF(B2464="","",IF(ISNUMBER(B2464),TEXT(B2464,"YYYY-MM"),LEFT(B2464,7)))</f>
        <v/>
      </c>
    </row>
    <row r="2465">
      <c r="A2465" t="inlineStr">
        <is>
          <t>Ekow Nyamekye Tawiah</t>
        </is>
      </c>
      <c r="B2465" s="4" t="n">
        <v>46050</v>
      </c>
      <c r="C2465" t="inlineStr">
        <is>
          <t>/</t>
        </is>
      </c>
      <c r="D2465" t="inlineStr">
        <is>
          <t>Ekow Nyamekye Tawiah</t>
        </is>
      </c>
      <c r="E2465" t="inlineStr">
        <is>
          <t>OdooBot</t>
        </is>
      </c>
      <c r="F2465" s="5" t="n">
        <v>46154.70721064815</v>
      </c>
      <c r="H2465" t="inlineStr">
        <is>
          <t>PCGH722</t>
        </is>
      </c>
      <c r="I2465" t="n">
        <v>4</v>
      </c>
      <c r="J2465" t="inlineStr">
        <is>
          <t>PCGH722 - Analysis and Reporting (3) (Sucrivoire SA)</t>
        </is>
      </c>
      <c r="K2465" t="inlineStr">
        <is>
          <t>Analysis and Reporting (3)</t>
        </is>
      </c>
      <c r="L2465" t="b">
        <v>1</v>
      </c>
      <c r="M2465" t="inlineStr">
        <is>
          <t>Billed at a Fixed price</t>
        </is>
      </c>
      <c r="N2465" s="6">
        <f>IF(B2465="","",IF(ISNUMBER(B2465),TEXT(B2465,"YYYY-MM"),LEFT(B2465,7)))</f>
        <v/>
      </c>
    </row>
    <row r="2466">
      <c r="A2466" t="inlineStr">
        <is>
          <t>Afua Serwah Akoto Prempeh</t>
        </is>
      </c>
      <c r="B2466" s="4" t="n">
        <v>46050</v>
      </c>
      <c r="C2466" t="inlineStr">
        <is>
          <t>/</t>
        </is>
      </c>
      <c r="D2466" t="inlineStr">
        <is>
          <t>Afua Serwah Akoto Prempeh</t>
        </is>
      </c>
      <c r="E2466" t="inlineStr">
        <is>
          <t>OdooBot</t>
        </is>
      </c>
      <c r="F2466" s="5" t="n">
        <v>46154.70721064815</v>
      </c>
      <c r="H2466" t="inlineStr">
        <is>
          <t>Non-Billable Tasks</t>
        </is>
      </c>
      <c r="I2466" t="n">
        <v>4</v>
      </c>
      <c r="K2466" t="inlineStr">
        <is>
          <t>Communication/Data/Training</t>
        </is>
      </c>
      <c r="L2466" t="b">
        <v>0</v>
      </c>
      <c r="M2466" t="inlineStr">
        <is>
          <t>Non-Billable</t>
        </is>
      </c>
      <c r="N2466" s="6">
        <f>IF(B2466="","",IF(ISNUMBER(B2466),TEXT(B2466,"YYYY-MM"),LEFT(B2466,7)))</f>
        <v/>
      </c>
    </row>
    <row r="2467">
      <c r="A2467" t="inlineStr">
        <is>
          <t>Afua Serwah Akoto Prempeh</t>
        </is>
      </c>
      <c r="B2467" s="4" t="n">
        <v>46050</v>
      </c>
      <c r="C2467" t="inlineStr">
        <is>
          <t>/</t>
        </is>
      </c>
      <c r="D2467" t="inlineStr">
        <is>
          <t>Afua Serwah Akoto Prempeh</t>
        </is>
      </c>
      <c r="E2467" t="inlineStr">
        <is>
          <t>OdooBot</t>
        </is>
      </c>
      <c r="F2467" s="5" t="n">
        <v>46154.70721064815</v>
      </c>
      <c r="H2467" t="inlineStr">
        <is>
          <t>P23AC00C00 - FGMC</t>
        </is>
      </c>
      <c r="I2467" t="n">
        <v>4</v>
      </c>
      <c r="L2467" t="b">
        <v>0</v>
      </c>
      <c r="M2467" t="inlineStr">
        <is>
          <t>Non-Billable</t>
        </is>
      </c>
      <c r="N2467" s="6">
        <f>IF(B2467="","",IF(ISNUMBER(B2467),TEXT(B2467,"YYYY-MM"),LEFT(B2467,7)))</f>
        <v/>
      </c>
    </row>
    <row r="2468">
      <c r="A2468" t="inlineStr">
        <is>
          <t>Helena Tetteh</t>
        </is>
      </c>
      <c r="B2468" s="4" t="n">
        <v>46050</v>
      </c>
      <c r="C2468" t="inlineStr">
        <is>
          <t>/</t>
        </is>
      </c>
      <c r="D2468" t="inlineStr">
        <is>
          <t xml:space="preserve">Helena Tetteh </t>
        </is>
      </c>
      <c r="E2468" t="inlineStr">
        <is>
          <t>OdooBot</t>
        </is>
      </c>
      <c r="F2468" s="5" t="n">
        <v>46154.70721064815</v>
      </c>
      <c r="H2468" t="inlineStr">
        <is>
          <t>P23AC00C00 - FGMC</t>
        </is>
      </c>
      <c r="I2468" t="n">
        <v>3</v>
      </c>
      <c r="K2468" t="inlineStr">
        <is>
          <t>Output 2.3</t>
        </is>
      </c>
      <c r="L2468" t="b">
        <v>0</v>
      </c>
      <c r="M2468" t="inlineStr">
        <is>
          <t>Non-Billable</t>
        </is>
      </c>
      <c r="N2468" s="6">
        <f>IF(B2468="","",IF(ISNUMBER(B2468),TEXT(B2468,"YYYY-MM"),LEFT(B2468,7)))</f>
        <v/>
      </c>
    </row>
    <row r="2469">
      <c r="A2469" t="inlineStr">
        <is>
          <t>Helena Tetteh</t>
        </is>
      </c>
      <c r="B2469" s="4" t="n">
        <v>46050</v>
      </c>
      <c r="C2469" t="inlineStr">
        <is>
          <t>/</t>
        </is>
      </c>
      <c r="D2469" t="inlineStr">
        <is>
          <t xml:space="preserve">Helena Tetteh </t>
        </is>
      </c>
      <c r="E2469" t="inlineStr">
        <is>
          <t>OdooBot</t>
        </is>
      </c>
      <c r="F2469" s="5" t="n">
        <v>46154.70721064815</v>
      </c>
      <c r="H2469" t="inlineStr">
        <is>
          <t>Non-Billable Tasks</t>
        </is>
      </c>
      <c r="I2469" t="n">
        <v>1.5</v>
      </c>
      <c r="K2469" t="inlineStr">
        <is>
          <t>Portfolio Team Management</t>
        </is>
      </c>
      <c r="L2469" t="b">
        <v>0</v>
      </c>
      <c r="M2469" t="inlineStr">
        <is>
          <t>Non-Billable</t>
        </is>
      </c>
      <c r="N2469" s="6">
        <f>IF(B2469="","",IF(ISNUMBER(B2469),TEXT(B2469,"YYYY-MM"),LEFT(B2469,7)))</f>
        <v/>
      </c>
    </row>
    <row r="2470">
      <c r="A2470" t="inlineStr">
        <is>
          <t>Helena Tetteh</t>
        </is>
      </c>
      <c r="B2470" s="4" t="n">
        <v>46050</v>
      </c>
      <c r="C2470" t="inlineStr">
        <is>
          <t>Brainstorming session_Proforest "Landscapes" Learning Journey</t>
        </is>
      </c>
      <c r="D2470" t="inlineStr">
        <is>
          <t xml:space="preserve">Helena Tetteh </t>
        </is>
      </c>
      <c r="E2470" t="inlineStr">
        <is>
          <t>OdooBot</t>
        </is>
      </c>
      <c r="F2470" s="5" t="n">
        <v>46154.70721064815</v>
      </c>
      <c r="H2470" t="inlineStr">
        <is>
          <t>Non-Billable Tasks</t>
        </is>
      </c>
      <c r="I2470" t="n">
        <v>3.5</v>
      </c>
      <c r="K2470" t="inlineStr">
        <is>
          <t>Professional development and Knowledge sharing(training,global knowledge calls,exchange weeks)</t>
        </is>
      </c>
      <c r="L2470" t="b">
        <v>0</v>
      </c>
      <c r="M2470" t="inlineStr">
        <is>
          <t>Non-Billable</t>
        </is>
      </c>
      <c r="N2470" s="6">
        <f>IF(B2470="","",IF(ISNUMBER(B2470),TEXT(B2470,"YYYY-MM"),LEFT(B2470,7)))</f>
        <v/>
      </c>
    </row>
    <row r="2471">
      <c r="A2471" t="inlineStr">
        <is>
          <t>Clement Obeng-Manu</t>
        </is>
      </c>
      <c r="B2471" s="4" t="n">
        <v>46050</v>
      </c>
      <c r="C2471" t="inlineStr">
        <is>
          <t>/</t>
        </is>
      </c>
      <c r="D2471" t="inlineStr">
        <is>
          <t>Clement Obeng-Manu</t>
        </is>
      </c>
      <c r="E2471" t="inlineStr">
        <is>
          <t>OdooBot</t>
        </is>
      </c>
      <c r="F2471" s="5" t="n">
        <v>46154.70721064815</v>
      </c>
      <c r="H2471" t="inlineStr">
        <is>
          <t>PCGH769</t>
        </is>
      </c>
      <c r="I2471" t="n">
        <v>8</v>
      </c>
      <c r="J2471" t="inlineStr">
        <is>
          <t>PCGH769 - Desk Study (3) (Biase Plantations Ltd.)</t>
        </is>
      </c>
      <c r="K2471" t="inlineStr">
        <is>
          <t>HCV/HCS - Desk Study</t>
        </is>
      </c>
      <c r="L2471" t="b">
        <v>1</v>
      </c>
      <c r="M2471" t="inlineStr">
        <is>
          <t>Billed at a Fixed price</t>
        </is>
      </c>
      <c r="N2471" s="6">
        <f>IF(B2471="","",IF(ISNUMBER(B2471),TEXT(B2471,"YYYY-MM"),LEFT(B2471,7)))</f>
        <v/>
      </c>
    </row>
    <row r="2472">
      <c r="A2472" t="inlineStr">
        <is>
          <t>Augustus Asamoah</t>
        </is>
      </c>
      <c r="B2472" s="4" t="n">
        <v>46050</v>
      </c>
      <c r="C2472" t="inlineStr">
        <is>
          <t>/</t>
        </is>
      </c>
      <c r="D2472" t="inlineStr">
        <is>
          <t>Augustus Asamoah</t>
        </is>
      </c>
      <c r="E2472" t="inlineStr">
        <is>
          <t>OdooBot</t>
        </is>
      </c>
      <c r="F2472" s="5" t="n">
        <v>46154.70721064815</v>
      </c>
      <c r="H2472" t="inlineStr">
        <is>
          <t>P13NC00A00 - WALMART II</t>
        </is>
      </c>
      <c r="I2472" t="n">
        <v>3</v>
      </c>
      <c r="L2472" t="b">
        <v>0</v>
      </c>
      <c r="M2472" t="inlineStr">
        <is>
          <t>Non-Billable</t>
        </is>
      </c>
      <c r="N2472" s="6">
        <f>IF(B2472="","",IF(ISNUMBER(B2472),TEXT(B2472,"YYYY-MM"),LEFT(B2472,7)))</f>
        <v/>
      </c>
    </row>
    <row r="2473">
      <c r="A2473" t="inlineStr">
        <is>
          <t>Augustus Asamoah</t>
        </is>
      </c>
      <c r="B2473" s="4" t="n">
        <v>46050</v>
      </c>
      <c r="C2473" t="inlineStr">
        <is>
          <t>/</t>
        </is>
      </c>
      <c r="D2473" t="inlineStr">
        <is>
          <t>Augustus Asamoah</t>
        </is>
      </c>
      <c r="E2473" t="inlineStr">
        <is>
          <t>OdooBot</t>
        </is>
      </c>
      <c r="F2473" s="5" t="n">
        <v>46154.70721064815</v>
      </c>
      <c r="G2473" t="inlineStr">
        <is>
          <t>Programme Personnel and Management</t>
        </is>
      </c>
      <c r="H2473" t="inlineStr">
        <is>
          <t>P13QC00A00 - EFI Programme</t>
        </is>
      </c>
      <c r="I2473" t="n">
        <v>3</v>
      </c>
      <c r="K2473" t="inlineStr">
        <is>
          <t>Programme Personnel</t>
        </is>
      </c>
      <c r="L2473" t="b">
        <v>0</v>
      </c>
      <c r="M2473" t="inlineStr">
        <is>
          <t>Non-Billable</t>
        </is>
      </c>
      <c r="N2473" s="6">
        <f>IF(B2473="","",IF(ISNUMBER(B2473),TEXT(B2473,"YYYY-MM"),LEFT(B2473,7)))</f>
        <v/>
      </c>
    </row>
    <row r="2474">
      <c r="A2474" t="inlineStr">
        <is>
          <t>Augustus Asamoah</t>
        </is>
      </c>
      <c r="B2474" s="4" t="n">
        <v>46050</v>
      </c>
      <c r="C2474" t="inlineStr">
        <is>
          <t>/</t>
        </is>
      </c>
      <c r="D2474" t="inlineStr">
        <is>
          <t>Augustus Asamoah</t>
        </is>
      </c>
      <c r="E2474" t="inlineStr">
        <is>
          <t>OdooBot</t>
        </is>
      </c>
      <c r="F2474" s="5" t="n">
        <v>46154.70721064815</v>
      </c>
      <c r="H2474" t="inlineStr">
        <is>
          <t>PCGH771</t>
        </is>
      </c>
      <c r="I2474" t="n">
        <v>2</v>
      </c>
      <c r="J2474" t="inlineStr">
        <is>
          <t>PCGH771 - Desk Study (2) (Okeosisi Jonathan)</t>
        </is>
      </c>
      <c r="L2474" t="b">
        <v>1</v>
      </c>
      <c r="M2474" t="inlineStr">
        <is>
          <t>Billed at a Fixed price</t>
        </is>
      </c>
      <c r="N2474" s="6">
        <f>IF(B2474="","",IF(ISNUMBER(B2474),TEXT(B2474,"YYYY-MM"),LEFT(B2474,7)))</f>
        <v/>
      </c>
    </row>
    <row r="2475">
      <c r="A2475" t="inlineStr">
        <is>
          <t>Kingsley Fitz-Gerald Severine</t>
        </is>
      </c>
      <c r="B2475" s="4" t="n">
        <v>46050</v>
      </c>
      <c r="C2475" t="inlineStr">
        <is>
          <t>/</t>
        </is>
      </c>
      <c r="D2475" t="inlineStr">
        <is>
          <t>Kingsley Fitz-Gerald Severine</t>
        </is>
      </c>
      <c r="E2475" t="inlineStr">
        <is>
          <t>OdooBot</t>
        </is>
      </c>
      <c r="F2475" s="5" t="n">
        <v>46154.70721064815</v>
      </c>
      <c r="H2475" t="inlineStr">
        <is>
          <t>PCGH769</t>
        </is>
      </c>
      <c r="I2475" t="n">
        <v>3</v>
      </c>
      <c r="J2475" t="inlineStr">
        <is>
          <t>PCGH769 - Participatory mapping (Biase Plantations Ltd.)</t>
        </is>
      </c>
      <c r="K2475" t="inlineStr">
        <is>
          <t>HCV/HCS - Participatory mapping</t>
        </is>
      </c>
      <c r="L2475" t="b">
        <v>1</v>
      </c>
      <c r="M2475" t="inlineStr">
        <is>
          <t>Billed Manually</t>
        </is>
      </c>
      <c r="N2475" s="6">
        <f>IF(B2475="","",IF(ISNUMBER(B2475),TEXT(B2475,"YYYY-MM"),LEFT(B2475,7)))</f>
        <v/>
      </c>
    </row>
    <row r="2476">
      <c r="A2476" t="inlineStr">
        <is>
          <t>Kingsley Fitz-Gerald Severine</t>
        </is>
      </c>
      <c r="B2476" s="4" t="n">
        <v>46050</v>
      </c>
      <c r="C2476" t="inlineStr">
        <is>
          <t>Review of draft report</t>
        </is>
      </c>
      <c r="D2476" t="inlineStr">
        <is>
          <t>Kingsley Fitz-Gerald Severine</t>
        </is>
      </c>
      <c r="E2476" t="inlineStr">
        <is>
          <t>OdooBot</t>
        </is>
      </c>
      <c r="F2476" s="5" t="n">
        <v>46154.70721064815</v>
      </c>
      <c r="H2476" t="inlineStr">
        <is>
          <t>PCGH769</t>
        </is>
      </c>
      <c r="I2476" t="n">
        <v>3.5</v>
      </c>
      <c r="J2476" t="inlineStr">
        <is>
          <t>PCGH769 - Analysis and Reporting (2) (Biase Plantations Ltd.)</t>
        </is>
      </c>
      <c r="K2476" t="inlineStr">
        <is>
          <t>HCV/HCS - Reporting</t>
        </is>
      </c>
      <c r="L2476" t="b">
        <v>1</v>
      </c>
      <c r="M2476" t="inlineStr">
        <is>
          <t>Billed at a Fixed price</t>
        </is>
      </c>
      <c r="N2476" s="6">
        <f>IF(B2476="","",IF(ISNUMBER(B2476),TEXT(B2476,"YYYY-MM"),LEFT(B2476,7)))</f>
        <v/>
      </c>
    </row>
    <row r="2477">
      <c r="A2477" t="inlineStr">
        <is>
          <t>Joseph Isaiah Mensah</t>
        </is>
      </c>
      <c r="B2477" s="4" t="n">
        <v>46050</v>
      </c>
      <c r="C2477" t="inlineStr">
        <is>
          <t>Preparation of workplans</t>
        </is>
      </c>
      <c r="D2477" t="inlineStr">
        <is>
          <t>Joseph Isaiah Mensah</t>
        </is>
      </c>
      <c r="E2477" t="inlineStr">
        <is>
          <t>Joseph Isaiah Mensah</t>
        </is>
      </c>
      <c r="F2477" s="5" t="n">
        <v>46162.50613425926</v>
      </c>
      <c r="G2477" t="inlineStr">
        <is>
          <t>Output 4</t>
        </is>
      </c>
      <c r="H2477" t="inlineStr">
        <is>
          <t>P23AC00C00 - FGMC</t>
        </is>
      </c>
      <c r="I2477" t="n">
        <v>5</v>
      </c>
      <c r="K2477" t="inlineStr">
        <is>
          <t>P23AC03A00 - Project Management</t>
        </is>
      </c>
      <c r="L2477" t="b">
        <v>0</v>
      </c>
      <c r="M2477" t="inlineStr">
        <is>
          <t>Non-Billable</t>
        </is>
      </c>
      <c r="N2477" s="6">
        <f>IF(B2477="","",IF(ISNUMBER(B2477),TEXT(B2477,"YYYY-MM"),LEFT(B2477,7)))</f>
        <v/>
      </c>
    </row>
    <row r="2478">
      <c r="A2478" t="inlineStr">
        <is>
          <t>Joseph Isaiah Mensah</t>
        </is>
      </c>
      <c r="B2478" s="4" t="n">
        <v>46050</v>
      </c>
      <c r="C2478" t="inlineStr">
        <is>
          <t>/</t>
        </is>
      </c>
      <c r="D2478" t="inlineStr">
        <is>
          <t>Joseph Isaiah Mensah</t>
        </is>
      </c>
      <c r="E2478" t="inlineStr">
        <is>
          <t>Joseph Isaiah Mensah</t>
        </is>
      </c>
      <c r="F2478" s="5" t="n">
        <v>46162.50605324074</v>
      </c>
      <c r="H2478" t="inlineStr">
        <is>
          <t>PCGH775 - ESDD of Valency Operations for FMO</t>
        </is>
      </c>
      <c r="I2478" t="n">
        <v>3</v>
      </c>
      <c r="J2478" t="inlineStr">
        <is>
          <t>PCGH775 - Kick-Off Meeting (Valency International DMCC)</t>
        </is>
      </c>
      <c r="K2478" t="inlineStr">
        <is>
          <t>Preparations and Kick-off (2)</t>
        </is>
      </c>
      <c r="L2478" t="b">
        <v>1</v>
      </c>
      <c r="M2478" t="inlineStr">
        <is>
          <t>Billed at a Fixed price</t>
        </is>
      </c>
      <c r="N2478" s="6">
        <f>IF(B2478="","",IF(ISNUMBER(B2478),TEXT(B2478,"YYYY-MM"),LEFT(B2478,7)))</f>
        <v/>
      </c>
    </row>
    <row r="2479">
      <c r="A2479" t="inlineStr">
        <is>
          <t>Louis Defo</t>
        </is>
      </c>
      <c r="B2479" s="4" t="n">
        <v>46049</v>
      </c>
      <c r="C2479" t="inlineStr">
        <is>
          <t>/</t>
        </is>
      </c>
      <c r="D2479" t="inlineStr">
        <is>
          <t>Louis Defo</t>
        </is>
      </c>
      <c r="E2479" t="inlineStr">
        <is>
          <t>Louis Defo</t>
        </is>
      </c>
      <c r="F2479" s="5" t="n">
        <v>46161.34371527778</v>
      </c>
      <c r="H2479" t="inlineStr">
        <is>
          <t>P23AC00C00 - FGMC</t>
        </is>
      </c>
      <c r="I2479" t="n">
        <v>8</v>
      </c>
      <c r="L2479" t="b">
        <v>0</v>
      </c>
      <c r="M2479" t="inlineStr">
        <is>
          <t>Non-Billable</t>
        </is>
      </c>
      <c r="N2479" s="6">
        <f>IF(B2479="","",IF(ISNUMBER(B2479),TEXT(B2479,"YYYY-MM"),LEFT(B2479,7)))</f>
        <v/>
      </c>
    </row>
    <row r="2480">
      <c r="A2480" t="inlineStr">
        <is>
          <t>Frederick Antwi</t>
        </is>
      </c>
      <c r="B2480" s="4" t="n">
        <v>46049</v>
      </c>
      <c r="C2480" t="inlineStr">
        <is>
          <t>/</t>
        </is>
      </c>
      <c r="D2480" t="inlineStr">
        <is>
          <t>Frederick Antwi</t>
        </is>
      </c>
      <c r="E2480" t="inlineStr">
        <is>
          <t>Frederick Antwi</t>
        </is>
      </c>
      <c r="F2480" s="5" t="n">
        <v>46160.55087962963</v>
      </c>
      <c r="H2480" t="inlineStr">
        <is>
          <t>PCGH768</t>
        </is>
      </c>
      <c r="I2480" t="n">
        <v>2</v>
      </c>
      <c r="L2480" t="b">
        <v>1</v>
      </c>
      <c r="M2480" t="inlineStr">
        <is>
          <t>Non-Billable</t>
        </is>
      </c>
      <c r="N2480" s="6">
        <f>IF(B2480="","",IF(ISNUMBER(B2480),TEXT(B2480,"YYYY-MM"),LEFT(B2480,7)))</f>
        <v/>
      </c>
    </row>
    <row r="2481">
      <c r="A2481" t="inlineStr">
        <is>
          <t>Frederick Antwi</t>
        </is>
      </c>
      <c r="B2481" s="4" t="n">
        <v>46049</v>
      </c>
      <c r="C2481" t="inlineStr">
        <is>
          <t>/</t>
        </is>
      </c>
      <c r="D2481" t="inlineStr">
        <is>
          <t>Frederick Antwi</t>
        </is>
      </c>
      <c r="E2481" t="inlineStr">
        <is>
          <t>Frederick Antwi</t>
        </is>
      </c>
      <c r="F2481" s="5" t="n">
        <v>46160.55082175926</v>
      </c>
      <c r="H2481" t="inlineStr">
        <is>
          <t>P13NC00A00 - WALMART II</t>
        </is>
      </c>
      <c r="I2481" t="n">
        <v>6</v>
      </c>
      <c r="L2481" t="b">
        <v>0</v>
      </c>
      <c r="M2481" t="inlineStr">
        <is>
          <t>Non-Billable</t>
        </is>
      </c>
      <c r="N2481" s="6">
        <f>IF(B2481="","",IF(ISNUMBER(B2481),TEXT(B2481,"YYYY-MM"),LEFT(B2481,7)))</f>
        <v/>
      </c>
    </row>
    <row r="2482">
      <c r="A2482" t="inlineStr">
        <is>
          <t>James Parker Mckeown</t>
        </is>
      </c>
      <c r="B2482" s="4" t="n">
        <v>46049</v>
      </c>
      <c r="C2482" t="inlineStr">
        <is>
          <t>Discussion on plans and dates for socio-economic and biodiversity surveys for Nitrian CF</t>
        </is>
      </c>
      <c r="D2482" t="inlineStr">
        <is>
          <t>James Parker Mckeown</t>
        </is>
      </c>
      <c r="E2482" t="inlineStr">
        <is>
          <t>James Parker Mckeown</t>
        </is>
      </c>
      <c r="F2482" s="5" t="n">
        <v>46156.86518518518</v>
      </c>
      <c r="H2482" t="inlineStr">
        <is>
          <t>PCGH762 - GVL HCSA Restoration Project</t>
        </is>
      </c>
      <c r="I2482" t="n">
        <v>2</v>
      </c>
      <c r="J2482" t="inlineStr">
        <is>
          <t>PCGH762 - Baseline Socio-Economic &amp; Environmental Surveys (Golden Veroleum Liberia)</t>
        </is>
      </c>
      <c r="L2482" t="b">
        <v>1</v>
      </c>
      <c r="M2482" t="inlineStr">
        <is>
          <t>Billed at a Fixed price</t>
        </is>
      </c>
      <c r="N2482" s="6">
        <f>IF(B2482="","",IF(ISNUMBER(B2482),TEXT(B2482,"YYYY-MM"),LEFT(B2482,7)))</f>
        <v/>
      </c>
    </row>
    <row r="2483">
      <c r="A2483" t="inlineStr">
        <is>
          <t>James Parker Mckeown</t>
        </is>
      </c>
      <c r="B2483" s="4" t="n">
        <v>46049</v>
      </c>
      <c r="C2483" t="inlineStr">
        <is>
          <t xml:space="preserve">collation of information for PLUP Technical report from communities in Wologizi-Wonagizi landscape </t>
        </is>
      </c>
      <c r="D2483" t="inlineStr">
        <is>
          <t>James Parker Mckeown</t>
        </is>
      </c>
      <c r="E2483" t="inlineStr">
        <is>
          <t>James Parker Mckeown</t>
        </is>
      </c>
      <c r="F2483" s="5" t="n">
        <v>46156.86560185185</v>
      </c>
      <c r="H2483" t="inlineStr">
        <is>
          <t>PCGH761</t>
        </is>
      </c>
      <c r="I2483" t="n">
        <v>4</v>
      </c>
      <c r="J2483" t="inlineStr">
        <is>
          <t>PCGH761 - Analysis and Reporting (3) (Fauna and Flora International Liberia)</t>
        </is>
      </c>
      <c r="L2483" t="b">
        <v>1</v>
      </c>
      <c r="M2483" t="inlineStr">
        <is>
          <t>Billed at a Fixed price</t>
        </is>
      </c>
      <c r="N2483" s="6">
        <f>IF(B2483="","",IF(ISNUMBER(B2483),TEXT(B2483,"YYYY-MM"),LEFT(B2483,7)))</f>
        <v/>
      </c>
    </row>
    <row r="2484">
      <c r="A2484" t="inlineStr">
        <is>
          <t>James Parker Mckeown</t>
        </is>
      </c>
      <c r="B2484" s="4" t="n">
        <v>46049</v>
      </c>
      <c r="C2484" t="inlineStr">
        <is>
          <t>collating landscape Information to jako</t>
        </is>
      </c>
      <c r="D2484" t="inlineStr">
        <is>
          <t>James Parker Mckeown</t>
        </is>
      </c>
      <c r="E2484" t="inlineStr">
        <is>
          <t>James Parker Mckeown</t>
        </is>
      </c>
      <c r="F2484" s="5" t="n">
        <v>46156.86239583333</v>
      </c>
      <c r="H2484" t="inlineStr">
        <is>
          <t>Non-Billable Tasks</t>
        </is>
      </c>
      <c r="I2484" t="n">
        <v>1.5</v>
      </c>
      <c r="K2484" t="inlineStr">
        <is>
          <t>Internal Focal points and workstreams</t>
        </is>
      </c>
      <c r="L2484" t="b">
        <v>0</v>
      </c>
      <c r="M2484" t="inlineStr">
        <is>
          <t>Non-Billable</t>
        </is>
      </c>
      <c r="N2484" s="6">
        <f>IF(B2484="","",IF(ISNUMBER(B2484),TEXT(B2484,"YYYY-MM"),LEFT(B2484,7)))</f>
        <v/>
      </c>
    </row>
    <row r="2485">
      <c r="A2485" t="inlineStr">
        <is>
          <t>James Parker Mckeown</t>
        </is>
      </c>
      <c r="B2485" s="4" t="n">
        <v>46049</v>
      </c>
      <c r="C2485" t="inlineStr">
        <is>
          <t>FGMC II Jan-Mar 2026 Budget and Plan</t>
        </is>
      </c>
      <c r="D2485" t="inlineStr">
        <is>
          <t>James Parker Mckeown</t>
        </is>
      </c>
      <c r="E2485" t="inlineStr">
        <is>
          <t>James Parker Mckeown</t>
        </is>
      </c>
      <c r="F2485" s="5" t="n">
        <v>46156.86158564815</v>
      </c>
      <c r="G2485" t="inlineStr">
        <is>
          <t>Output 4</t>
        </is>
      </c>
      <c r="H2485" t="inlineStr">
        <is>
          <t>P23AC00C00 - FGMC</t>
        </is>
      </c>
      <c r="I2485" t="n">
        <v>1</v>
      </c>
      <c r="K2485" t="inlineStr">
        <is>
          <t>P23AC03A00 - Project Management</t>
        </is>
      </c>
      <c r="L2485" t="b">
        <v>0</v>
      </c>
      <c r="M2485" t="inlineStr">
        <is>
          <t>Non-Billable</t>
        </is>
      </c>
      <c r="N2485" s="6">
        <f>IF(B2485="","",IF(ISNUMBER(B2485),TEXT(B2485,"YYYY-MM"),LEFT(B2485,7)))</f>
        <v/>
      </c>
    </row>
    <row r="2486">
      <c r="A2486" t="inlineStr">
        <is>
          <t>Stephen Doso</t>
        </is>
      </c>
      <c r="B2486" s="4" t="n">
        <v>46049</v>
      </c>
      <c r="C2486" t="inlineStr">
        <is>
          <t>/</t>
        </is>
      </c>
      <c r="D2486" t="inlineStr">
        <is>
          <t>Stephen Doso</t>
        </is>
      </c>
      <c r="E2486" t="inlineStr">
        <is>
          <t>OdooBot</t>
        </is>
      </c>
      <c r="F2486" s="5" t="n">
        <v>46154.70721064815</v>
      </c>
      <c r="H2486" t="inlineStr">
        <is>
          <t>PCGH769</t>
        </is>
      </c>
      <c r="I2486" t="n">
        <v>6</v>
      </c>
      <c r="J2486" t="inlineStr">
        <is>
          <t>PCGH769 - Desk Study (2) (Biase Plantations Ltd.)</t>
        </is>
      </c>
      <c r="K2486" t="inlineStr">
        <is>
          <t>HCV/HCS - Reporting and review</t>
        </is>
      </c>
      <c r="L2486" t="b">
        <v>1</v>
      </c>
      <c r="M2486" t="inlineStr">
        <is>
          <t>Billed at a Fixed price</t>
        </is>
      </c>
      <c r="N2486" s="6">
        <f>IF(B2486="","",IF(ISNUMBER(B2486),TEXT(B2486,"YYYY-MM"),LEFT(B2486,7)))</f>
        <v/>
      </c>
    </row>
    <row r="2487">
      <c r="A2487" t="inlineStr">
        <is>
          <t>Stephen Doso</t>
        </is>
      </c>
      <c r="B2487" s="4" t="n">
        <v>46049</v>
      </c>
      <c r="C2487" t="inlineStr">
        <is>
          <t>/</t>
        </is>
      </c>
      <c r="D2487" t="inlineStr">
        <is>
          <t>Stephen Doso</t>
        </is>
      </c>
      <c r="E2487" t="inlineStr">
        <is>
          <t>OdooBot</t>
        </is>
      </c>
      <c r="F2487" s="5" t="n">
        <v>46154.70721064815</v>
      </c>
      <c r="G2487" t="inlineStr">
        <is>
          <t>Preparations and Kick-off (2)</t>
        </is>
      </c>
      <c r="H2487" t="inlineStr">
        <is>
          <t>PCGH775 - ESDD of Valency Operations for FMO</t>
        </is>
      </c>
      <c r="I2487" t="n">
        <v>2</v>
      </c>
      <c r="J2487" t="inlineStr">
        <is>
          <t>PCGH775 - Kick-Off Meeting (Valency International DMCC)</t>
        </is>
      </c>
      <c r="K2487" t="inlineStr">
        <is>
          <t>Kick-off Meeting</t>
        </is>
      </c>
      <c r="L2487" t="b">
        <v>1</v>
      </c>
      <c r="M2487" t="inlineStr">
        <is>
          <t>Billed at a Fixed price</t>
        </is>
      </c>
      <c r="N2487" s="6">
        <f>IF(B2487="","",IF(ISNUMBER(B2487),TEXT(B2487,"YYYY-MM"),LEFT(B2487,7)))</f>
        <v/>
      </c>
    </row>
    <row r="2488">
      <c r="A2488" t="inlineStr">
        <is>
          <t>Kwadwo Baniako Nti</t>
        </is>
      </c>
      <c r="B2488" s="4" t="n">
        <v>46049</v>
      </c>
      <c r="C2488" t="inlineStr">
        <is>
          <t>/</t>
        </is>
      </c>
      <c r="D2488" t="inlineStr">
        <is>
          <t>Kwadwo Baniako Nti</t>
        </is>
      </c>
      <c r="E2488" t="inlineStr">
        <is>
          <t>OdooBot</t>
        </is>
      </c>
      <c r="F2488" s="5" t="n">
        <v>46154.70721064815</v>
      </c>
      <c r="G2488" t="inlineStr">
        <is>
          <t>Training and Capacity Building</t>
        </is>
      </c>
      <c r="H2488" t="inlineStr">
        <is>
          <t>PCGH762 - GVL HCSA Restoration Project</t>
        </is>
      </c>
      <c r="I2488" t="n">
        <v>8</v>
      </c>
      <c r="J2488" t="inlineStr">
        <is>
          <t>PCGH762 - Training and Capacity Building (Golden Veroleum Liberia)</t>
        </is>
      </c>
      <c r="K2488" t="inlineStr">
        <is>
          <t>Training and Capacity Building</t>
        </is>
      </c>
      <c r="L2488" t="b">
        <v>1</v>
      </c>
      <c r="M2488" t="inlineStr">
        <is>
          <t>Billed at a Fixed price</t>
        </is>
      </c>
      <c r="N2488" s="6">
        <f>IF(B2488="","",IF(ISNUMBER(B2488),TEXT(B2488,"YYYY-MM"),LEFT(B2488,7)))</f>
        <v/>
      </c>
    </row>
    <row r="2489">
      <c r="A2489" t="inlineStr">
        <is>
          <t>Daleba Bernard Kpenahi Raymond</t>
        </is>
      </c>
      <c r="B2489" s="4" t="n">
        <v>46049</v>
      </c>
      <c r="C2489" t="inlineStr">
        <is>
          <t>/</t>
        </is>
      </c>
      <c r="D2489" t="inlineStr">
        <is>
          <t>Daleba Bernard Kpenahi Raymond</t>
        </is>
      </c>
      <c r="E2489" t="inlineStr">
        <is>
          <t>OdooBot</t>
        </is>
      </c>
      <c r="F2489" s="5" t="n">
        <v>46154.70721064815</v>
      </c>
      <c r="H2489" t="inlineStr">
        <is>
          <t>Non-Billable Tasks</t>
        </is>
      </c>
      <c r="I2489" t="n">
        <v>8</v>
      </c>
      <c r="K2489" t="inlineStr">
        <is>
          <t>Professional development and Knowledge sharing(training,global knowledge calls,exchange weeks)</t>
        </is>
      </c>
      <c r="L2489" t="b">
        <v>0</v>
      </c>
      <c r="M2489" t="inlineStr">
        <is>
          <t>Non-Billable</t>
        </is>
      </c>
      <c r="N2489" s="6">
        <f>IF(B2489="","",IF(ISNUMBER(B2489),TEXT(B2489,"YYYY-MM"),LEFT(B2489,7)))</f>
        <v/>
      </c>
    </row>
    <row r="2490">
      <c r="A2490" t="inlineStr">
        <is>
          <t>Ekow Nyamekye Tawiah</t>
        </is>
      </c>
      <c r="B2490" s="4" t="n">
        <v>46049</v>
      </c>
      <c r="C2490" t="inlineStr">
        <is>
          <t>/</t>
        </is>
      </c>
      <c r="D2490" t="inlineStr">
        <is>
          <t>Ekow Nyamekye Tawiah</t>
        </is>
      </c>
      <c r="E2490" t="inlineStr">
        <is>
          <t>OdooBot</t>
        </is>
      </c>
      <c r="F2490" s="5" t="n">
        <v>46154.70721064815</v>
      </c>
      <c r="H2490" t="inlineStr">
        <is>
          <t>PCGH722</t>
        </is>
      </c>
      <c r="I2490" t="n">
        <v>1.5</v>
      </c>
      <c r="J2490" t="inlineStr">
        <is>
          <t>PCGH722 - Analysis and Reporting (3) (Sucrivoire SA)</t>
        </is>
      </c>
      <c r="K2490" t="inlineStr">
        <is>
          <t>Analysis and Reporting (3)</t>
        </is>
      </c>
      <c r="L2490" t="b">
        <v>1</v>
      </c>
      <c r="M2490" t="inlineStr">
        <is>
          <t>Billed at a Fixed price</t>
        </is>
      </c>
      <c r="N2490" s="6">
        <f>IF(B2490="","",IF(ISNUMBER(B2490),TEXT(B2490,"YYYY-MM"),LEFT(B2490,7)))</f>
        <v/>
      </c>
    </row>
    <row r="2491">
      <c r="A2491" t="inlineStr">
        <is>
          <t>Ekow Nyamekye Tawiah</t>
        </is>
      </c>
      <c r="B2491" s="4" t="n">
        <v>46049</v>
      </c>
      <c r="C2491" t="inlineStr">
        <is>
          <t>Lessons learnt from Nestle Deforestation Risk</t>
        </is>
      </c>
      <c r="D2491" t="inlineStr">
        <is>
          <t>Ekow Nyamekye Tawiah</t>
        </is>
      </c>
      <c r="E2491" t="inlineStr">
        <is>
          <t>Michael Anim</t>
        </is>
      </c>
      <c r="F2491" s="5" t="n">
        <v>46163.53215277778</v>
      </c>
      <c r="H2491" t="inlineStr">
        <is>
          <t>PCGH778 - General Support</t>
        </is>
      </c>
      <c r="I2491" t="n">
        <v>1</v>
      </c>
      <c r="J2491" t="inlineStr">
        <is>
          <t>PCGH778 - Support to Other Workstreams (3) (Proforest Limited(PCUK GBP))</t>
        </is>
      </c>
      <c r="L2491" t="b">
        <v>1</v>
      </c>
      <c r="M2491" t="inlineStr">
        <is>
          <t>Billed at a Fixed price</t>
        </is>
      </c>
      <c r="N2491" s="6">
        <f>IF(B2491="","",IF(ISNUMBER(B2491),TEXT(B2491,"YYYY-MM"),LEFT(B2491,7)))</f>
        <v/>
      </c>
    </row>
    <row r="2492">
      <c r="A2492" t="inlineStr">
        <is>
          <t>Ekow Nyamekye Tawiah</t>
        </is>
      </c>
      <c r="B2492" s="4" t="n">
        <v>46049</v>
      </c>
      <c r="C2492" t="inlineStr">
        <is>
          <t>Nestle RS Kick-Off Meeting</t>
        </is>
      </c>
      <c r="D2492" t="inlineStr">
        <is>
          <t>Ekow Nyamekye Tawiah</t>
        </is>
      </c>
      <c r="E2492" t="inlineStr">
        <is>
          <t>OdooBot</t>
        </is>
      </c>
      <c r="F2492" s="5" t="n">
        <v>46154.70721064815</v>
      </c>
      <c r="H2492" t="inlineStr">
        <is>
          <t>Non-Billable Tasks</t>
        </is>
      </c>
      <c r="I2492" t="n">
        <v>1.5</v>
      </c>
      <c r="K2492" t="inlineStr">
        <is>
          <t>Professional development and Knowledge sharing(training,global knowledge calls,exchange weeks)</t>
        </is>
      </c>
      <c r="L2492" t="b">
        <v>0</v>
      </c>
      <c r="M2492" t="inlineStr">
        <is>
          <t>Non-Billable</t>
        </is>
      </c>
      <c r="N2492" s="6">
        <f>IF(B2492="","",IF(ISNUMBER(B2492),TEXT(B2492,"YYYY-MM"),LEFT(B2492,7)))</f>
        <v/>
      </c>
    </row>
    <row r="2493">
      <c r="A2493" t="inlineStr">
        <is>
          <t>Afua Serwah Akoto Prempeh</t>
        </is>
      </c>
      <c r="B2493" s="4" t="n">
        <v>46049</v>
      </c>
      <c r="C2493" t="inlineStr">
        <is>
          <t>/</t>
        </is>
      </c>
      <c r="D2493" t="inlineStr">
        <is>
          <t>Afua Serwah Akoto Prempeh</t>
        </is>
      </c>
      <c r="E2493" t="inlineStr">
        <is>
          <t>OdooBot</t>
        </is>
      </c>
      <c r="F2493" s="5" t="n">
        <v>46154.70721064815</v>
      </c>
      <c r="H2493" t="inlineStr">
        <is>
          <t>Non-Billable Tasks</t>
        </is>
      </c>
      <c r="I2493" t="n">
        <v>8</v>
      </c>
      <c r="K2493" t="inlineStr">
        <is>
          <t>Communication/Data/Training</t>
        </is>
      </c>
      <c r="L2493" t="b">
        <v>0</v>
      </c>
      <c r="M2493" t="inlineStr">
        <is>
          <t>Non-Billable</t>
        </is>
      </c>
      <c r="N2493" s="6">
        <f>IF(B2493="","",IF(ISNUMBER(B2493),TEXT(B2493,"YYYY-MM"),LEFT(B2493,7)))</f>
        <v/>
      </c>
    </row>
    <row r="2494">
      <c r="A2494" t="inlineStr">
        <is>
          <t>Helena Tetteh</t>
        </is>
      </c>
      <c r="B2494" s="4" t="n">
        <v>46049</v>
      </c>
      <c r="C2494" t="inlineStr">
        <is>
          <t>PIA BIP action plan development</t>
        </is>
      </c>
      <c r="D2494" t="inlineStr">
        <is>
          <t xml:space="preserve">Helena Tetteh </t>
        </is>
      </c>
      <c r="E2494" t="inlineStr">
        <is>
          <t>OdooBot</t>
        </is>
      </c>
      <c r="F2494" s="5" t="n">
        <v>46154.70721064815</v>
      </c>
      <c r="H2494" t="inlineStr">
        <is>
          <t>Non-Billable Tasks</t>
        </is>
      </c>
      <c r="I2494" t="n">
        <v>0</v>
      </c>
      <c r="K2494" t="inlineStr">
        <is>
          <t>Portfolio Team Management</t>
        </is>
      </c>
      <c r="L2494" t="b">
        <v>0</v>
      </c>
      <c r="M2494" t="inlineStr">
        <is>
          <t>Non-Billable</t>
        </is>
      </c>
      <c r="N2494" s="6">
        <f>IF(B2494="","",IF(ISNUMBER(B2494),TEXT(B2494,"YYYY-MM"),LEFT(B2494,7)))</f>
        <v/>
      </c>
    </row>
    <row r="2495">
      <c r="A2495" t="inlineStr">
        <is>
          <t>Helena Tetteh</t>
        </is>
      </c>
      <c r="B2495" s="4" t="n">
        <v>46049</v>
      </c>
      <c r="C2495" t="inlineStr">
        <is>
          <t>/</t>
        </is>
      </c>
      <c r="D2495" t="inlineStr">
        <is>
          <t xml:space="preserve">Helena Tetteh </t>
        </is>
      </c>
      <c r="E2495" t="inlineStr">
        <is>
          <t>OdooBot</t>
        </is>
      </c>
      <c r="F2495" s="5" t="n">
        <v>46154.70721064815</v>
      </c>
      <c r="H2495" t="inlineStr">
        <is>
          <t>P23AC00C00 - FGMC</t>
        </is>
      </c>
      <c r="I2495" t="n">
        <v>8</v>
      </c>
      <c r="K2495" t="inlineStr">
        <is>
          <t>Output 2.3</t>
        </is>
      </c>
      <c r="L2495" t="b">
        <v>0</v>
      </c>
      <c r="M2495" t="inlineStr">
        <is>
          <t>Non-Billable</t>
        </is>
      </c>
      <c r="N2495" s="6">
        <f>IF(B2495="","",IF(ISNUMBER(B2495),TEXT(B2495,"YYYY-MM"),LEFT(B2495,7)))</f>
        <v/>
      </c>
    </row>
    <row r="2496">
      <c r="A2496" t="inlineStr">
        <is>
          <t>Clement Obeng-Manu</t>
        </is>
      </c>
      <c r="B2496" s="4" t="n">
        <v>46049</v>
      </c>
      <c r="C2496" t="inlineStr">
        <is>
          <t>/</t>
        </is>
      </c>
      <c r="D2496" t="inlineStr">
        <is>
          <t>Clement Obeng-Manu</t>
        </is>
      </c>
      <c r="E2496" t="inlineStr">
        <is>
          <t>OdooBot</t>
        </is>
      </c>
      <c r="F2496" s="5" t="n">
        <v>46154.70721064815</v>
      </c>
      <c r="H2496" t="inlineStr">
        <is>
          <t>PCGH769</t>
        </is>
      </c>
      <c r="I2496" t="n">
        <v>8</v>
      </c>
      <c r="J2496" t="inlineStr">
        <is>
          <t>PCGH769 - Desk Study (3) (Biase Plantations Ltd.)</t>
        </is>
      </c>
      <c r="K2496" t="inlineStr">
        <is>
          <t>HCV/HCS - Desk Study</t>
        </is>
      </c>
      <c r="L2496" t="b">
        <v>1</v>
      </c>
      <c r="M2496" t="inlineStr">
        <is>
          <t>Billed at a Fixed price</t>
        </is>
      </c>
      <c r="N2496" s="6">
        <f>IF(B2496="","",IF(ISNUMBER(B2496),TEXT(B2496,"YYYY-MM"),LEFT(B2496,7)))</f>
        <v/>
      </c>
    </row>
    <row r="2497">
      <c r="A2497" t="inlineStr">
        <is>
          <t>Augustus Asamoah</t>
        </is>
      </c>
      <c r="B2497" s="4" t="n">
        <v>46049</v>
      </c>
      <c r="C2497" t="inlineStr">
        <is>
          <t>/</t>
        </is>
      </c>
      <c r="D2497" t="inlineStr">
        <is>
          <t>Augustus Asamoah</t>
        </is>
      </c>
      <c r="E2497" t="inlineStr">
        <is>
          <t>OdooBot</t>
        </is>
      </c>
      <c r="F2497" s="5" t="n">
        <v>46154.70721064815</v>
      </c>
      <c r="H2497" t="inlineStr">
        <is>
          <t>Non-Billable Tasks</t>
        </is>
      </c>
      <c r="I2497" t="n">
        <v>1</v>
      </c>
      <c r="L2497" t="b">
        <v>0</v>
      </c>
      <c r="M2497" t="inlineStr">
        <is>
          <t>Non-Billable</t>
        </is>
      </c>
      <c r="N2497" s="6">
        <f>IF(B2497="","",IF(ISNUMBER(B2497),TEXT(B2497,"YYYY-MM"),LEFT(B2497,7)))</f>
        <v/>
      </c>
    </row>
    <row r="2498">
      <c r="A2498" t="inlineStr">
        <is>
          <t>Augustus Asamoah</t>
        </is>
      </c>
      <c r="B2498" s="4" t="n">
        <v>46049</v>
      </c>
      <c r="C2498" t="inlineStr">
        <is>
          <t>/</t>
        </is>
      </c>
      <c r="D2498" t="inlineStr">
        <is>
          <t>Augustus Asamoah</t>
        </is>
      </c>
      <c r="E2498" t="inlineStr">
        <is>
          <t>OdooBot</t>
        </is>
      </c>
      <c r="F2498" s="5" t="n">
        <v>46154.70721064815</v>
      </c>
      <c r="H2498" t="inlineStr">
        <is>
          <t>PCGH771</t>
        </is>
      </c>
      <c r="I2498" t="n">
        <v>2</v>
      </c>
      <c r="J2498" t="inlineStr">
        <is>
          <t>PCGH771 - Desk Study (2) (Okeosisi Jonathan)</t>
        </is>
      </c>
      <c r="L2498" t="b">
        <v>1</v>
      </c>
      <c r="M2498" t="inlineStr">
        <is>
          <t>Billed at a Fixed price</t>
        </is>
      </c>
      <c r="N2498" s="6">
        <f>IF(B2498="","",IF(ISNUMBER(B2498),TEXT(B2498,"YYYY-MM"),LEFT(B2498,7)))</f>
        <v/>
      </c>
    </row>
    <row r="2499">
      <c r="A2499" t="inlineStr">
        <is>
          <t>Augustus Asamoah</t>
        </is>
      </c>
      <c r="B2499" s="4" t="n">
        <v>46049</v>
      </c>
      <c r="C2499" t="inlineStr">
        <is>
          <t>/</t>
        </is>
      </c>
      <c r="D2499" t="inlineStr">
        <is>
          <t>Augustus Asamoah</t>
        </is>
      </c>
      <c r="E2499" t="inlineStr">
        <is>
          <t>OdooBot</t>
        </is>
      </c>
      <c r="F2499" s="5" t="n">
        <v>46154.70721064815</v>
      </c>
      <c r="G2499" t="inlineStr">
        <is>
          <t>Programme Personnel and Management</t>
        </is>
      </c>
      <c r="H2499" t="inlineStr">
        <is>
          <t>P13QC00A00 - EFI Programme</t>
        </is>
      </c>
      <c r="I2499" t="n">
        <v>2</v>
      </c>
      <c r="K2499" t="inlineStr">
        <is>
          <t>Programme Personnel</t>
        </is>
      </c>
      <c r="L2499" t="b">
        <v>0</v>
      </c>
      <c r="M2499" t="inlineStr">
        <is>
          <t>Non-Billable</t>
        </is>
      </c>
      <c r="N2499" s="6">
        <f>IF(B2499="","",IF(ISNUMBER(B2499),TEXT(B2499,"YYYY-MM"),LEFT(B2499,7)))</f>
        <v/>
      </c>
    </row>
    <row r="2500">
      <c r="A2500" t="inlineStr">
        <is>
          <t>Augustus Asamoah</t>
        </is>
      </c>
      <c r="B2500" s="4" t="n">
        <v>46049</v>
      </c>
      <c r="C2500" t="inlineStr">
        <is>
          <t>/</t>
        </is>
      </c>
      <c r="D2500" t="inlineStr">
        <is>
          <t>Augustus Asamoah</t>
        </is>
      </c>
      <c r="E2500" t="inlineStr">
        <is>
          <t>OdooBot</t>
        </is>
      </c>
      <c r="F2500" s="5" t="n">
        <v>46154.70721064815</v>
      </c>
      <c r="H2500" t="inlineStr">
        <is>
          <t>P13NC00A00 - WALMART II</t>
        </is>
      </c>
      <c r="I2500" t="n">
        <v>3</v>
      </c>
      <c r="L2500" t="b">
        <v>0</v>
      </c>
      <c r="M2500" t="inlineStr">
        <is>
          <t>Non-Billable</t>
        </is>
      </c>
      <c r="N2500" s="6">
        <f>IF(B2500="","",IF(ISNUMBER(B2500),TEXT(B2500,"YYYY-MM"),LEFT(B2500,7)))</f>
        <v/>
      </c>
    </row>
    <row r="2501">
      <c r="A2501" t="inlineStr">
        <is>
          <t>Kingsley Fitz-Gerald Severine</t>
        </is>
      </c>
      <c r="B2501" s="4" t="n">
        <v>46049</v>
      </c>
      <c r="C2501" t="inlineStr">
        <is>
          <t>/</t>
        </is>
      </c>
      <c r="D2501" t="inlineStr">
        <is>
          <t>Kingsley Fitz-Gerald Severine</t>
        </is>
      </c>
      <c r="E2501" t="inlineStr">
        <is>
          <t>OdooBot</t>
        </is>
      </c>
      <c r="F2501" s="5" t="n">
        <v>46154.70721064815</v>
      </c>
      <c r="H2501" t="inlineStr">
        <is>
          <t>PCGH769</t>
        </is>
      </c>
      <c r="I2501" t="n">
        <v>5</v>
      </c>
      <c r="J2501" t="inlineStr">
        <is>
          <t>PCGH769 - Participatory mapping (Biase Plantations Ltd.)</t>
        </is>
      </c>
      <c r="K2501" t="inlineStr">
        <is>
          <t>HCV/HCS - Participatory mapping</t>
        </is>
      </c>
      <c r="L2501" t="b">
        <v>1</v>
      </c>
      <c r="M2501" t="inlineStr">
        <is>
          <t>Billed Manually</t>
        </is>
      </c>
      <c r="N2501" s="6">
        <f>IF(B2501="","",IF(ISNUMBER(B2501),TEXT(B2501,"YYYY-MM"),LEFT(B2501,7)))</f>
        <v/>
      </c>
    </row>
    <row r="2502">
      <c r="A2502" t="inlineStr">
        <is>
          <t>Joseph Isaiah Mensah</t>
        </is>
      </c>
      <c r="B2502" s="4" t="n">
        <v>46049</v>
      </c>
      <c r="C2502" t="inlineStr">
        <is>
          <t>preparation of training materials for capacity building</t>
        </is>
      </c>
      <c r="D2502" t="inlineStr">
        <is>
          <t>Joseph Isaiah Mensah</t>
        </is>
      </c>
      <c r="E2502" t="inlineStr">
        <is>
          <t>OdooBot</t>
        </is>
      </c>
      <c r="F2502" s="5" t="n">
        <v>46154.70721064815</v>
      </c>
      <c r="G2502" t="inlineStr">
        <is>
          <t>Programme Personnel and Management</t>
        </is>
      </c>
      <c r="H2502" t="inlineStr">
        <is>
          <t>P13QC00A00 - EFI Programme</t>
        </is>
      </c>
      <c r="I2502" t="n">
        <v>1</v>
      </c>
      <c r="K2502" t="inlineStr">
        <is>
          <t>Programme Personnel</t>
        </is>
      </c>
      <c r="L2502" t="b">
        <v>0</v>
      </c>
      <c r="M2502" t="inlineStr">
        <is>
          <t>Non-Billable</t>
        </is>
      </c>
      <c r="N2502" s="6">
        <f>IF(B2502="","",IF(ISNUMBER(B2502),TEXT(B2502,"YYYY-MM"),LEFT(B2502,7)))</f>
        <v/>
      </c>
    </row>
    <row r="2503">
      <c r="A2503" t="inlineStr">
        <is>
          <t>Joseph Isaiah Mensah</t>
        </is>
      </c>
      <c r="B2503" s="4" t="n">
        <v>46049</v>
      </c>
      <c r="C2503" t="inlineStr">
        <is>
          <t>ESDD / Valency preparation of assessment framework</t>
        </is>
      </c>
      <c r="D2503" t="inlineStr">
        <is>
          <t>Joseph Isaiah Mensah</t>
        </is>
      </c>
      <c r="E2503" t="inlineStr">
        <is>
          <t>Joseph Isaiah Mensah</t>
        </is>
      </c>
      <c r="F2503" s="5" t="n">
        <v>46162.50569444444</v>
      </c>
      <c r="H2503" t="inlineStr">
        <is>
          <t>PCGH775 - ESDD of Valency Operations for FMO</t>
        </is>
      </c>
      <c r="I2503" t="n">
        <v>3</v>
      </c>
      <c r="J2503" t="inlineStr">
        <is>
          <t>PCGH775 - Development of Assessment Framework (3) (Valency International DMCC)</t>
        </is>
      </c>
      <c r="K2503" t="inlineStr">
        <is>
          <t>Desk study, development of assessment framework &amp; online meetings (3)</t>
        </is>
      </c>
      <c r="L2503" t="b">
        <v>1</v>
      </c>
      <c r="M2503" t="inlineStr">
        <is>
          <t>Billed at a Fixed price</t>
        </is>
      </c>
      <c r="N2503" s="6">
        <f>IF(B2503="","",IF(ISNUMBER(B2503),TEXT(B2503,"YYYY-MM"),LEFT(B2503,7)))</f>
        <v/>
      </c>
    </row>
    <row r="2504">
      <c r="A2504" t="inlineStr">
        <is>
          <t>Joseph Isaiah Mensah</t>
        </is>
      </c>
      <c r="B2504" s="4" t="n">
        <v>46049</v>
      </c>
      <c r="C2504" t="inlineStr">
        <is>
          <t>Discussion of workplan</t>
        </is>
      </c>
      <c r="D2504" t="inlineStr">
        <is>
          <t>Joseph Isaiah Mensah</t>
        </is>
      </c>
      <c r="E2504" t="inlineStr">
        <is>
          <t>OdooBot</t>
        </is>
      </c>
      <c r="F2504" s="5" t="n">
        <v>46154.70721064815</v>
      </c>
      <c r="G2504" t="inlineStr">
        <is>
          <t>Programme Personnel and Management</t>
        </is>
      </c>
      <c r="H2504" t="inlineStr">
        <is>
          <t>P13QC00A00 - EFI Programme</t>
        </is>
      </c>
      <c r="I2504" t="n">
        <v>1</v>
      </c>
      <c r="K2504" t="inlineStr">
        <is>
          <t>Programme Personnel</t>
        </is>
      </c>
      <c r="L2504" t="b">
        <v>0</v>
      </c>
      <c r="M2504" t="inlineStr">
        <is>
          <t>Non-Billable</t>
        </is>
      </c>
      <c r="N2504" s="6">
        <f>IF(B2504="","",IF(ISNUMBER(B2504),TEXT(B2504,"YYYY-MM"),LEFT(B2504,7)))</f>
        <v/>
      </c>
    </row>
    <row r="2505">
      <c r="A2505" t="inlineStr">
        <is>
          <t>Joseph Isaiah Mensah</t>
        </is>
      </c>
      <c r="B2505" s="4" t="n">
        <v>46049</v>
      </c>
      <c r="C2505" t="inlineStr">
        <is>
          <t>Internal Nestle PCGH kick-off</t>
        </is>
      </c>
      <c r="D2505" t="inlineStr">
        <is>
          <t>Joseph Isaiah Mensah</t>
        </is>
      </c>
      <c r="E2505" t="inlineStr">
        <is>
          <t>OdooBot</t>
        </is>
      </c>
      <c r="F2505" s="5" t="n">
        <v>46154.70721064815</v>
      </c>
      <c r="H2505" t="inlineStr">
        <is>
          <t>PCGH753 (General Support )</t>
        </is>
      </c>
      <c r="I2505" t="n">
        <v>2</v>
      </c>
      <c r="J2505" t="inlineStr">
        <is>
          <t>PCGH753 - Project Management (3) (Proforest Limited(PCUK GBP))</t>
        </is>
      </c>
      <c r="K2505" t="inlineStr">
        <is>
          <t>Update Meetings with Nestle and PF Teams</t>
        </is>
      </c>
      <c r="L2505" t="b">
        <v>1</v>
      </c>
      <c r="M2505" t="inlineStr">
        <is>
          <t>Billed at a Fixed price</t>
        </is>
      </c>
      <c r="N2505" s="6">
        <f>IF(B2505="","",IF(ISNUMBER(B2505),TEXT(B2505,"YYYY-MM"),LEFT(B2505,7)))</f>
        <v/>
      </c>
    </row>
    <row r="2506">
      <c r="A2506" t="inlineStr">
        <is>
          <t>Joseph Isaiah Mensah</t>
        </is>
      </c>
      <c r="B2506" s="4" t="n">
        <v>46049</v>
      </c>
      <c r="C2506" t="inlineStr">
        <is>
          <t>Workplan meeting with James Parker</t>
        </is>
      </c>
      <c r="D2506" t="inlineStr">
        <is>
          <t>Joseph Isaiah Mensah</t>
        </is>
      </c>
      <c r="E2506" t="inlineStr">
        <is>
          <t>OdooBot</t>
        </is>
      </c>
      <c r="F2506" s="5" t="n">
        <v>46154.70721064815</v>
      </c>
      <c r="G2506" t="inlineStr">
        <is>
          <t>Output 4</t>
        </is>
      </c>
      <c r="H2506" t="inlineStr">
        <is>
          <t>P23AC00C00 - FGMC</t>
        </is>
      </c>
      <c r="I2506" t="n">
        <v>1</v>
      </c>
      <c r="K2506" t="inlineStr">
        <is>
          <t>P23AC03A00 - Project Management</t>
        </is>
      </c>
      <c r="L2506" t="b">
        <v>0</v>
      </c>
      <c r="M2506" t="inlineStr">
        <is>
          <t>Non-Billable</t>
        </is>
      </c>
      <c r="N2506" s="6">
        <f>IF(B2506="","",IF(ISNUMBER(B2506),TEXT(B2506,"YYYY-MM"),LEFT(B2506,7)))</f>
        <v/>
      </c>
    </row>
    <row r="2507">
      <c r="A2507" t="inlineStr">
        <is>
          <t>Helena Tetteh</t>
        </is>
      </c>
      <c r="B2507" s="4" t="n">
        <v>46049</v>
      </c>
      <c r="C2507" t="inlineStr">
        <is>
          <t>Ulula audit request on finance (call with Ulula mgt)</t>
        </is>
      </c>
      <c r="D2507" t="inlineStr">
        <is>
          <t xml:space="preserve">Helena Tetteh </t>
        </is>
      </c>
      <c r="E2507" t="inlineStr">
        <is>
          <t>OdooBot</t>
        </is>
      </c>
      <c r="F2507" s="5" t="n">
        <v>46154.70721064815</v>
      </c>
      <c r="G2507" t="inlineStr">
        <is>
          <t>Programme Personnel</t>
        </is>
      </c>
      <c r="H2507" t="inlineStr">
        <is>
          <t>P13GC00A00 - GAC Ulula</t>
        </is>
      </c>
      <c r="I2507" t="n">
        <v>0</v>
      </c>
      <c r="K2507" t="inlineStr">
        <is>
          <t>Programme Personnel （Project Manger 2）</t>
        </is>
      </c>
      <c r="L2507" t="b">
        <v>0</v>
      </c>
      <c r="M2507" t="inlineStr">
        <is>
          <t>Non-Billable</t>
        </is>
      </c>
      <c r="N2507" s="6">
        <f>IF(B2507="","",IF(ISNUMBER(B2507),TEXT(B2507,"YYYY-MM"),LEFT(B2507,7)))</f>
        <v/>
      </c>
    </row>
    <row r="2508">
      <c r="A2508" t="inlineStr">
        <is>
          <t>Louis Defo</t>
        </is>
      </c>
      <c r="B2508" s="4" t="n">
        <v>46048</v>
      </c>
      <c r="C2508" t="inlineStr">
        <is>
          <t>/</t>
        </is>
      </c>
      <c r="D2508" t="inlineStr">
        <is>
          <t>Louis Defo</t>
        </is>
      </c>
      <c r="E2508" t="inlineStr">
        <is>
          <t>Louis Defo</t>
        </is>
      </c>
      <c r="F2508" s="5" t="n">
        <v>46161.34347222222</v>
      </c>
      <c r="H2508" t="inlineStr">
        <is>
          <t>P23AC00C00 - FGMC</t>
        </is>
      </c>
      <c r="I2508" t="n">
        <v>8</v>
      </c>
      <c r="L2508" t="b">
        <v>0</v>
      </c>
      <c r="M2508" t="inlineStr">
        <is>
          <t>Non-Billable</t>
        </is>
      </c>
      <c r="N2508" s="6">
        <f>IF(B2508="","",IF(ISNUMBER(B2508),TEXT(B2508,"YYYY-MM"),LEFT(B2508,7)))</f>
        <v/>
      </c>
    </row>
    <row r="2509">
      <c r="A2509" t="inlineStr">
        <is>
          <t>Frederick Antwi</t>
        </is>
      </c>
      <c r="B2509" s="4" t="n">
        <v>46048</v>
      </c>
      <c r="C2509" t="inlineStr">
        <is>
          <t>/</t>
        </is>
      </c>
      <c r="D2509" t="inlineStr">
        <is>
          <t>Frederick Antwi</t>
        </is>
      </c>
      <c r="E2509" t="inlineStr">
        <is>
          <t>Frederick Antwi</t>
        </is>
      </c>
      <c r="F2509" s="5" t="n">
        <v>46160.55033564815</v>
      </c>
      <c r="H2509" t="inlineStr">
        <is>
          <t>PCGH768</t>
        </is>
      </c>
      <c r="I2509" t="n">
        <v>4</v>
      </c>
      <c r="L2509" t="b">
        <v>1</v>
      </c>
      <c r="M2509" t="inlineStr">
        <is>
          <t>Non-Billable</t>
        </is>
      </c>
      <c r="N2509" s="6">
        <f>IF(B2509="","",IF(ISNUMBER(B2509),TEXT(B2509,"YYYY-MM"),LEFT(B2509,7)))</f>
        <v/>
      </c>
    </row>
    <row r="2510">
      <c r="A2510" t="inlineStr">
        <is>
          <t>Frederick Antwi</t>
        </is>
      </c>
      <c r="B2510" s="4" t="n">
        <v>46048</v>
      </c>
      <c r="C2510" t="inlineStr">
        <is>
          <t>/</t>
        </is>
      </c>
      <c r="D2510" t="inlineStr">
        <is>
          <t>Frederick Antwi</t>
        </is>
      </c>
      <c r="E2510" t="inlineStr">
        <is>
          <t>Frederick Antwi</t>
        </is>
      </c>
      <c r="F2510" s="5" t="n">
        <v>46160.5503587963</v>
      </c>
      <c r="H2510" t="inlineStr">
        <is>
          <t>P13NC00A00 - WALMART II</t>
        </is>
      </c>
      <c r="I2510" t="n">
        <v>4</v>
      </c>
      <c r="L2510" t="b">
        <v>0</v>
      </c>
      <c r="M2510" t="inlineStr">
        <is>
          <t>Non-Billable</t>
        </is>
      </c>
      <c r="N2510" s="6">
        <f>IF(B2510="","",IF(ISNUMBER(B2510),TEXT(B2510,"YYYY-MM"),LEFT(B2510,7)))</f>
        <v/>
      </c>
    </row>
    <row r="2511">
      <c r="A2511" t="inlineStr">
        <is>
          <t>James Parker Mckeown</t>
        </is>
      </c>
      <c r="B2511" s="4" t="n">
        <v>46048</v>
      </c>
      <c r="C2511" t="inlineStr">
        <is>
          <t>Nitrian Jan-Mar 2026 planning</t>
        </is>
      </c>
      <c r="D2511" t="inlineStr">
        <is>
          <t>James Parker Mckeown</t>
        </is>
      </c>
      <c r="E2511" t="inlineStr">
        <is>
          <t>James Parker Mckeown</t>
        </is>
      </c>
      <c r="F2511" s="5" t="n">
        <v>46156.8609375</v>
      </c>
      <c r="H2511" t="inlineStr">
        <is>
          <t>PCGH762 - GVL HCSA Restoration Project</t>
        </is>
      </c>
      <c r="I2511" t="n">
        <v>2</v>
      </c>
      <c r="J2511" t="inlineStr">
        <is>
          <t>PCGH762 - Development and Implementation of MEL Framework (Golden Veroleum Liberia)</t>
        </is>
      </c>
      <c r="L2511" t="b">
        <v>1</v>
      </c>
      <c r="M2511" t="inlineStr">
        <is>
          <t>Billed at a Fixed price</t>
        </is>
      </c>
      <c r="N2511" s="6">
        <f>IF(B2511="","",IF(ISNUMBER(B2511),TEXT(B2511,"YYYY-MM"),LEFT(B2511,7)))</f>
        <v/>
      </c>
    </row>
    <row r="2512">
      <c r="A2512" t="inlineStr">
        <is>
          <t>James Parker Mckeown</t>
        </is>
      </c>
      <c r="B2512" s="4" t="n">
        <v>46048</v>
      </c>
      <c r="C2512" t="inlineStr">
        <is>
          <t>Agenda of the Landscape EW - Core Technical Team</t>
        </is>
      </c>
      <c r="D2512" t="inlineStr">
        <is>
          <t>James Parker Mckeown</t>
        </is>
      </c>
      <c r="E2512" t="inlineStr">
        <is>
          <t>James Parker Mckeown</t>
        </is>
      </c>
      <c r="F2512" s="5" t="n">
        <v>46156.85984953704</v>
      </c>
      <c r="H2512" t="inlineStr">
        <is>
          <t>Non-Billable Tasks</t>
        </is>
      </c>
      <c r="I2512" t="n">
        <v>1</v>
      </c>
      <c r="K2512" t="inlineStr">
        <is>
          <t>Internal Focal points and workstreams</t>
        </is>
      </c>
      <c r="L2512" t="b">
        <v>0</v>
      </c>
      <c r="M2512" t="inlineStr">
        <is>
          <t>Non-Billable</t>
        </is>
      </c>
      <c r="N2512" s="6">
        <f>IF(B2512="","",IF(ISNUMBER(B2512),TEXT(B2512,"YYYY-MM"),LEFT(B2512,7)))</f>
        <v/>
      </c>
    </row>
    <row r="2513">
      <c r="A2513" t="inlineStr">
        <is>
          <t>James Parker Mckeown</t>
        </is>
      </c>
      <c r="B2513" s="4" t="n">
        <v>46048</v>
      </c>
      <c r="C2513" t="inlineStr">
        <is>
          <t>FGMC proposal debrief</t>
        </is>
      </c>
      <c r="D2513" t="inlineStr">
        <is>
          <t>James Parker Mckeown</t>
        </is>
      </c>
      <c r="E2513" t="inlineStr">
        <is>
          <t>James Parker Mckeown</t>
        </is>
      </c>
      <c r="F2513" s="5" t="n">
        <v>46156.85891203704</v>
      </c>
      <c r="G2513" t="inlineStr">
        <is>
          <t>Output 4</t>
        </is>
      </c>
      <c r="H2513" t="inlineStr">
        <is>
          <t>P23AC00C00 - FGMC</t>
        </is>
      </c>
      <c r="I2513" t="n">
        <v>1</v>
      </c>
      <c r="K2513" t="inlineStr">
        <is>
          <t>P23AC03A00 - Project Management</t>
        </is>
      </c>
      <c r="L2513" t="b">
        <v>0</v>
      </c>
      <c r="M2513" t="inlineStr">
        <is>
          <t>Non-Billable</t>
        </is>
      </c>
      <c r="N2513" s="6">
        <f>IF(B2513="","",IF(ISNUMBER(B2513),TEXT(B2513,"YYYY-MM"),LEFT(B2513,7)))</f>
        <v/>
      </c>
    </row>
    <row r="2514">
      <c r="A2514" t="inlineStr">
        <is>
          <t>James Parker Mckeown</t>
        </is>
      </c>
      <c r="B2514" s="4" t="n">
        <v>46048</v>
      </c>
      <c r="C2514" t="inlineStr">
        <is>
          <t>FGMC Work plan</t>
        </is>
      </c>
      <c r="D2514" t="inlineStr">
        <is>
          <t>James Parker Mckeown</t>
        </is>
      </c>
      <c r="E2514" t="inlineStr">
        <is>
          <t>James Parker Mckeown</t>
        </is>
      </c>
      <c r="F2514" s="5" t="n">
        <v>46156.85821759259</v>
      </c>
      <c r="G2514" t="inlineStr">
        <is>
          <t>Output 4</t>
        </is>
      </c>
      <c r="H2514" t="inlineStr">
        <is>
          <t>P23AC00C00 - FGMC</t>
        </is>
      </c>
      <c r="I2514" t="n">
        <v>2</v>
      </c>
      <c r="K2514" t="inlineStr">
        <is>
          <t>P23AC03A00 - Project Management</t>
        </is>
      </c>
      <c r="L2514" t="b">
        <v>0</v>
      </c>
      <c r="M2514" t="inlineStr">
        <is>
          <t>Non-Billable</t>
        </is>
      </c>
      <c r="N2514" s="6">
        <f>IF(B2514="","",IF(ISNUMBER(B2514),TEXT(B2514,"YYYY-MM"),LEFT(B2514,7)))</f>
        <v/>
      </c>
    </row>
    <row r="2515">
      <c r="A2515" t="inlineStr">
        <is>
          <t>James Parker Mckeown</t>
        </is>
      </c>
      <c r="B2515" s="4" t="n">
        <v>46048</v>
      </c>
      <c r="C2515" t="inlineStr">
        <is>
          <t>Liberia Local initiatives mapping</t>
        </is>
      </c>
      <c r="D2515" t="inlineStr">
        <is>
          <t>James Parker Mckeown</t>
        </is>
      </c>
      <c r="E2515" t="inlineStr">
        <is>
          <t>James Parker Mckeown</t>
        </is>
      </c>
      <c r="F2515" s="5" t="n">
        <v>46156.85739583334</v>
      </c>
      <c r="G2515" t="inlineStr">
        <is>
          <t>Output 2.3</t>
        </is>
      </c>
      <c r="H2515" t="inlineStr">
        <is>
          <t>P23AC00C00 - FGMC</t>
        </is>
      </c>
      <c r="I2515" t="n">
        <v>3</v>
      </c>
      <c r="K2515" t="inlineStr">
        <is>
          <t>P23AC22A00 - Output Two (Elevating Local Solutions - West Africa)</t>
        </is>
      </c>
      <c r="L2515" t="b">
        <v>0</v>
      </c>
      <c r="M2515" t="inlineStr">
        <is>
          <t>Non-Billable</t>
        </is>
      </c>
      <c r="N2515" s="6">
        <f>IF(B2515="","",IF(ISNUMBER(B2515),TEXT(B2515,"YYYY-MM"),LEFT(B2515,7)))</f>
        <v/>
      </c>
    </row>
    <row r="2516">
      <c r="A2516" t="inlineStr">
        <is>
          <t>Stephen Doso</t>
        </is>
      </c>
      <c r="B2516" s="4" t="n">
        <v>46048</v>
      </c>
      <c r="C2516" t="inlineStr">
        <is>
          <t>/</t>
        </is>
      </c>
      <c r="D2516" t="inlineStr">
        <is>
          <t>Stephen Doso</t>
        </is>
      </c>
      <c r="E2516" t="inlineStr">
        <is>
          <t>OdooBot</t>
        </is>
      </c>
      <c r="F2516" s="5" t="n">
        <v>46154.70721064815</v>
      </c>
      <c r="H2516" t="inlineStr">
        <is>
          <t>PCGH769</t>
        </is>
      </c>
      <c r="I2516" t="n">
        <v>8</v>
      </c>
      <c r="J2516" t="inlineStr">
        <is>
          <t>PCGH769 - Desk Study (2) (Biase Plantations Ltd.)</t>
        </is>
      </c>
      <c r="K2516" t="inlineStr">
        <is>
          <t>HCV/HCS - Reporting and review</t>
        </is>
      </c>
      <c r="L2516" t="b">
        <v>1</v>
      </c>
      <c r="M2516" t="inlineStr">
        <is>
          <t>Billed at a Fixed price</t>
        </is>
      </c>
      <c r="N2516" s="6">
        <f>IF(B2516="","",IF(ISNUMBER(B2516),TEXT(B2516,"YYYY-MM"),LEFT(B2516,7)))</f>
        <v/>
      </c>
    </row>
    <row r="2517">
      <c r="A2517" t="inlineStr">
        <is>
          <t>Stephen Doso</t>
        </is>
      </c>
      <c r="B2517" s="4" t="n">
        <v>46048</v>
      </c>
      <c r="C2517" t="inlineStr">
        <is>
          <t>/</t>
        </is>
      </c>
      <c r="D2517" t="inlineStr">
        <is>
          <t>Stephen Doso</t>
        </is>
      </c>
      <c r="E2517" t="inlineStr">
        <is>
          <t>OdooBot</t>
        </is>
      </c>
      <c r="F2517" s="5" t="n">
        <v>46154.70721064815</v>
      </c>
      <c r="H2517" t="inlineStr">
        <is>
          <t>PCGH769</t>
        </is>
      </c>
      <c r="I2517" t="n">
        <v>0</v>
      </c>
      <c r="J2517" t="inlineStr">
        <is>
          <t>PCGH769 - Reporting (2) (Biase Plantations Ltd.)</t>
        </is>
      </c>
      <c r="K2517" t="inlineStr">
        <is>
          <t>GHG - Review</t>
        </is>
      </c>
      <c r="L2517" t="b">
        <v>1</v>
      </c>
      <c r="M2517" t="inlineStr">
        <is>
          <t>Billed at a Fixed price</t>
        </is>
      </c>
      <c r="N2517" s="6">
        <f>IF(B2517="","",IF(ISNUMBER(B2517),TEXT(B2517,"YYYY-MM"),LEFT(B2517,7)))</f>
        <v/>
      </c>
    </row>
    <row r="2518">
      <c r="A2518" t="inlineStr">
        <is>
          <t>Kwadwo Baniako Nti</t>
        </is>
      </c>
      <c r="B2518" s="4" t="n">
        <v>46048</v>
      </c>
      <c r="C2518" t="inlineStr">
        <is>
          <t>/</t>
        </is>
      </c>
      <c r="D2518" t="inlineStr">
        <is>
          <t>Kwadwo Baniako Nti</t>
        </is>
      </c>
      <c r="E2518" t="inlineStr">
        <is>
          <t>OdooBot</t>
        </is>
      </c>
      <c r="F2518" s="5" t="n">
        <v>46154.70721064815</v>
      </c>
      <c r="G2518" t="inlineStr">
        <is>
          <t>Training and Capacity Building</t>
        </is>
      </c>
      <c r="H2518" t="inlineStr">
        <is>
          <t>PCGH762 - GVL HCSA Restoration Project</t>
        </is>
      </c>
      <c r="I2518" t="n">
        <v>8</v>
      </c>
      <c r="J2518" t="inlineStr">
        <is>
          <t>PCGH762 - Training and Capacity Building (Golden Veroleum Liberia)</t>
        </is>
      </c>
      <c r="K2518" t="inlineStr">
        <is>
          <t>Training and Capacity Building</t>
        </is>
      </c>
      <c r="L2518" t="b">
        <v>1</v>
      </c>
      <c r="M2518" t="inlineStr">
        <is>
          <t>Billed at a Fixed price</t>
        </is>
      </c>
      <c r="N2518" s="6">
        <f>IF(B2518="","",IF(ISNUMBER(B2518),TEXT(B2518,"YYYY-MM"),LEFT(B2518,7)))</f>
        <v/>
      </c>
    </row>
    <row r="2519">
      <c r="A2519" t="inlineStr">
        <is>
          <t>Kwadwo Baniako Nti</t>
        </is>
      </c>
      <c r="B2519" s="4" t="n">
        <v>46048</v>
      </c>
      <c r="C2519" t="inlineStr">
        <is>
          <t>/</t>
        </is>
      </c>
      <c r="D2519" t="inlineStr">
        <is>
          <t>Kwadwo Baniako Nti</t>
        </is>
      </c>
      <c r="E2519" t="inlineStr">
        <is>
          <t>OdooBot</t>
        </is>
      </c>
      <c r="F2519" s="5" t="n">
        <v>46154.70721064815</v>
      </c>
      <c r="H2519" t="inlineStr">
        <is>
          <t>PCGH762 - GVL HCSA Restoration Project</t>
        </is>
      </c>
      <c r="I2519" t="n">
        <v>0</v>
      </c>
      <c r="J2519" t="inlineStr">
        <is>
          <t>PCGH762 - Baseline Socio-Economic &amp; Environmental Surveys (Golden Veroleum Liberia)</t>
        </is>
      </c>
      <c r="K2519" t="inlineStr">
        <is>
          <t>Baseline Socio-Economic &amp; Environmental Surveys</t>
        </is>
      </c>
      <c r="L2519" t="b">
        <v>1</v>
      </c>
      <c r="M2519" t="inlineStr">
        <is>
          <t>Billed at a Fixed price</t>
        </is>
      </c>
      <c r="N2519" s="6">
        <f>IF(B2519="","",IF(ISNUMBER(B2519),TEXT(B2519,"YYYY-MM"),LEFT(B2519,7)))</f>
        <v/>
      </c>
    </row>
    <row r="2520">
      <c r="A2520" t="inlineStr">
        <is>
          <t>Ekow Nyamekye Tawiah</t>
        </is>
      </c>
      <c r="B2520" s="4" t="n">
        <v>46048</v>
      </c>
      <c r="C2520" t="inlineStr">
        <is>
          <t>Borotou Final Analysis and Reporting</t>
        </is>
      </c>
      <c r="D2520" t="inlineStr">
        <is>
          <t>Ekow Nyamekye Tawiah</t>
        </is>
      </c>
      <c r="E2520" t="inlineStr">
        <is>
          <t>OdooBot</t>
        </is>
      </c>
      <c r="F2520" s="5" t="n">
        <v>46154.70721064815</v>
      </c>
      <c r="H2520" t="inlineStr">
        <is>
          <t>PCGH722</t>
        </is>
      </c>
      <c r="I2520" t="n">
        <v>0</v>
      </c>
      <c r="J2520" t="inlineStr">
        <is>
          <t>PCGH722 - Analysis and Reporting (3) (Sucrivoire SA)</t>
        </is>
      </c>
      <c r="K2520" t="inlineStr">
        <is>
          <t>Analysis and Reporting (3)</t>
        </is>
      </c>
      <c r="L2520" t="b">
        <v>1</v>
      </c>
      <c r="M2520" t="inlineStr">
        <is>
          <t>Billed at a Fixed price</t>
        </is>
      </c>
      <c r="N2520" s="6">
        <f>IF(B2520="","",IF(ISNUMBER(B2520),TEXT(B2520,"YYYY-MM"),LEFT(B2520,7)))</f>
        <v/>
      </c>
    </row>
    <row r="2521">
      <c r="A2521" t="inlineStr">
        <is>
          <t>Afua Serwah Akoto Prempeh</t>
        </is>
      </c>
      <c r="B2521" s="4" t="n">
        <v>46048</v>
      </c>
      <c r="C2521" t="inlineStr">
        <is>
          <t>/</t>
        </is>
      </c>
      <c r="D2521" t="inlineStr">
        <is>
          <t>Afua Serwah Akoto Prempeh</t>
        </is>
      </c>
      <c r="E2521" t="inlineStr">
        <is>
          <t>OdooBot</t>
        </is>
      </c>
      <c r="F2521" s="5" t="n">
        <v>46154.70721064815</v>
      </c>
      <c r="H2521" t="inlineStr">
        <is>
          <t>Non-Billable Tasks</t>
        </is>
      </c>
      <c r="I2521" t="n">
        <v>5</v>
      </c>
      <c r="K2521" t="inlineStr">
        <is>
          <t>Communication/Data/Training</t>
        </is>
      </c>
      <c r="L2521" t="b">
        <v>0</v>
      </c>
      <c r="M2521" t="inlineStr">
        <is>
          <t>Non-Billable</t>
        </is>
      </c>
      <c r="N2521" s="6">
        <f>IF(B2521="","",IF(ISNUMBER(B2521),TEXT(B2521,"YYYY-MM"),LEFT(B2521,7)))</f>
        <v/>
      </c>
    </row>
    <row r="2522">
      <c r="A2522" t="inlineStr">
        <is>
          <t>Afua Serwah Akoto Prempeh</t>
        </is>
      </c>
      <c r="B2522" s="4" t="n">
        <v>46048</v>
      </c>
      <c r="C2522" t="inlineStr">
        <is>
          <t>/</t>
        </is>
      </c>
      <c r="D2522" t="inlineStr">
        <is>
          <t>Afua Serwah Akoto Prempeh</t>
        </is>
      </c>
      <c r="E2522" t="inlineStr">
        <is>
          <t>OdooBot</t>
        </is>
      </c>
      <c r="F2522" s="5" t="n">
        <v>46154.70721064815</v>
      </c>
      <c r="H2522" t="inlineStr">
        <is>
          <t>P23AC00C00 - FGMC</t>
        </is>
      </c>
      <c r="I2522" t="n">
        <v>3</v>
      </c>
      <c r="L2522" t="b">
        <v>0</v>
      </c>
      <c r="M2522" t="inlineStr">
        <is>
          <t>Non-Billable</t>
        </is>
      </c>
      <c r="N2522" s="6">
        <f>IF(B2522="","",IF(ISNUMBER(B2522),TEXT(B2522,"YYYY-MM"),LEFT(B2522,7)))</f>
        <v/>
      </c>
    </row>
    <row r="2523">
      <c r="A2523" t="inlineStr">
        <is>
          <t>Clement Obeng-Manu</t>
        </is>
      </c>
      <c r="B2523" s="4" t="n">
        <v>46048</v>
      </c>
      <c r="C2523" t="inlineStr">
        <is>
          <t>/</t>
        </is>
      </c>
      <c r="D2523" t="inlineStr">
        <is>
          <t>Clement Obeng-Manu</t>
        </is>
      </c>
      <c r="E2523" t="inlineStr">
        <is>
          <t>OdooBot</t>
        </is>
      </c>
      <c r="F2523" s="5" t="n">
        <v>46154.70721064815</v>
      </c>
      <c r="H2523" t="inlineStr">
        <is>
          <t>PCGH769</t>
        </is>
      </c>
      <c r="I2523" t="n">
        <v>8</v>
      </c>
      <c r="J2523" t="inlineStr">
        <is>
          <t>PCGH769 - Desk Study (3) (Biase Plantations Ltd.)</t>
        </is>
      </c>
      <c r="K2523" t="inlineStr">
        <is>
          <t>HCV/HCS - Desk Study</t>
        </is>
      </c>
      <c r="L2523" t="b">
        <v>1</v>
      </c>
      <c r="M2523" t="inlineStr">
        <is>
          <t>Billed at a Fixed price</t>
        </is>
      </c>
      <c r="N2523" s="6">
        <f>IF(B2523="","",IF(ISNUMBER(B2523),TEXT(B2523,"YYYY-MM"),LEFT(B2523,7)))</f>
        <v/>
      </c>
    </row>
    <row r="2524">
      <c r="A2524" t="inlineStr">
        <is>
          <t>Augustus Asamoah</t>
        </is>
      </c>
      <c r="B2524" s="4" t="n">
        <v>46048</v>
      </c>
      <c r="C2524" t="inlineStr">
        <is>
          <t>/</t>
        </is>
      </c>
      <c r="D2524" t="inlineStr">
        <is>
          <t>Augustus Asamoah</t>
        </is>
      </c>
      <c r="E2524" t="inlineStr">
        <is>
          <t>OdooBot</t>
        </is>
      </c>
      <c r="F2524" s="5" t="n">
        <v>46154.70721064815</v>
      </c>
      <c r="H2524" t="inlineStr">
        <is>
          <t>Non-Billable Tasks</t>
        </is>
      </c>
      <c r="I2524" t="n">
        <v>0</v>
      </c>
      <c r="L2524" t="b">
        <v>0</v>
      </c>
      <c r="M2524" t="inlineStr">
        <is>
          <t>Non-Billable</t>
        </is>
      </c>
      <c r="N2524" s="6">
        <f>IF(B2524="","",IF(ISNUMBER(B2524),TEXT(B2524,"YYYY-MM"),LEFT(B2524,7)))</f>
        <v/>
      </c>
    </row>
    <row r="2525">
      <c r="A2525" t="inlineStr">
        <is>
          <t>Augustus Asamoah</t>
        </is>
      </c>
      <c r="B2525" s="4" t="n">
        <v>46048</v>
      </c>
      <c r="C2525" t="inlineStr">
        <is>
          <t>/</t>
        </is>
      </c>
      <c r="D2525" t="inlineStr">
        <is>
          <t>Augustus Asamoah</t>
        </is>
      </c>
      <c r="E2525" t="inlineStr">
        <is>
          <t>OdooBot</t>
        </is>
      </c>
      <c r="F2525" s="5" t="n">
        <v>46154.70721064815</v>
      </c>
      <c r="H2525" t="inlineStr">
        <is>
          <t>Non-Billable Tasks</t>
        </is>
      </c>
      <c r="I2525" t="n">
        <v>0</v>
      </c>
      <c r="K2525" t="inlineStr">
        <is>
          <t>Internal Focal points and workstreams</t>
        </is>
      </c>
      <c r="L2525" t="b">
        <v>0</v>
      </c>
      <c r="M2525" t="inlineStr">
        <is>
          <t>Non-Billable</t>
        </is>
      </c>
      <c r="N2525" s="6">
        <f>IF(B2525="","",IF(ISNUMBER(B2525),TEXT(B2525,"YYYY-MM"),LEFT(B2525,7)))</f>
        <v/>
      </c>
    </row>
    <row r="2526">
      <c r="A2526" t="inlineStr">
        <is>
          <t>Augustus Asamoah</t>
        </is>
      </c>
      <c r="B2526" s="4" t="n">
        <v>46048</v>
      </c>
      <c r="C2526" t="inlineStr">
        <is>
          <t>Company Support work</t>
        </is>
      </c>
      <c r="D2526" t="inlineStr">
        <is>
          <t>Augustus Asamoah</t>
        </is>
      </c>
      <c r="E2526" t="inlineStr">
        <is>
          <t>OdooBot</t>
        </is>
      </c>
      <c r="F2526" s="5" t="n">
        <v>46154.70721064815</v>
      </c>
      <c r="H2526" t="inlineStr">
        <is>
          <t>P13NC00A00 - WALMART II</t>
        </is>
      </c>
      <c r="I2526" t="n">
        <v>2</v>
      </c>
      <c r="L2526" t="b">
        <v>0</v>
      </c>
      <c r="M2526" t="inlineStr">
        <is>
          <t>Non-Billable</t>
        </is>
      </c>
      <c r="N2526" s="6">
        <f>IF(B2526="","",IF(ISNUMBER(B2526),TEXT(B2526,"YYYY-MM"),LEFT(B2526,7)))</f>
        <v/>
      </c>
    </row>
    <row r="2527">
      <c r="A2527" t="inlineStr">
        <is>
          <t>Augustus Asamoah</t>
        </is>
      </c>
      <c r="B2527" s="4" t="n">
        <v>46048</v>
      </c>
      <c r="C2527" t="inlineStr">
        <is>
          <t>Scoping Report</t>
        </is>
      </c>
      <c r="D2527" t="inlineStr">
        <is>
          <t>Augustus Asamoah</t>
        </is>
      </c>
      <c r="E2527" t="inlineStr">
        <is>
          <t>OdooBot</t>
        </is>
      </c>
      <c r="F2527" s="5" t="n">
        <v>46154.70721064815</v>
      </c>
      <c r="H2527" t="inlineStr">
        <is>
          <t>PCGH771</t>
        </is>
      </c>
      <c r="I2527" t="n">
        <v>3</v>
      </c>
      <c r="J2527" t="inlineStr">
        <is>
          <t>PCGH771 - Desk Study (2) (Okeosisi Jonathan)</t>
        </is>
      </c>
      <c r="L2527" t="b">
        <v>1</v>
      </c>
      <c r="M2527" t="inlineStr">
        <is>
          <t>Billed at a Fixed price</t>
        </is>
      </c>
      <c r="N2527" s="6">
        <f>IF(B2527="","",IF(ISNUMBER(B2527),TEXT(B2527,"YYYY-MM"),LEFT(B2527,7)))</f>
        <v/>
      </c>
    </row>
    <row r="2528">
      <c r="A2528" t="inlineStr">
        <is>
          <t>Augustus Asamoah</t>
        </is>
      </c>
      <c r="B2528" s="4" t="n">
        <v>46048</v>
      </c>
      <c r="C2528" t="inlineStr">
        <is>
          <t>/</t>
        </is>
      </c>
      <c r="D2528" t="inlineStr">
        <is>
          <t>Augustus Asamoah</t>
        </is>
      </c>
      <c r="E2528" t="inlineStr">
        <is>
          <t>OdooBot</t>
        </is>
      </c>
      <c r="F2528" s="5" t="n">
        <v>46154.70721064815</v>
      </c>
      <c r="H2528" t="inlineStr">
        <is>
          <t>Non-Billable Tasks</t>
        </is>
      </c>
      <c r="I2528" t="n">
        <v>0</v>
      </c>
      <c r="L2528" t="b">
        <v>0</v>
      </c>
      <c r="M2528" t="inlineStr">
        <is>
          <t>Non-Billable</t>
        </is>
      </c>
      <c r="N2528" s="6">
        <f>IF(B2528="","",IF(ISNUMBER(B2528),TEXT(B2528,"YYYY-MM"),LEFT(B2528,7)))</f>
        <v/>
      </c>
    </row>
    <row r="2529">
      <c r="A2529" t="inlineStr">
        <is>
          <t>Augustus Asamoah</t>
        </is>
      </c>
      <c r="B2529" s="4" t="n">
        <v>46048</v>
      </c>
      <c r="C2529" t="inlineStr">
        <is>
          <t>Curriculum Development</t>
        </is>
      </c>
      <c r="D2529" t="inlineStr">
        <is>
          <t>Augustus Asamoah</t>
        </is>
      </c>
      <c r="E2529" t="inlineStr">
        <is>
          <t>OdooBot</t>
        </is>
      </c>
      <c r="F2529" s="5" t="n">
        <v>46154.70721064815</v>
      </c>
      <c r="G2529" t="inlineStr">
        <is>
          <t>Programme Personnel and Management</t>
        </is>
      </c>
      <c r="H2529" t="inlineStr">
        <is>
          <t>P13QC00A00 - EFI Programme</t>
        </is>
      </c>
      <c r="I2529" t="n">
        <v>3</v>
      </c>
      <c r="K2529" t="inlineStr">
        <is>
          <t>Programme Personnel</t>
        </is>
      </c>
      <c r="L2529" t="b">
        <v>0</v>
      </c>
      <c r="M2529" t="inlineStr">
        <is>
          <t>Non-Billable</t>
        </is>
      </c>
      <c r="N2529" s="6">
        <f>IF(B2529="","",IF(ISNUMBER(B2529),TEXT(B2529,"YYYY-MM"),LEFT(B2529,7)))</f>
        <v/>
      </c>
    </row>
    <row r="2530">
      <c r="A2530" t="inlineStr">
        <is>
          <t>Daleba Bernard Kpenahi Raymond</t>
        </is>
      </c>
      <c r="B2530" s="4" t="n">
        <v>46048</v>
      </c>
      <c r="C2530" t="inlineStr">
        <is>
          <t>PFAFR BRIDGE (Internal): Weekly Catch-up</t>
        </is>
      </c>
      <c r="D2530" t="inlineStr">
        <is>
          <t>Daleba Bernard Kpenahi Raymond</t>
        </is>
      </c>
      <c r="E2530" t="inlineStr">
        <is>
          <t>OdooBot</t>
        </is>
      </c>
      <c r="F2530" s="5" t="n">
        <v>46154.70721064815</v>
      </c>
      <c r="G2530" t="inlineStr">
        <is>
          <t>Output 2.2</t>
        </is>
      </c>
      <c r="H2530" t="inlineStr">
        <is>
          <t>P23AC00C00 - FGMC</t>
        </is>
      </c>
      <c r="I2530" t="n">
        <v>0</v>
      </c>
      <c r="K2530" t="inlineStr">
        <is>
          <t>P23AC42A00 - Accelerating Implementation.</t>
        </is>
      </c>
      <c r="L2530" t="b">
        <v>0</v>
      </c>
      <c r="M2530" t="inlineStr">
        <is>
          <t>Non-Billable</t>
        </is>
      </c>
      <c r="N2530" s="6">
        <f>IF(B2530="","",IF(ISNUMBER(B2530),TEXT(B2530,"YYYY-MM"),LEFT(B2530,7)))</f>
        <v/>
      </c>
    </row>
    <row r="2531">
      <c r="A2531" t="inlineStr">
        <is>
          <t>Daleba Bernard Kpenahi Raymond</t>
        </is>
      </c>
      <c r="B2531" s="4" t="n">
        <v>46048</v>
      </c>
      <c r="C2531" t="inlineStr">
        <is>
          <t>/</t>
        </is>
      </c>
      <c r="D2531" t="inlineStr">
        <is>
          <t>Daleba Bernard Kpenahi Raymond</t>
        </is>
      </c>
      <c r="E2531" t="inlineStr">
        <is>
          <t>OdooBot</t>
        </is>
      </c>
      <c r="F2531" s="5" t="n">
        <v>46154.70721064815</v>
      </c>
      <c r="G2531" t="inlineStr">
        <is>
          <t>Desk study, development of assessment framework &amp; online meetings (2)</t>
        </is>
      </c>
      <c r="H2531" t="inlineStr">
        <is>
          <t>PCGH775 - ESDD of Valency Operations for FMO</t>
        </is>
      </c>
      <c r="I2531" t="n">
        <v>0</v>
      </c>
      <c r="J2531" t="inlineStr">
        <is>
          <t>PCGH775 - Development of Assessment Framework (2) (Valency International DMCC)</t>
        </is>
      </c>
      <c r="K2531" t="inlineStr">
        <is>
          <t>Desk-study</t>
        </is>
      </c>
      <c r="L2531" t="b">
        <v>1</v>
      </c>
      <c r="M2531" t="inlineStr">
        <is>
          <t>Billed at a Fixed price</t>
        </is>
      </c>
      <c r="N2531" s="6">
        <f>IF(B2531="","",IF(ISNUMBER(B2531),TEXT(B2531,"YYYY-MM"),LEFT(B2531,7)))</f>
        <v/>
      </c>
    </row>
    <row r="2532">
      <c r="A2532" t="inlineStr">
        <is>
          <t>Daleba Bernard Kpenahi Raymond</t>
        </is>
      </c>
      <c r="B2532" s="4" t="n">
        <v>46048</v>
      </c>
      <c r="C2532" t="inlineStr">
        <is>
          <t xml:space="preserve">Attend annual planning meeting in accra
</t>
        </is>
      </c>
      <c r="D2532" t="inlineStr">
        <is>
          <t>Daleba Bernard Kpenahi Raymond</t>
        </is>
      </c>
      <c r="E2532" t="inlineStr">
        <is>
          <t>OdooBot</t>
        </is>
      </c>
      <c r="F2532" s="5" t="n">
        <v>46154.70721064815</v>
      </c>
      <c r="H2532" t="inlineStr">
        <is>
          <t>Non-Billable Tasks</t>
        </is>
      </c>
      <c r="I2532" t="n">
        <v>8</v>
      </c>
      <c r="K2532" t="inlineStr">
        <is>
          <t>Professional development and Knowledge sharing(training,global knowledge calls,exchange weeks)</t>
        </is>
      </c>
      <c r="L2532" t="b">
        <v>0</v>
      </c>
      <c r="M2532" t="inlineStr">
        <is>
          <t>Non-Billable</t>
        </is>
      </c>
      <c r="N2532" s="6">
        <f>IF(B2532="","",IF(ISNUMBER(B2532),TEXT(B2532,"YYYY-MM"),LEFT(B2532,7)))</f>
        <v/>
      </c>
    </row>
    <row r="2533">
      <c r="A2533" t="inlineStr">
        <is>
          <t>Kingsley Fitz-Gerald Severine</t>
        </is>
      </c>
      <c r="B2533" s="4" t="n">
        <v>46048</v>
      </c>
      <c r="C2533" t="inlineStr">
        <is>
          <t>/</t>
        </is>
      </c>
      <c r="D2533" t="inlineStr">
        <is>
          <t>Kingsley Fitz-Gerald Severine</t>
        </is>
      </c>
      <c r="E2533" t="inlineStr">
        <is>
          <t>OdooBot</t>
        </is>
      </c>
      <c r="F2533" s="5" t="n">
        <v>46154.70721064815</v>
      </c>
      <c r="H2533" t="inlineStr">
        <is>
          <t>PCGH769</t>
        </is>
      </c>
      <c r="I2533" t="n">
        <v>8</v>
      </c>
      <c r="J2533" t="inlineStr">
        <is>
          <t>PCGH769 - Flora Survey (Biase Plantations Ltd.)</t>
        </is>
      </c>
      <c r="K2533" t="inlineStr">
        <is>
          <t>HCV/HCS - Flora Survey</t>
        </is>
      </c>
      <c r="L2533" t="b">
        <v>1</v>
      </c>
      <c r="M2533" t="inlineStr">
        <is>
          <t>Billed at a Fixed price</t>
        </is>
      </c>
      <c r="N2533" s="6">
        <f>IF(B2533="","",IF(ISNUMBER(B2533),TEXT(B2533,"YYYY-MM"),LEFT(B2533,7)))</f>
        <v/>
      </c>
    </row>
    <row r="2534">
      <c r="A2534" t="inlineStr">
        <is>
          <t>Joseph Isaiah Mensah</t>
        </is>
      </c>
      <c r="B2534" s="4" t="n">
        <v>46048</v>
      </c>
      <c r="C2534" t="inlineStr">
        <is>
          <t>2026 kick-off call</t>
        </is>
      </c>
      <c r="D2534" t="inlineStr">
        <is>
          <t>Joseph Isaiah Mensah</t>
        </is>
      </c>
      <c r="E2534" t="inlineStr">
        <is>
          <t>OdooBot</t>
        </is>
      </c>
      <c r="F2534" s="5" t="n">
        <v>46154.70721064815</v>
      </c>
      <c r="G2534" t="inlineStr">
        <is>
          <t>PCGH753 - Internal Project Review (3)</t>
        </is>
      </c>
      <c r="H2534" t="inlineStr">
        <is>
          <t>PCGH753 (General Support )</t>
        </is>
      </c>
      <c r="I2534" t="n">
        <v>1</v>
      </c>
      <c r="J2534" t="inlineStr">
        <is>
          <t>PCGH753 - Internal Project Review (3) (Proforest Limited(PCUK GBP))</t>
        </is>
      </c>
      <c r="K2534" t="inlineStr">
        <is>
          <t>Update Meetings with Nestle and PF Teams</t>
        </is>
      </c>
      <c r="L2534" t="b">
        <v>1</v>
      </c>
      <c r="M2534" t="inlineStr">
        <is>
          <t>Billed at a Fixed price</t>
        </is>
      </c>
      <c r="N2534" s="6">
        <f>IF(B2534="","",IF(ISNUMBER(B2534),TEXT(B2534,"YYYY-MM"),LEFT(B2534,7)))</f>
        <v/>
      </c>
    </row>
    <row r="2535">
      <c r="A2535" t="inlineStr">
        <is>
          <t>Joseph Isaiah Mensah</t>
        </is>
      </c>
      <c r="B2535" s="4" t="n">
        <v>46048</v>
      </c>
      <c r="C2535" t="inlineStr">
        <is>
          <t>Valency-Preparation of Assessment Framework</t>
        </is>
      </c>
      <c r="D2535" t="inlineStr">
        <is>
          <t>Joseph Isaiah Mensah</t>
        </is>
      </c>
      <c r="E2535" t="inlineStr">
        <is>
          <t>Joseph Isaiah Mensah</t>
        </is>
      </c>
      <c r="F2535" s="5" t="n">
        <v>46162.50078703704</v>
      </c>
      <c r="H2535" t="inlineStr">
        <is>
          <t>PCGH775 - ESDD of Valency Operations for FMO</t>
        </is>
      </c>
      <c r="I2535" t="n">
        <v>7</v>
      </c>
      <c r="J2535" t="inlineStr">
        <is>
          <t>PCGH775 - Kick-Off Meeting (Valency International DMCC)</t>
        </is>
      </c>
      <c r="L2535" t="b">
        <v>1</v>
      </c>
      <c r="M2535" t="inlineStr">
        <is>
          <t>Billed at a Fixed price</t>
        </is>
      </c>
      <c r="N2535" s="6">
        <f>IF(B2535="","",IF(ISNUMBER(B2535),TEXT(B2535,"YYYY-MM"),LEFT(B2535,7)))</f>
        <v/>
      </c>
    </row>
    <row r="2536">
      <c r="A2536" t="inlineStr">
        <is>
          <t>Ekow Nyamekye Tawiah</t>
        </is>
      </c>
      <c r="B2536" s="4" t="n">
        <v>46048</v>
      </c>
      <c r="C2536" t="inlineStr">
        <is>
          <t>/</t>
        </is>
      </c>
      <c r="D2536" t="inlineStr">
        <is>
          <t>Ekow Nyamekye Tawiah</t>
        </is>
      </c>
      <c r="E2536" t="inlineStr">
        <is>
          <t>OdooBot</t>
        </is>
      </c>
      <c r="F2536" s="5" t="n">
        <v>46154.70721064815</v>
      </c>
      <c r="H2536" t="inlineStr">
        <is>
          <t>Non-Billable Tasks</t>
        </is>
      </c>
      <c r="I2536" t="n">
        <v>4</v>
      </c>
      <c r="K2536" t="inlineStr">
        <is>
          <t>Staff Meetings (Quartely Staff Meetings, Adhoc meetings, Welfare)</t>
        </is>
      </c>
      <c r="L2536" t="b">
        <v>0</v>
      </c>
      <c r="M2536" t="inlineStr">
        <is>
          <t>Non-Billable</t>
        </is>
      </c>
      <c r="N2536" s="6">
        <f>IF(B2536="","",IF(ISNUMBER(B2536),TEXT(B2536,"YYYY-MM"),LEFT(B2536,7)))</f>
        <v/>
      </c>
    </row>
    <row r="2537">
      <c r="A2537" t="inlineStr">
        <is>
          <t>Helena Tetteh</t>
        </is>
      </c>
      <c r="B2537" s="4" t="n">
        <v>46048</v>
      </c>
      <c r="C2537" t="inlineStr">
        <is>
          <t>/</t>
        </is>
      </c>
      <c r="D2537" t="inlineStr">
        <is>
          <t xml:space="preserve">Helena Tetteh </t>
        </is>
      </c>
      <c r="E2537" t="inlineStr">
        <is>
          <t>OdooBot</t>
        </is>
      </c>
      <c r="F2537" s="5" t="n">
        <v>46154.70721064815</v>
      </c>
      <c r="G2537" t="inlineStr">
        <is>
          <t>Programme Personnel</t>
        </is>
      </c>
      <c r="H2537" t="inlineStr">
        <is>
          <t>P13GC00A00 - GAC Ulula</t>
        </is>
      </c>
      <c r="I2537" t="n">
        <v>5.5</v>
      </c>
      <c r="K2537" t="inlineStr">
        <is>
          <t>Programme Personnel （Project Manger 2）</t>
        </is>
      </c>
      <c r="L2537" t="b">
        <v>0</v>
      </c>
      <c r="M2537" t="inlineStr">
        <is>
          <t>Non-Billable</t>
        </is>
      </c>
      <c r="N2537" s="6">
        <f>IF(B2537="","",IF(ISNUMBER(B2537),TEXT(B2537,"YYYY-MM"),LEFT(B2537,7)))</f>
        <v/>
      </c>
    </row>
    <row r="2538">
      <c r="A2538" t="inlineStr">
        <is>
          <t>Helena Tetteh</t>
        </is>
      </c>
      <c r="B2538" s="4" t="n">
        <v>46048</v>
      </c>
      <c r="C2538" t="inlineStr">
        <is>
          <t>PIA BIP action plan development</t>
        </is>
      </c>
      <c r="D2538" t="inlineStr">
        <is>
          <t xml:space="preserve">Helena Tetteh </t>
        </is>
      </c>
      <c r="E2538" t="inlineStr">
        <is>
          <t>OdooBot</t>
        </is>
      </c>
      <c r="F2538" s="5" t="n">
        <v>46154.70721064815</v>
      </c>
      <c r="H2538" t="inlineStr">
        <is>
          <t>Non-Billable Tasks</t>
        </is>
      </c>
      <c r="I2538" t="n">
        <v>2.5</v>
      </c>
      <c r="K2538" t="inlineStr">
        <is>
          <t>Portfolio Team Management</t>
        </is>
      </c>
      <c r="L2538" t="b">
        <v>0</v>
      </c>
      <c r="M2538" t="inlineStr">
        <is>
          <t>Non-Billable</t>
        </is>
      </c>
      <c r="N2538" s="6">
        <f>IF(B2538="","",IF(ISNUMBER(B2538),TEXT(B2538,"YYYY-MM"),LEFT(B2538,7)))</f>
        <v/>
      </c>
    </row>
    <row r="2539">
      <c r="A2539" t="inlineStr">
        <is>
          <t>Helena Tetteh</t>
        </is>
      </c>
      <c r="B2539" s="4" t="n">
        <v>46048</v>
      </c>
      <c r="C2539" t="inlineStr">
        <is>
          <t>/</t>
        </is>
      </c>
      <c r="D2539" t="inlineStr">
        <is>
          <t xml:space="preserve">Helena Tetteh </t>
        </is>
      </c>
      <c r="E2539" t="inlineStr">
        <is>
          <t>OdooBot</t>
        </is>
      </c>
      <c r="F2539" s="5" t="n">
        <v>46154.70721064815</v>
      </c>
      <c r="G2539" t="inlineStr">
        <is>
          <t>Output 3</t>
        </is>
      </c>
      <c r="H2539" t="inlineStr">
        <is>
          <t>P23AC00C00 - FGMC</t>
        </is>
      </c>
      <c r="I2539" t="n">
        <v>0</v>
      </c>
      <c r="K2539" t="inlineStr">
        <is>
          <t>P23AC13A00 - Output one (Demand Side Analysis and Policy Intergration.</t>
        </is>
      </c>
      <c r="L2539" t="b">
        <v>0</v>
      </c>
      <c r="M2539" t="inlineStr">
        <is>
          <t>Non-Billable</t>
        </is>
      </c>
      <c r="N2539" s="6">
        <f>IF(B2539="","",IF(ISNUMBER(B2539),TEXT(B2539,"YYYY-MM"),LEFT(B2539,7)))</f>
        <v/>
      </c>
    </row>
    <row r="2540">
      <c r="A2540" t="inlineStr">
        <is>
          <t>Daleba Bernard Kpenahi Raymond</t>
        </is>
      </c>
      <c r="B2540" s="4" t="n">
        <v>46047</v>
      </c>
      <c r="C2540" t="inlineStr">
        <is>
          <t>/</t>
        </is>
      </c>
      <c r="D2540" t="inlineStr">
        <is>
          <t>Daleba Bernard Kpenahi Raymond</t>
        </is>
      </c>
      <c r="E2540" t="inlineStr">
        <is>
          <t>OdooBot</t>
        </is>
      </c>
      <c r="F2540" s="5" t="n">
        <v>46154.70721064815</v>
      </c>
      <c r="H2540" t="inlineStr">
        <is>
          <t>Non-Billable Tasks</t>
        </is>
      </c>
      <c r="I2540" t="n">
        <v>0</v>
      </c>
      <c r="K2540" t="inlineStr">
        <is>
          <t>Professional development and Knowledge sharing(training,global knowledge calls,exchange weeks)</t>
        </is>
      </c>
      <c r="L2540" t="b">
        <v>0</v>
      </c>
      <c r="M2540" t="inlineStr">
        <is>
          <t>Non-Billable</t>
        </is>
      </c>
      <c r="N2540" s="6">
        <f>IF(B2540="","",IF(ISNUMBER(B2540),TEXT(B2540,"YYYY-MM"),LEFT(B2540,7)))</f>
        <v/>
      </c>
    </row>
    <row r="2541">
      <c r="A2541" t="inlineStr">
        <is>
          <t>Louis Defo</t>
        </is>
      </c>
      <c r="B2541" s="4" t="n">
        <v>46045</v>
      </c>
      <c r="C2541" t="inlineStr">
        <is>
          <t>/</t>
        </is>
      </c>
      <c r="D2541" t="inlineStr">
        <is>
          <t>Louis Defo</t>
        </is>
      </c>
      <c r="E2541" t="inlineStr">
        <is>
          <t>Louis Defo</t>
        </is>
      </c>
      <c r="F2541" s="5" t="n">
        <v>46161.34300925926</v>
      </c>
      <c r="H2541" t="inlineStr">
        <is>
          <t>P23AC00C00 - FGMC</t>
        </is>
      </c>
      <c r="I2541" t="n">
        <v>8</v>
      </c>
      <c r="L2541" t="b">
        <v>0</v>
      </c>
      <c r="M2541" t="inlineStr">
        <is>
          <t>Non-Billable</t>
        </is>
      </c>
      <c r="N2541" s="6">
        <f>IF(B2541="","",IF(ISNUMBER(B2541),TEXT(B2541,"YYYY-MM"),LEFT(B2541,7)))</f>
        <v/>
      </c>
    </row>
    <row r="2542">
      <c r="A2542" t="inlineStr">
        <is>
          <t>Frederick Antwi</t>
        </is>
      </c>
      <c r="B2542" s="4" t="n">
        <v>46045</v>
      </c>
      <c r="C2542" t="inlineStr">
        <is>
          <t>/</t>
        </is>
      </c>
      <c r="D2542" t="inlineStr">
        <is>
          <t>Frederick Antwi</t>
        </is>
      </c>
      <c r="E2542" t="inlineStr">
        <is>
          <t>Frederick Antwi</t>
        </is>
      </c>
      <c r="F2542" s="5" t="n">
        <v>46160.54916666666</v>
      </c>
      <c r="H2542" t="inlineStr">
        <is>
          <t>Non-Billable Tasks</t>
        </is>
      </c>
      <c r="I2542" t="n">
        <v>8</v>
      </c>
      <c r="L2542" t="b">
        <v>0</v>
      </c>
      <c r="M2542" t="inlineStr">
        <is>
          <t>Non-Billable</t>
        </is>
      </c>
      <c r="N2542" s="6">
        <f>IF(B2542="","",IF(ISNUMBER(B2542),TEXT(B2542,"YYYY-MM"),LEFT(B2542,7)))</f>
        <v/>
      </c>
    </row>
    <row r="2543">
      <c r="A2543" t="inlineStr">
        <is>
          <t>James Parker Mckeown</t>
        </is>
      </c>
      <c r="B2543" s="4" t="n">
        <v>46045</v>
      </c>
      <c r="C2543" t="inlineStr">
        <is>
          <t>/</t>
        </is>
      </c>
      <c r="D2543" t="inlineStr">
        <is>
          <t>James Parker Mckeown</t>
        </is>
      </c>
      <c r="E2543" t="inlineStr">
        <is>
          <t>James Parker Mckeown</t>
        </is>
      </c>
      <c r="F2543" s="5" t="n">
        <v>46156.85599537037</v>
      </c>
      <c r="H2543" t="inlineStr">
        <is>
          <t>Non-Billable Tasks</t>
        </is>
      </c>
      <c r="I2543" t="n">
        <v>8</v>
      </c>
      <c r="K2543" t="inlineStr">
        <is>
          <t>Staff Meetings (Quartely Staff Meetings, Adhoc meetings, Welfare)</t>
        </is>
      </c>
      <c r="L2543" t="b">
        <v>0</v>
      </c>
      <c r="M2543" t="inlineStr">
        <is>
          <t>Non-Billable</t>
        </is>
      </c>
      <c r="N2543" s="6">
        <f>IF(B2543="","",IF(ISNUMBER(B2543),TEXT(B2543,"YYYY-MM"),LEFT(B2543,7)))</f>
        <v/>
      </c>
    </row>
    <row r="2544">
      <c r="A2544" t="inlineStr">
        <is>
          <t>Stephen Doso</t>
        </is>
      </c>
      <c r="B2544" s="4" t="n">
        <v>46045</v>
      </c>
      <c r="C2544" t="inlineStr">
        <is>
          <t>/</t>
        </is>
      </c>
      <c r="D2544" t="inlineStr">
        <is>
          <t>Stephen Doso</t>
        </is>
      </c>
      <c r="E2544" t="inlineStr">
        <is>
          <t>OdooBot</t>
        </is>
      </c>
      <c r="F2544" s="5" t="n">
        <v>46154.70721064815</v>
      </c>
      <c r="H2544" t="inlineStr">
        <is>
          <t>Non-Billable Tasks</t>
        </is>
      </c>
      <c r="I2544" t="n">
        <v>8</v>
      </c>
      <c r="K2544" t="inlineStr">
        <is>
          <t>Staff Meetings (Quartely Staff Meetings, Adhoc meetings, Welfare)</t>
        </is>
      </c>
      <c r="L2544" t="b">
        <v>0</v>
      </c>
      <c r="M2544" t="inlineStr">
        <is>
          <t>Non-Billable</t>
        </is>
      </c>
      <c r="N2544" s="6">
        <f>IF(B2544="","",IF(ISNUMBER(B2544),TEXT(B2544,"YYYY-MM"),LEFT(B2544,7)))</f>
        <v/>
      </c>
    </row>
    <row r="2545">
      <c r="A2545" t="inlineStr">
        <is>
          <t>Daleba Bernard Kpenahi Raymond</t>
        </is>
      </c>
      <c r="B2545" s="4" t="n">
        <v>46045</v>
      </c>
      <c r="C2545" t="inlineStr">
        <is>
          <t>/</t>
        </is>
      </c>
      <c r="D2545" t="inlineStr">
        <is>
          <t>Daleba Bernard Kpenahi Raymond</t>
        </is>
      </c>
      <c r="E2545" t="inlineStr">
        <is>
          <t>OdooBot</t>
        </is>
      </c>
      <c r="F2545" s="5" t="n">
        <v>46154.70721064815</v>
      </c>
      <c r="H2545" t="inlineStr">
        <is>
          <t>Non-Billable Tasks</t>
        </is>
      </c>
      <c r="I2545" t="n">
        <v>8</v>
      </c>
      <c r="K2545" t="inlineStr">
        <is>
          <t>Professional development and Knowledge sharing(training,global knowledge calls,exchange weeks)</t>
        </is>
      </c>
      <c r="L2545" t="b">
        <v>0</v>
      </c>
      <c r="M2545" t="inlineStr">
        <is>
          <t>Non-Billable</t>
        </is>
      </c>
      <c r="N2545" s="6">
        <f>IF(B2545="","",IF(ISNUMBER(B2545),TEXT(B2545,"YYYY-MM"),LEFT(B2545,7)))</f>
        <v/>
      </c>
    </row>
    <row r="2546">
      <c r="A2546" t="inlineStr">
        <is>
          <t>Afua Serwah Akoto Prempeh</t>
        </is>
      </c>
      <c r="B2546" s="4" t="n">
        <v>46045</v>
      </c>
      <c r="C2546" t="inlineStr">
        <is>
          <t>/</t>
        </is>
      </c>
      <c r="D2546" t="inlineStr">
        <is>
          <t>Afua Serwah Akoto Prempeh</t>
        </is>
      </c>
      <c r="E2546" t="inlineStr">
        <is>
          <t>OdooBot</t>
        </is>
      </c>
      <c r="F2546" s="5" t="n">
        <v>46154.70721064815</v>
      </c>
      <c r="H2546" t="inlineStr">
        <is>
          <t>Non-Billable Tasks</t>
        </is>
      </c>
      <c r="I2546" t="n">
        <v>8</v>
      </c>
      <c r="K2546" t="inlineStr">
        <is>
          <t>Communication/Data/Training</t>
        </is>
      </c>
      <c r="L2546" t="b">
        <v>0</v>
      </c>
      <c r="M2546" t="inlineStr">
        <is>
          <t>Non-Billable</t>
        </is>
      </c>
      <c r="N2546" s="6">
        <f>IF(B2546="","",IF(ISNUMBER(B2546),TEXT(B2546,"YYYY-MM"),LEFT(B2546,7)))</f>
        <v/>
      </c>
    </row>
    <row r="2547">
      <c r="A2547" t="inlineStr">
        <is>
          <t>Afua Serwah Akoto Prempeh</t>
        </is>
      </c>
      <c r="B2547" s="4" t="n">
        <v>46045</v>
      </c>
      <c r="C2547" t="inlineStr">
        <is>
          <t>/</t>
        </is>
      </c>
      <c r="D2547" t="inlineStr">
        <is>
          <t>Afua Serwah Akoto Prempeh</t>
        </is>
      </c>
      <c r="E2547" t="inlineStr">
        <is>
          <t>OdooBot</t>
        </is>
      </c>
      <c r="F2547" s="5" t="n">
        <v>46154.70721064815</v>
      </c>
      <c r="H2547" t="inlineStr">
        <is>
          <t>Non-Billable Tasks</t>
        </is>
      </c>
      <c r="I2547" t="n">
        <v>0</v>
      </c>
      <c r="L2547" t="b">
        <v>0</v>
      </c>
      <c r="M2547" t="inlineStr">
        <is>
          <t>Non-Billable</t>
        </is>
      </c>
      <c r="N2547" s="6">
        <f>IF(B2547="","",IF(ISNUMBER(B2547),TEXT(B2547,"YYYY-MM"),LEFT(B2547,7)))</f>
        <v/>
      </c>
    </row>
    <row r="2548">
      <c r="A2548" t="inlineStr">
        <is>
          <t>Clement Obeng-Manu</t>
        </is>
      </c>
      <c r="B2548" s="4" t="n">
        <v>46045</v>
      </c>
      <c r="C2548" t="inlineStr">
        <is>
          <t>/</t>
        </is>
      </c>
      <c r="D2548" t="inlineStr">
        <is>
          <t>Clement Obeng-Manu</t>
        </is>
      </c>
      <c r="E2548" t="inlineStr">
        <is>
          <t>OdooBot</t>
        </is>
      </c>
      <c r="F2548" s="5" t="n">
        <v>46154.70721064815</v>
      </c>
      <c r="H2548" t="inlineStr">
        <is>
          <t>PCGH769</t>
        </is>
      </c>
      <c r="I2548" t="n">
        <v>8</v>
      </c>
      <c r="J2548" t="inlineStr">
        <is>
          <t>PCGH769 - Desk Study (2) (Biase Plantations Ltd.)</t>
        </is>
      </c>
      <c r="L2548" t="b">
        <v>1</v>
      </c>
      <c r="M2548" t="inlineStr">
        <is>
          <t>Billed at a Fixed price</t>
        </is>
      </c>
      <c r="N2548" s="6">
        <f>IF(B2548="","",IF(ISNUMBER(B2548),TEXT(B2548,"YYYY-MM"),LEFT(B2548,7)))</f>
        <v/>
      </c>
    </row>
    <row r="2549">
      <c r="A2549" t="inlineStr">
        <is>
          <t>Augustus Asamoah</t>
        </is>
      </c>
      <c r="B2549" s="4" t="n">
        <v>46045</v>
      </c>
      <c r="C2549" t="inlineStr">
        <is>
          <t>/</t>
        </is>
      </c>
      <c r="D2549" t="inlineStr">
        <is>
          <t>Augustus Asamoah</t>
        </is>
      </c>
      <c r="E2549" t="inlineStr">
        <is>
          <t>OdooBot</t>
        </is>
      </c>
      <c r="F2549" s="5" t="n">
        <v>46154.70721064815</v>
      </c>
      <c r="H2549" t="inlineStr">
        <is>
          <t>Non-Billable Tasks</t>
        </is>
      </c>
      <c r="I2549" t="n">
        <v>8</v>
      </c>
      <c r="K2549" t="inlineStr">
        <is>
          <t>Staff Meetings (Quartely Staff Meetings, Adhoc meetings, Welfare)</t>
        </is>
      </c>
      <c r="L2549" t="b">
        <v>0</v>
      </c>
      <c r="M2549" t="inlineStr">
        <is>
          <t>Non-Billable</t>
        </is>
      </c>
      <c r="N2549" s="6">
        <f>IF(B2549="","",IF(ISNUMBER(B2549),TEXT(B2549,"YYYY-MM"),LEFT(B2549,7)))</f>
        <v/>
      </c>
    </row>
    <row r="2550">
      <c r="A2550" t="inlineStr">
        <is>
          <t>Kwadwo Baniako Nti</t>
        </is>
      </c>
      <c r="B2550" s="4" t="n">
        <v>46045</v>
      </c>
      <c r="C2550" t="inlineStr">
        <is>
          <t>/</t>
        </is>
      </c>
      <c r="D2550" t="inlineStr">
        <is>
          <t>Kwadwo Baniako Nti</t>
        </is>
      </c>
      <c r="E2550" t="inlineStr">
        <is>
          <t>OdooBot</t>
        </is>
      </c>
      <c r="F2550" s="5" t="n">
        <v>46154.70721064815</v>
      </c>
      <c r="H2550" t="inlineStr">
        <is>
          <t>Internal</t>
        </is>
      </c>
      <c r="I2550" t="n">
        <v>8</v>
      </c>
      <c r="L2550" t="b">
        <v>0</v>
      </c>
      <c r="M2550" t="inlineStr">
        <is>
          <t>Non-Billable</t>
        </is>
      </c>
      <c r="N2550" s="6">
        <f>IF(B2550="","",IF(ISNUMBER(B2550),TEXT(B2550,"YYYY-MM"),LEFT(B2550,7)))</f>
        <v/>
      </c>
    </row>
    <row r="2551">
      <c r="A2551" t="inlineStr">
        <is>
          <t>Kingsley Fitz-Gerald Severine</t>
        </is>
      </c>
      <c r="B2551" s="4" t="n">
        <v>46045</v>
      </c>
      <c r="C2551" t="inlineStr">
        <is>
          <t>/</t>
        </is>
      </c>
      <c r="D2551" t="inlineStr">
        <is>
          <t>Kingsley Fitz-Gerald Severine</t>
        </is>
      </c>
      <c r="E2551" t="inlineStr">
        <is>
          <t>OdooBot</t>
        </is>
      </c>
      <c r="F2551" s="5" t="n">
        <v>46154.70721064815</v>
      </c>
      <c r="H2551" t="inlineStr">
        <is>
          <t>Non-Billable Tasks</t>
        </is>
      </c>
      <c r="I2551" t="n">
        <v>8</v>
      </c>
      <c r="K2551" t="inlineStr">
        <is>
          <t>Professional development and Knowledge sharing(training,global knowledge calls,exchange weeks)</t>
        </is>
      </c>
      <c r="L2551" t="b">
        <v>0</v>
      </c>
      <c r="M2551" t="inlineStr">
        <is>
          <t>Non-Billable</t>
        </is>
      </c>
      <c r="N2551" s="6">
        <f>IF(B2551="","",IF(ISNUMBER(B2551),TEXT(B2551,"YYYY-MM"),LEFT(B2551,7)))</f>
        <v/>
      </c>
    </row>
    <row r="2552">
      <c r="A2552" t="inlineStr">
        <is>
          <t>Ekow Nyamekye Tawiah</t>
        </is>
      </c>
      <c r="B2552" s="4" t="n">
        <v>46045</v>
      </c>
      <c r="C2552" t="inlineStr">
        <is>
          <t>/</t>
        </is>
      </c>
      <c r="D2552" t="inlineStr">
        <is>
          <t>Ekow Nyamekye Tawiah</t>
        </is>
      </c>
      <c r="E2552" t="inlineStr">
        <is>
          <t>OdooBot</t>
        </is>
      </c>
      <c r="F2552" s="5" t="n">
        <v>46154.70721064815</v>
      </c>
      <c r="H2552" t="inlineStr">
        <is>
          <t>Non-Billable Tasks</t>
        </is>
      </c>
      <c r="I2552" t="n">
        <v>4</v>
      </c>
      <c r="K2552" t="inlineStr">
        <is>
          <t>Staff Meetings (Quartely Staff Meetings, Adhoc meetings, Welfare)</t>
        </is>
      </c>
      <c r="L2552" t="b">
        <v>0</v>
      </c>
      <c r="M2552" t="inlineStr">
        <is>
          <t>Non-Billable</t>
        </is>
      </c>
      <c r="N2552" s="6">
        <f>IF(B2552="","",IF(ISNUMBER(B2552),TEXT(B2552,"YYYY-MM"),LEFT(B2552,7)))</f>
        <v/>
      </c>
    </row>
    <row r="2553">
      <c r="A2553" t="inlineStr">
        <is>
          <t>Helena Tetteh</t>
        </is>
      </c>
      <c r="B2553" s="4" t="n">
        <v>46045</v>
      </c>
      <c r="C2553" t="inlineStr">
        <is>
          <t>/</t>
        </is>
      </c>
      <c r="D2553" t="inlineStr">
        <is>
          <t xml:space="preserve">Helena Tetteh </t>
        </is>
      </c>
      <c r="E2553" t="inlineStr">
        <is>
          <t>OdooBot</t>
        </is>
      </c>
      <c r="F2553" s="5" t="n">
        <v>46154.70721064815</v>
      </c>
      <c r="H2553" t="inlineStr">
        <is>
          <t>Non-Billable Tasks</t>
        </is>
      </c>
      <c r="I2553" t="n">
        <v>8</v>
      </c>
      <c r="K2553" t="inlineStr">
        <is>
          <t>Professional development and Knowledge sharing(training,global knowledge calls,exchange weeks)</t>
        </is>
      </c>
      <c r="L2553" t="b">
        <v>0</v>
      </c>
      <c r="M2553" t="inlineStr">
        <is>
          <t>Non-Billable</t>
        </is>
      </c>
      <c r="N2553" s="6">
        <f>IF(B2553="","",IF(ISNUMBER(B2553),TEXT(B2553,"YYYY-MM"),LEFT(B2553,7)))</f>
        <v/>
      </c>
    </row>
    <row r="2554">
      <c r="A2554" t="inlineStr">
        <is>
          <t>Joseph Isaiah Mensah</t>
        </is>
      </c>
      <c r="B2554" s="4" t="n">
        <v>46045</v>
      </c>
      <c r="C2554" t="inlineStr">
        <is>
          <t>PFAFR Annual Planning Meeting</t>
        </is>
      </c>
      <c r="D2554" t="inlineStr">
        <is>
          <t>Joseph Isaiah Mensah</t>
        </is>
      </c>
      <c r="E2554" t="inlineStr">
        <is>
          <t>OdooBot</t>
        </is>
      </c>
      <c r="F2554" s="5" t="n">
        <v>46154.70721064815</v>
      </c>
      <c r="H2554" t="inlineStr">
        <is>
          <t>Non-Billable Tasks</t>
        </is>
      </c>
      <c r="I2554" t="n">
        <v>8</v>
      </c>
      <c r="K2554" t="inlineStr">
        <is>
          <t>Staff Meetings (Quartely Staff Meetings, Adhoc meetings, Welfare)</t>
        </is>
      </c>
      <c r="L2554" t="b">
        <v>0</v>
      </c>
      <c r="M2554" t="inlineStr">
        <is>
          <t>Non-Billable</t>
        </is>
      </c>
      <c r="N2554" s="6">
        <f>IF(B2554="","",IF(ISNUMBER(B2554),TEXT(B2554,"YYYY-MM"),LEFT(B2554,7)))</f>
        <v/>
      </c>
    </row>
    <row r="2555">
      <c r="A2555" t="inlineStr">
        <is>
          <t>Louis Defo</t>
        </is>
      </c>
      <c r="B2555" s="4" t="n">
        <v>46044</v>
      </c>
      <c r="C2555" t="inlineStr">
        <is>
          <t>/</t>
        </is>
      </c>
      <c r="D2555" t="inlineStr">
        <is>
          <t>Louis Defo</t>
        </is>
      </c>
      <c r="E2555" t="inlineStr">
        <is>
          <t>Louis Defo</t>
        </is>
      </c>
      <c r="F2555" s="5" t="n">
        <v>46161.34277777778</v>
      </c>
      <c r="H2555" t="inlineStr">
        <is>
          <t>P23AC00C00 - FGMC</t>
        </is>
      </c>
      <c r="I2555" t="n">
        <v>8</v>
      </c>
      <c r="L2555" t="b">
        <v>0</v>
      </c>
      <c r="M2555" t="inlineStr">
        <is>
          <t>Non-Billable</t>
        </is>
      </c>
      <c r="N2555" s="6">
        <f>IF(B2555="","",IF(ISNUMBER(B2555),TEXT(B2555,"YYYY-MM"),LEFT(B2555,7)))</f>
        <v/>
      </c>
    </row>
    <row r="2556">
      <c r="A2556" t="inlineStr">
        <is>
          <t>Frederick Antwi</t>
        </is>
      </c>
      <c r="B2556" s="4" t="n">
        <v>46044</v>
      </c>
      <c r="C2556" t="inlineStr">
        <is>
          <t>/</t>
        </is>
      </c>
      <c r="D2556" t="inlineStr">
        <is>
          <t>Frederick Antwi</t>
        </is>
      </c>
      <c r="E2556" t="inlineStr">
        <is>
          <t>Frederick Antwi</t>
        </is>
      </c>
      <c r="F2556" s="5" t="n">
        <v>46160.5490162037</v>
      </c>
      <c r="H2556" t="inlineStr">
        <is>
          <t>Non-Billable Tasks</t>
        </is>
      </c>
      <c r="I2556" t="n">
        <v>8</v>
      </c>
      <c r="L2556" t="b">
        <v>0</v>
      </c>
      <c r="M2556" t="inlineStr">
        <is>
          <t>Non-Billable</t>
        </is>
      </c>
      <c r="N2556" s="6">
        <f>IF(B2556="","",IF(ISNUMBER(B2556),TEXT(B2556,"YYYY-MM"),LEFT(B2556,7)))</f>
        <v/>
      </c>
    </row>
    <row r="2557">
      <c r="A2557" t="inlineStr">
        <is>
          <t>James Parker Mckeown</t>
        </is>
      </c>
      <c r="B2557" s="4" t="n">
        <v>46044</v>
      </c>
      <c r="C2557" t="inlineStr">
        <is>
          <t>/</t>
        </is>
      </c>
      <c r="D2557" t="inlineStr">
        <is>
          <t>James Parker Mckeown</t>
        </is>
      </c>
      <c r="E2557" t="inlineStr">
        <is>
          <t>James Parker Mckeown</t>
        </is>
      </c>
      <c r="F2557" s="5" t="n">
        <v>46156.8559375</v>
      </c>
      <c r="H2557" t="inlineStr">
        <is>
          <t>Non-Billable Tasks</t>
        </is>
      </c>
      <c r="I2557" t="n">
        <v>8</v>
      </c>
      <c r="K2557" t="inlineStr">
        <is>
          <t>Staff Meetings (Quartely Staff Meetings, Adhoc meetings, Welfare)</t>
        </is>
      </c>
      <c r="L2557" t="b">
        <v>0</v>
      </c>
      <c r="M2557" t="inlineStr">
        <is>
          <t>Non-Billable</t>
        </is>
      </c>
      <c r="N2557" s="6">
        <f>IF(B2557="","",IF(ISNUMBER(B2557),TEXT(B2557,"YYYY-MM"),LEFT(B2557,7)))</f>
        <v/>
      </c>
    </row>
    <row r="2558">
      <c r="A2558" t="inlineStr">
        <is>
          <t>Stephen Doso</t>
        </is>
      </c>
      <c r="B2558" s="4" t="n">
        <v>46044</v>
      </c>
      <c r="C2558" t="inlineStr">
        <is>
          <t>/</t>
        </is>
      </c>
      <c r="D2558" t="inlineStr">
        <is>
          <t>Stephen Doso</t>
        </is>
      </c>
      <c r="E2558" t="inlineStr">
        <is>
          <t>OdooBot</t>
        </is>
      </c>
      <c r="F2558" s="5" t="n">
        <v>46154.70721064815</v>
      </c>
      <c r="H2558" t="inlineStr">
        <is>
          <t>Non-Billable Tasks</t>
        </is>
      </c>
      <c r="I2558" t="n">
        <v>8</v>
      </c>
      <c r="K2558" t="inlineStr">
        <is>
          <t>Staff Meetings (Quartely Staff Meetings, Adhoc meetings, Welfare)</t>
        </is>
      </c>
      <c r="L2558" t="b">
        <v>0</v>
      </c>
      <c r="M2558" t="inlineStr">
        <is>
          <t>Non-Billable</t>
        </is>
      </c>
      <c r="N2558" s="6">
        <f>IF(B2558="","",IF(ISNUMBER(B2558),TEXT(B2558,"YYYY-MM"),LEFT(B2558,7)))</f>
        <v/>
      </c>
    </row>
    <row r="2559">
      <c r="A2559" t="inlineStr">
        <is>
          <t>Daleba Bernard Kpenahi Raymond</t>
        </is>
      </c>
      <c r="B2559" s="4" t="n">
        <v>46044</v>
      </c>
      <c r="C2559" t="inlineStr">
        <is>
          <t>/</t>
        </is>
      </c>
      <c r="D2559" t="inlineStr">
        <is>
          <t>Daleba Bernard Kpenahi Raymond</t>
        </is>
      </c>
      <c r="E2559" t="inlineStr">
        <is>
          <t>OdooBot</t>
        </is>
      </c>
      <c r="F2559" s="5" t="n">
        <v>46154.70721064815</v>
      </c>
      <c r="H2559" t="inlineStr">
        <is>
          <t>Non-Billable Tasks</t>
        </is>
      </c>
      <c r="I2559" t="n">
        <v>8</v>
      </c>
      <c r="K2559" t="inlineStr">
        <is>
          <t>Professional development and Knowledge sharing(training,global knowledge calls,exchange weeks)</t>
        </is>
      </c>
      <c r="L2559" t="b">
        <v>0</v>
      </c>
      <c r="M2559" t="inlineStr">
        <is>
          <t>Non-Billable</t>
        </is>
      </c>
      <c r="N2559" s="6">
        <f>IF(B2559="","",IF(ISNUMBER(B2559),TEXT(B2559,"YYYY-MM"),LEFT(B2559,7)))</f>
        <v/>
      </c>
    </row>
    <row r="2560">
      <c r="A2560" t="inlineStr">
        <is>
          <t>Afua Serwah Akoto Prempeh</t>
        </is>
      </c>
      <c r="B2560" s="4" t="n">
        <v>46044</v>
      </c>
      <c r="C2560" t="inlineStr">
        <is>
          <t>/</t>
        </is>
      </c>
      <c r="D2560" t="inlineStr">
        <is>
          <t>Afua Serwah Akoto Prempeh</t>
        </is>
      </c>
      <c r="E2560" t="inlineStr">
        <is>
          <t>OdooBot</t>
        </is>
      </c>
      <c r="F2560" s="5" t="n">
        <v>46154.70721064815</v>
      </c>
      <c r="H2560" t="inlineStr">
        <is>
          <t>Non-Billable Tasks</t>
        </is>
      </c>
      <c r="I2560" t="n">
        <v>8</v>
      </c>
      <c r="K2560" t="inlineStr">
        <is>
          <t>Communication/Data/Training</t>
        </is>
      </c>
      <c r="L2560" t="b">
        <v>0</v>
      </c>
      <c r="M2560" t="inlineStr">
        <is>
          <t>Non-Billable</t>
        </is>
      </c>
      <c r="N2560" s="6">
        <f>IF(B2560="","",IF(ISNUMBER(B2560),TEXT(B2560,"YYYY-MM"),LEFT(B2560,7)))</f>
        <v/>
      </c>
    </row>
    <row r="2561">
      <c r="A2561" t="inlineStr">
        <is>
          <t>Afua Serwah Akoto Prempeh</t>
        </is>
      </c>
      <c r="B2561" s="4" t="n">
        <v>46044</v>
      </c>
      <c r="C2561" t="inlineStr">
        <is>
          <t>/</t>
        </is>
      </c>
      <c r="D2561" t="inlineStr">
        <is>
          <t>Afua Serwah Akoto Prempeh</t>
        </is>
      </c>
      <c r="E2561" t="inlineStr">
        <is>
          <t>OdooBot</t>
        </is>
      </c>
      <c r="F2561" s="5" t="n">
        <v>46154.70721064815</v>
      </c>
      <c r="H2561" t="inlineStr">
        <is>
          <t>Non-Billable Tasks</t>
        </is>
      </c>
      <c r="I2561" t="n">
        <v>0</v>
      </c>
      <c r="L2561" t="b">
        <v>0</v>
      </c>
      <c r="M2561" t="inlineStr">
        <is>
          <t>Non-Billable</t>
        </is>
      </c>
      <c r="N2561" s="6">
        <f>IF(B2561="","",IF(ISNUMBER(B2561),TEXT(B2561,"YYYY-MM"),LEFT(B2561,7)))</f>
        <v/>
      </c>
    </row>
    <row r="2562">
      <c r="A2562" t="inlineStr">
        <is>
          <t>Clement Obeng-Manu</t>
        </is>
      </c>
      <c r="B2562" s="4" t="n">
        <v>46044</v>
      </c>
      <c r="C2562" t="inlineStr">
        <is>
          <t>/</t>
        </is>
      </c>
      <c r="D2562" t="inlineStr">
        <is>
          <t>Clement Obeng-Manu</t>
        </is>
      </c>
      <c r="E2562" t="inlineStr">
        <is>
          <t>OdooBot</t>
        </is>
      </c>
      <c r="F2562" s="5" t="n">
        <v>46154.70721064815</v>
      </c>
      <c r="H2562" t="inlineStr">
        <is>
          <t>PCGH769</t>
        </is>
      </c>
      <c r="I2562" t="n">
        <v>8</v>
      </c>
      <c r="J2562" t="inlineStr">
        <is>
          <t>PCGH769 - Desk Study (2) (Biase Plantations Ltd.)</t>
        </is>
      </c>
      <c r="L2562" t="b">
        <v>1</v>
      </c>
      <c r="M2562" t="inlineStr">
        <is>
          <t>Billed at a Fixed price</t>
        </is>
      </c>
      <c r="N2562" s="6">
        <f>IF(B2562="","",IF(ISNUMBER(B2562),TEXT(B2562,"YYYY-MM"),LEFT(B2562,7)))</f>
        <v/>
      </c>
    </row>
    <row r="2563">
      <c r="A2563" t="inlineStr">
        <is>
          <t>Augustus Asamoah</t>
        </is>
      </c>
      <c r="B2563" s="4" t="n">
        <v>46044</v>
      </c>
      <c r="C2563" t="inlineStr">
        <is>
          <t>/</t>
        </is>
      </c>
      <c r="D2563" t="inlineStr">
        <is>
          <t>Augustus Asamoah</t>
        </is>
      </c>
      <c r="E2563" t="inlineStr">
        <is>
          <t>OdooBot</t>
        </is>
      </c>
      <c r="F2563" s="5" t="n">
        <v>46154.70721064815</v>
      </c>
      <c r="H2563" t="inlineStr">
        <is>
          <t>Non-Billable Tasks</t>
        </is>
      </c>
      <c r="I2563" t="n">
        <v>8</v>
      </c>
      <c r="K2563" t="inlineStr">
        <is>
          <t>Staff Meetings (Quartely Staff Meetings, Adhoc meetings, Welfare)</t>
        </is>
      </c>
      <c r="L2563" t="b">
        <v>0</v>
      </c>
      <c r="M2563" t="inlineStr">
        <is>
          <t>Non-Billable</t>
        </is>
      </c>
      <c r="N2563" s="6">
        <f>IF(B2563="","",IF(ISNUMBER(B2563),TEXT(B2563,"YYYY-MM"),LEFT(B2563,7)))</f>
        <v/>
      </c>
    </row>
    <row r="2564">
      <c r="A2564" t="inlineStr">
        <is>
          <t>Kwadwo Baniako Nti</t>
        </is>
      </c>
      <c r="B2564" s="4" t="n">
        <v>46044</v>
      </c>
      <c r="C2564" t="inlineStr">
        <is>
          <t>/</t>
        </is>
      </c>
      <c r="D2564" t="inlineStr">
        <is>
          <t>Kwadwo Baniako Nti</t>
        </is>
      </c>
      <c r="E2564" t="inlineStr">
        <is>
          <t>OdooBot</t>
        </is>
      </c>
      <c r="F2564" s="5" t="n">
        <v>46154.70721064815</v>
      </c>
      <c r="H2564" t="inlineStr">
        <is>
          <t>Internal</t>
        </is>
      </c>
      <c r="I2564" t="n">
        <v>8</v>
      </c>
      <c r="L2564" t="b">
        <v>0</v>
      </c>
      <c r="M2564" t="inlineStr">
        <is>
          <t>Non-Billable</t>
        </is>
      </c>
      <c r="N2564" s="6">
        <f>IF(B2564="","",IF(ISNUMBER(B2564),TEXT(B2564,"YYYY-MM"),LEFT(B2564,7)))</f>
        <v/>
      </c>
    </row>
    <row r="2565">
      <c r="A2565" t="inlineStr">
        <is>
          <t>Kingsley Fitz-Gerald Severine</t>
        </is>
      </c>
      <c r="B2565" s="4" t="n">
        <v>46044</v>
      </c>
      <c r="C2565" t="inlineStr">
        <is>
          <t>/</t>
        </is>
      </c>
      <c r="D2565" t="inlineStr">
        <is>
          <t>Kingsley Fitz-Gerald Severine</t>
        </is>
      </c>
      <c r="E2565" t="inlineStr">
        <is>
          <t>OdooBot</t>
        </is>
      </c>
      <c r="F2565" s="5" t="n">
        <v>46154.70721064815</v>
      </c>
      <c r="H2565" t="inlineStr">
        <is>
          <t>Non-Billable Tasks</t>
        </is>
      </c>
      <c r="I2565" t="n">
        <v>8</v>
      </c>
      <c r="K2565" t="inlineStr">
        <is>
          <t>Professional development and Knowledge sharing(training,global knowledge calls,exchange weeks)</t>
        </is>
      </c>
      <c r="L2565" t="b">
        <v>0</v>
      </c>
      <c r="M2565" t="inlineStr">
        <is>
          <t>Non-Billable</t>
        </is>
      </c>
      <c r="N2565" s="6">
        <f>IF(B2565="","",IF(ISNUMBER(B2565),TEXT(B2565,"YYYY-MM"),LEFT(B2565,7)))</f>
        <v/>
      </c>
    </row>
    <row r="2566">
      <c r="A2566" t="inlineStr">
        <is>
          <t>Ekow Nyamekye Tawiah</t>
        </is>
      </c>
      <c r="B2566" s="4" t="n">
        <v>46044</v>
      </c>
      <c r="C2566" t="inlineStr">
        <is>
          <t>/</t>
        </is>
      </c>
      <c r="D2566" t="inlineStr">
        <is>
          <t>Ekow Nyamekye Tawiah</t>
        </is>
      </c>
      <c r="E2566" t="inlineStr">
        <is>
          <t>OdooBot</t>
        </is>
      </c>
      <c r="F2566" s="5" t="n">
        <v>46154.70721064815</v>
      </c>
      <c r="H2566" t="inlineStr">
        <is>
          <t>Non-Billable Tasks</t>
        </is>
      </c>
      <c r="I2566" t="n">
        <v>4</v>
      </c>
      <c r="K2566" t="inlineStr">
        <is>
          <t>Staff Meetings (Quartely Staff Meetings, Adhoc meetings, Welfare)</t>
        </is>
      </c>
      <c r="L2566" t="b">
        <v>0</v>
      </c>
      <c r="M2566" t="inlineStr">
        <is>
          <t>Non-Billable</t>
        </is>
      </c>
      <c r="N2566" s="6">
        <f>IF(B2566="","",IF(ISNUMBER(B2566),TEXT(B2566,"YYYY-MM"),LEFT(B2566,7)))</f>
        <v/>
      </c>
    </row>
    <row r="2567">
      <c r="A2567" t="inlineStr">
        <is>
          <t>Helena Tetteh</t>
        </is>
      </c>
      <c r="B2567" s="4" t="n">
        <v>46044</v>
      </c>
      <c r="C2567" t="inlineStr">
        <is>
          <t>/</t>
        </is>
      </c>
      <c r="D2567" t="inlineStr">
        <is>
          <t xml:space="preserve">Helena Tetteh </t>
        </is>
      </c>
      <c r="E2567" t="inlineStr">
        <is>
          <t>OdooBot</t>
        </is>
      </c>
      <c r="F2567" s="5" t="n">
        <v>46154.70721064815</v>
      </c>
      <c r="H2567" t="inlineStr">
        <is>
          <t>Non-Billable Tasks</t>
        </is>
      </c>
      <c r="I2567" t="n">
        <v>8</v>
      </c>
      <c r="K2567" t="inlineStr">
        <is>
          <t>Professional development and Knowledge sharing(training,global knowledge calls,exchange weeks)</t>
        </is>
      </c>
      <c r="L2567" t="b">
        <v>0</v>
      </c>
      <c r="M2567" t="inlineStr">
        <is>
          <t>Non-Billable</t>
        </is>
      </c>
      <c r="N2567" s="6">
        <f>IF(B2567="","",IF(ISNUMBER(B2567),TEXT(B2567,"YYYY-MM"),LEFT(B2567,7)))</f>
        <v/>
      </c>
    </row>
    <row r="2568">
      <c r="A2568" t="inlineStr">
        <is>
          <t>Joseph Isaiah Mensah</t>
        </is>
      </c>
      <c r="B2568" s="4" t="n">
        <v>46044</v>
      </c>
      <c r="C2568" t="inlineStr">
        <is>
          <t>PFAFR Annual Planning Meeting</t>
        </is>
      </c>
      <c r="D2568" t="inlineStr">
        <is>
          <t>Joseph Isaiah Mensah</t>
        </is>
      </c>
      <c r="E2568" t="inlineStr">
        <is>
          <t>OdooBot</t>
        </is>
      </c>
      <c r="F2568" s="5" t="n">
        <v>46154.70721064815</v>
      </c>
      <c r="H2568" t="inlineStr">
        <is>
          <t>Non-Billable Tasks</t>
        </is>
      </c>
      <c r="I2568" t="n">
        <v>8</v>
      </c>
      <c r="K2568" t="inlineStr">
        <is>
          <t>Staff Meetings (Quartely Staff Meetings, Adhoc meetings, Welfare)</t>
        </is>
      </c>
      <c r="L2568" t="b">
        <v>0</v>
      </c>
      <c r="M2568" t="inlineStr">
        <is>
          <t>Non-Billable</t>
        </is>
      </c>
      <c r="N2568" s="6">
        <f>IF(B2568="","",IF(ISNUMBER(B2568),TEXT(B2568,"YYYY-MM"),LEFT(B2568,7)))</f>
        <v/>
      </c>
    </row>
    <row r="2569">
      <c r="A2569" t="inlineStr">
        <is>
          <t>Patricia Offei</t>
        </is>
      </c>
      <c r="B2569" s="4" t="n">
        <v>46043</v>
      </c>
      <c r="C2569" t="inlineStr">
        <is>
          <t>/</t>
        </is>
      </c>
      <c r="D2569" t="inlineStr">
        <is>
          <t>Patricia Offei</t>
        </is>
      </c>
      <c r="E2569" t="inlineStr">
        <is>
          <t>Patricia Offei</t>
        </is>
      </c>
      <c r="F2569" s="5" t="n">
        <v>46162.62469907408</v>
      </c>
      <c r="H2569" t="inlineStr">
        <is>
          <t>PCGH778 - General Support</t>
        </is>
      </c>
      <c r="I2569" t="n">
        <v>0</v>
      </c>
      <c r="J2569" t="inlineStr">
        <is>
          <t>PCGH778 - Support to Other Workstreams (3) (Proforest Limited(PCUK GBP))</t>
        </is>
      </c>
      <c r="L2569" t="b">
        <v>1</v>
      </c>
      <c r="M2569" t="inlineStr">
        <is>
          <t>Billed at a Fixed price</t>
        </is>
      </c>
      <c r="N2569" s="6">
        <f>IF(B2569="","",IF(ISNUMBER(B2569),TEXT(B2569,"YYYY-MM"),LEFT(B2569,7)))</f>
        <v/>
      </c>
    </row>
    <row r="2570">
      <c r="A2570" t="inlineStr">
        <is>
          <t>Patricia Offei</t>
        </is>
      </c>
      <c r="B2570" s="4" t="n">
        <v>46043</v>
      </c>
      <c r="C2570" t="inlineStr">
        <is>
          <t>PCGH Planning Meeting</t>
        </is>
      </c>
      <c r="D2570" t="inlineStr">
        <is>
          <t>Patricia Offei</t>
        </is>
      </c>
      <c r="E2570" t="inlineStr">
        <is>
          <t>Patricia Offei</t>
        </is>
      </c>
      <c r="F2570" s="5" t="n">
        <v>46162.62105324074</v>
      </c>
      <c r="H2570" t="inlineStr">
        <is>
          <t>Non-Billable Tasks</t>
        </is>
      </c>
      <c r="I2570" t="n">
        <v>8</v>
      </c>
      <c r="K2570" t="inlineStr">
        <is>
          <t>Professional development and Knowledge sharing(training,global knowledge calls,exchange weeks)</t>
        </is>
      </c>
      <c r="L2570" t="b">
        <v>0</v>
      </c>
      <c r="M2570" t="inlineStr">
        <is>
          <t>Non-Billable</t>
        </is>
      </c>
      <c r="N2570" s="6">
        <f>IF(B2570="","",IF(ISNUMBER(B2570),TEXT(B2570,"YYYY-MM"),LEFT(B2570,7)))</f>
        <v/>
      </c>
    </row>
    <row r="2571">
      <c r="A2571" t="inlineStr">
        <is>
          <t>Louis Defo</t>
        </is>
      </c>
      <c r="B2571" s="4" t="n">
        <v>46043</v>
      </c>
      <c r="C2571" t="inlineStr">
        <is>
          <t>/</t>
        </is>
      </c>
      <c r="D2571" t="inlineStr">
        <is>
          <t>Louis Defo</t>
        </is>
      </c>
      <c r="E2571" t="inlineStr">
        <is>
          <t>Louis Defo</t>
        </is>
      </c>
      <c r="F2571" s="5" t="n">
        <v>46161.34248842593</v>
      </c>
      <c r="H2571" t="inlineStr">
        <is>
          <t>P23AC00C00 - FGMC</t>
        </is>
      </c>
      <c r="I2571" t="n">
        <v>8</v>
      </c>
      <c r="L2571" t="b">
        <v>0</v>
      </c>
      <c r="M2571" t="inlineStr">
        <is>
          <t>Non-Billable</t>
        </is>
      </c>
      <c r="N2571" s="6">
        <f>IF(B2571="","",IF(ISNUMBER(B2571),TEXT(B2571,"YYYY-MM"),LEFT(B2571,7)))</f>
        <v/>
      </c>
    </row>
    <row r="2572">
      <c r="A2572" t="inlineStr">
        <is>
          <t>Frederick Antwi</t>
        </is>
      </c>
      <c r="B2572" s="4" t="n">
        <v>46043</v>
      </c>
      <c r="C2572" t="inlineStr">
        <is>
          <t>/</t>
        </is>
      </c>
      <c r="D2572" t="inlineStr">
        <is>
          <t>Frederick Antwi</t>
        </is>
      </c>
      <c r="E2572" t="inlineStr">
        <is>
          <t>Frederick Antwi</t>
        </is>
      </c>
      <c r="F2572" s="5" t="n">
        <v>46160.54894675926</v>
      </c>
      <c r="H2572" t="inlineStr">
        <is>
          <t>Non-Billable Tasks</t>
        </is>
      </c>
      <c r="I2572" t="n">
        <v>8</v>
      </c>
      <c r="L2572" t="b">
        <v>0</v>
      </c>
      <c r="M2572" t="inlineStr">
        <is>
          <t>Non-Billable</t>
        </is>
      </c>
      <c r="N2572" s="6">
        <f>IF(B2572="","",IF(ISNUMBER(B2572),TEXT(B2572,"YYYY-MM"),LEFT(B2572,7)))</f>
        <v/>
      </c>
    </row>
    <row r="2573">
      <c r="A2573" t="inlineStr">
        <is>
          <t>Frederick Antwi</t>
        </is>
      </c>
      <c r="B2573" s="4" t="n">
        <v>46043</v>
      </c>
      <c r="C2573" t="inlineStr">
        <is>
          <t>Annual Planning Meeting</t>
        </is>
      </c>
      <c r="D2573" t="inlineStr">
        <is>
          <t>Frederick Antwi</t>
        </is>
      </c>
      <c r="E2573" t="inlineStr">
        <is>
          <t>Frederick Antwi</t>
        </is>
      </c>
      <c r="F2573" s="5" t="n">
        <v>46160.54898148148</v>
      </c>
      <c r="H2573" t="inlineStr">
        <is>
          <t>P13NC00A00 - WALMART II</t>
        </is>
      </c>
      <c r="I2573" t="n">
        <v>0</v>
      </c>
      <c r="L2573" t="b">
        <v>0</v>
      </c>
      <c r="M2573" t="inlineStr">
        <is>
          <t>Non-Billable</t>
        </is>
      </c>
      <c r="N2573" s="6">
        <f>IF(B2573="","",IF(ISNUMBER(B2573),TEXT(B2573,"YYYY-MM"),LEFT(B2573,7)))</f>
        <v/>
      </c>
    </row>
    <row r="2574">
      <c r="A2574" t="inlineStr">
        <is>
          <t>James Parker Mckeown</t>
        </is>
      </c>
      <c r="B2574" s="4" t="n">
        <v>46043</v>
      </c>
      <c r="C2574" t="inlineStr">
        <is>
          <t xml:space="preserve">Staff Annual Planning Meeting </t>
        </is>
      </c>
      <c r="D2574" t="inlineStr">
        <is>
          <t>James Parker Mckeown</t>
        </is>
      </c>
      <c r="E2574" t="inlineStr">
        <is>
          <t>James Parker Mckeown</t>
        </is>
      </c>
      <c r="F2574" s="5" t="n">
        <v>46156.85577546297</v>
      </c>
      <c r="H2574" t="inlineStr">
        <is>
          <t>Non-Billable Tasks</t>
        </is>
      </c>
      <c r="I2574" t="n">
        <v>8</v>
      </c>
      <c r="K2574" t="inlineStr">
        <is>
          <t>Staff Meetings (Quartely Staff Meetings, Adhoc meetings, Welfare)</t>
        </is>
      </c>
      <c r="L2574" t="b">
        <v>0</v>
      </c>
      <c r="M2574" t="inlineStr">
        <is>
          <t>Non-Billable</t>
        </is>
      </c>
      <c r="N2574" s="6">
        <f>IF(B2574="","",IF(ISNUMBER(B2574),TEXT(B2574,"YYYY-MM"),LEFT(B2574,7)))</f>
        <v/>
      </c>
    </row>
    <row r="2575">
      <c r="A2575" t="inlineStr">
        <is>
          <t>Stephen Doso</t>
        </is>
      </c>
      <c r="B2575" s="4" t="n">
        <v>46043</v>
      </c>
      <c r="C2575" t="inlineStr">
        <is>
          <t>/</t>
        </is>
      </c>
      <c r="D2575" t="inlineStr">
        <is>
          <t>Stephen Doso</t>
        </is>
      </c>
      <c r="E2575" t="inlineStr">
        <is>
          <t>OdooBot</t>
        </is>
      </c>
      <c r="F2575" s="5" t="n">
        <v>46154.70721064815</v>
      </c>
      <c r="H2575" t="inlineStr">
        <is>
          <t>PCGH762 - GVL HCSA Restoration Project</t>
        </is>
      </c>
      <c r="I2575" t="n">
        <v>1</v>
      </c>
      <c r="J2575" t="inlineStr">
        <is>
          <t>PCGH763 - Desk study (Due diligence) (Jopafram Nigeria Limited)</t>
        </is>
      </c>
      <c r="K2575" t="inlineStr">
        <is>
          <t>Fundraising and proposal development</t>
        </is>
      </c>
      <c r="L2575" t="b">
        <v>1</v>
      </c>
      <c r="M2575" t="inlineStr">
        <is>
          <t>Billed at a Fixed price</t>
        </is>
      </c>
      <c r="N2575" s="6">
        <f>IF(B2575="","",IF(ISNUMBER(B2575),TEXT(B2575,"YYYY-MM"),LEFT(B2575,7)))</f>
        <v/>
      </c>
    </row>
    <row r="2576">
      <c r="A2576" t="inlineStr">
        <is>
          <t>Stephen Doso</t>
        </is>
      </c>
      <c r="B2576" s="4" t="n">
        <v>46043</v>
      </c>
      <c r="C2576" t="inlineStr">
        <is>
          <t>/</t>
        </is>
      </c>
      <c r="D2576" t="inlineStr">
        <is>
          <t>Stephen Doso</t>
        </is>
      </c>
      <c r="E2576" t="inlineStr">
        <is>
          <t>OdooBot</t>
        </is>
      </c>
      <c r="F2576" s="5" t="n">
        <v>46154.70721064815</v>
      </c>
      <c r="H2576" t="inlineStr">
        <is>
          <t>Non-Billable Tasks</t>
        </is>
      </c>
      <c r="I2576" t="n">
        <v>8</v>
      </c>
      <c r="K2576" t="inlineStr">
        <is>
          <t>Staff Meetings (Quartely Staff Meetings, Adhoc meetings, Welfare)</t>
        </is>
      </c>
      <c r="L2576" t="b">
        <v>0</v>
      </c>
      <c r="M2576" t="inlineStr">
        <is>
          <t>Non-Billable</t>
        </is>
      </c>
      <c r="N2576" s="6">
        <f>IF(B2576="","",IF(ISNUMBER(B2576),TEXT(B2576,"YYYY-MM"),LEFT(B2576,7)))</f>
        <v/>
      </c>
    </row>
    <row r="2577">
      <c r="A2577" t="inlineStr">
        <is>
          <t>Daleba Bernard Kpenahi Raymond</t>
        </is>
      </c>
      <c r="B2577" s="4" t="n">
        <v>46043</v>
      </c>
      <c r="C2577" t="inlineStr">
        <is>
          <t>/</t>
        </is>
      </c>
      <c r="D2577" t="inlineStr">
        <is>
          <t>Daleba Bernard Kpenahi Raymond</t>
        </is>
      </c>
      <c r="E2577" t="inlineStr">
        <is>
          <t>OdooBot</t>
        </is>
      </c>
      <c r="F2577" s="5" t="n">
        <v>46154.70721064815</v>
      </c>
      <c r="H2577" t="inlineStr">
        <is>
          <t>Non-Billable Tasks</t>
        </is>
      </c>
      <c r="I2577" t="n">
        <v>8</v>
      </c>
      <c r="K2577" t="inlineStr">
        <is>
          <t>Professional development and Knowledge sharing(training,global knowledge calls,exchange weeks)</t>
        </is>
      </c>
      <c r="L2577" t="b">
        <v>0</v>
      </c>
      <c r="M2577" t="inlineStr">
        <is>
          <t>Non-Billable</t>
        </is>
      </c>
      <c r="N2577" s="6">
        <f>IF(B2577="","",IF(ISNUMBER(B2577),TEXT(B2577,"YYYY-MM"),LEFT(B2577,7)))</f>
        <v/>
      </c>
    </row>
    <row r="2578">
      <c r="A2578" t="inlineStr">
        <is>
          <t>Afua Serwah Akoto Prempeh</t>
        </is>
      </c>
      <c r="B2578" s="4" t="n">
        <v>46043</v>
      </c>
      <c r="C2578" t="inlineStr">
        <is>
          <t>/</t>
        </is>
      </c>
      <c r="D2578" t="inlineStr">
        <is>
          <t>Afua Serwah Akoto Prempeh</t>
        </is>
      </c>
      <c r="E2578" t="inlineStr">
        <is>
          <t>OdooBot</t>
        </is>
      </c>
      <c r="F2578" s="5" t="n">
        <v>46154.70721064815</v>
      </c>
      <c r="H2578" t="inlineStr">
        <is>
          <t>Non-Billable Tasks</t>
        </is>
      </c>
      <c r="I2578" t="n">
        <v>8</v>
      </c>
      <c r="K2578" t="inlineStr">
        <is>
          <t>Communication/Data/Training</t>
        </is>
      </c>
      <c r="L2578" t="b">
        <v>0</v>
      </c>
      <c r="M2578" t="inlineStr">
        <is>
          <t>Non-Billable</t>
        </is>
      </c>
      <c r="N2578" s="6">
        <f>IF(B2578="","",IF(ISNUMBER(B2578),TEXT(B2578,"YYYY-MM"),LEFT(B2578,7)))</f>
        <v/>
      </c>
    </row>
    <row r="2579">
      <c r="A2579" t="inlineStr">
        <is>
          <t>Afua Serwah Akoto Prempeh</t>
        </is>
      </c>
      <c r="B2579" s="4" t="n">
        <v>46043</v>
      </c>
      <c r="C2579" t="inlineStr">
        <is>
          <t>/</t>
        </is>
      </c>
      <c r="D2579" t="inlineStr">
        <is>
          <t>Afua Serwah Akoto Prempeh</t>
        </is>
      </c>
      <c r="E2579" t="inlineStr">
        <is>
          <t>OdooBot</t>
        </is>
      </c>
      <c r="F2579" s="5" t="n">
        <v>46154.70721064815</v>
      </c>
      <c r="H2579" t="inlineStr">
        <is>
          <t>Non-Billable Tasks</t>
        </is>
      </c>
      <c r="I2579" t="n">
        <v>0</v>
      </c>
      <c r="L2579" t="b">
        <v>0</v>
      </c>
      <c r="M2579" t="inlineStr">
        <is>
          <t>Non-Billable</t>
        </is>
      </c>
      <c r="N2579" s="6">
        <f>IF(B2579="","",IF(ISNUMBER(B2579),TEXT(B2579,"YYYY-MM"),LEFT(B2579,7)))</f>
        <v/>
      </c>
    </row>
    <row r="2580">
      <c r="A2580" t="inlineStr">
        <is>
          <t>Clement Obeng-Manu</t>
        </is>
      </c>
      <c r="B2580" s="4" t="n">
        <v>46043</v>
      </c>
      <c r="C2580" t="inlineStr">
        <is>
          <t>/</t>
        </is>
      </c>
      <c r="D2580" t="inlineStr">
        <is>
          <t>Clement Obeng-Manu</t>
        </is>
      </c>
      <c r="E2580" t="inlineStr">
        <is>
          <t>OdooBot</t>
        </is>
      </c>
      <c r="F2580" s="5" t="n">
        <v>46154.70721064815</v>
      </c>
      <c r="H2580" t="inlineStr">
        <is>
          <t>PCGH769</t>
        </is>
      </c>
      <c r="I2580" t="n">
        <v>8</v>
      </c>
      <c r="J2580" t="inlineStr">
        <is>
          <t>PCGH769 - Desk Study (2) (Biase Plantations Ltd.)</t>
        </is>
      </c>
      <c r="L2580" t="b">
        <v>1</v>
      </c>
      <c r="M2580" t="inlineStr">
        <is>
          <t>Billed at a Fixed price</t>
        </is>
      </c>
      <c r="N2580" s="6">
        <f>IF(B2580="","",IF(ISNUMBER(B2580),TEXT(B2580,"YYYY-MM"),LEFT(B2580,7)))</f>
        <v/>
      </c>
    </row>
    <row r="2581">
      <c r="A2581" t="inlineStr">
        <is>
          <t>Augustus Asamoah</t>
        </is>
      </c>
      <c r="B2581" s="4" t="n">
        <v>46043</v>
      </c>
      <c r="C2581" t="inlineStr">
        <is>
          <t>/</t>
        </is>
      </c>
      <c r="D2581" t="inlineStr">
        <is>
          <t>Augustus Asamoah</t>
        </is>
      </c>
      <c r="E2581" t="inlineStr">
        <is>
          <t>OdooBot</t>
        </is>
      </c>
      <c r="F2581" s="5" t="n">
        <v>46154.70721064815</v>
      </c>
      <c r="H2581" t="inlineStr">
        <is>
          <t>Non-Billable Tasks</t>
        </is>
      </c>
      <c r="I2581" t="n">
        <v>8</v>
      </c>
      <c r="K2581" t="inlineStr">
        <is>
          <t>Staff Meetings (Quartely Staff Meetings, Adhoc meetings, Welfare)</t>
        </is>
      </c>
      <c r="L2581" t="b">
        <v>0</v>
      </c>
      <c r="M2581" t="inlineStr">
        <is>
          <t>Non-Billable</t>
        </is>
      </c>
      <c r="N2581" s="6">
        <f>IF(B2581="","",IF(ISNUMBER(B2581),TEXT(B2581,"YYYY-MM"),LEFT(B2581,7)))</f>
        <v/>
      </c>
    </row>
    <row r="2582">
      <c r="A2582" t="inlineStr">
        <is>
          <t>Kwadwo Baniako Nti</t>
        </is>
      </c>
      <c r="B2582" s="4" t="n">
        <v>46043</v>
      </c>
      <c r="C2582" t="inlineStr">
        <is>
          <t>/</t>
        </is>
      </c>
      <c r="D2582" t="inlineStr">
        <is>
          <t>Kwadwo Baniako Nti</t>
        </is>
      </c>
      <c r="E2582" t="inlineStr">
        <is>
          <t>OdooBot</t>
        </is>
      </c>
      <c r="F2582" s="5" t="n">
        <v>46154.70721064815</v>
      </c>
      <c r="H2582" t="inlineStr">
        <is>
          <t>Internal</t>
        </is>
      </c>
      <c r="I2582" t="n">
        <v>8</v>
      </c>
      <c r="L2582" t="b">
        <v>0</v>
      </c>
      <c r="M2582" t="inlineStr">
        <is>
          <t>Non-Billable</t>
        </is>
      </c>
      <c r="N2582" s="6">
        <f>IF(B2582="","",IF(ISNUMBER(B2582),TEXT(B2582,"YYYY-MM"),LEFT(B2582,7)))</f>
        <v/>
      </c>
    </row>
    <row r="2583">
      <c r="A2583" t="inlineStr">
        <is>
          <t>Kingsley Fitz-Gerald Severine</t>
        </is>
      </c>
      <c r="B2583" s="4" t="n">
        <v>46043</v>
      </c>
      <c r="C2583" t="inlineStr">
        <is>
          <t>Annual Planning</t>
        </is>
      </c>
      <c r="D2583" t="inlineStr">
        <is>
          <t>Kingsley Fitz-Gerald Severine</t>
        </is>
      </c>
      <c r="E2583" t="inlineStr">
        <is>
          <t>OdooBot</t>
        </is>
      </c>
      <c r="F2583" s="5" t="n">
        <v>46154.70721064815</v>
      </c>
      <c r="H2583" t="inlineStr">
        <is>
          <t>Non-Billable Tasks</t>
        </is>
      </c>
      <c r="I2583" t="n">
        <v>8</v>
      </c>
      <c r="K2583" t="inlineStr">
        <is>
          <t>Professional development and Knowledge sharing(training,global knowledge calls,exchange weeks)</t>
        </is>
      </c>
      <c r="L2583" t="b">
        <v>0</v>
      </c>
      <c r="M2583" t="inlineStr">
        <is>
          <t>Non-Billable</t>
        </is>
      </c>
      <c r="N2583" s="6">
        <f>IF(B2583="","",IF(ISNUMBER(B2583),TEXT(B2583,"YYYY-MM"),LEFT(B2583,7)))</f>
        <v/>
      </c>
    </row>
    <row r="2584">
      <c r="A2584" t="inlineStr">
        <is>
          <t>Ekow Nyamekye Tawiah</t>
        </is>
      </c>
      <c r="B2584" s="4" t="n">
        <v>46043</v>
      </c>
      <c r="C2584" t="inlineStr">
        <is>
          <t>/</t>
        </is>
      </c>
      <c r="D2584" t="inlineStr">
        <is>
          <t>Ekow Nyamekye Tawiah</t>
        </is>
      </c>
      <c r="E2584" t="inlineStr">
        <is>
          <t>OdooBot</t>
        </is>
      </c>
      <c r="F2584" s="5" t="n">
        <v>46154.70721064815</v>
      </c>
      <c r="H2584" t="inlineStr">
        <is>
          <t>Non-Billable Tasks</t>
        </is>
      </c>
      <c r="I2584" t="n">
        <v>4</v>
      </c>
      <c r="K2584" t="inlineStr">
        <is>
          <t>Staff Meetings (Quartely Staff Meetings, Adhoc meetings, Welfare)</t>
        </is>
      </c>
      <c r="L2584" t="b">
        <v>0</v>
      </c>
      <c r="M2584" t="inlineStr">
        <is>
          <t>Non-Billable</t>
        </is>
      </c>
      <c r="N2584" s="6">
        <f>IF(B2584="","",IF(ISNUMBER(B2584),TEXT(B2584,"YYYY-MM"),LEFT(B2584,7)))</f>
        <v/>
      </c>
    </row>
    <row r="2585">
      <c r="A2585" t="inlineStr">
        <is>
          <t>Helena Tetteh</t>
        </is>
      </c>
      <c r="B2585" s="4" t="n">
        <v>46043</v>
      </c>
      <c r="C2585" t="inlineStr">
        <is>
          <t>Annual Planning meeting_PFAFR</t>
        </is>
      </c>
      <c r="D2585" t="inlineStr">
        <is>
          <t xml:space="preserve">Helena Tetteh </t>
        </is>
      </c>
      <c r="E2585" t="inlineStr">
        <is>
          <t>OdooBot</t>
        </is>
      </c>
      <c r="F2585" s="5" t="n">
        <v>46154.70721064815</v>
      </c>
      <c r="H2585" t="inlineStr">
        <is>
          <t>Non-Billable Tasks</t>
        </is>
      </c>
      <c r="I2585" t="n">
        <v>8</v>
      </c>
      <c r="K2585" t="inlineStr">
        <is>
          <t>Professional development and Knowledge sharing(training,global knowledge calls,exchange weeks)</t>
        </is>
      </c>
      <c r="L2585" t="b">
        <v>0</v>
      </c>
      <c r="M2585" t="inlineStr">
        <is>
          <t>Non-Billable</t>
        </is>
      </c>
      <c r="N2585" s="6">
        <f>IF(B2585="","",IF(ISNUMBER(B2585),TEXT(B2585,"YYYY-MM"),LEFT(B2585,7)))</f>
        <v/>
      </c>
    </row>
    <row r="2586">
      <c r="A2586" t="inlineStr">
        <is>
          <t>Joseph Isaiah Mensah</t>
        </is>
      </c>
      <c r="B2586" s="4" t="n">
        <v>46043</v>
      </c>
      <c r="C2586" t="inlineStr">
        <is>
          <t>PFAFR Annual Planning Meeting</t>
        </is>
      </c>
      <c r="D2586" t="inlineStr">
        <is>
          <t>Joseph Isaiah Mensah</t>
        </is>
      </c>
      <c r="E2586" t="inlineStr">
        <is>
          <t>OdooBot</t>
        </is>
      </c>
      <c r="F2586" s="5" t="n">
        <v>46154.70721064815</v>
      </c>
      <c r="H2586" t="inlineStr">
        <is>
          <t>Non-Billable Tasks</t>
        </is>
      </c>
      <c r="I2586" t="n">
        <v>8</v>
      </c>
      <c r="K2586" t="inlineStr">
        <is>
          <t>Staff Meetings (Quartely Staff Meetings, Adhoc meetings, Welfare)</t>
        </is>
      </c>
      <c r="L2586" t="b">
        <v>0</v>
      </c>
      <c r="M2586" t="inlineStr">
        <is>
          <t>Non-Billable</t>
        </is>
      </c>
      <c r="N2586" s="6">
        <f>IF(B2586="","",IF(ISNUMBER(B2586),TEXT(B2586,"YYYY-MM"),LEFT(B2586,7)))</f>
        <v/>
      </c>
    </row>
    <row r="2587">
      <c r="A2587" t="inlineStr">
        <is>
          <t>Patricia Offei</t>
        </is>
      </c>
      <c r="B2587" s="4" t="n">
        <v>46042</v>
      </c>
      <c r="C2587" t="inlineStr">
        <is>
          <t xml:space="preserve">Nestle RS 2026 Proposal </t>
        </is>
      </c>
      <c r="D2587" t="inlineStr">
        <is>
          <t>Patricia Offei</t>
        </is>
      </c>
      <c r="E2587" t="inlineStr">
        <is>
          <t>Patricia Offei</t>
        </is>
      </c>
      <c r="F2587" s="5" t="n">
        <v>46162.62392361111</v>
      </c>
      <c r="H2587" t="inlineStr">
        <is>
          <t>PCGH778 - General Support</t>
        </is>
      </c>
      <c r="I2587" t="n">
        <v>3</v>
      </c>
      <c r="J2587" t="inlineStr">
        <is>
          <t>PCGH778 - Support to Other Workstreams (3) (Proforest Limited(PCUK GBP))</t>
        </is>
      </c>
      <c r="L2587" t="b">
        <v>1</v>
      </c>
      <c r="M2587" t="inlineStr">
        <is>
          <t>Billed at a Fixed price</t>
        </is>
      </c>
      <c r="N2587" s="6">
        <f>IF(B2587="","",IF(ISNUMBER(B2587),TEXT(B2587,"YYYY-MM"),LEFT(B2587,7)))</f>
        <v/>
      </c>
    </row>
    <row r="2588">
      <c r="A2588" t="inlineStr">
        <is>
          <t>Louis Defo</t>
        </is>
      </c>
      <c r="B2588" s="4" t="n">
        <v>46042</v>
      </c>
      <c r="C2588" t="inlineStr">
        <is>
          <t>/</t>
        </is>
      </c>
      <c r="D2588" t="inlineStr">
        <is>
          <t>Louis Defo</t>
        </is>
      </c>
      <c r="E2588" t="inlineStr">
        <is>
          <t>Louis Defo</t>
        </is>
      </c>
      <c r="F2588" s="5" t="n">
        <v>46161.34221064814</v>
      </c>
      <c r="H2588" t="inlineStr">
        <is>
          <t>P23AC00C00 - FGMC</t>
        </is>
      </c>
      <c r="I2588" t="n">
        <v>7.75</v>
      </c>
      <c r="L2588" t="b">
        <v>0</v>
      </c>
      <c r="M2588" t="inlineStr">
        <is>
          <t>Non-Billable</t>
        </is>
      </c>
      <c r="N2588" s="6">
        <f>IF(B2588="","",IF(ISNUMBER(B2588),TEXT(B2588,"YYYY-MM"),LEFT(B2588,7)))</f>
        <v/>
      </c>
    </row>
    <row r="2589">
      <c r="A2589" t="inlineStr">
        <is>
          <t>Frederick Antwi</t>
        </is>
      </c>
      <c r="B2589" s="4" t="n">
        <v>46042</v>
      </c>
      <c r="C2589" t="inlineStr">
        <is>
          <t>/</t>
        </is>
      </c>
      <c r="D2589" t="inlineStr">
        <is>
          <t>Frederick Antwi</t>
        </is>
      </c>
      <c r="E2589" t="inlineStr">
        <is>
          <t>Frederick Antwi</t>
        </is>
      </c>
      <c r="F2589" s="5" t="n">
        <v>46160.54758101852</v>
      </c>
      <c r="H2589" t="inlineStr">
        <is>
          <t>P13NC00A00 - WALMART II</t>
        </is>
      </c>
      <c r="I2589" t="n">
        <v>8</v>
      </c>
      <c r="L2589" t="b">
        <v>0</v>
      </c>
      <c r="M2589" t="inlineStr">
        <is>
          <t>Non-Billable</t>
        </is>
      </c>
      <c r="N2589" s="6">
        <f>IF(B2589="","",IF(ISNUMBER(B2589),TEXT(B2589,"YYYY-MM"),LEFT(B2589,7)))</f>
        <v/>
      </c>
    </row>
    <row r="2590">
      <c r="A2590" t="inlineStr">
        <is>
          <t>James Parker Mckeown</t>
        </is>
      </c>
      <c r="B2590" s="4" t="n">
        <v>46042</v>
      </c>
      <c r="C2590" t="inlineStr">
        <is>
          <t>Catch up with John Nipah on planning week</t>
        </is>
      </c>
      <c r="D2590" t="inlineStr">
        <is>
          <t>James Parker Mckeown</t>
        </is>
      </c>
      <c r="E2590" t="inlineStr">
        <is>
          <t>James Parker Mckeown</t>
        </is>
      </c>
      <c r="F2590" s="5" t="n">
        <v>46156.85493055556</v>
      </c>
      <c r="H2590" t="inlineStr">
        <is>
          <t>Non-Billable Tasks</t>
        </is>
      </c>
      <c r="I2590" t="n">
        <v>1</v>
      </c>
      <c r="K2590" t="inlineStr">
        <is>
          <t>Senior Management Activities</t>
        </is>
      </c>
      <c r="L2590" t="b">
        <v>0</v>
      </c>
      <c r="M2590" t="inlineStr">
        <is>
          <t>Non-Billable</t>
        </is>
      </c>
      <c r="N2590" s="6">
        <f>IF(B2590="","",IF(ISNUMBER(B2590),TEXT(B2590,"YYYY-MM"),LEFT(B2590,7)))</f>
        <v/>
      </c>
    </row>
    <row r="2591">
      <c r="A2591" t="inlineStr">
        <is>
          <t>James Parker Mckeown</t>
        </is>
      </c>
      <c r="B2591" s="4" t="n">
        <v>46042</v>
      </c>
      <c r="C2591" t="inlineStr">
        <is>
          <t>Global Kick-Off Meeting 2026 (Zoom)</t>
        </is>
      </c>
      <c r="D2591" t="inlineStr">
        <is>
          <t>James Parker Mckeown</t>
        </is>
      </c>
      <c r="E2591" t="inlineStr">
        <is>
          <t>James Parker Mckeown</t>
        </is>
      </c>
      <c r="F2591" s="5" t="n">
        <v>46156.85435185185</v>
      </c>
      <c r="H2591" t="inlineStr">
        <is>
          <t>Non-Billable Tasks</t>
        </is>
      </c>
      <c r="I2591" t="n">
        <v>1</v>
      </c>
      <c r="K2591" t="inlineStr">
        <is>
          <t>Staff Meetings (Quartely Staff Meetings, Adhoc meetings, Welfare)</t>
        </is>
      </c>
      <c r="L2591" t="b">
        <v>0</v>
      </c>
      <c r="M2591" t="inlineStr">
        <is>
          <t>Non-Billable</t>
        </is>
      </c>
      <c r="N2591" s="6">
        <f>IF(B2591="","",IF(ISNUMBER(B2591),TEXT(B2591,"YYYY-MM"),LEFT(B2591,7)))</f>
        <v/>
      </c>
    </row>
    <row r="2592">
      <c r="A2592" t="inlineStr">
        <is>
          <t>James Parker Mckeown</t>
        </is>
      </c>
      <c r="B2592" s="4" t="n">
        <v>46042</v>
      </c>
      <c r="C2592" t="inlineStr">
        <is>
          <t xml:space="preserve">Proforest - Virtual Procurement Training by EFI </t>
        </is>
      </c>
      <c r="D2592" t="inlineStr">
        <is>
          <t>James Parker Mckeown</t>
        </is>
      </c>
      <c r="E2592" t="inlineStr">
        <is>
          <t>James Parker Mckeown</t>
        </is>
      </c>
      <c r="F2592" s="5" t="n">
        <v>46156.85377314815</v>
      </c>
      <c r="H2592" t="inlineStr">
        <is>
          <t>Non-Billable Tasks</t>
        </is>
      </c>
      <c r="I2592" t="n">
        <v>1.5</v>
      </c>
      <c r="K2592" t="inlineStr">
        <is>
          <t>Company support for A-A landscape project</t>
        </is>
      </c>
      <c r="L2592" t="b">
        <v>0</v>
      </c>
      <c r="M2592" t="inlineStr">
        <is>
          <t>Non-Billable</t>
        </is>
      </c>
      <c r="N2592" s="6">
        <f>IF(B2592="","",IF(ISNUMBER(B2592),TEXT(B2592,"YYYY-MM"),LEFT(B2592,7)))</f>
        <v/>
      </c>
    </row>
    <row r="2593">
      <c r="A2593" t="inlineStr">
        <is>
          <t>James Parker Mckeown</t>
        </is>
      </c>
      <c r="B2593" s="4" t="n">
        <v>46042</v>
      </c>
      <c r="C2593" t="inlineStr">
        <is>
          <t>James:Lotte catch up</t>
        </is>
      </c>
      <c r="D2593" t="inlineStr">
        <is>
          <t>James Parker Mckeown</t>
        </is>
      </c>
      <c r="E2593" t="inlineStr">
        <is>
          <t>James Parker Mckeown</t>
        </is>
      </c>
      <c r="F2593" s="5" t="n">
        <v>46156.8528125</v>
      </c>
      <c r="H2593" t="inlineStr">
        <is>
          <t>Non-Billable Tasks</t>
        </is>
      </c>
      <c r="I2593" t="n">
        <v>0.5</v>
      </c>
      <c r="K2593" t="inlineStr">
        <is>
          <t>Business Development and Networking</t>
        </is>
      </c>
      <c r="L2593" t="b">
        <v>0</v>
      </c>
      <c r="M2593" t="inlineStr">
        <is>
          <t>Non-Billable</t>
        </is>
      </c>
      <c r="N2593" s="6">
        <f>IF(B2593="","",IF(ISNUMBER(B2593),TEXT(B2593,"YYYY-MM"),LEFT(B2593,7)))</f>
        <v/>
      </c>
    </row>
    <row r="2594">
      <c r="A2594" t="inlineStr">
        <is>
          <t>James Parker Mckeown</t>
        </is>
      </c>
      <c r="B2594" s="4" t="n">
        <v>46042</v>
      </c>
      <c r="C2594" t="inlineStr">
        <is>
          <t>Inception webinar FGMC accountable grants</t>
        </is>
      </c>
      <c r="D2594" t="inlineStr">
        <is>
          <t>James Parker Mckeown</t>
        </is>
      </c>
      <c r="E2594" t="inlineStr">
        <is>
          <t>James Parker Mckeown</t>
        </is>
      </c>
      <c r="F2594" s="5" t="n">
        <v>46156.85138888889</v>
      </c>
      <c r="G2594" t="inlineStr">
        <is>
          <t>Output 4</t>
        </is>
      </c>
      <c r="H2594" t="inlineStr">
        <is>
          <t>P23AC00C00 - FGMC</t>
        </is>
      </c>
      <c r="I2594" t="n">
        <v>2</v>
      </c>
      <c r="K2594" t="inlineStr">
        <is>
          <t>P23AC03A00 - Project Management</t>
        </is>
      </c>
      <c r="L2594" t="b">
        <v>0</v>
      </c>
      <c r="M2594" t="inlineStr">
        <is>
          <t>Non-Billable</t>
        </is>
      </c>
      <c r="N2594" s="6">
        <f>IF(B2594="","",IF(ISNUMBER(B2594),TEXT(B2594,"YYYY-MM"),LEFT(B2594,7)))</f>
        <v/>
      </c>
    </row>
    <row r="2595">
      <c r="A2595" t="inlineStr">
        <is>
          <t>James Parker Mckeown</t>
        </is>
      </c>
      <c r="B2595" s="4" t="n">
        <v>46042</v>
      </c>
      <c r="C2595" t="inlineStr">
        <is>
          <t>Nitrian Q3 Workplan</t>
        </is>
      </c>
      <c r="D2595" t="inlineStr">
        <is>
          <t>James Parker Mckeown</t>
        </is>
      </c>
      <c r="E2595" t="inlineStr">
        <is>
          <t>James Parker Mckeown</t>
        </is>
      </c>
      <c r="F2595" s="5" t="n">
        <v>46156.85034722222</v>
      </c>
      <c r="H2595" t="inlineStr">
        <is>
          <t>PCGH762 - GVL HCSA Restoration Project</t>
        </is>
      </c>
      <c r="I2595" t="n">
        <v>2</v>
      </c>
      <c r="J2595" t="inlineStr">
        <is>
          <t>PCGH762 - Development and Implementation of MEL Framework (Golden Veroleum Liberia)</t>
        </is>
      </c>
      <c r="L2595" t="b">
        <v>1</v>
      </c>
      <c r="M2595" t="inlineStr">
        <is>
          <t>Billed at a Fixed price</t>
        </is>
      </c>
      <c r="N2595" s="6">
        <f>IF(B2595="","",IF(ISNUMBER(B2595),TEXT(B2595,"YYYY-MM"),LEFT(B2595,7)))</f>
        <v/>
      </c>
    </row>
    <row r="2596">
      <c r="A2596" t="inlineStr">
        <is>
          <t>James Parker Mckeown</t>
        </is>
      </c>
      <c r="B2596" s="4" t="n">
        <v>46042</v>
      </c>
      <c r="C2596" t="inlineStr">
        <is>
          <t xml:space="preserve">Poster for FAO conference
</t>
        </is>
      </c>
      <c r="D2596" t="inlineStr">
        <is>
          <t>James Parker Mckeown</t>
        </is>
      </c>
      <c r="E2596" t="inlineStr">
        <is>
          <t>James Parker Mckeown</t>
        </is>
      </c>
      <c r="F2596" s="5" t="n">
        <v>46156.84947916667</v>
      </c>
      <c r="H2596" t="inlineStr">
        <is>
          <t>Non-Billable Tasks</t>
        </is>
      </c>
      <c r="I2596" t="n">
        <v>1</v>
      </c>
      <c r="K2596" t="inlineStr">
        <is>
          <t>Communication/Data/Training</t>
        </is>
      </c>
      <c r="L2596" t="b">
        <v>0</v>
      </c>
      <c r="M2596" t="inlineStr">
        <is>
          <t>Non-Billable</t>
        </is>
      </c>
      <c r="N2596" s="6">
        <f>IF(B2596="","",IF(ISNUMBER(B2596),TEXT(B2596,"YYYY-MM"),LEFT(B2596,7)))</f>
        <v/>
      </c>
    </row>
    <row r="2597">
      <c r="A2597" t="inlineStr">
        <is>
          <t>Stephen Doso</t>
        </is>
      </c>
      <c r="B2597" s="4" t="n">
        <v>46042</v>
      </c>
      <c r="C2597" t="inlineStr">
        <is>
          <t>/</t>
        </is>
      </c>
      <c r="D2597" t="inlineStr">
        <is>
          <t>Stephen Doso</t>
        </is>
      </c>
      <c r="E2597" t="inlineStr">
        <is>
          <t>OdooBot</t>
        </is>
      </c>
      <c r="F2597" s="5" t="n">
        <v>46154.70721064815</v>
      </c>
      <c r="H2597" t="inlineStr">
        <is>
          <t>PCGH769</t>
        </is>
      </c>
      <c r="I2597" t="n">
        <v>7</v>
      </c>
      <c r="J2597" t="inlineStr">
        <is>
          <t>PCGH769 - Desk Study (2) (Biase Plantations Ltd.)</t>
        </is>
      </c>
      <c r="K2597" t="inlineStr">
        <is>
          <t>HCV/HCS - Reporting and review</t>
        </is>
      </c>
      <c r="L2597" t="b">
        <v>1</v>
      </c>
      <c r="M2597" t="inlineStr">
        <is>
          <t>Billed at a Fixed price</t>
        </is>
      </c>
      <c r="N2597" s="6">
        <f>IF(B2597="","",IF(ISNUMBER(B2597),TEXT(B2597,"YYYY-MM"),LEFT(B2597,7)))</f>
        <v/>
      </c>
    </row>
    <row r="2598">
      <c r="A2598" t="inlineStr">
        <is>
          <t>Stephen Doso</t>
        </is>
      </c>
      <c r="B2598" s="4" t="n">
        <v>46042</v>
      </c>
      <c r="C2598" t="inlineStr">
        <is>
          <t>/</t>
        </is>
      </c>
      <c r="D2598" t="inlineStr">
        <is>
          <t>Stephen Doso</t>
        </is>
      </c>
      <c r="E2598" t="inlineStr">
        <is>
          <t>OdooBot</t>
        </is>
      </c>
      <c r="F2598" s="5" t="n">
        <v>46154.70721064815</v>
      </c>
      <c r="H2598" t="inlineStr">
        <is>
          <t>Non-Billable Tasks</t>
        </is>
      </c>
      <c r="I2598" t="n">
        <v>1</v>
      </c>
      <c r="K2598" t="inlineStr">
        <is>
          <t>Staff Meetings (Quartely Staff Meetings, Adhoc meetings, Welfare)</t>
        </is>
      </c>
      <c r="L2598" t="b">
        <v>0</v>
      </c>
      <c r="M2598" t="inlineStr">
        <is>
          <t>Non-Billable</t>
        </is>
      </c>
      <c r="N2598" s="6">
        <f>IF(B2598="","",IF(ISNUMBER(B2598),TEXT(B2598,"YYYY-MM"),LEFT(B2598,7)))</f>
        <v/>
      </c>
    </row>
    <row r="2599">
      <c r="A2599" t="inlineStr">
        <is>
          <t>Stephen Doso</t>
        </is>
      </c>
      <c r="B2599" s="4" t="n">
        <v>46042</v>
      </c>
      <c r="C2599" t="inlineStr">
        <is>
          <t>/</t>
        </is>
      </c>
      <c r="D2599" t="inlineStr">
        <is>
          <t>Stephen Doso</t>
        </is>
      </c>
      <c r="E2599" t="inlineStr">
        <is>
          <t>OdooBot</t>
        </is>
      </c>
      <c r="F2599" s="5" t="n">
        <v>46154.70721064815</v>
      </c>
      <c r="H2599" t="inlineStr">
        <is>
          <t>PCGH762 - GVL HCSA Restoration Project</t>
        </is>
      </c>
      <c r="I2599" t="n">
        <v>4</v>
      </c>
      <c r="J2599" t="inlineStr">
        <is>
          <t>PCGH763 - Desk study (Due diligence) (Jopafram Nigeria Limited)</t>
        </is>
      </c>
      <c r="K2599" t="inlineStr">
        <is>
          <t>Fundraising and proposal development</t>
        </is>
      </c>
      <c r="L2599" t="b">
        <v>1</v>
      </c>
      <c r="M2599" t="inlineStr">
        <is>
          <t>Billed at a Fixed price</t>
        </is>
      </c>
      <c r="N2599" s="6">
        <f>IF(B2599="","",IF(ISNUMBER(B2599),TEXT(B2599,"YYYY-MM"),LEFT(B2599,7)))</f>
        <v/>
      </c>
    </row>
    <row r="2600">
      <c r="A2600" t="inlineStr">
        <is>
          <t>Daleba Bernard Kpenahi Raymond</t>
        </is>
      </c>
      <c r="B2600" s="4" t="n">
        <v>46042</v>
      </c>
      <c r="C2600" t="inlineStr">
        <is>
          <t>/</t>
        </is>
      </c>
      <c r="D2600" t="inlineStr">
        <is>
          <t>Daleba Bernard Kpenahi Raymond</t>
        </is>
      </c>
      <c r="E2600" t="inlineStr">
        <is>
          <t>OdooBot</t>
        </is>
      </c>
      <c r="F2600" s="5" t="n">
        <v>46154.70721064815</v>
      </c>
      <c r="H2600" t="inlineStr">
        <is>
          <t>Non-Billable Tasks</t>
        </is>
      </c>
      <c r="I2600" t="n">
        <v>8</v>
      </c>
      <c r="K2600" t="inlineStr">
        <is>
          <t>Professional development and Knowledge sharing(training,global knowledge calls,exchange weeks)</t>
        </is>
      </c>
      <c r="L2600" t="b">
        <v>0</v>
      </c>
      <c r="M2600" t="inlineStr">
        <is>
          <t>Non-Billable</t>
        </is>
      </c>
      <c r="N2600" s="6">
        <f>IF(B2600="","",IF(ISNUMBER(B2600),TEXT(B2600,"YYYY-MM"),LEFT(B2600,7)))</f>
        <v/>
      </c>
    </row>
    <row r="2601">
      <c r="A2601" t="inlineStr">
        <is>
          <t>Kwadwo Baniako Nti</t>
        </is>
      </c>
      <c r="B2601" s="4" t="n">
        <v>46042</v>
      </c>
      <c r="C2601" t="inlineStr">
        <is>
          <t>/</t>
        </is>
      </c>
      <c r="D2601" t="inlineStr">
        <is>
          <t>Kwadwo Baniako Nti</t>
        </is>
      </c>
      <c r="E2601" t="inlineStr">
        <is>
          <t>OdooBot</t>
        </is>
      </c>
      <c r="F2601" s="5" t="n">
        <v>46154.70721064815</v>
      </c>
      <c r="G2601" t="inlineStr">
        <is>
          <t>Desk Study</t>
        </is>
      </c>
      <c r="H2601" t="inlineStr">
        <is>
          <t>PCGH762 - GVL HCSA Restoration Project</t>
        </is>
      </c>
      <c r="I2601" t="n">
        <v>7</v>
      </c>
      <c r="J2601" t="inlineStr">
        <is>
          <t>PCGH762 - Desk Review, Stakeholder Mapping &amp; Analysis and Engagement (Golden Veroleum Liberia)</t>
        </is>
      </c>
      <c r="K2601" t="inlineStr">
        <is>
          <t>Desk Review, Stakeholder Mapping &amp; Analysis and Engagement</t>
        </is>
      </c>
      <c r="L2601" t="b">
        <v>1</v>
      </c>
      <c r="M2601" t="inlineStr">
        <is>
          <t>Billed at a Fixed price</t>
        </is>
      </c>
      <c r="N2601" s="6">
        <f>IF(B2601="","",IF(ISNUMBER(B2601),TEXT(B2601,"YYYY-MM"),LEFT(B2601,7)))</f>
        <v/>
      </c>
    </row>
    <row r="2602">
      <c r="A2602" t="inlineStr">
        <is>
          <t>Afua Serwah Akoto Prempeh</t>
        </is>
      </c>
      <c r="B2602" s="4" t="n">
        <v>46042</v>
      </c>
      <c r="C2602" t="inlineStr">
        <is>
          <t>/</t>
        </is>
      </c>
      <c r="D2602" t="inlineStr">
        <is>
          <t>Afua Serwah Akoto Prempeh</t>
        </is>
      </c>
      <c r="E2602" t="inlineStr">
        <is>
          <t>OdooBot</t>
        </is>
      </c>
      <c r="F2602" s="5" t="n">
        <v>46154.70721064815</v>
      </c>
      <c r="H2602" t="inlineStr">
        <is>
          <t>Non-Billable Tasks</t>
        </is>
      </c>
      <c r="I2602" t="n">
        <v>8</v>
      </c>
      <c r="K2602" t="inlineStr">
        <is>
          <t>Communication/Data/Training</t>
        </is>
      </c>
      <c r="L2602" t="b">
        <v>0</v>
      </c>
      <c r="M2602" t="inlineStr">
        <is>
          <t>Non-Billable</t>
        </is>
      </c>
      <c r="N2602" s="6">
        <f>IF(B2602="","",IF(ISNUMBER(B2602),TEXT(B2602,"YYYY-MM"),LEFT(B2602,7)))</f>
        <v/>
      </c>
    </row>
    <row r="2603">
      <c r="A2603" t="inlineStr">
        <is>
          <t>Clement Obeng-Manu</t>
        </is>
      </c>
      <c r="B2603" s="4" t="n">
        <v>46042</v>
      </c>
      <c r="C2603" t="inlineStr">
        <is>
          <t>/</t>
        </is>
      </c>
      <c r="D2603" t="inlineStr">
        <is>
          <t>Clement Obeng-Manu</t>
        </is>
      </c>
      <c r="E2603" t="inlineStr">
        <is>
          <t>OdooBot</t>
        </is>
      </c>
      <c r="F2603" s="5" t="n">
        <v>46154.70721064815</v>
      </c>
      <c r="H2603" t="inlineStr">
        <is>
          <t>PCGH769</t>
        </is>
      </c>
      <c r="I2603" t="n">
        <v>8</v>
      </c>
      <c r="J2603" t="inlineStr">
        <is>
          <t>PCGH769 - Desk Study (2) (Biase Plantations Ltd.)</t>
        </is>
      </c>
      <c r="L2603" t="b">
        <v>1</v>
      </c>
      <c r="M2603" t="inlineStr">
        <is>
          <t>Billed at a Fixed price</t>
        </is>
      </c>
      <c r="N2603" s="6">
        <f>IF(B2603="","",IF(ISNUMBER(B2603),TEXT(B2603,"YYYY-MM"),LEFT(B2603,7)))</f>
        <v/>
      </c>
    </row>
    <row r="2604">
      <c r="A2604" t="inlineStr">
        <is>
          <t>Augustus Asamoah</t>
        </is>
      </c>
      <c r="B2604" s="4" t="n">
        <v>46042</v>
      </c>
      <c r="C2604" t="inlineStr">
        <is>
          <t>/</t>
        </is>
      </c>
      <c r="D2604" t="inlineStr">
        <is>
          <t>Augustus Asamoah</t>
        </is>
      </c>
      <c r="E2604" t="inlineStr">
        <is>
          <t>OdooBot</t>
        </is>
      </c>
      <c r="F2604" s="5" t="n">
        <v>46154.70721064815</v>
      </c>
      <c r="G2604" t="inlineStr">
        <is>
          <t>Programme Personnel and Management</t>
        </is>
      </c>
      <c r="H2604" t="inlineStr">
        <is>
          <t>P13NC00A00 - WALMART II</t>
        </is>
      </c>
      <c r="I2604" t="n">
        <v>4</v>
      </c>
      <c r="K2604" t="inlineStr">
        <is>
          <t>Programme Personnel</t>
        </is>
      </c>
      <c r="L2604" t="b">
        <v>0</v>
      </c>
      <c r="M2604" t="inlineStr">
        <is>
          <t>Non-Billable</t>
        </is>
      </c>
      <c r="N2604" s="6">
        <f>IF(B2604="","",IF(ISNUMBER(B2604),TEXT(B2604,"YYYY-MM"),LEFT(B2604,7)))</f>
        <v/>
      </c>
    </row>
    <row r="2605">
      <c r="A2605" t="inlineStr">
        <is>
          <t>Augustus Asamoah</t>
        </is>
      </c>
      <c r="B2605" s="4" t="n">
        <v>46042</v>
      </c>
      <c r="C2605" t="inlineStr">
        <is>
          <t>/</t>
        </is>
      </c>
      <c r="D2605" t="inlineStr">
        <is>
          <t>Augustus Asamoah</t>
        </is>
      </c>
      <c r="E2605" t="inlineStr">
        <is>
          <t>OdooBot</t>
        </is>
      </c>
      <c r="F2605" s="5" t="n">
        <v>46154.70721064815</v>
      </c>
      <c r="H2605" t="inlineStr">
        <is>
          <t>PCGH769</t>
        </is>
      </c>
      <c r="I2605" t="n">
        <v>4</v>
      </c>
      <c r="J2605" t="inlineStr">
        <is>
          <t>PCGH769 - Fauna Survey (Biase Plantations Ltd.)</t>
        </is>
      </c>
      <c r="K2605" t="inlineStr">
        <is>
          <t>HCV/HCS - Fauna Survey</t>
        </is>
      </c>
      <c r="L2605" t="b">
        <v>1</v>
      </c>
      <c r="M2605" t="inlineStr">
        <is>
          <t>Billed at a Fixed price</t>
        </is>
      </c>
      <c r="N2605" s="6">
        <f>IF(B2605="","",IF(ISNUMBER(B2605),TEXT(B2605,"YYYY-MM"),LEFT(B2605,7)))</f>
        <v/>
      </c>
    </row>
    <row r="2606">
      <c r="A2606" t="inlineStr">
        <is>
          <t>Kingsley Fitz-Gerald Severine</t>
        </is>
      </c>
      <c r="B2606" s="4" t="n">
        <v>46042</v>
      </c>
      <c r="C2606" t="inlineStr">
        <is>
          <t>/</t>
        </is>
      </c>
      <c r="D2606" t="inlineStr">
        <is>
          <t>Kingsley Fitz-Gerald Severine</t>
        </is>
      </c>
      <c r="E2606" t="inlineStr">
        <is>
          <t>OdooBot</t>
        </is>
      </c>
      <c r="F2606" s="5" t="n">
        <v>46154.70721064815</v>
      </c>
      <c r="H2606" t="inlineStr">
        <is>
          <t>PCGH769</t>
        </is>
      </c>
      <c r="I2606" t="n">
        <v>8</v>
      </c>
      <c r="J2606" t="inlineStr">
        <is>
          <t>PCGH769 - Flora Survey (Biase Plantations Ltd.)</t>
        </is>
      </c>
      <c r="K2606" t="inlineStr">
        <is>
          <t>HCV/HCS - Flora Survey</t>
        </is>
      </c>
      <c r="L2606" t="b">
        <v>1</v>
      </c>
      <c r="M2606" t="inlineStr">
        <is>
          <t>Billed at a Fixed price</t>
        </is>
      </c>
      <c r="N2606" s="6">
        <f>IF(B2606="","",IF(ISNUMBER(B2606),TEXT(B2606,"YYYY-MM"),LEFT(B2606,7)))</f>
        <v/>
      </c>
    </row>
    <row r="2607">
      <c r="A2607" t="inlineStr">
        <is>
          <t>Kwadwo Baniako Nti</t>
        </is>
      </c>
      <c r="B2607" s="4" t="n">
        <v>46042</v>
      </c>
      <c r="C2607" t="inlineStr">
        <is>
          <t>/</t>
        </is>
      </c>
      <c r="D2607" t="inlineStr">
        <is>
          <t>Kwadwo Baniako Nti</t>
        </is>
      </c>
      <c r="E2607" t="inlineStr">
        <is>
          <t>OdooBot</t>
        </is>
      </c>
      <c r="F2607" s="5" t="n">
        <v>46154.70721064815</v>
      </c>
      <c r="H2607" t="inlineStr">
        <is>
          <t>Non-Billable Tasks</t>
        </is>
      </c>
      <c r="I2607" t="n">
        <v>1</v>
      </c>
      <c r="K2607" t="inlineStr">
        <is>
          <t>Professional development and Knowledge sharing(training,global knowledge calls,exchange weeks)</t>
        </is>
      </c>
      <c r="L2607" t="b">
        <v>0</v>
      </c>
      <c r="M2607" t="inlineStr">
        <is>
          <t>Non-Billable</t>
        </is>
      </c>
      <c r="N2607" s="6">
        <f>IF(B2607="","",IF(ISNUMBER(B2607),TEXT(B2607,"YYYY-MM"),LEFT(B2607,7)))</f>
        <v/>
      </c>
    </row>
    <row r="2608">
      <c r="A2608" t="inlineStr">
        <is>
          <t>Ekow Nyamekye Tawiah</t>
        </is>
      </c>
      <c r="B2608" s="4" t="n">
        <v>46042</v>
      </c>
      <c r="C2608" t="inlineStr">
        <is>
          <t>/</t>
        </is>
      </c>
      <c r="D2608" t="inlineStr">
        <is>
          <t>Ekow Nyamekye Tawiah</t>
        </is>
      </c>
      <c r="E2608" t="inlineStr">
        <is>
          <t>OdooBot</t>
        </is>
      </c>
      <c r="F2608" s="5" t="n">
        <v>46154.70721064815</v>
      </c>
      <c r="H2608" t="inlineStr">
        <is>
          <t>Non-Billable Tasks</t>
        </is>
      </c>
      <c r="I2608" t="n">
        <v>4</v>
      </c>
      <c r="K2608" t="inlineStr">
        <is>
          <t>Staff Meetings (Quartely Staff Meetings, Adhoc meetings, Welfare)</t>
        </is>
      </c>
      <c r="L2608" t="b">
        <v>0</v>
      </c>
      <c r="M2608" t="inlineStr">
        <is>
          <t>Non-Billable</t>
        </is>
      </c>
      <c r="N2608" s="6">
        <f>IF(B2608="","",IF(ISNUMBER(B2608),TEXT(B2608,"YYYY-MM"),LEFT(B2608,7)))</f>
        <v/>
      </c>
    </row>
    <row r="2609">
      <c r="A2609" t="inlineStr">
        <is>
          <t>Helena Tetteh</t>
        </is>
      </c>
      <c r="B2609" s="4" t="n">
        <v>46042</v>
      </c>
      <c r="C2609" t="inlineStr">
        <is>
          <t>/</t>
        </is>
      </c>
      <c r="D2609" t="inlineStr">
        <is>
          <t xml:space="preserve">Helena Tetteh </t>
        </is>
      </c>
      <c r="E2609" t="inlineStr">
        <is>
          <t>OdooBot</t>
        </is>
      </c>
      <c r="F2609" s="5" t="n">
        <v>46154.70721064815</v>
      </c>
      <c r="G2609" t="inlineStr">
        <is>
          <t>Output 3</t>
        </is>
      </c>
      <c r="H2609" t="inlineStr">
        <is>
          <t>P23AC00C00 - FGMC</t>
        </is>
      </c>
      <c r="I2609" t="n">
        <v>7</v>
      </c>
      <c r="K2609" t="inlineStr">
        <is>
          <t>P23AC13A00 - Output one (Demand Side Analysis and Policy Intergration.</t>
        </is>
      </c>
      <c r="L2609" t="b">
        <v>0</v>
      </c>
      <c r="M2609" t="inlineStr">
        <is>
          <t>Non-Billable</t>
        </is>
      </c>
      <c r="N2609" s="6">
        <f>IF(B2609="","",IF(ISNUMBER(B2609),TEXT(B2609,"YYYY-MM"),LEFT(B2609,7)))</f>
        <v/>
      </c>
    </row>
    <row r="2610">
      <c r="A2610" t="inlineStr">
        <is>
          <t>Helena Tetteh</t>
        </is>
      </c>
      <c r="B2610" s="4" t="n">
        <v>46042</v>
      </c>
      <c r="C2610" t="inlineStr">
        <is>
          <t>/</t>
        </is>
      </c>
      <c r="D2610" t="inlineStr">
        <is>
          <t xml:space="preserve">Helena Tetteh </t>
        </is>
      </c>
      <c r="E2610" t="inlineStr">
        <is>
          <t>OdooBot</t>
        </is>
      </c>
      <c r="F2610" s="5" t="n">
        <v>46154.70721064815</v>
      </c>
      <c r="H2610" t="inlineStr">
        <is>
          <t>Non-Billable Tasks</t>
        </is>
      </c>
      <c r="I2610" t="n">
        <v>1</v>
      </c>
      <c r="K2610" t="inlineStr">
        <is>
          <t>Professional development and Knowledge sharing(training,global knowledge calls,exchange weeks)</t>
        </is>
      </c>
      <c r="L2610" t="b">
        <v>0</v>
      </c>
      <c r="M2610" t="inlineStr">
        <is>
          <t>Non-Billable</t>
        </is>
      </c>
      <c r="N2610" s="6">
        <f>IF(B2610="","",IF(ISNUMBER(B2610),TEXT(B2610,"YYYY-MM"),LEFT(B2610,7)))</f>
        <v/>
      </c>
    </row>
    <row r="2611">
      <c r="A2611" t="inlineStr">
        <is>
          <t>Joseph Isaiah Mensah</t>
        </is>
      </c>
      <c r="B2611" s="4" t="n">
        <v>46042</v>
      </c>
      <c r="C2611" t="inlineStr">
        <is>
          <t>/</t>
        </is>
      </c>
      <c r="D2611" t="inlineStr">
        <is>
          <t>Joseph Isaiah Mensah</t>
        </is>
      </c>
      <c r="E2611" t="inlineStr">
        <is>
          <t>OdooBot</t>
        </is>
      </c>
      <c r="F2611" s="5" t="n">
        <v>46154.70721064815</v>
      </c>
      <c r="G2611" t="inlineStr">
        <is>
          <t>Facilitate development of Sugar Action Plan with WG</t>
        </is>
      </c>
      <c r="H2611" t="inlineStr">
        <is>
          <t>PCGH755 (Nestle Nigeria)</t>
        </is>
      </c>
      <c r="I2611" t="n">
        <v>3.833333333333333</v>
      </c>
      <c r="J2611" t="inlineStr">
        <is>
          <t>PCGH755 - Incorporating Sustainability (3) (Proforest Limited(PCUK GBP))</t>
        </is>
      </c>
      <c r="K2611" t="inlineStr">
        <is>
          <t>Facilitate development of Sugar Action Plan with WG</t>
        </is>
      </c>
      <c r="L2611" t="b">
        <v>1</v>
      </c>
      <c r="M2611" t="inlineStr">
        <is>
          <t>Billed at a Fixed price</t>
        </is>
      </c>
      <c r="N2611" s="6">
        <f>IF(B2611="","",IF(ISNUMBER(B2611),TEXT(B2611,"YYYY-MM"),LEFT(B2611,7)))</f>
        <v/>
      </c>
    </row>
    <row r="2612">
      <c r="A2612" t="inlineStr">
        <is>
          <t>Joseph Isaiah Mensah</t>
        </is>
      </c>
      <c r="B2612" s="4" t="n">
        <v>46042</v>
      </c>
      <c r="C2612" t="inlineStr">
        <is>
          <t>Global kick-off Call</t>
        </is>
      </c>
      <c r="D2612" t="inlineStr">
        <is>
          <t>Joseph Isaiah Mensah</t>
        </is>
      </c>
      <c r="E2612" t="inlineStr">
        <is>
          <t>OdooBot</t>
        </is>
      </c>
      <c r="F2612" s="5" t="n">
        <v>46154.70721064815</v>
      </c>
      <c r="H2612" t="inlineStr">
        <is>
          <t>Non-Billable Tasks</t>
        </is>
      </c>
      <c r="I2612" t="n">
        <v>1</v>
      </c>
      <c r="K2612" t="inlineStr">
        <is>
          <t>Professional development and Knowledge sharing(training,global knowledge calls,exchange weeks)</t>
        </is>
      </c>
      <c r="L2612" t="b">
        <v>0</v>
      </c>
      <c r="M2612" t="inlineStr">
        <is>
          <t>Non-Billable</t>
        </is>
      </c>
      <c r="N2612" s="6">
        <f>IF(B2612="","",IF(ISNUMBER(B2612),TEXT(B2612,"YYYY-MM"),LEFT(B2612,7)))</f>
        <v/>
      </c>
    </row>
    <row r="2613">
      <c r="A2613" t="inlineStr">
        <is>
          <t>Joseph Isaiah Mensah</t>
        </is>
      </c>
      <c r="B2613" s="4" t="n">
        <v>46042</v>
      </c>
      <c r="C2613" t="inlineStr">
        <is>
          <t>Proforest - Virtual Procurement Training</t>
        </is>
      </c>
      <c r="D2613" t="inlineStr">
        <is>
          <t>Joseph Isaiah Mensah</t>
        </is>
      </c>
      <c r="E2613" t="inlineStr">
        <is>
          <t>OdooBot</t>
        </is>
      </c>
      <c r="F2613" s="5" t="n">
        <v>46154.70721064815</v>
      </c>
      <c r="G2613" t="inlineStr">
        <is>
          <t>Programme Personnel and Management</t>
        </is>
      </c>
      <c r="H2613" t="inlineStr">
        <is>
          <t>P13QC00A00 - EFI Programme</t>
        </is>
      </c>
      <c r="I2613" t="n">
        <v>1.833333333333333</v>
      </c>
      <c r="K2613" t="inlineStr">
        <is>
          <t>Programme Personnel</t>
        </is>
      </c>
      <c r="L2613" t="b">
        <v>0</v>
      </c>
      <c r="M2613" t="inlineStr">
        <is>
          <t>Non-Billable</t>
        </is>
      </c>
      <c r="N2613" s="6">
        <f>IF(B2613="","",IF(ISNUMBER(B2613),TEXT(B2613,"YYYY-MM"),LEFT(B2613,7)))</f>
        <v/>
      </c>
    </row>
    <row r="2614">
      <c r="A2614" t="inlineStr">
        <is>
          <t>Joseph Isaiah Mensah</t>
        </is>
      </c>
      <c r="B2614" s="4" t="n">
        <v>46042</v>
      </c>
      <c r="C2614" t="inlineStr">
        <is>
          <t>Inception webinar FGMC accountable grants</t>
        </is>
      </c>
      <c r="D2614" t="inlineStr">
        <is>
          <t>Joseph Isaiah Mensah</t>
        </is>
      </c>
      <c r="E2614" t="inlineStr">
        <is>
          <t>OdooBot</t>
        </is>
      </c>
      <c r="F2614" s="5" t="n">
        <v>46154.70721064815</v>
      </c>
      <c r="G2614" t="inlineStr">
        <is>
          <t>Output 4</t>
        </is>
      </c>
      <c r="H2614" t="inlineStr">
        <is>
          <t>P23AC00C00 - FGMC</t>
        </is>
      </c>
      <c r="I2614" t="n">
        <v>2</v>
      </c>
      <c r="K2614" t="inlineStr">
        <is>
          <t>P23AC03A00 - Project Management</t>
        </is>
      </c>
      <c r="L2614" t="b">
        <v>0</v>
      </c>
      <c r="M2614" t="inlineStr">
        <is>
          <t>Non-Billable</t>
        </is>
      </c>
      <c r="N2614" s="6">
        <f>IF(B2614="","",IF(ISNUMBER(B2614),TEXT(B2614,"YYYY-MM"),LEFT(B2614,7)))</f>
        <v/>
      </c>
    </row>
    <row r="2615">
      <c r="A2615" t="inlineStr">
        <is>
          <t>Louis Defo</t>
        </is>
      </c>
      <c r="B2615" s="4" t="n">
        <v>46042</v>
      </c>
      <c r="C2615" t="inlineStr">
        <is>
          <t>/</t>
        </is>
      </c>
      <c r="D2615" t="inlineStr">
        <is>
          <t>Louis Defo</t>
        </is>
      </c>
      <c r="E2615" t="inlineStr">
        <is>
          <t>OdooBot</t>
        </is>
      </c>
      <c r="F2615" s="5" t="n">
        <v>46154.70721064815</v>
      </c>
      <c r="H2615" t="inlineStr">
        <is>
          <t>Internal</t>
        </is>
      </c>
      <c r="I2615" t="n">
        <v>0.25</v>
      </c>
      <c r="L2615" t="b">
        <v>0</v>
      </c>
      <c r="M2615" t="inlineStr">
        <is>
          <t>Non-Billable</t>
        </is>
      </c>
      <c r="N2615" s="6">
        <f>IF(B2615="","",IF(ISNUMBER(B2615),TEXT(B2615,"YYYY-MM"),LEFT(B2615,7)))</f>
        <v/>
      </c>
    </row>
    <row r="2616">
      <c r="A2616" t="inlineStr">
        <is>
          <t>Patricia Offei</t>
        </is>
      </c>
      <c r="B2616" s="4" t="n">
        <v>46041</v>
      </c>
      <c r="C2616" t="inlineStr">
        <is>
          <t>Zimbabwe HRRA Summary</t>
        </is>
      </c>
      <c r="D2616" t="inlineStr">
        <is>
          <t>Patricia Offei</t>
        </is>
      </c>
      <c r="E2616" t="inlineStr">
        <is>
          <t>Patricia Offei</t>
        </is>
      </c>
      <c r="F2616" s="5" t="n">
        <v>46162.62430555555</v>
      </c>
      <c r="H2616" t="inlineStr">
        <is>
          <t>PCGH778 - General Support</t>
        </is>
      </c>
      <c r="I2616" t="n">
        <v>5</v>
      </c>
      <c r="J2616" t="inlineStr">
        <is>
          <t>PCGH778 - Support to Other Workstreams (3) (Proforest Limited(PCUK GBP))</t>
        </is>
      </c>
      <c r="L2616" t="b">
        <v>1</v>
      </c>
      <c r="M2616" t="inlineStr">
        <is>
          <t>Billed at a Fixed price</t>
        </is>
      </c>
      <c r="N2616" s="6">
        <f>IF(B2616="","",IF(ISNUMBER(B2616),TEXT(B2616,"YYYY-MM"),LEFT(B2616,7)))</f>
        <v/>
      </c>
    </row>
    <row r="2617">
      <c r="A2617" t="inlineStr">
        <is>
          <t>Patricia Offei</t>
        </is>
      </c>
      <c r="B2617" s="4" t="n">
        <v>46041</v>
      </c>
      <c r="C2617" t="inlineStr">
        <is>
          <t>/</t>
        </is>
      </c>
      <c r="D2617" t="inlineStr">
        <is>
          <t>Patricia Offei</t>
        </is>
      </c>
      <c r="E2617" t="inlineStr">
        <is>
          <t>Patricia Offei</t>
        </is>
      </c>
      <c r="F2617" s="5" t="n">
        <v>46162.62123842593</v>
      </c>
      <c r="H2617" t="inlineStr">
        <is>
          <t>PCGH779 - Cote d'Ivoire）</t>
        </is>
      </c>
      <c r="I2617" t="n">
        <v>0</v>
      </c>
      <c r="J2617" t="inlineStr">
        <is>
          <t>PCGH779 - Tree Planting Project (3) (Proforest Limited(PCUK GBP))</t>
        </is>
      </c>
      <c r="L2617" t="b">
        <v>1</v>
      </c>
      <c r="M2617" t="inlineStr">
        <is>
          <t>Billed at a Fixed price</t>
        </is>
      </c>
      <c r="N2617" s="6">
        <f>IF(B2617="","",IF(ISNUMBER(B2617),TEXT(B2617,"YYYY-MM"),LEFT(B2617,7)))</f>
        <v/>
      </c>
    </row>
    <row r="2618">
      <c r="A2618" t="inlineStr">
        <is>
          <t>Louis Defo</t>
        </is>
      </c>
      <c r="B2618" s="4" t="n">
        <v>46041</v>
      </c>
      <c r="C2618" t="inlineStr">
        <is>
          <t>/</t>
        </is>
      </c>
      <c r="D2618" t="inlineStr">
        <is>
          <t>Louis Defo</t>
        </is>
      </c>
      <c r="E2618" t="inlineStr">
        <is>
          <t>Louis Defo</t>
        </is>
      </c>
      <c r="F2618" s="5" t="n">
        <v>46161.34148148148</v>
      </c>
      <c r="H2618" t="inlineStr">
        <is>
          <t>P23AC00C00 - FGMC</t>
        </is>
      </c>
      <c r="I2618" t="n">
        <v>8</v>
      </c>
      <c r="L2618" t="b">
        <v>0</v>
      </c>
      <c r="M2618" t="inlineStr">
        <is>
          <t>Non-Billable</t>
        </is>
      </c>
      <c r="N2618" s="6">
        <f>IF(B2618="","",IF(ISNUMBER(B2618),TEXT(B2618,"YYYY-MM"),LEFT(B2618,7)))</f>
        <v/>
      </c>
    </row>
    <row r="2619">
      <c r="A2619" t="inlineStr">
        <is>
          <t>Frederick Antwi</t>
        </is>
      </c>
      <c r="B2619" s="4" t="n">
        <v>46041</v>
      </c>
      <c r="C2619" t="inlineStr">
        <is>
          <t>Annual Planing meetings</t>
        </is>
      </c>
      <c r="D2619" t="inlineStr">
        <is>
          <t>Frederick Antwi</t>
        </is>
      </c>
      <c r="E2619" t="inlineStr">
        <is>
          <t>Frederick Antwi</t>
        </is>
      </c>
      <c r="F2619" s="5" t="n">
        <v>46160.54883101852</v>
      </c>
      <c r="H2619" t="inlineStr">
        <is>
          <t>Non-Billable Tasks</t>
        </is>
      </c>
      <c r="I2619" t="n">
        <v>0</v>
      </c>
      <c r="L2619" t="b">
        <v>0</v>
      </c>
      <c r="M2619" t="inlineStr">
        <is>
          <t>Non-Billable</t>
        </is>
      </c>
      <c r="N2619" s="6">
        <f>IF(B2619="","",IF(ISNUMBER(B2619),TEXT(B2619,"YYYY-MM"),LEFT(B2619,7)))</f>
        <v/>
      </c>
    </row>
    <row r="2620">
      <c r="A2620" t="inlineStr">
        <is>
          <t>Frederick Antwi</t>
        </is>
      </c>
      <c r="B2620" s="4" t="n">
        <v>46041</v>
      </c>
      <c r="C2620" t="inlineStr">
        <is>
          <t>/</t>
        </is>
      </c>
      <c r="D2620" t="inlineStr">
        <is>
          <t>Frederick Antwi</t>
        </is>
      </c>
      <c r="E2620" t="inlineStr">
        <is>
          <t>Frederick Antwi</t>
        </is>
      </c>
      <c r="F2620" s="5" t="n">
        <v>46160.54612268518</v>
      </c>
      <c r="H2620" t="inlineStr">
        <is>
          <t>PCGH768</t>
        </is>
      </c>
      <c r="I2620" t="n">
        <v>5</v>
      </c>
      <c r="L2620" t="b">
        <v>1</v>
      </c>
      <c r="M2620" t="inlineStr">
        <is>
          <t>Non-Billable</t>
        </is>
      </c>
      <c r="N2620" s="6">
        <f>IF(B2620="","",IF(ISNUMBER(B2620),TEXT(B2620,"YYYY-MM"),LEFT(B2620,7)))</f>
        <v/>
      </c>
    </row>
    <row r="2621">
      <c r="A2621" t="inlineStr">
        <is>
          <t>Frederick Antwi</t>
        </is>
      </c>
      <c r="B2621" s="4" t="n">
        <v>46041</v>
      </c>
      <c r="C2621" t="inlineStr">
        <is>
          <t>/</t>
        </is>
      </c>
      <c r="D2621" t="inlineStr">
        <is>
          <t>Frederick Antwi</t>
        </is>
      </c>
      <c r="E2621" t="inlineStr">
        <is>
          <t>Frederick Antwi</t>
        </is>
      </c>
      <c r="F2621" s="5" t="n">
        <v>46160.54614583333</v>
      </c>
      <c r="H2621" t="inlineStr">
        <is>
          <t>P13NC00A00 - WALMART II</t>
        </is>
      </c>
      <c r="I2621" t="n">
        <v>3</v>
      </c>
      <c r="L2621" t="b">
        <v>0</v>
      </c>
      <c r="M2621" t="inlineStr">
        <is>
          <t>Non-Billable</t>
        </is>
      </c>
      <c r="N2621" s="6">
        <f>IF(B2621="","",IF(ISNUMBER(B2621),TEXT(B2621,"YYYY-MM"),LEFT(B2621,7)))</f>
        <v/>
      </c>
    </row>
    <row r="2622">
      <c r="A2622" t="inlineStr">
        <is>
          <t>James Parker Mckeown</t>
        </is>
      </c>
      <c r="B2622" s="4" t="n">
        <v>46041</v>
      </c>
      <c r="C2622" t="inlineStr">
        <is>
          <t>BRIDGE Cameroon discussion with Louis &amp; Laura</t>
        </is>
      </c>
      <c r="D2622" t="inlineStr">
        <is>
          <t>James Parker Mckeown</t>
        </is>
      </c>
      <c r="E2622" t="inlineStr">
        <is>
          <t>James Parker Mckeown</t>
        </is>
      </c>
      <c r="F2622" s="5" t="n">
        <v>46156.84890046297</v>
      </c>
      <c r="G2622" t="inlineStr">
        <is>
          <t>Output 2.3</t>
        </is>
      </c>
      <c r="H2622" t="inlineStr">
        <is>
          <t>P23AC00C00 - FGMC</t>
        </is>
      </c>
      <c r="I2622" t="n">
        <v>1</v>
      </c>
      <c r="K2622" t="inlineStr">
        <is>
          <t>P23AC22A00 - Output Two (Elevating Local Solutions - West Africa)</t>
        </is>
      </c>
      <c r="L2622" t="b">
        <v>0</v>
      </c>
      <c r="M2622" t="inlineStr">
        <is>
          <t>Non-Billable</t>
        </is>
      </c>
      <c r="N2622" s="6">
        <f>IF(B2622="","",IF(ISNUMBER(B2622),TEXT(B2622,"YYYY-MM"),LEFT(B2622,7)))</f>
        <v/>
      </c>
    </row>
    <row r="2623">
      <c r="A2623" t="inlineStr">
        <is>
          <t>James Parker Mckeown</t>
        </is>
      </c>
      <c r="B2623" s="4" t="n">
        <v>46041</v>
      </c>
      <c r="C2623" t="inlineStr">
        <is>
          <t xml:space="preserve">Mapping Liberia Local Initiative </t>
        </is>
      </c>
      <c r="D2623" t="inlineStr">
        <is>
          <t>James Parker Mckeown</t>
        </is>
      </c>
      <c r="E2623" t="inlineStr">
        <is>
          <t>James Parker Mckeown</t>
        </is>
      </c>
      <c r="F2623" s="5" t="n">
        <v>46156.84796296297</v>
      </c>
      <c r="G2623" t="inlineStr">
        <is>
          <t>Output 2.3</t>
        </is>
      </c>
      <c r="H2623" t="inlineStr">
        <is>
          <t>P23AC00C00 - FGMC</t>
        </is>
      </c>
      <c r="I2623" t="n">
        <v>5</v>
      </c>
      <c r="K2623" t="inlineStr">
        <is>
          <t>P23AC22A00 - Output Two (Elevating Local Solutions - West Africa)</t>
        </is>
      </c>
      <c r="L2623" t="b">
        <v>0</v>
      </c>
      <c r="M2623" t="inlineStr">
        <is>
          <t>Non-Billable</t>
        </is>
      </c>
      <c r="N2623" s="6">
        <f>IF(B2623="","",IF(ISNUMBER(B2623),TEXT(B2623,"YYYY-MM"),LEFT(B2623,7)))</f>
        <v/>
      </c>
    </row>
    <row r="2624">
      <c r="A2624" t="inlineStr">
        <is>
          <t>James Parker Mckeown</t>
        </is>
      </c>
      <c r="B2624" s="4" t="n">
        <v>46041</v>
      </c>
      <c r="C2624" t="inlineStr">
        <is>
          <t>Technical Input_ Global Comms Strategy</t>
        </is>
      </c>
      <c r="D2624" t="inlineStr">
        <is>
          <t>James Parker Mckeown</t>
        </is>
      </c>
      <c r="E2624" t="inlineStr">
        <is>
          <t>James Parker Mckeown</t>
        </is>
      </c>
      <c r="F2624" s="5" t="n">
        <v>46156.84662037037</v>
      </c>
      <c r="H2624" t="inlineStr">
        <is>
          <t>Non-Billable Tasks</t>
        </is>
      </c>
      <c r="I2624" t="n">
        <v>1</v>
      </c>
      <c r="K2624" t="inlineStr">
        <is>
          <t>Communication/Data/Training</t>
        </is>
      </c>
      <c r="L2624" t="b">
        <v>0</v>
      </c>
      <c r="M2624" t="inlineStr">
        <is>
          <t>Non-Billable</t>
        </is>
      </c>
      <c r="N2624" s="6">
        <f>IF(B2624="","",IF(ISNUMBER(B2624),TEXT(B2624,"YYYY-MM"),LEFT(B2624,7)))</f>
        <v/>
      </c>
    </row>
    <row r="2625">
      <c r="A2625" t="inlineStr">
        <is>
          <t>James Parker Mckeown</t>
        </is>
      </c>
      <c r="B2625" s="4" t="n">
        <v>46041</v>
      </c>
      <c r="C2625" t="inlineStr">
        <is>
          <t>Review and discussion of 2026 A-A Landscape Project Workplans</t>
        </is>
      </c>
      <c r="D2625" t="inlineStr">
        <is>
          <t>James Parker Mckeown</t>
        </is>
      </c>
      <c r="E2625" t="inlineStr">
        <is>
          <t>James Parker Mckeown</t>
        </is>
      </c>
      <c r="F2625" s="5" t="n">
        <v>46156.84591435185</v>
      </c>
      <c r="H2625" t="inlineStr">
        <is>
          <t>Non-Billable Tasks</t>
        </is>
      </c>
      <c r="I2625" t="n">
        <v>2</v>
      </c>
      <c r="K2625" t="inlineStr">
        <is>
          <t>Company support for A-A landscape project</t>
        </is>
      </c>
      <c r="L2625" t="b">
        <v>0</v>
      </c>
      <c r="M2625" t="inlineStr">
        <is>
          <t>Non-Billable</t>
        </is>
      </c>
      <c r="N2625" s="6">
        <f>IF(B2625="","",IF(ISNUMBER(B2625),TEXT(B2625,"YYYY-MM"),LEFT(B2625,7)))</f>
        <v/>
      </c>
    </row>
    <row r="2626">
      <c r="A2626" t="inlineStr">
        <is>
          <t>Stephen Doso</t>
        </is>
      </c>
      <c r="B2626" s="4" t="n">
        <v>46041</v>
      </c>
      <c r="C2626" t="inlineStr">
        <is>
          <t>/</t>
        </is>
      </c>
      <c r="D2626" t="inlineStr">
        <is>
          <t>Stephen Doso</t>
        </is>
      </c>
      <c r="E2626" t="inlineStr">
        <is>
          <t>OdooBot</t>
        </is>
      </c>
      <c r="F2626" s="5" t="n">
        <v>46154.70721064815</v>
      </c>
      <c r="H2626" t="inlineStr">
        <is>
          <t>PCGH769</t>
        </is>
      </c>
      <c r="I2626" t="n">
        <v>8</v>
      </c>
      <c r="J2626" t="inlineStr">
        <is>
          <t>PCGH769 - Desk Study (2) (Biase Plantations Ltd.)</t>
        </is>
      </c>
      <c r="K2626" t="inlineStr">
        <is>
          <t>HCV/HCS - Reporting and review</t>
        </is>
      </c>
      <c r="L2626" t="b">
        <v>1</v>
      </c>
      <c r="M2626" t="inlineStr">
        <is>
          <t>Billed at a Fixed price</t>
        </is>
      </c>
      <c r="N2626" s="6">
        <f>IF(B2626="","",IF(ISNUMBER(B2626),TEXT(B2626,"YYYY-MM"),LEFT(B2626,7)))</f>
        <v/>
      </c>
    </row>
    <row r="2627">
      <c r="A2627" t="inlineStr">
        <is>
          <t>Daleba Bernard Kpenahi Raymond</t>
        </is>
      </c>
      <c r="B2627" s="4" t="n">
        <v>46041</v>
      </c>
      <c r="C2627" t="inlineStr">
        <is>
          <t xml:space="preserve">Annual planning meeting </t>
        </is>
      </c>
      <c r="D2627" t="inlineStr">
        <is>
          <t>Daleba Bernard Kpenahi Raymond</t>
        </is>
      </c>
      <c r="E2627" t="inlineStr">
        <is>
          <t>OdooBot</t>
        </is>
      </c>
      <c r="F2627" s="5" t="n">
        <v>46154.70721064815</v>
      </c>
      <c r="H2627" t="inlineStr">
        <is>
          <t>Non-Billable Tasks</t>
        </is>
      </c>
      <c r="I2627" t="n">
        <v>8</v>
      </c>
      <c r="K2627" t="inlineStr">
        <is>
          <t>Professional development and Knowledge sharing(training,global knowledge calls,exchange weeks)</t>
        </is>
      </c>
      <c r="L2627" t="b">
        <v>0</v>
      </c>
      <c r="M2627" t="inlineStr">
        <is>
          <t>Non-Billable</t>
        </is>
      </c>
      <c r="N2627" s="6">
        <f>IF(B2627="","",IF(ISNUMBER(B2627),TEXT(B2627,"YYYY-MM"),LEFT(B2627,7)))</f>
        <v/>
      </c>
    </row>
    <row r="2628">
      <c r="A2628" t="inlineStr">
        <is>
          <t>Afua Serwah Akoto Prempeh</t>
        </is>
      </c>
      <c r="B2628" s="4" t="n">
        <v>46041</v>
      </c>
      <c r="C2628" t="inlineStr">
        <is>
          <t>/</t>
        </is>
      </c>
      <c r="D2628" t="inlineStr">
        <is>
          <t>Afua Serwah Akoto Prempeh</t>
        </is>
      </c>
      <c r="E2628" t="inlineStr">
        <is>
          <t>OdooBot</t>
        </is>
      </c>
      <c r="F2628" s="5" t="n">
        <v>46154.70721064815</v>
      </c>
      <c r="H2628" t="inlineStr">
        <is>
          <t>Non-Billable Tasks</t>
        </is>
      </c>
      <c r="I2628" t="n">
        <v>2</v>
      </c>
      <c r="L2628" t="b">
        <v>0</v>
      </c>
      <c r="M2628" t="inlineStr">
        <is>
          <t>Non-Billable</t>
        </is>
      </c>
      <c r="N2628" s="6">
        <f>IF(B2628="","",IF(ISNUMBER(B2628),TEXT(B2628,"YYYY-MM"),LEFT(B2628,7)))</f>
        <v/>
      </c>
    </row>
    <row r="2629">
      <c r="A2629" t="inlineStr">
        <is>
          <t>Afua Serwah Akoto Prempeh</t>
        </is>
      </c>
      <c r="B2629" s="4" t="n">
        <v>46041</v>
      </c>
      <c r="C2629" t="inlineStr">
        <is>
          <t>/</t>
        </is>
      </c>
      <c r="D2629" t="inlineStr">
        <is>
          <t>Afua Serwah Akoto Prempeh</t>
        </is>
      </c>
      <c r="E2629" t="inlineStr">
        <is>
          <t>OdooBot</t>
        </is>
      </c>
      <c r="F2629" s="5" t="n">
        <v>46154.70721064815</v>
      </c>
      <c r="H2629" t="inlineStr">
        <is>
          <t>P23AC00C00 - FGMC</t>
        </is>
      </c>
      <c r="I2629" t="n">
        <v>3</v>
      </c>
      <c r="L2629" t="b">
        <v>0</v>
      </c>
      <c r="M2629" t="inlineStr">
        <is>
          <t>Non-Billable</t>
        </is>
      </c>
      <c r="N2629" s="6">
        <f>IF(B2629="","",IF(ISNUMBER(B2629),TEXT(B2629,"YYYY-MM"),LEFT(B2629,7)))</f>
        <v/>
      </c>
    </row>
    <row r="2630">
      <c r="A2630" t="inlineStr">
        <is>
          <t>Afua Serwah Akoto Prempeh</t>
        </is>
      </c>
      <c r="B2630" s="4" t="n">
        <v>46041</v>
      </c>
      <c r="C2630" t="inlineStr">
        <is>
          <t>/</t>
        </is>
      </c>
      <c r="D2630" t="inlineStr">
        <is>
          <t>Afua Serwah Akoto Prempeh</t>
        </is>
      </c>
      <c r="E2630" t="inlineStr">
        <is>
          <t>OdooBot</t>
        </is>
      </c>
      <c r="F2630" s="5" t="n">
        <v>46154.70721064815</v>
      </c>
      <c r="H2630" t="inlineStr">
        <is>
          <t>Non-Billable Tasks</t>
        </is>
      </c>
      <c r="I2630" t="n">
        <v>3</v>
      </c>
      <c r="K2630" t="inlineStr">
        <is>
          <t>Communication/Data/Training</t>
        </is>
      </c>
      <c r="L2630" t="b">
        <v>0</v>
      </c>
      <c r="M2630" t="inlineStr">
        <is>
          <t>Non-Billable</t>
        </is>
      </c>
      <c r="N2630" s="6">
        <f>IF(B2630="","",IF(ISNUMBER(B2630),TEXT(B2630,"YYYY-MM"),LEFT(B2630,7)))</f>
        <v/>
      </c>
    </row>
    <row r="2631">
      <c r="A2631" t="inlineStr">
        <is>
          <t>Clement Obeng-Manu</t>
        </is>
      </c>
      <c r="B2631" s="4" t="n">
        <v>46041</v>
      </c>
      <c r="C2631" t="inlineStr">
        <is>
          <t>/</t>
        </is>
      </c>
      <c r="D2631" t="inlineStr">
        <is>
          <t>Clement Obeng-Manu</t>
        </is>
      </c>
      <c r="E2631" t="inlineStr">
        <is>
          <t>OdooBot</t>
        </is>
      </c>
      <c r="F2631" s="5" t="n">
        <v>46154.70721064815</v>
      </c>
      <c r="H2631" t="inlineStr">
        <is>
          <t>PCGH769</t>
        </is>
      </c>
      <c r="I2631" t="n">
        <v>8</v>
      </c>
      <c r="J2631" t="inlineStr">
        <is>
          <t>PCGH769 - Desk Study (2) (Biase Plantations Ltd.)</t>
        </is>
      </c>
      <c r="L2631" t="b">
        <v>1</v>
      </c>
      <c r="M2631" t="inlineStr">
        <is>
          <t>Billed at a Fixed price</t>
        </is>
      </c>
      <c r="N2631" s="6">
        <f>IF(B2631="","",IF(ISNUMBER(B2631),TEXT(B2631,"YYYY-MM"),LEFT(B2631,7)))</f>
        <v/>
      </c>
    </row>
    <row r="2632">
      <c r="A2632" t="inlineStr">
        <is>
          <t>Augustus Asamoah</t>
        </is>
      </c>
      <c r="B2632" s="4" t="n">
        <v>46041</v>
      </c>
      <c r="C2632" t="inlineStr">
        <is>
          <t>Annual Planning Meeting</t>
        </is>
      </c>
      <c r="D2632" t="inlineStr">
        <is>
          <t>Augustus Asamoah</t>
        </is>
      </c>
      <c r="E2632" t="inlineStr">
        <is>
          <t>OdooBot</t>
        </is>
      </c>
      <c r="F2632" s="5" t="n">
        <v>46154.70721064815</v>
      </c>
      <c r="H2632" t="inlineStr">
        <is>
          <t>Non-Billable Tasks</t>
        </is>
      </c>
      <c r="I2632" t="n">
        <v>0</v>
      </c>
      <c r="K2632" t="inlineStr">
        <is>
          <t>Staff Meetings (Quartely Staff Meetings, Adhoc meetings, Welfare)</t>
        </is>
      </c>
      <c r="L2632" t="b">
        <v>0</v>
      </c>
      <c r="M2632" t="inlineStr">
        <is>
          <t>Non-Billable</t>
        </is>
      </c>
      <c r="N2632" s="6">
        <f>IF(B2632="","",IF(ISNUMBER(B2632),TEXT(B2632,"YYYY-MM"),LEFT(B2632,7)))</f>
        <v/>
      </c>
    </row>
    <row r="2633">
      <c r="A2633" t="inlineStr">
        <is>
          <t>Augustus Asamoah</t>
        </is>
      </c>
      <c r="B2633" s="4" t="n">
        <v>46041</v>
      </c>
      <c r="C2633" t="inlineStr">
        <is>
          <t>Fauna Report Review</t>
        </is>
      </c>
      <c r="D2633" t="inlineStr">
        <is>
          <t>Augustus Asamoah</t>
        </is>
      </c>
      <c r="E2633" t="inlineStr">
        <is>
          <t>OdooBot</t>
        </is>
      </c>
      <c r="F2633" s="5" t="n">
        <v>46154.70721064815</v>
      </c>
      <c r="H2633" t="inlineStr">
        <is>
          <t>PCGH769</t>
        </is>
      </c>
      <c r="I2633" t="n">
        <v>0</v>
      </c>
      <c r="J2633" t="inlineStr">
        <is>
          <t>PCGH769 - Fauna Survey (Biase Plantations Ltd.)</t>
        </is>
      </c>
      <c r="K2633" t="inlineStr">
        <is>
          <t>HCV/HCS - Fauna Survey</t>
        </is>
      </c>
      <c r="L2633" t="b">
        <v>1</v>
      </c>
      <c r="M2633" t="inlineStr">
        <is>
          <t>Billed at a Fixed price</t>
        </is>
      </c>
      <c r="N2633" s="6">
        <f>IF(B2633="","",IF(ISNUMBER(B2633),TEXT(B2633,"YYYY-MM"),LEFT(B2633,7)))</f>
        <v/>
      </c>
    </row>
    <row r="2634">
      <c r="A2634" t="inlineStr">
        <is>
          <t>Augustus Asamoah</t>
        </is>
      </c>
      <c r="B2634" s="4" t="n">
        <v>46041</v>
      </c>
      <c r="C2634" t="inlineStr">
        <is>
          <t>Company Support</t>
        </is>
      </c>
      <c r="D2634" t="inlineStr">
        <is>
          <t>Augustus Asamoah</t>
        </is>
      </c>
      <c r="E2634" t="inlineStr">
        <is>
          <t>OdooBot</t>
        </is>
      </c>
      <c r="F2634" s="5" t="n">
        <v>46154.70721064815</v>
      </c>
      <c r="G2634" t="inlineStr">
        <is>
          <t>Programme Personnel and Management</t>
        </is>
      </c>
      <c r="H2634" t="inlineStr">
        <is>
          <t>P13NC00A00 - WALMART II</t>
        </is>
      </c>
      <c r="I2634" t="n">
        <v>1</v>
      </c>
      <c r="K2634" t="inlineStr">
        <is>
          <t>Programme Personnel</t>
        </is>
      </c>
      <c r="L2634" t="b">
        <v>0</v>
      </c>
      <c r="M2634" t="inlineStr">
        <is>
          <t>Non-Billable</t>
        </is>
      </c>
      <c r="N2634" s="6">
        <f>IF(B2634="","",IF(ISNUMBER(B2634),TEXT(B2634,"YYYY-MM"),LEFT(B2634,7)))</f>
        <v/>
      </c>
    </row>
    <row r="2635">
      <c r="A2635" t="inlineStr">
        <is>
          <t>Augustus Asamoah</t>
        </is>
      </c>
      <c r="B2635" s="4" t="n">
        <v>46041</v>
      </c>
      <c r="C2635" t="inlineStr">
        <is>
          <t>/</t>
        </is>
      </c>
      <c r="D2635" t="inlineStr">
        <is>
          <t>Augustus Asamoah</t>
        </is>
      </c>
      <c r="E2635" t="inlineStr">
        <is>
          <t>OdooBot</t>
        </is>
      </c>
      <c r="F2635" s="5" t="n">
        <v>46154.70721064815</v>
      </c>
      <c r="H2635" t="inlineStr">
        <is>
          <t>Non-Billable Tasks</t>
        </is>
      </c>
      <c r="I2635" t="n">
        <v>0</v>
      </c>
      <c r="L2635" t="b">
        <v>0</v>
      </c>
      <c r="M2635" t="inlineStr">
        <is>
          <t>Non-Billable</t>
        </is>
      </c>
      <c r="N2635" s="6">
        <f>IF(B2635="","",IF(ISNUMBER(B2635),TEXT(B2635,"YYYY-MM"),LEFT(B2635,7)))</f>
        <v/>
      </c>
    </row>
    <row r="2636">
      <c r="A2636" t="inlineStr">
        <is>
          <t>Augustus Asamoah</t>
        </is>
      </c>
      <c r="B2636" s="4" t="n">
        <v>46041</v>
      </c>
      <c r="C2636" t="inlineStr">
        <is>
          <t>Annual Work and engagement with Union</t>
        </is>
      </c>
      <c r="D2636" t="inlineStr">
        <is>
          <t>Augustus Asamoah</t>
        </is>
      </c>
      <c r="E2636" t="inlineStr">
        <is>
          <t>OdooBot</t>
        </is>
      </c>
      <c r="F2636" s="5" t="n">
        <v>46154.70721064815</v>
      </c>
      <c r="H2636" t="inlineStr">
        <is>
          <t>P13QC00A00 - EFI Programme</t>
        </is>
      </c>
      <c r="I2636" t="n">
        <v>3</v>
      </c>
      <c r="L2636" t="b">
        <v>0</v>
      </c>
      <c r="M2636" t="inlineStr">
        <is>
          <t>Non-Billable</t>
        </is>
      </c>
      <c r="N2636" s="6">
        <f>IF(B2636="","",IF(ISNUMBER(B2636),TEXT(B2636,"YYYY-MM"),LEFT(B2636,7)))</f>
        <v/>
      </c>
    </row>
    <row r="2637">
      <c r="A2637" t="inlineStr">
        <is>
          <t>Augustus Asamoah</t>
        </is>
      </c>
      <c r="B2637" s="4" t="n">
        <v>46041</v>
      </c>
      <c r="C2637" t="inlineStr">
        <is>
          <t xml:space="preserve">Annual Work planning </t>
        </is>
      </c>
      <c r="D2637" t="inlineStr">
        <is>
          <t>Augustus Asamoah</t>
        </is>
      </c>
      <c r="E2637" t="inlineStr">
        <is>
          <t>OdooBot</t>
        </is>
      </c>
      <c r="F2637" s="5" t="n">
        <v>46154.70721064815</v>
      </c>
      <c r="G2637" t="inlineStr">
        <is>
          <t>Programme Personnel and Management</t>
        </is>
      </c>
      <c r="H2637" t="inlineStr">
        <is>
          <t>P13NC00A00 - WALMART II</t>
        </is>
      </c>
      <c r="I2637" t="n">
        <v>4</v>
      </c>
      <c r="K2637" t="inlineStr">
        <is>
          <t>Programme Personnel</t>
        </is>
      </c>
      <c r="L2637" t="b">
        <v>0</v>
      </c>
      <c r="M2637" t="inlineStr">
        <is>
          <t>Non-Billable</t>
        </is>
      </c>
      <c r="N2637" s="6">
        <f>IF(B2637="","",IF(ISNUMBER(B2637),TEXT(B2637,"YYYY-MM"),LEFT(B2637,7)))</f>
        <v/>
      </c>
    </row>
    <row r="2638">
      <c r="A2638" t="inlineStr">
        <is>
          <t>Kingsley Fitz-Gerald Severine</t>
        </is>
      </c>
      <c r="B2638" s="4" t="n">
        <v>46041</v>
      </c>
      <c r="C2638" t="inlineStr">
        <is>
          <t>/</t>
        </is>
      </c>
      <c r="D2638" t="inlineStr">
        <is>
          <t>Kingsley Fitz-Gerald Severine</t>
        </is>
      </c>
      <c r="E2638" t="inlineStr">
        <is>
          <t>OdooBot</t>
        </is>
      </c>
      <c r="F2638" s="5" t="n">
        <v>46154.70721064815</v>
      </c>
      <c r="H2638" t="inlineStr">
        <is>
          <t>PCGH769</t>
        </is>
      </c>
      <c r="I2638" t="n">
        <v>8</v>
      </c>
      <c r="J2638" t="inlineStr">
        <is>
          <t>PCGH769 - Flora Survey (Biase Plantations Ltd.)</t>
        </is>
      </c>
      <c r="K2638" t="inlineStr">
        <is>
          <t>HCV/HCS - Flora Survey</t>
        </is>
      </c>
      <c r="L2638" t="b">
        <v>1</v>
      </c>
      <c r="M2638" t="inlineStr">
        <is>
          <t>Billed at a Fixed price</t>
        </is>
      </c>
      <c r="N2638" s="6">
        <f>IF(B2638="","",IF(ISNUMBER(B2638),TEXT(B2638,"YYYY-MM"),LEFT(B2638,7)))</f>
        <v/>
      </c>
    </row>
    <row r="2639">
      <c r="A2639" t="inlineStr">
        <is>
          <t>Kwadwo Baniako Nti</t>
        </is>
      </c>
      <c r="B2639" s="4" t="n">
        <v>46041</v>
      </c>
      <c r="C2639" t="inlineStr">
        <is>
          <t>Global kick-off meeting</t>
        </is>
      </c>
      <c r="D2639" t="inlineStr">
        <is>
          <t>Kwadwo Baniako Nti</t>
        </is>
      </c>
      <c r="E2639" t="inlineStr">
        <is>
          <t>OdooBot</t>
        </is>
      </c>
      <c r="F2639" s="5" t="n">
        <v>46154.70721064815</v>
      </c>
      <c r="H2639" t="inlineStr">
        <is>
          <t>Non-Billable Tasks</t>
        </is>
      </c>
      <c r="I2639" t="n">
        <v>0</v>
      </c>
      <c r="K2639" t="inlineStr">
        <is>
          <t>Professional development and Knowledge sharing(training,global knowledge calls,exchange weeks)</t>
        </is>
      </c>
      <c r="L2639" t="b">
        <v>0</v>
      </c>
      <c r="M2639" t="inlineStr">
        <is>
          <t>Non-Billable</t>
        </is>
      </c>
      <c r="N2639" s="6">
        <f>IF(B2639="","",IF(ISNUMBER(B2639),TEXT(B2639,"YYYY-MM"),LEFT(B2639,7)))</f>
        <v/>
      </c>
    </row>
    <row r="2640">
      <c r="A2640" t="inlineStr">
        <is>
          <t>Kwadwo Baniako Nti</t>
        </is>
      </c>
      <c r="B2640" s="4" t="n">
        <v>46041</v>
      </c>
      <c r="C2640" t="inlineStr">
        <is>
          <t>/</t>
        </is>
      </c>
      <c r="D2640" t="inlineStr">
        <is>
          <t>Kwadwo Baniako Nti</t>
        </is>
      </c>
      <c r="E2640" t="inlineStr">
        <is>
          <t>OdooBot</t>
        </is>
      </c>
      <c r="F2640" s="5" t="n">
        <v>46154.70721064815</v>
      </c>
      <c r="G2640" t="inlineStr">
        <is>
          <t>Desk Study</t>
        </is>
      </c>
      <c r="H2640" t="inlineStr">
        <is>
          <t>PCGH762 - GVL HCSA Restoration Project</t>
        </is>
      </c>
      <c r="I2640" t="n">
        <v>8</v>
      </c>
      <c r="J2640" t="inlineStr">
        <is>
          <t>PCGH762 - Desk Review, Stakeholder Mapping &amp; Analysis and Engagement (Golden Veroleum Liberia)</t>
        </is>
      </c>
      <c r="K2640" t="inlineStr">
        <is>
          <t>Desk Review, Stakeholder Mapping &amp; Analysis and Engagement</t>
        </is>
      </c>
      <c r="L2640" t="b">
        <v>1</v>
      </c>
      <c r="M2640" t="inlineStr">
        <is>
          <t>Billed at a Fixed price</t>
        </is>
      </c>
      <c r="N2640" s="6">
        <f>IF(B2640="","",IF(ISNUMBER(B2640),TEXT(B2640,"YYYY-MM"),LEFT(B2640,7)))</f>
        <v/>
      </c>
    </row>
    <row r="2641">
      <c r="A2641" t="inlineStr">
        <is>
          <t>Kwadwo Baniako Nti</t>
        </is>
      </c>
      <c r="B2641" s="4" t="n">
        <v>46041</v>
      </c>
      <c r="C2641" t="inlineStr">
        <is>
          <t>Annual meeting</t>
        </is>
      </c>
      <c r="D2641" t="inlineStr">
        <is>
          <t>Kwadwo Baniako Nti</t>
        </is>
      </c>
      <c r="E2641" t="inlineStr">
        <is>
          <t>OdooBot</t>
        </is>
      </c>
      <c r="F2641" s="5" t="n">
        <v>46154.70721064815</v>
      </c>
      <c r="H2641" t="inlineStr">
        <is>
          <t>Internal</t>
        </is>
      </c>
      <c r="I2641" t="n">
        <v>0</v>
      </c>
      <c r="L2641" t="b">
        <v>0</v>
      </c>
      <c r="M2641" t="inlineStr">
        <is>
          <t>Non-Billable</t>
        </is>
      </c>
      <c r="N2641" s="6">
        <f>IF(B2641="","",IF(ISNUMBER(B2641),TEXT(B2641,"YYYY-MM"),LEFT(B2641,7)))</f>
        <v/>
      </c>
    </row>
    <row r="2642">
      <c r="A2642" t="inlineStr">
        <is>
          <t>Ekow Nyamekye Tawiah</t>
        </is>
      </c>
      <c r="B2642" s="4" t="n">
        <v>46041</v>
      </c>
      <c r="C2642" t="inlineStr">
        <is>
          <t>Annual Planning Meeting</t>
        </is>
      </c>
      <c r="D2642" t="inlineStr">
        <is>
          <t>Ekow Nyamekye Tawiah</t>
        </is>
      </c>
      <c r="E2642" t="inlineStr">
        <is>
          <t>OdooBot</t>
        </is>
      </c>
      <c r="F2642" s="5" t="n">
        <v>46154.70721064815</v>
      </c>
      <c r="H2642" t="inlineStr">
        <is>
          <t>Non-Billable Tasks</t>
        </is>
      </c>
      <c r="I2642" t="n">
        <v>4</v>
      </c>
      <c r="K2642" t="inlineStr">
        <is>
          <t>Staff Meetings (Quartely Staff Meetings, Adhoc meetings, Welfare)</t>
        </is>
      </c>
      <c r="L2642" t="b">
        <v>0</v>
      </c>
      <c r="M2642" t="inlineStr">
        <is>
          <t>Non-Billable</t>
        </is>
      </c>
      <c r="N2642" s="6">
        <f>IF(B2642="","",IF(ISNUMBER(B2642),TEXT(B2642,"YYYY-MM"),LEFT(B2642,7)))</f>
        <v/>
      </c>
    </row>
    <row r="2643">
      <c r="A2643" t="inlineStr">
        <is>
          <t>Helena Tetteh</t>
        </is>
      </c>
      <c r="B2643" s="4" t="n">
        <v>46041</v>
      </c>
      <c r="C2643" t="inlineStr">
        <is>
          <t>Global Kick-Off Meeting 2026 (Zoom)</t>
        </is>
      </c>
      <c r="D2643" t="inlineStr">
        <is>
          <t xml:space="preserve">Helena Tetteh </t>
        </is>
      </c>
      <c r="E2643" t="inlineStr">
        <is>
          <t>OdooBot</t>
        </is>
      </c>
      <c r="F2643" s="5" t="n">
        <v>46154.70721064815</v>
      </c>
      <c r="H2643" t="inlineStr">
        <is>
          <t>Non-Billable Tasks</t>
        </is>
      </c>
      <c r="I2643" t="n">
        <v>0</v>
      </c>
      <c r="K2643" t="inlineStr">
        <is>
          <t>Professional development and Knowledge sharing(training,global knowledge calls,exchange weeks)</t>
        </is>
      </c>
      <c r="L2643" t="b">
        <v>0</v>
      </c>
      <c r="M2643" t="inlineStr">
        <is>
          <t>Non-Billable</t>
        </is>
      </c>
      <c r="N2643" s="6">
        <f>IF(B2643="","",IF(ISNUMBER(B2643),TEXT(B2643,"YYYY-MM"),LEFT(B2643,7)))</f>
        <v/>
      </c>
    </row>
    <row r="2644">
      <c r="A2644" t="inlineStr">
        <is>
          <t>Helena Tetteh</t>
        </is>
      </c>
      <c r="B2644" s="4" t="n">
        <v>46041</v>
      </c>
      <c r="C2644" t="inlineStr">
        <is>
          <t>Mapping local solutions_Ghana_palm,rubber,cocoa, timber</t>
        </is>
      </c>
      <c r="D2644" t="inlineStr">
        <is>
          <t xml:space="preserve">Helena Tetteh </t>
        </is>
      </c>
      <c r="E2644" t="inlineStr">
        <is>
          <t>OdooBot</t>
        </is>
      </c>
      <c r="F2644" s="5" t="n">
        <v>46154.70721064815</v>
      </c>
      <c r="G2644" t="inlineStr">
        <is>
          <t>Output 3</t>
        </is>
      </c>
      <c r="H2644" t="inlineStr">
        <is>
          <t>P23AC00C00 - FGMC</t>
        </is>
      </c>
      <c r="I2644" t="n">
        <v>8</v>
      </c>
      <c r="K2644" t="inlineStr">
        <is>
          <t>P23AC13A00 - Output one (Demand Side Analysis and Policy Intergration.</t>
        </is>
      </c>
      <c r="L2644" t="b">
        <v>0</v>
      </c>
      <c r="M2644" t="inlineStr">
        <is>
          <t>Non-Billable</t>
        </is>
      </c>
      <c r="N2644" s="6">
        <f>IF(B2644="","",IF(ISNUMBER(B2644),TEXT(B2644,"YYYY-MM"),LEFT(B2644,7)))</f>
        <v/>
      </c>
    </row>
    <row r="2645">
      <c r="A2645" t="inlineStr">
        <is>
          <t>Joseph Isaiah Mensah</t>
        </is>
      </c>
      <c r="B2645" s="4" t="n">
        <v>46041</v>
      </c>
      <c r="C2645" t="inlineStr">
        <is>
          <t>/</t>
        </is>
      </c>
      <c r="D2645" t="inlineStr">
        <is>
          <t>Joseph Isaiah Mensah</t>
        </is>
      </c>
      <c r="E2645" t="inlineStr">
        <is>
          <t>OdooBot</t>
        </is>
      </c>
      <c r="F2645" s="5" t="n">
        <v>46154.70721064815</v>
      </c>
      <c r="G2645" t="inlineStr">
        <is>
          <t>Facilitate development of Sugar Action Plan with WG</t>
        </is>
      </c>
      <c r="H2645" t="inlineStr">
        <is>
          <t>PCGH755 (Nestle Nigeria)</t>
        </is>
      </c>
      <c r="I2645" t="n">
        <v>8</v>
      </c>
      <c r="J2645" t="inlineStr">
        <is>
          <t>PCGH755 - Incorporating Sustainability (3) (Proforest Limited(PCUK GBP))</t>
        </is>
      </c>
      <c r="K2645" t="inlineStr">
        <is>
          <t>Facilitate development of Sugar Action Plan with WG</t>
        </is>
      </c>
      <c r="L2645" t="b">
        <v>1</v>
      </c>
      <c r="M2645" t="inlineStr">
        <is>
          <t>Billed at a Fixed price</t>
        </is>
      </c>
      <c r="N2645" s="6">
        <f>IF(B2645="","",IF(ISNUMBER(B2645),TEXT(B2645,"YYYY-MM"),LEFT(B2645,7)))</f>
        <v/>
      </c>
    </row>
    <row r="2646">
      <c r="A2646" t="inlineStr">
        <is>
          <t>Frederick Antwi</t>
        </is>
      </c>
      <c r="B2646" s="4" t="n">
        <v>46038</v>
      </c>
      <c r="C2646" t="inlineStr">
        <is>
          <t>/</t>
        </is>
      </c>
      <c r="D2646" t="inlineStr">
        <is>
          <t>Frederick Antwi</t>
        </is>
      </c>
      <c r="E2646" t="inlineStr">
        <is>
          <t>Frederick Antwi</t>
        </is>
      </c>
      <c r="F2646" s="5" t="n">
        <v>46160.54423611111</v>
      </c>
      <c r="H2646" t="inlineStr">
        <is>
          <t>P13NC00A00 - WALMART II</t>
        </is>
      </c>
      <c r="I2646" t="n">
        <v>8</v>
      </c>
      <c r="L2646" t="b">
        <v>0</v>
      </c>
      <c r="M2646" t="inlineStr">
        <is>
          <t>Non-Billable</t>
        </is>
      </c>
      <c r="N2646" s="6">
        <f>IF(B2646="","",IF(ISNUMBER(B2646),TEXT(B2646,"YYYY-MM"),LEFT(B2646,7)))</f>
        <v/>
      </c>
    </row>
    <row r="2647">
      <c r="A2647" t="inlineStr">
        <is>
          <t>Stephen Doso</t>
        </is>
      </c>
      <c r="B2647" s="4" t="n">
        <v>46038</v>
      </c>
      <c r="C2647" t="inlineStr">
        <is>
          <t>/</t>
        </is>
      </c>
      <c r="D2647" t="inlineStr">
        <is>
          <t>Stephen Doso</t>
        </is>
      </c>
      <c r="E2647" t="inlineStr">
        <is>
          <t>OdooBot</t>
        </is>
      </c>
      <c r="F2647" s="5" t="n">
        <v>46154.70721064815</v>
      </c>
      <c r="G2647" t="inlineStr">
        <is>
          <t>Preparations and Kick-off (2)</t>
        </is>
      </c>
      <c r="H2647" t="inlineStr">
        <is>
          <t>PCGH775 - ESDD of Valency Operations for FMO</t>
        </is>
      </c>
      <c r="I2647" t="n">
        <v>1</v>
      </c>
      <c r="J2647" t="inlineStr">
        <is>
          <t>PCGH775 - Kick-Off Meeting (Valency International DMCC)</t>
        </is>
      </c>
      <c r="K2647" t="inlineStr">
        <is>
          <t>Kick-off Meeting</t>
        </is>
      </c>
      <c r="L2647" t="b">
        <v>1</v>
      </c>
      <c r="M2647" t="inlineStr">
        <is>
          <t>Billed at a Fixed price</t>
        </is>
      </c>
      <c r="N2647" s="6">
        <f>IF(B2647="","",IF(ISNUMBER(B2647),TEXT(B2647,"YYYY-MM"),LEFT(B2647,7)))</f>
        <v/>
      </c>
    </row>
    <row r="2648">
      <c r="A2648" t="inlineStr">
        <is>
          <t>Stephen Doso</t>
        </is>
      </c>
      <c r="B2648" s="4" t="n">
        <v>46038</v>
      </c>
      <c r="C2648" t="inlineStr">
        <is>
          <t>/</t>
        </is>
      </c>
      <c r="D2648" t="inlineStr">
        <is>
          <t>Stephen Doso</t>
        </is>
      </c>
      <c r="E2648" t="inlineStr">
        <is>
          <t>OdooBot</t>
        </is>
      </c>
      <c r="F2648" s="5" t="n">
        <v>46154.70721064815</v>
      </c>
      <c r="H2648" t="inlineStr">
        <is>
          <t>Non-Billable Tasks</t>
        </is>
      </c>
      <c r="I2648" t="n">
        <v>2</v>
      </c>
      <c r="K2648" t="inlineStr">
        <is>
          <t>Communication/Data/Training</t>
        </is>
      </c>
      <c r="L2648" t="b">
        <v>0</v>
      </c>
      <c r="M2648" t="inlineStr">
        <is>
          <t>Non-Billable</t>
        </is>
      </c>
      <c r="N2648" s="6">
        <f>IF(B2648="","",IF(ISNUMBER(B2648),TEXT(B2648,"YYYY-MM"),LEFT(B2648,7)))</f>
        <v/>
      </c>
    </row>
    <row r="2649">
      <c r="A2649" t="inlineStr">
        <is>
          <t>Stephen Doso</t>
        </is>
      </c>
      <c r="B2649" s="4" t="n">
        <v>46038</v>
      </c>
      <c r="C2649" t="inlineStr">
        <is>
          <t>/</t>
        </is>
      </c>
      <c r="D2649" t="inlineStr">
        <is>
          <t>Stephen Doso</t>
        </is>
      </c>
      <c r="E2649" t="inlineStr">
        <is>
          <t>OdooBot</t>
        </is>
      </c>
      <c r="F2649" s="5" t="n">
        <v>46154.70721064815</v>
      </c>
      <c r="H2649" t="inlineStr">
        <is>
          <t>PCGH769</t>
        </is>
      </c>
      <c r="I2649" t="n">
        <v>2</v>
      </c>
      <c r="J2649" t="inlineStr">
        <is>
          <t>PCGH769 - Desk Study (2) (Biase Plantations Ltd.)</t>
        </is>
      </c>
      <c r="K2649" t="inlineStr">
        <is>
          <t>HCV/HCS - Reporting and review</t>
        </is>
      </c>
      <c r="L2649" t="b">
        <v>1</v>
      </c>
      <c r="M2649" t="inlineStr">
        <is>
          <t>Billed at a Fixed price</t>
        </is>
      </c>
      <c r="N2649" s="6">
        <f>IF(B2649="","",IF(ISNUMBER(B2649),TEXT(B2649,"YYYY-MM"),LEFT(B2649,7)))</f>
        <v/>
      </c>
    </row>
    <row r="2650">
      <c r="A2650" t="inlineStr">
        <is>
          <t>Stephen Doso</t>
        </is>
      </c>
      <c r="B2650" s="4" t="n">
        <v>46038</v>
      </c>
      <c r="C2650" t="inlineStr">
        <is>
          <t>/</t>
        </is>
      </c>
      <c r="D2650" t="inlineStr">
        <is>
          <t>Stephen Doso</t>
        </is>
      </c>
      <c r="E2650" t="inlineStr">
        <is>
          <t>OdooBot</t>
        </is>
      </c>
      <c r="F2650" s="5" t="n">
        <v>46154.70721064815</v>
      </c>
      <c r="H2650" t="inlineStr">
        <is>
          <t>PCGH762 - GVL HCSA Restoration Project</t>
        </is>
      </c>
      <c r="I2650" t="n">
        <v>4</v>
      </c>
      <c r="J2650" t="inlineStr">
        <is>
          <t>PCGH763 - Desk study (Due diligence) (Jopafram Nigeria Limited)</t>
        </is>
      </c>
      <c r="K2650" t="inlineStr">
        <is>
          <t>Fundraising and proposal development</t>
        </is>
      </c>
      <c r="L2650" t="b">
        <v>1</v>
      </c>
      <c r="M2650" t="inlineStr">
        <is>
          <t>Billed at a Fixed price</t>
        </is>
      </c>
      <c r="N2650" s="6">
        <f>IF(B2650="","",IF(ISNUMBER(B2650),TEXT(B2650,"YYYY-MM"),LEFT(B2650,7)))</f>
        <v/>
      </c>
    </row>
    <row r="2651">
      <c r="A2651" t="inlineStr">
        <is>
          <t>Stephen Doso</t>
        </is>
      </c>
      <c r="B2651" s="4" t="n">
        <v>46038</v>
      </c>
      <c r="C2651" t="inlineStr">
        <is>
          <t>/</t>
        </is>
      </c>
      <c r="D2651" t="inlineStr">
        <is>
          <t>Stephen Doso</t>
        </is>
      </c>
      <c r="E2651" t="inlineStr">
        <is>
          <t>OdooBot</t>
        </is>
      </c>
      <c r="F2651" s="5" t="n">
        <v>46154.70721064815</v>
      </c>
      <c r="H2651" t="inlineStr">
        <is>
          <t>Non-Billable Tasks</t>
        </is>
      </c>
      <c r="I2651" t="n">
        <v>3</v>
      </c>
      <c r="K2651" t="inlineStr">
        <is>
          <t>Line Management</t>
        </is>
      </c>
      <c r="L2651" t="b">
        <v>0</v>
      </c>
      <c r="M2651" t="inlineStr">
        <is>
          <t>Non-Billable</t>
        </is>
      </c>
      <c r="N2651" s="6">
        <f>IF(B2651="","",IF(ISNUMBER(B2651),TEXT(B2651,"YYYY-MM"),LEFT(B2651,7)))</f>
        <v/>
      </c>
    </row>
    <row r="2652">
      <c r="A2652" t="inlineStr">
        <is>
          <t>Ekow Nyamekye Tawiah</t>
        </is>
      </c>
      <c r="B2652" s="4" t="n">
        <v>46038</v>
      </c>
      <c r="C2652" t="inlineStr">
        <is>
          <t>/</t>
        </is>
      </c>
      <c r="D2652" t="inlineStr">
        <is>
          <t>Ekow Nyamekye Tawiah</t>
        </is>
      </c>
      <c r="E2652" t="inlineStr">
        <is>
          <t>OdooBot</t>
        </is>
      </c>
      <c r="F2652" s="5" t="n">
        <v>46154.70721064815</v>
      </c>
      <c r="H2652" t="inlineStr">
        <is>
          <t>PCGH722</t>
        </is>
      </c>
      <c r="I2652" t="n">
        <v>4</v>
      </c>
      <c r="J2652" t="inlineStr">
        <is>
          <t>PCGH722 - Analysis and Reporting (3) (Sucrivoire SA)</t>
        </is>
      </c>
      <c r="K2652" t="inlineStr">
        <is>
          <t>Analysis and Reporting (3)</t>
        </is>
      </c>
      <c r="L2652" t="b">
        <v>1</v>
      </c>
      <c r="M2652" t="inlineStr">
        <is>
          <t>Billed at a Fixed price</t>
        </is>
      </c>
      <c r="N2652" s="6">
        <f>IF(B2652="","",IF(ISNUMBER(B2652),TEXT(B2652,"YYYY-MM"),LEFT(B2652,7)))</f>
        <v/>
      </c>
    </row>
    <row r="2653">
      <c r="A2653" t="inlineStr">
        <is>
          <t>Afua Serwah Akoto Prempeh</t>
        </is>
      </c>
      <c r="B2653" s="4" t="n">
        <v>46038</v>
      </c>
      <c r="C2653" t="inlineStr">
        <is>
          <t>/</t>
        </is>
      </c>
      <c r="D2653" t="inlineStr">
        <is>
          <t>Afua Serwah Akoto Prempeh</t>
        </is>
      </c>
      <c r="E2653" t="inlineStr">
        <is>
          <t>OdooBot</t>
        </is>
      </c>
      <c r="F2653" s="5" t="n">
        <v>46154.70721064815</v>
      </c>
      <c r="H2653" t="inlineStr">
        <is>
          <t>Non-Billable Tasks</t>
        </is>
      </c>
      <c r="I2653" t="n">
        <v>3</v>
      </c>
      <c r="K2653" t="inlineStr">
        <is>
          <t>Communication/Data/Training</t>
        </is>
      </c>
      <c r="L2653" t="b">
        <v>0</v>
      </c>
      <c r="M2653" t="inlineStr">
        <is>
          <t>Non-Billable</t>
        </is>
      </c>
      <c r="N2653" s="6">
        <f>IF(B2653="","",IF(ISNUMBER(B2653),TEXT(B2653,"YYYY-MM"),LEFT(B2653,7)))</f>
        <v/>
      </c>
    </row>
    <row r="2654">
      <c r="A2654" t="inlineStr">
        <is>
          <t>Afua Serwah Akoto Prempeh</t>
        </is>
      </c>
      <c r="B2654" s="4" t="n">
        <v>46038</v>
      </c>
      <c r="C2654" t="inlineStr">
        <is>
          <t>/</t>
        </is>
      </c>
      <c r="D2654" t="inlineStr">
        <is>
          <t>Afua Serwah Akoto Prempeh</t>
        </is>
      </c>
      <c r="E2654" t="inlineStr">
        <is>
          <t>OdooBot</t>
        </is>
      </c>
      <c r="F2654" s="5" t="n">
        <v>46154.70721064815</v>
      </c>
      <c r="H2654" t="inlineStr">
        <is>
          <t>P23AC00C00 - FGMC</t>
        </is>
      </c>
      <c r="I2654" t="n">
        <v>1</v>
      </c>
      <c r="L2654" t="b">
        <v>0</v>
      </c>
      <c r="M2654" t="inlineStr">
        <is>
          <t>Non-Billable</t>
        </is>
      </c>
      <c r="N2654" s="6">
        <f>IF(B2654="","",IF(ISNUMBER(B2654),TEXT(B2654,"YYYY-MM"),LEFT(B2654,7)))</f>
        <v/>
      </c>
    </row>
    <row r="2655">
      <c r="A2655" t="inlineStr">
        <is>
          <t>Clement Obeng-Manu</t>
        </is>
      </c>
      <c r="B2655" s="4" t="n">
        <v>46038</v>
      </c>
      <c r="C2655" t="inlineStr">
        <is>
          <t>/</t>
        </is>
      </c>
      <c r="D2655" t="inlineStr">
        <is>
          <t>Clement Obeng-Manu</t>
        </is>
      </c>
      <c r="E2655" t="inlineStr">
        <is>
          <t>OdooBot</t>
        </is>
      </c>
      <c r="F2655" s="5" t="n">
        <v>46154.70721064815</v>
      </c>
      <c r="H2655" t="inlineStr">
        <is>
          <t>PCGH769</t>
        </is>
      </c>
      <c r="I2655" t="n">
        <v>8</v>
      </c>
      <c r="J2655" t="inlineStr">
        <is>
          <t>PCGH769 - Analysis and Reporting (2) (Biase Plantations Ltd.)</t>
        </is>
      </c>
      <c r="K2655" t="inlineStr">
        <is>
          <t>HCV/HCS - Reporting</t>
        </is>
      </c>
      <c r="L2655" t="b">
        <v>1</v>
      </c>
      <c r="M2655" t="inlineStr">
        <is>
          <t>Billed at a Fixed price</t>
        </is>
      </c>
      <c r="N2655" s="6">
        <f>IF(B2655="","",IF(ISNUMBER(B2655),TEXT(B2655,"YYYY-MM"),LEFT(B2655,7)))</f>
        <v/>
      </c>
    </row>
    <row r="2656">
      <c r="A2656" t="inlineStr">
        <is>
          <t>Afua Serwah Akoto Prempeh</t>
        </is>
      </c>
      <c r="B2656" s="4" t="n">
        <v>46038</v>
      </c>
      <c r="C2656" t="inlineStr">
        <is>
          <t>/</t>
        </is>
      </c>
      <c r="D2656" t="inlineStr">
        <is>
          <t>Afua Serwah Akoto Prempeh</t>
        </is>
      </c>
      <c r="E2656" t="inlineStr">
        <is>
          <t>OdooBot</t>
        </is>
      </c>
      <c r="F2656" s="5" t="n">
        <v>46154.70721064815</v>
      </c>
      <c r="H2656" t="inlineStr">
        <is>
          <t>Non-Billable Tasks</t>
        </is>
      </c>
      <c r="I2656" t="n">
        <v>4</v>
      </c>
      <c r="L2656" t="b">
        <v>0</v>
      </c>
      <c r="M2656" t="inlineStr">
        <is>
          <t>Non-Billable</t>
        </is>
      </c>
      <c r="N2656" s="6">
        <f>IF(B2656="","",IF(ISNUMBER(B2656),TEXT(B2656,"YYYY-MM"),LEFT(B2656,7)))</f>
        <v/>
      </c>
    </row>
    <row r="2657">
      <c r="A2657" t="inlineStr">
        <is>
          <t>Augustus Asamoah</t>
        </is>
      </c>
      <c r="B2657" s="4" t="n">
        <v>46038</v>
      </c>
      <c r="C2657" t="inlineStr">
        <is>
          <t>/</t>
        </is>
      </c>
      <c r="D2657" t="inlineStr">
        <is>
          <t>Augustus Asamoah</t>
        </is>
      </c>
      <c r="E2657" t="inlineStr">
        <is>
          <t>OdooBot</t>
        </is>
      </c>
      <c r="F2657" s="5" t="n">
        <v>46154.70721064815</v>
      </c>
      <c r="H2657" t="inlineStr">
        <is>
          <t>Non-Billable Tasks</t>
        </is>
      </c>
      <c r="I2657" t="n">
        <v>8</v>
      </c>
      <c r="K2657" t="inlineStr">
        <is>
          <t>Time Off</t>
        </is>
      </c>
      <c r="L2657" t="b">
        <v>0</v>
      </c>
      <c r="M2657" t="inlineStr">
        <is>
          <t>Non-Billable</t>
        </is>
      </c>
      <c r="N2657" s="6">
        <f>IF(B2657="","",IF(ISNUMBER(B2657),TEXT(B2657,"YYYY-MM"),LEFT(B2657,7)))</f>
        <v/>
      </c>
    </row>
    <row r="2658">
      <c r="A2658" t="inlineStr">
        <is>
          <t>Kingsley Fitz-Gerald Severine</t>
        </is>
      </c>
      <c r="B2658" s="4" t="n">
        <v>46038</v>
      </c>
      <c r="C2658" t="inlineStr">
        <is>
          <t>/</t>
        </is>
      </c>
      <c r="D2658" t="inlineStr">
        <is>
          <t>Kingsley Fitz-Gerald Severine</t>
        </is>
      </c>
      <c r="E2658" t="inlineStr">
        <is>
          <t>OdooBot</t>
        </is>
      </c>
      <c r="F2658" s="5" t="n">
        <v>46154.70721064815</v>
      </c>
      <c r="H2658" t="inlineStr">
        <is>
          <t>PCGH769</t>
        </is>
      </c>
      <c r="I2658" t="n">
        <v>5</v>
      </c>
      <c r="J2658" t="inlineStr">
        <is>
          <t>PCGH769 - Analysis and Reporting (2) (Biase Plantations Ltd.)</t>
        </is>
      </c>
      <c r="K2658" t="inlineStr">
        <is>
          <t>HCV/HCS - Reporting</t>
        </is>
      </c>
      <c r="L2658" t="b">
        <v>1</v>
      </c>
      <c r="M2658" t="inlineStr">
        <is>
          <t>Billed at a Fixed price</t>
        </is>
      </c>
      <c r="N2658" s="6">
        <f>IF(B2658="","",IF(ISNUMBER(B2658),TEXT(B2658,"YYYY-MM"),LEFT(B2658,7)))</f>
        <v/>
      </c>
    </row>
    <row r="2659">
      <c r="A2659" t="inlineStr">
        <is>
          <t>Kingsley Fitz-Gerald Severine</t>
        </is>
      </c>
      <c r="B2659" s="4" t="n">
        <v>46038</v>
      </c>
      <c r="C2659" t="inlineStr">
        <is>
          <t>/</t>
        </is>
      </c>
      <c r="D2659" t="inlineStr">
        <is>
          <t>Kingsley Fitz-Gerald Severine</t>
        </is>
      </c>
      <c r="E2659" t="inlineStr">
        <is>
          <t>OdooBot</t>
        </is>
      </c>
      <c r="F2659" s="5" t="n">
        <v>46154.70721064815</v>
      </c>
      <c r="H2659" t="inlineStr">
        <is>
          <t>PCGH769</t>
        </is>
      </c>
      <c r="I2659" t="n">
        <v>3</v>
      </c>
      <c r="J2659" t="inlineStr">
        <is>
          <t>PCGH769 - Desk Study (3) (Biase Plantations Ltd.)</t>
        </is>
      </c>
      <c r="K2659" t="inlineStr">
        <is>
          <t>HCV/HCS - Desk Study</t>
        </is>
      </c>
      <c r="L2659" t="b">
        <v>1</v>
      </c>
      <c r="M2659" t="inlineStr">
        <is>
          <t>Billed at a Fixed price</t>
        </is>
      </c>
      <c r="N2659" s="6">
        <f>IF(B2659="","",IF(ISNUMBER(B2659),TEXT(B2659,"YYYY-MM"),LEFT(B2659,7)))</f>
        <v/>
      </c>
    </row>
    <row r="2660">
      <c r="A2660" t="inlineStr">
        <is>
          <t>Helena Tetteh</t>
        </is>
      </c>
      <c r="B2660" s="4" t="n">
        <v>46038</v>
      </c>
      <c r="C2660" t="inlineStr">
        <is>
          <t>/</t>
        </is>
      </c>
      <c r="D2660" t="inlineStr">
        <is>
          <t xml:space="preserve">Helena Tetteh </t>
        </is>
      </c>
      <c r="E2660" t="inlineStr">
        <is>
          <t>OdooBot</t>
        </is>
      </c>
      <c r="F2660" s="5" t="n">
        <v>46154.70721064815</v>
      </c>
      <c r="G2660" t="inlineStr">
        <is>
          <t>Output 3</t>
        </is>
      </c>
      <c r="H2660" t="inlineStr">
        <is>
          <t>P23AC00C00 - FGMC</t>
        </is>
      </c>
      <c r="I2660" t="n">
        <v>7</v>
      </c>
      <c r="K2660" t="inlineStr">
        <is>
          <t>P23AC13A00 - Output one (Demand Side Analysis and Policy Intergration.</t>
        </is>
      </c>
      <c r="L2660" t="b">
        <v>0</v>
      </c>
      <c r="M2660" t="inlineStr">
        <is>
          <t>Non-Billable</t>
        </is>
      </c>
      <c r="N2660" s="6">
        <f>IF(B2660="","",IF(ISNUMBER(B2660),TEXT(B2660,"YYYY-MM"),LEFT(B2660,7)))</f>
        <v/>
      </c>
    </row>
    <row r="2661">
      <c r="A2661" t="inlineStr">
        <is>
          <t>Helena Tetteh</t>
        </is>
      </c>
      <c r="B2661" s="4" t="n">
        <v>46038</v>
      </c>
      <c r="C2661" t="inlineStr">
        <is>
          <t>Technical Input_ Global Comms Strategy</t>
        </is>
      </c>
      <c r="D2661" t="inlineStr">
        <is>
          <t xml:space="preserve">Helena Tetteh </t>
        </is>
      </c>
      <c r="E2661" t="inlineStr">
        <is>
          <t>OdooBot</t>
        </is>
      </c>
      <c r="F2661" s="5" t="n">
        <v>46154.70721064815</v>
      </c>
      <c r="H2661" t="inlineStr">
        <is>
          <t>Non-Billable Tasks</t>
        </is>
      </c>
      <c r="I2661" t="n">
        <v>1</v>
      </c>
      <c r="K2661" t="inlineStr">
        <is>
          <t>Communication/Data/Training</t>
        </is>
      </c>
      <c r="L2661" t="b">
        <v>0</v>
      </c>
      <c r="M2661" t="inlineStr">
        <is>
          <t>Non-Billable</t>
        </is>
      </c>
      <c r="N2661" s="6">
        <f>IF(B2661="","",IF(ISNUMBER(B2661),TEXT(B2661,"YYYY-MM"),LEFT(B2661,7)))</f>
        <v/>
      </c>
    </row>
    <row r="2662">
      <c r="A2662" t="inlineStr">
        <is>
          <t>Kwadwo Baniako Nti</t>
        </is>
      </c>
      <c r="B2662" s="4" t="n">
        <v>46038</v>
      </c>
      <c r="C2662" t="inlineStr">
        <is>
          <t>/</t>
        </is>
      </c>
      <c r="D2662" t="inlineStr">
        <is>
          <t>Kwadwo Baniako Nti</t>
        </is>
      </c>
      <c r="E2662" t="inlineStr">
        <is>
          <t>OdooBot</t>
        </is>
      </c>
      <c r="F2662" s="5" t="n">
        <v>46154.70721064815</v>
      </c>
      <c r="G2662" t="inlineStr">
        <is>
          <t>Desk Study</t>
        </is>
      </c>
      <c r="H2662" t="inlineStr">
        <is>
          <t>PCGH762 - GVL HCSA Restoration Project</t>
        </is>
      </c>
      <c r="I2662" t="n">
        <v>8</v>
      </c>
      <c r="J2662" t="inlineStr">
        <is>
          <t>PCGH762 - Desk Review, Stakeholder Mapping &amp; Analysis and Engagement (Golden Veroleum Liberia)</t>
        </is>
      </c>
      <c r="K2662" t="inlineStr">
        <is>
          <t>Desk Review, Stakeholder Mapping &amp; Analysis and Engagement</t>
        </is>
      </c>
      <c r="L2662" t="b">
        <v>1</v>
      </c>
      <c r="M2662" t="inlineStr">
        <is>
          <t>Billed at a Fixed price</t>
        </is>
      </c>
      <c r="N2662" s="6">
        <f>IF(B2662="","",IF(ISNUMBER(B2662),TEXT(B2662,"YYYY-MM"),LEFT(B2662,7)))</f>
        <v/>
      </c>
    </row>
    <row r="2663">
      <c r="A2663" t="inlineStr">
        <is>
          <t>Louis Defo</t>
        </is>
      </c>
      <c r="B2663" s="4" t="n">
        <v>46038</v>
      </c>
      <c r="C2663" t="inlineStr">
        <is>
          <t>/</t>
        </is>
      </c>
      <c r="D2663" t="inlineStr">
        <is>
          <t>Louis Defo</t>
        </is>
      </c>
      <c r="E2663" t="inlineStr">
        <is>
          <t>OdooBot</t>
        </is>
      </c>
      <c r="F2663" s="5" t="n">
        <v>46154.70721064815</v>
      </c>
      <c r="H2663" t="inlineStr">
        <is>
          <t>Internal</t>
        </is>
      </c>
      <c r="I2663" t="n">
        <v>8</v>
      </c>
      <c r="L2663" t="b">
        <v>0</v>
      </c>
      <c r="M2663" t="inlineStr">
        <is>
          <t>Non-Billable</t>
        </is>
      </c>
      <c r="N2663" s="6">
        <f>IF(B2663="","",IF(ISNUMBER(B2663),TEXT(B2663,"YYYY-MM"),LEFT(B2663,7)))</f>
        <v/>
      </c>
    </row>
    <row r="2664">
      <c r="A2664" t="inlineStr">
        <is>
          <t>Mawuse Agblobi</t>
        </is>
      </c>
      <c r="B2664" s="4" t="n">
        <v>46038</v>
      </c>
      <c r="C2664" t="inlineStr">
        <is>
          <t>Time Off (1/1)</t>
        </is>
      </c>
      <c r="D2664" t="inlineStr">
        <is>
          <t>Joseph Isaiah Mensah</t>
        </is>
      </c>
      <c r="E2664" t="inlineStr">
        <is>
          <t>OdooBot</t>
        </is>
      </c>
      <c r="F2664" s="5" t="n">
        <v>46154.70721064815</v>
      </c>
      <c r="H2664" t="inlineStr">
        <is>
          <t>Internal</t>
        </is>
      </c>
      <c r="I2664" t="n">
        <v>8</v>
      </c>
      <c r="K2664" t="inlineStr">
        <is>
          <t>Time Off</t>
        </is>
      </c>
      <c r="L2664" t="b">
        <v>0</v>
      </c>
      <c r="M2664" t="inlineStr">
        <is>
          <t>Non-Billable</t>
        </is>
      </c>
      <c r="N2664" s="6">
        <f>IF(B2664="","",IF(ISNUMBER(B2664),TEXT(B2664,"YYYY-MM"),LEFT(B2664,7)))</f>
        <v/>
      </c>
    </row>
    <row r="2665">
      <c r="A2665" t="inlineStr">
        <is>
          <t>Patricia Offei</t>
        </is>
      </c>
      <c r="B2665" s="4" t="n">
        <v>46037</v>
      </c>
      <c r="C2665" t="inlineStr">
        <is>
          <t>Annual Review</t>
        </is>
      </c>
      <c r="D2665" t="inlineStr">
        <is>
          <t>Patricia Offei</t>
        </is>
      </c>
      <c r="E2665" t="inlineStr">
        <is>
          <t>Patricia Offei</t>
        </is>
      </c>
      <c r="F2665" s="5" t="n">
        <v>46162.62670138889</v>
      </c>
      <c r="H2665" t="inlineStr">
        <is>
          <t>Non-Billable Tasks</t>
        </is>
      </c>
      <c r="I2665" t="n">
        <v>1</v>
      </c>
      <c r="K2665" t="inlineStr">
        <is>
          <t>Administrative Tasks</t>
        </is>
      </c>
      <c r="L2665" t="b">
        <v>0</v>
      </c>
      <c r="M2665" t="inlineStr">
        <is>
          <t>Non-Billable</t>
        </is>
      </c>
      <c r="N2665" s="6">
        <f>IF(B2665="","",IF(ISNUMBER(B2665),TEXT(B2665,"YYYY-MM"),LEFT(B2665,7)))</f>
        <v/>
      </c>
    </row>
    <row r="2666">
      <c r="A2666" t="inlineStr">
        <is>
          <t>Frederick Antwi</t>
        </is>
      </c>
      <c r="B2666" s="4" t="n">
        <v>46037</v>
      </c>
      <c r="C2666" t="inlineStr">
        <is>
          <t>/</t>
        </is>
      </c>
      <c r="D2666" t="inlineStr">
        <is>
          <t>Frederick Antwi</t>
        </is>
      </c>
      <c r="E2666" t="inlineStr">
        <is>
          <t>Frederick Antwi</t>
        </is>
      </c>
      <c r="F2666" s="5" t="n">
        <v>46160.54400462963</v>
      </c>
      <c r="H2666" t="inlineStr">
        <is>
          <t>P13NC00A00 - WALMART II</t>
        </is>
      </c>
      <c r="I2666" t="n">
        <v>8</v>
      </c>
      <c r="L2666" t="b">
        <v>0</v>
      </c>
      <c r="M2666" t="inlineStr">
        <is>
          <t>Non-Billable</t>
        </is>
      </c>
      <c r="N2666" s="6">
        <f>IF(B2666="","",IF(ISNUMBER(B2666),TEXT(B2666,"YYYY-MM"),LEFT(B2666,7)))</f>
        <v/>
      </c>
    </row>
    <row r="2667">
      <c r="A2667" t="inlineStr">
        <is>
          <t>James Parker Mckeown</t>
        </is>
      </c>
      <c r="B2667" s="4" t="n">
        <v>46037</v>
      </c>
      <c r="C2667" t="inlineStr">
        <is>
          <t>/</t>
        </is>
      </c>
      <c r="D2667" t="inlineStr">
        <is>
          <t>James Parker Mckeown</t>
        </is>
      </c>
      <c r="E2667" t="inlineStr">
        <is>
          <t>James Parker Mckeown</t>
        </is>
      </c>
      <c r="F2667" s="5" t="n">
        <v>46156.84388888889</v>
      </c>
      <c r="H2667" t="inlineStr">
        <is>
          <t>PCGH762 - GVL HCSA Restoration Project</t>
        </is>
      </c>
      <c r="I2667" t="n">
        <v>3</v>
      </c>
      <c r="J2667" t="inlineStr">
        <is>
          <t>PCGH762 - Development and Implementation of MEL Framework (Golden Veroleum Liberia)</t>
        </is>
      </c>
      <c r="K2667" t="inlineStr">
        <is>
          <t>Development and Implementation of MEL Framework</t>
        </is>
      </c>
      <c r="L2667" t="b">
        <v>1</v>
      </c>
      <c r="M2667" t="inlineStr">
        <is>
          <t>Billed at a Fixed price</t>
        </is>
      </c>
      <c r="N2667" s="6">
        <f>IF(B2667="","",IF(ISNUMBER(B2667),TEXT(B2667,"YYYY-MM"),LEFT(B2667,7)))</f>
        <v/>
      </c>
    </row>
    <row r="2668">
      <c r="A2668" t="inlineStr">
        <is>
          <t>James Parker Mckeown</t>
        </is>
      </c>
      <c r="B2668" s="4" t="n">
        <v>46037</v>
      </c>
      <c r="C2668" t="inlineStr">
        <is>
          <t>GVL: Reporting: Reviewing of land cover analysis report</t>
        </is>
      </c>
      <c r="D2668" t="inlineStr">
        <is>
          <t>James Parker Mckeown</t>
        </is>
      </c>
      <c r="E2668" t="inlineStr">
        <is>
          <t>James Parker Mckeown</t>
        </is>
      </c>
      <c r="F2668" s="5" t="n">
        <v>46156.84354166667</v>
      </c>
      <c r="H2668" t="inlineStr">
        <is>
          <t>PCGH762 - GVL HCSA Restoration Project</t>
        </is>
      </c>
      <c r="I2668" t="n">
        <v>0</v>
      </c>
      <c r="J2668" t="inlineStr">
        <is>
          <t>PCGH762 - Development and Implementation of MEL Framework (Golden Veroleum Liberia)</t>
        </is>
      </c>
      <c r="L2668" t="b">
        <v>1</v>
      </c>
      <c r="M2668" t="inlineStr">
        <is>
          <t>Billed at a Fixed price</t>
        </is>
      </c>
      <c r="N2668" s="6">
        <f>IF(B2668="","",IF(ISNUMBER(B2668),TEXT(B2668,"YYYY-MM"),LEFT(B2668,7)))</f>
        <v/>
      </c>
    </row>
    <row r="2669">
      <c r="A2669" t="inlineStr">
        <is>
          <t>James Parker Mckeown</t>
        </is>
      </c>
      <c r="B2669" s="4" t="n">
        <v>46037</v>
      </c>
      <c r="C2669" t="inlineStr">
        <is>
          <t xml:space="preserve">Global Production Landscapes Call
</t>
        </is>
      </c>
      <c r="D2669" t="inlineStr">
        <is>
          <t>James Parker Mckeown</t>
        </is>
      </c>
      <c r="E2669" t="inlineStr">
        <is>
          <t>James Parker Mckeown</t>
        </is>
      </c>
      <c r="F2669" s="5" t="n">
        <v>46156.84231481481</v>
      </c>
      <c r="H2669" t="inlineStr">
        <is>
          <t>Non-Billable Tasks</t>
        </is>
      </c>
      <c r="I2669" t="n">
        <v>1.5</v>
      </c>
      <c r="K2669" t="inlineStr">
        <is>
          <t>Professional development and Knowledge sharing(training,global knowledge calls,exchange weeks)</t>
        </is>
      </c>
      <c r="L2669" t="b">
        <v>0</v>
      </c>
      <c r="M2669" t="inlineStr">
        <is>
          <t>Non-Billable</t>
        </is>
      </c>
      <c r="N2669" s="6">
        <f>IF(B2669="","",IF(ISNUMBER(B2669),TEXT(B2669,"YYYY-MM"),LEFT(B2669,7)))</f>
        <v/>
      </c>
    </row>
    <row r="2670">
      <c r="A2670" t="inlineStr">
        <is>
          <t>James Parker Mckeown</t>
        </is>
      </c>
      <c r="B2670" s="4" t="n">
        <v>46037</v>
      </c>
      <c r="C2670" t="inlineStr">
        <is>
          <t>/</t>
        </is>
      </c>
      <c r="D2670" t="inlineStr">
        <is>
          <t>James Parker Mckeown</t>
        </is>
      </c>
      <c r="E2670" t="inlineStr">
        <is>
          <t>James Parker Mckeown</t>
        </is>
      </c>
      <c r="F2670" s="5" t="n">
        <v>46156.84099537037</v>
      </c>
      <c r="H2670" t="inlineStr">
        <is>
          <t>Non-Billable Tasks</t>
        </is>
      </c>
      <c r="I2670" t="n">
        <v>1</v>
      </c>
      <c r="K2670" t="inlineStr">
        <is>
          <t>Communication/Data/Training</t>
        </is>
      </c>
      <c r="L2670" t="b">
        <v>0</v>
      </c>
      <c r="M2670" t="inlineStr">
        <is>
          <t>Non-Billable</t>
        </is>
      </c>
      <c r="N2670" s="6">
        <f>IF(B2670="","",IF(ISNUMBER(B2670),TEXT(B2670,"YYYY-MM"),LEFT(B2670,7)))</f>
        <v/>
      </c>
    </row>
    <row r="2671">
      <c r="A2671" t="inlineStr">
        <is>
          <t>James Parker Mckeown</t>
        </is>
      </c>
      <c r="B2671" s="4" t="n">
        <v>46037</v>
      </c>
      <c r="C2671" t="inlineStr">
        <is>
          <t xml:space="preserve">Nitrian - Forest cover classification
</t>
        </is>
      </c>
      <c r="D2671" t="inlineStr">
        <is>
          <t>James Parker Mckeown</t>
        </is>
      </c>
      <c r="E2671" t="inlineStr">
        <is>
          <t>James Parker Mckeown</t>
        </is>
      </c>
      <c r="F2671" s="5" t="n">
        <v>46156.83969907407</v>
      </c>
      <c r="H2671" t="inlineStr">
        <is>
          <t>PCGH762 - GVL HCSA Restoration Project</t>
        </is>
      </c>
      <c r="I2671" t="n">
        <v>1</v>
      </c>
      <c r="J2671" t="inlineStr">
        <is>
          <t>PCGH762 - Baseline Socio-Economic &amp; Environmental Surveys (Golden Veroleum Liberia)</t>
        </is>
      </c>
      <c r="L2671" t="b">
        <v>1</v>
      </c>
      <c r="M2671" t="inlineStr">
        <is>
          <t>Billed at a Fixed price</t>
        </is>
      </c>
      <c r="N2671" s="6">
        <f>IF(B2671="","",IF(ISNUMBER(B2671),TEXT(B2671,"YYYY-MM"),LEFT(B2671,7)))</f>
        <v/>
      </c>
    </row>
    <row r="2672">
      <c r="A2672" t="inlineStr">
        <is>
          <t>James Parker Mckeown</t>
        </is>
      </c>
      <c r="B2672" s="4" t="n">
        <v>46037</v>
      </c>
      <c r="C2672" t="inlineStr">
        <is>
          <t>Wan Jian / PFAFR Introduction</t>
        </is>
      </c>
      <c r="D2672" t="inlineStr">
        <is>
          <t>James Parker Mckeown</t>
        </is>
      </c>
      <c r="E2672" t="inlineStr">
        <is>
          <t>James Parker Mckeown</t>
        </is>
      </c>
      <c r="F2672" s="5" t="n">
        <v>46156.83886574074</v>
      </c>
      <c r="H2672" t="inlineStr">
        <is>
          <t>Non-Billable Tasks</t>
        </is>
      </c>
      <c r="I2672" t="n">
        <v>1</v>
      </c>
      <c r="K2672" t="inlineStr">
        <is>
          <t>Business Development and Networking</t>
        </is>
      </c>
      <c r="L2672" t="b">
        <v>0</v>
      </c>
      <c r="M2672" t="inlineStr">
        <is>
          <t>Non-Billable</t>
        </is>
      </c>
      <c r="N2672" s="6">
        <f>IF(B2672="","",IF(ISNUMBER(B2672),TEXT(B2672,"YYYY-MM"),LEFT(B2672,7)))</f>
        <v/>
      </c>
    </row>
    <row r="2673">
      <c r="A2673" t="inlineStr">
        <is>
          <t>James Parker Mckeown</t>
        </is>
      </c>
      <c r="B2673" s="4" t="n">
        <v>46037</v>
      </c>
      <c r="C2673" t="inlineStr">
        <is>
          <t>Daleba Appraisal and Annual Planning</t>
        </is>
      </c>
      <c r="D2673" t="inlineStr">
        <is>
          <t>James Parker Mckeown</t>
        </is>
      </c>
      <c r="E2673" t="inlineStr">
        <is>
          <t>James Parker Mckeown</t>
        </is>
      </c>
      <c r="F2673" s="5" t="n">
        <v>46156.83792824074</v>
      </c>
      <c r="H2673" t="inlineStr">
        <is>
          <t>Non-Billable Tasks</t>
        </is>
      </c>
      <c r="I2673" t="n">
        <v>2</v>
      </c>
      <c r="K2673" t="inlineStr">
        <is>
          <t>Line Management</t>
        </is>
      </c>
      <c r="L2673" t="b">
        <v>0</v>
      </c>
      <c r="M2673" t="inlineStr">
        <is>
          <t>Non-Billable</t>
        </is>
      </c>
      <c r="N2673" s="6">
        <f>IF(B2673="","",IF(ISNUMBER(B2673),TEXT(B2673,"YYYY-MM"),LEFT(B2673,7)))</f>
        <v/>
      </c>
    </row>
    <row r="2674">
      <c r="A2674" t="inlineStr">
        <is>
          <t>Stephen Doso</t>
        </is>
      </c>
      <c r="B2674" s="4" t="n">
        <v>46037</v>
      </c>
      <c r="C2674" t="inlineStr">
        <is>
          <t>Business skills training planning call</t>
        </is>
      </c>
      <c r="D2674" t="inlineStr">
        <is>
          <t>Stephen Doso</t>
        </is>
      </c>
      <c r="E2674" t="inlineStr">
        <is>
          <t>OdooBot</t>
        </is>
      </c>
      <c r="F2674" s="5" t="n">
        <v>46154.70721064815</v>
      </c>
      <c r="H2674" t="inlineStr">
        <is>
          <t>Non-Billable Tasks</t>
        </is>
      </c>
      <c r="I2674" t="n">
        <v>1.5</v>
      </c>
      <c r="K2674" t="inlineStr">
        <is>
          <t>Communication/Data/Training</t>
        </is>
      </c>
      <c r="L2674" t="b">
        <v>0</v>
      </c>
      <c r="M2674" t="inlineStr">
        <is>
          <t>Non-Billable</t>
        </is>
      </c>
      <c r="N2674" s="6">
        <f>IF(B2674="","",IF(ISNUMBER(B2674),TEXT(B2674,"YYYY-MM"),LEFT(B2674,7)))</f>
        <v/>
      </c>
    </row>
    <row r="2675">
      <c r="A2675" t="inlineStr">
        <is>
          <t>Stephen Doso</t>
        </is>
      </c>
      <c r="B2675" s="4" t="n">
        <v>46037</v>
      </c>
      <c r="C2675" t="inlineStr">
        <is>
          <t>Global landscape call</t>
        </is>
      </c>
      <c r="D2675" t="inlineStr">
        <is>
          <t>Stephen Doso</t>
        </is>
      </c>
      <c r="E2675" t="inlineStr">
        <is>
          <t>OdooBot</t>
        </is>
      </c>
      <c r="F2675" s="5" t="n">
        <v>46154.70721064815</v>
      </c>
      <c r="H2675" t="inlineStr">
        <is>
          <t>Non-Billable Tasks</t>
        </is>
      </c>
      <c r="I2675" t="n">
        <v>1.5</v>
      </c>
      <c r="K2675" t="inlineStr">
        <is>
          <t>Professional development and Knowledge sharing(training,global knowledge calls,exchange weeks)</t>
        </is>
      </c>
      <c r="L2675" t="b">
        <v>0</v>
      </c>
      <c r="M2675" t="inlineStr">
        <is>
          <t>Non-Billable</t>
        </is>
      </c>
      <c r="N2675" s="6">
        <f>IF(B2675="","",IF(ISNUMBER(B2675),TEXT(B2675,"YYYY-MM"),LEFT(B2675,7)))</f>
        <v/>
      </c>
    </row>
    <row r="2676">
      <c r="A2676" t="inlineStr">
        <is>
          <t>Stephen Doso</t>
        </is>
      </c>
      <c r="B2676" s="4" t="n">
        <v>46037</v>
      </c>
      <c r="C2676" t="inlineStr">
        <is>
          <t>/</t>
        </is>
      </c>
      <c r="D2676" t="inlineStr">
        <is>
          <t>Stephen Doso</t>
        </is>
      </c>
      <c r="E2676" t="inlineStr">
        <is>
          <t>OdooBot</t>
        </is>
      </c>
      <c r="F2676" s="5" t="n">
        <v>46154.70721064815</v>
      </c>
      <c r="H2676" t="inlineStr">
        <is>
          <t>PCGH769</t>
        </is>
      </c>
      <c r="I2676" t="n">
        <v>2</v>
      </c>
      <c r="J2676" t="inlineStr">
        <is>
          <t>PCGH769 - Desk Study (2) (Biase Plantations Ltd.)</t>
        </is>
      </c>
      <c r="K2676" t="inlineStr">
        <is>
          <t>HCV/HCS - Reporting and review</t>
        </is>
      </c>
      <c r="L2676" t="b">
        <v>1</v>
      </c>
      <c r="M2676" t="inlineStr">
        <is>
          <t>Billed at a Fixed price</t>
        </is>
      </c>
      <c r="N2676" s="6">
        <f>IF(B2676="","",IF(ISNUMBER(B2676),TEXT(B2676,"YYYY-MM"),LEFT(B2676,7)))</f>
        <v/>
      </c>
    </row>
    <row r="2677">
      <c r="A2677" t="inlineStr">
        <is>
          <t>Stephen Doso</t>
        </is>
      </c>
      <c r="B2677" s="4" t="n">
        <v>46037</v>
      </c>
      <c r="C2677" t="inlineStr">
        <is>
          <t>/</t>
        </is>
      </c>
      <c r="D2677" t="inlineStr">
        <is>
          <t>Stephen Doso</t>
        </is>
      </c>
      <c r="E2677" t="inlineStr">
        <is>
          <t>OdooBot</t>
        </is>
      </c>
      <c r="F2677" s="5" t="n">
        <v>46154.70721064815</v>
      </c>
      <c r="H2677" t="inlineStr">
        <is>
          <t>Non-Billable Tasks</t>
        </is>
      </c>
      <c r="I2677" t="n">
        <v>3</v>
      </c>
      <c r="K2677" t="inlineStr">
        <is>
          <t>Line Management</t>
        </is>
      </c>
      <c r="L2677" t="b">
        <v>0</v>
      </c>
      <c r="M2677" t="inlineStr">
        <is>
          <t>Non-Billable</t>
        </is>
      </c>
      <c r="N2677" s="6">
        <f>IF(B2677="","",IF(ISNUMBER(B2677),TEXT(B2677,"YYYY-MM"),LEFT(B2677,7)))</f>
        <v/>
      </c>
    </row>
    <row r="2678">
      <c r="A2678" t="inlineStr">
        <is>
          <t>Ekow Nyamekye Tawiah</t>
        </is>
      </c>
      <c r="B2678" s="4" t="n">
        <v>46037</v>
      </c>
      <c r="C2678" t="inlineStr">
        <is>
          <t>PLUP Bi-weekly catch-up</t>
        </is>
      </c>
      <c r="D2678" t="inlineStr">
        <is>
          <t>Ekow Nyamekye Tawiah</t>
        </is>
      </c>
      <c r="E2678" t="inlineStr">
        <is>
          <t>OdooBot</t>
        </is>
      </c>
      <c r="F2678" s="5" t="n">
        <v>46154.70721064815</v>
      </c>
      <c r="H2678" t="inlineStr">
        <is>
          <t>PCGH761</t>
        </is>
      </c>
      <c r="I2678" t="n">
        <v>1.5</v>
      </c>
      <c r="J2678" t="inlineStr">
        <is>
          <t>PCGH761 - Training, Capacity Building and Coaching (3) (Fauna and Flora International Liberia)</t>
        </is>
      </c>
      <c r="K2678" t="inlineStr">
        <is>
          <t>Training, Capacity Building and Coaching (3)</t>
        </is>
      </c>
      <c r="L2678" t="b">
        <v>1</v>
      </c>
      <c r="M2678" t="inlineStr">
        <is>
          <t>Billed at a Fixed price</t>
        </is>
      </c>
      <c r="N2678" s="6">
        <f>IF(B2678="","",IF(ISNUMBER(B2678),TEXT(B2678,"YYYY-MM"),LEFT(B2678,7)))</f>
        <v/>
      </c>
    </row>
    <row r="2679">
      <c r="A2679" t="inlineStr">
        <is>
          <t>Ekow Nyamekye Tawiah</t>
        </is>
      </c>
      <c r="B2679" s="4" t="n">
        <v>46037</v>
      </c>
      <c r="C2679" t="inlineStr">
        <is>
          <t>/</t>
        </is>
      </c>
      <c r="D2679" t="inlineStr">
        <is>
          <t>Ekow Nyamekye Tawiah</t>
        </is>
      </c>
      <c r="E2679" t="inlineStr">
        <is>
          <t>OdooBot</t>
        </is>
      </c>
      <c r="F2679" s="5" t="n">
        <v>46154.70721064815</v>
      </c>
      <c r="H2679" t="inlineStr">
        <is>
          <t>Non-Billable Tasks</t>
        </is>
      </c>
      <c r="I2679" t="n">
        <v>1.5</v>
      </c>
      <c r="K2679" t="inlineStr">
        <is>
          <t>Professional development and Knowledge sharing(training,global knowledge calls,exchange weeks)</t>
        </is>
      </c>
      <c r="L2679" t="b">
        <v>0</v>
      </c>
      <c r="M2679" t="inlineStr">
        <is>
          <t>Non-Billable</t>
        </is>
      </c>
      <c r="N2679" s="6">
        <f>IF(B2679="","",IF(ISNUMBER(B2679),TEXT(B2679,"YYYY-MM"),LEFT(B2679,7)))</f>
        <v/>
      </c>
    </row>
    <row r="2680">
      <c r="A2680" t="inlineStr">
        <is>
          <t>Ekow Nyamekye Tawiah</t>
        </is>
      </c>
      <c r="B2680" s="4" t="n">
        <v>46037</v>
      </c>
      <c r="C2680" t="inlineStr">
        <is>
          <t>Proforest Welare</t>
        </is>
      </c>
      <c r="D2680" t="inlineStr">
        <is>
          <t>Ekow Nyamekye Tawiah</t>
        </is>
      </c>
      <c r="E2680" t="inlineStr">
        <is>
          <t>OdooBot</t>
        </is>
      </c>
      <c r="F2680" s="5" t="n">
        <v>46154.70721064815</v>
      </c>
      <c r="H2680" t="inlineStr">
        <is>
          <t>Non-Billable Tasks</t>
        </is>
      </c>
      <c r="I2680" t="n">
        <v>1</v>
      </c>
      <c r="K2680" t="inlineStr">
        <is>
          <t>Other management activities</t>
        </is>
      </c>
      <c r="L2680" t="b">
        <v>0</v>
      </c>
      <c r="M2680" t="inlineStr">
        <is>
          <t>Non-Billable</t>
        </is>
      </c>
      <c r="N2680" s="6">
        <f>IF(B2680="","",IF(ISNUMBER(B2680),TEXT(B2680,"YYYY-MM"),LEFT(B2680,7)))</f>
        <v/>
      </c>
    </row>
    <row r="2681">
      <c r="A2681" t="inlineStr">
        <is>
          <t>Afua Serwah Akoto Prempeh</t>
        </is>
      </c>
      <c r="B2681" s="4" t="n">
        <v>46037</v>
      </c>
      <c r="C2681" t="inlineStr">
        <is>
          <t>/</t>
        </is>
      </c>
      <c r="D2681" t="inlineStr">
        <is>
          <t>Afua Serwah Akoto Prempeh</t>
        </is>
      </c>
      <c r="E2681" t="inlineStr">
        <is>
          <t>OdooBot</t>
        </is>
      </c>
      <c r="F2681" s="5" t="n">
        <v>46154.70721064815</v>
      </c>
      <c r="H2681" t="inlineStr">
        <is>
          <t>Non-Billable Tasks</t>
        </is>
      </c>
      <c r="I2681" t="n">
        <v>8</v>
      </c>
      <c r="K2681" t="inlineStr">
        <is>
          <t>Communication/Data/Training</t>
        </is>
      </c>
      <c r="L2681" t="b">
        <v>0</v>
      </c>
      <c r="M2681" t="inlineStr">
        <is>
          <t>Non-Billable</t>
        </is>
      </c>
      <c r="N2681" s="6">
        <f>IF(B2681="","",IF(ISNUMBER(B2681),TEXT(B2681,"YYYY-MM"),LEFT(B2681,7)))</f>
        <v/>
      </c>
    </row>
    <row r="2682">
      <c r="A2682" t="inlineStr">
        <is>
          <t>Clement Obeng-Manu</t>
        </is>
      </c>
      <c r="B2682" s="4" t="n">
        <v>46037</v>
      </c>
      <c r="C2682" t="inlineStr">
        <is>
          <t>/</t>
        </is>
      </c>
      <c r="D2682" t="inlineStr">
        <is>
          <t>Clement Obeng-Manu</t>
        </is>
      </c>
      <c r="E2682" t="inlineStr">
        <is>
          <t>OdooBot</t>
        </is>
      </c>
      <c r="F2682" s="5" t="n">
        <v>46154.70721064815</v>
      </c>
      <c r="H2682" t="inlineStr">
        <is>
          <t>PCGH769</t>
        </is>
      </c>
      <c r="I2682" t="n">
        <v>8</v>
      </c>
      <c r="J2682" t="inlineStr">
        <is>
          <t>PCGH769 - Analysis and Reporting (2) (Biase Plantations Ltd.)</t>
        </is>
      </c>
      <c r="K2682" t="inlineStr">
        <is>
          <t>HCV/HCS - Reporting</t>
        </is>
      </c>
      <c r="L2682" t="b">
        <v>1</v>
      </c>
      <c r="M2682" t="inlineStr">
        <is>
          <t>Billed at a Fixed price</t>
        </is>
      </c>
      <c r="N2682" s="6">
        <f>IF(B2682="","",IF(ISNUMBER(B2682),TEXT(B2682,"YYYY-MM"),LEFT(B2682,7)))</f>
        <v/>
      </c>
    </row>
    <row r="2683">
      <c r="A2683" t="inlineStr">
        <is>
          <t>Augustus Asamoah</t>
        </is>
      </c>
      <c r="B2683" s="4" t="n">
        <v>46037</v>
      </c>
      <c r="C2683" t="inlineStr">
        <is>
          <t>/</t>
        </is>
      </c>
      <c r="D2683" t="inlineStr">
        <is>
          <t>Augustus Asamoah</t>
        </is>
      </c>
      <c r="E2683" t="inlineStr">
        <is>
          <t>OdooBot</t>
        </is>
      </c>
      <c r="F2683" s="5" t="n">
        <v>46154.70721064815</v>
      </c>
      <c r="H2683" t="inlineStr">
        <is>
          <t>Non-Billable Tasks</t>
        </is>
      </c>
      <c r="I2683" t="n">
        <v>8</v>
      </c>
      <c r="K2683" t="inlineStr">
        <is>
          <t>Time Off</t>
        </is>
      </c>
      <c r="L2683" t="b">
        <v>0</v>
      </c>
      <c r="M2683" t="inlineStr">
        <is>
          <t>Non-Billable</t>
        </is>
      </c>
      <c r="N2683" s="6">
        <f>IF(B2683="","",IF(ISNUMBER(B2683),TEXT(B2683,"YYYY-MM"),LEFT(B2683,7)))</f>
        <v/>
      </c>
    </row>
    <row r="2684">
      <c r="A2684" t="inlineStr">
        <is>
          <t>Helena Tetteh</t>
        </is>
      </c>
      <c r="B2684" s="4" t="n">
        <v>46037</v>
      </c>
      <c r="C2684" t="inlineStr">
        <is>
          <t>/</t>
        </is>
      </c>
      <c r="D2684" t="inlineStr">
        <is>
          <t xml:space="preserve">Helena Tetteh </t>
        </is>
      </c>
      <c r="E2684" t="inlineStr">
        <is>
          <t>OdooBot</t>
        </is>
      </c>
      <c r="F2684" s="5" t="n">
        <v>46154.70721064815</v>
      </c>
      <c r="G2684" t="inlineStr">
        <is>
          <t>Analysis and Reporting</t>
        </is>
      </c>
      <c r="H2684" t="inlineStr">
        <is>
          <t>PCGH761</t>
        </is>
      </c>
      <c r="I2684" t="n">
        <v>1.5</v>
      </c>
      <c r="J2684" t="inlineStr">
        <is>
          <t>PCGH761 - Analysis and Reporting (3) (Fauna and Flora International Liberia)</t>
        </is>
      </c>
      <c r="K2684" t="inlineStr">
        <is>
          <t>Data analysis, digitisation of PLUPs and validation of prepared maps, preparation of draft PLUP reports</t>
        </is>
      </c>
      <c r="L2684" t="b">
        <v>1</v>
      </c>
      <c r="M2684" t="inlineStr">
        <is>
          <t>Billed at a Fixed price</t>
        </is>
      </c>
      <c r="N2684" s="6">
        <f>IF(B2684="","",IF(ISNUMBER(B2684),TEXT(B2684,"YYYY-MM"),LEFT(B2684,7)))</f>
        <v/>
      </c>
    </row>
    <row r="2685">
      <c r="A2685" t="inlineStr">
        <is>
          <t>Helena Tetteh</t>
        </is>
      </c>
      <c r="B2685" s="4" t="n">
        <v>46037</v>
      </c>
      <c r="C2685" t="inlineStr">
        <is>
          <t>Global Production Landscapes Call</t>
        </is>
      </c>
      <c r="D2685" t="inlineStr">
        <is>
          <t xml:space="preserve">Helena Tetteh </t>
        </is>
      </c>
      <c r="E2685" t="inlineStr">
        <is>
          <t>OdooBot</t>
        </is>
      </c>
      <c r="F2685" s="5" t="n">
        <v>46154.70721064815</v>
      </c>
      <c r="H2685" t="inlineStr">
        <is>
          <t>Non-Billable Tasks</t>
        </is>
      </c>
      <c r="I2685" t="n">
        <v>1.5</v>
      </c>
      <c r="K2685" t="inlineStr">
        <is>
          <t>Professional development and Knowledge sharing(training,global knowledge calls,exchange weeks)</t>
        </is>
      </c>
      <c r="L2685" t="b">
        <v>0</v>
      </c>
      <c r="M2685" t="inlineStr">
        <is>
          <t>Non-Billable</t>
        </is>
      </c>
      <c r="N2685" s="6">
        <f>IF(B2685="","",IF(ISNUMBER(B2685),TEXT(B2685,"YYYY-MM"),LEFT(B2685,7)))</f>
        <v/>
      </c>
    </row>
    <row r="2686">
      <c r="A2686" t="inlineStr">
        <is>
          <t>Helena Tetteh</t>
        </is>
      </c>
      <c r="B2686" s="4" t="n">
        <v>46037</v>
      </c>
      <c r="C2686" t="inlineStr">
        <is>
          <t>/</t>
        </is>
      </c>
      <c r="D2686" t="inlineStr">
        <is>
          <t xml:space="preserve">Helena Tetteh </t>
        </is>
      </c>
      <c r="E2686" t="inlineStr">
        <is>
          <t>OdooBot</t>
        </is>
      </c>
      <c r="F2686" s="5" t="n">
        <v>46154.70721064815</v>
      </c>
      <c r="G2686" t="inlineStr">
        <is>
          <t>Output 3</t>
        </is>
      </c>
      <c r="H2686" t="inlineStr">
        <is>
          <t>P23AC00C00 - FGMC</t>
        </is>
      </c>
      <c r="I2686" t="n">
        <v>3</v>
      </c>
      <c r="K2686" t="inlineStr">
        <is>
          <t>P23AC13A00 - Output one (Demand Side Analysis and Policy Intergration.</t>
        </is>
      </c>
      <c r="L2686" t="b">
        <v>0</v>
      </c>
      <c r="M2686" t="inlineStr">
        <is>
          <t>Non-Billable</t>
        </is>
      </c>
      <c r="N2686" s="6">
        <f>IF(B2686="","",IF(ISNUMBER(B2686),TEXT(B2686,"YYYY-MM"),LEFT(B2686,7)))</f>
        <v/>
      </c>
    </row>
    <row r="2687">
      <c r="A2687" t="inlineStr">
        <is>
          <t>Helena Tetteh</t>
        </is>
      </c>
      <c r="B2687" s="4" t="n">
        <v>46037</v>
      </c>
      <c r="C2687" t="inlineStr">
        <is>
          <t>Report Review_LRP Final Project Results and Operations Report Dec 2025</t>
        </is>
      </c>
      <c r="D2687" t="inlineStr">
        <is>
          <t xml:space="preserve">Helena Tetteh </t>
        </is>
      </c>
      <c r="E2687" t="inlineStr">
        <is>
          <t>OdooBot</t>
        </is>
      </c>
      <c r="F2687" s="5" t="n">
        <v>46154.70721064815</v>
      </c>
      <c r="G2687" t="inlineStr">
        <is>
          <t>Programme Personnel</t>
        </is>
      </c>
      <c r="H2687" t="inlineStr">
        <is>
          <t>P13GC00A00 - GAC Ulula</t>
        </is>
      </c>
      <c r="I2687" t="n">
        <v>2</v>
      </c>
      <c r="K2687" t="inlineStr">
        <is>
          <t>Programme Personnel （Project Manger 2）</t>
        </is>
      </c>
      <c r="L2687" t="b">
        <v>0</v>
      </c>
      <c r="M2687" t="inlineStr">
        <is>
          <t>Non-Billable</t>
        </is>
      </c>
      <c r="N2687" s="6">
        <f>IF(B2687="","",IF(ISNUMBER(B2687),TEXT(B2687,"YYYY-MM"),LEFT(B2687,7)))</f>
        <v/>
      </c>
    </row>
    <row r="2688">
      <c r="A2688" t="inlineStr">
        <is>
          <t>Kwadwo Baniako Nti</t>
        </is>
      </c>
      <c r="B2688" s="4" t="n">
        <v>46037</v>
      </c>
      <c r="C2688" t="inlineStr">
        <is>
          <t>/</t>
        </is>
      </c>
      <c r="D2688" t="inlineStr">
        <is>
          <t>Kwadwo Baniako Nti</t>
        </is>
      </c>
      <c r="E2688" t="inlineStr">
        <is>
          <t>OdooBot</t>
        </is>
      </c>
      <c r="F2688" s="5" t="n">
        <v>46154.70721064815</v>
      </c>
      <c r="G2688" t="inlineStr">
        <is>
          <t>Desk Study</t>
        </is>
      </c>
      <c r="H2688" t="inlineStr">
        <is>
          <t>PCGH762 - GVL HCSA Restoration Project</t>
        </is>
      </c>
      <c r="I2688" t="n">
        <v>8</v>
      </c>
      <c r="J2688" t="inlineStr">
        <is>
          <t>PCGH762 - Desk Review, Stakeholder Mapping &amp; Analysis and Engagement (Golden Veroleum Liberia)</t>
        </is>
      </c>
      <c r="K2688" t="inlineStr">
        <is>
          <t>Desk Review, Stakeholder Mapping &amp; Analysis and Engagement</t>
        </is>
      </c>
      <c r="L2688" t="b">
        <v>1</v>
      </c>
      <c r="M2688" t="inlineStr">
        <is>
          <t>Billed at a Fixed price</t>
        </is>
      </c>
      <c r="N2688" s="6">
        <f>IF(B2688="","",IF(ISNUMBER(B2688),TEXT(B2688,"YYYY-MM"),LEFT(B2688,7)))</f>
        <v/>
      </c>
    </row>
    <row r="2689">
      <c r="A2689" t="inlineStr">
        <is>
          <t>Joseph Isaiah Mensah</t>
        </is>
      </c>
      <c r="B2689" s="4" t="n">
        <v>46037</v>
      </c>
      <c r="C2689" t="inlineStr">
        <is>
          <t>/</t>
        </is>
      </c>
      <c r="D2689" t="inlineStr">
        <is>
          <t>Joseph Isaiah Mensah</t>
        </is>
      </c>
      <c r="E2689" t="inlineStr">
        <is>
          <t>OdooBot</t>
        </is>
      </c>
      <c r="F2689" s="5" t="n">
        <v>46154.70721064815</v>
      </c>
      <c r="H2689" t="inlineStr">
        <is>
          <t>PCGH762 - GVL HCSA Restoration Project</t>
        </is>
      </c>
      <c r="I2689" t="n">
        <v>5.833333333333333</v>
      </c>
      <c r="J2689" t="inlineStr">
        <is>
          <t>PCGH763 - Desk study (Due diligence) (Jopafram Nigeria Limited)</t>
        </is>
      </c>
      <c r="K2689" t="inlineStr">
        <is>
          <t>Fundraising and proposal development</t>
        </is>
      </c>
      <c r="L2689" t="b">
        <v>1</v>
      </c>
      <c r="M2689" t="inlineStr">
        <is>
          <t>Billed at a Fixed price</t>
        </is>
      </c>
      <c r="N2689" s="6">
        <f>IF(B2689="","",IF(ISNUMBER(B2689),TEXT(B2689,"YYYY-MM"),LEFT(B2689,7)))</f>
        <v/>
      </c>
    </row>
    <row r="2690">
      <c r="A2690" t="inlineStr">
        <is>
          <t>Joseph Isaiah Mensah</t>
        </is>
      </c>
      <c r="B2690" s="4" t="n">
        <v>46037</v>
      </c>
      <c r="C2690" t="inlineStr">
        <is>
          <t>Global Prod. Landscape Call</t>
        </is>
      </c>
      <c r="D2690" t="inlineStr">
        <is>
          <t>Joseph Isaiah Mensah</t>
        </is>
      </c>
      <c r="E2690" t="inlineStr">
        <is>
          <t>OdooBot</t>
        </is>
      </c>
      <c r="F2690" s="5" t="n">
        <v>46154.70721064815</v>
      </c>
      <c r="H2690" t="inlineStr">
        <is>
          <t>Non-Billable Tasks</t>
        </is>
      </c>
      <c r="I2690" t="n">
        <v>1.833333333333333</v>
      </c>
      <c r="K2690" t="inlineStr">
        <is>
          <t>Professional development and Knowledge sharing(training,global knowledge calls,exchange weeks)</t>
        </is>
      </c>
      <c r="L2690" t="b">
        <v>0</v>
      </c>
      <c r="M2690" t="inlineStr">
        <is>
          <t>Non-Billable</t>
        </is>
      </c>
      <c r="N2690" s="6">
        <f>IF(B2690="","",IF(ISNUMBER(B2690),TEXT(B2690,"YYYY-MM"),LEFT(B2690,7)))</f>
        <v/>
      </c>
    </row>
    <row r="2691">
      <c r="A2691" t="inlineStr">
        <is>
          <t>Joseph Isaiah Mensah</t>
        </is>
      </c>
      <c r="B2691" s="4" t="n">
        <v>46037</v>
      </c>
      <c r="C2691" t="inlineStr">
        <is>
          <t>PFAFR - landscape review with Joko Arif and Shinta</t>
        </is>
      </c>
      <c r="D2691" t="inlineStr">
        <is>
          <t>Joseph Isaiah Mensah</t>
        </is>
      </c>
      <c r="E2691" t="inlineStr">
        <is>
          <t>OdooBot</t>
        </is>
      </c>
      <c r="F2691" s="5" t="n">
        <v>46154.70721064815</v>
      </c>
      <c r="H2691" t="inlineStr">
        <is>
          <t>Non-Billable Tasks</t>
        </is>
      </c>
      <c r="I2691" t="n">
        <v>1</v>
      </c>
      <c r="K2691" t="inlineStr">
        <is>
          <t>Business Development and Networking</t>
        </is>
      </c>
      <c r="L2691" t="b">
        <v>0</v>
      </c>
      <c r="M2691" t="inlineStr">
        <is>
          <t>Non-Billable</t>
        </is>
      </c>
      <c r="N2691" s="6">
        <f>IF(B2691="","",IF(ISNUMBER(B2691),TEXT(B2691,"YYYY-MM"),LEFT(B2691,7)))</f>
        <v/>
      </c>
    </row>
    <row r="2692">
      <c r="A2692" t="inlineStr">
        <is>
          <t>Louis Defo</t>
        </is>
      </c>
      <c r="B2692" s="4" t="n">
        <v>46037</v>
      </c>
      <c r="C2692" t="inlineStr">
        <is>
          <t>/</t>
        </is>
      </c>
      <c r="D2692" t="inlineStr">
        <is>
          <t>Louis Defo</t>
        </is>
      </c>
      <c r="E2692" t="inlineStr">
        <is>
          <t>OdooBot</t>
        </is>
      </c>
      <c r="F2692" s="5" t="n">
        <v>46154.70721064815</v>
      </c>
      <c r="H2692" t="inlineStr">
        <is>
          <t>Internal</t>
        </is>
      </c>
      <c r="I2692" t="n">
        <v>8</v>
      </c>
      <c r="L2692" t="b">
        <v>0</v>
      </c>
      <c r="M2692" t="inlineStr">
        <is>
          <t>Non-Billable</t>
        </is>
      </c>
      <c r="N2692" s="6">
        <f>IF(B2692="","",IF(ISNUMBER(B2692),TEXT(B2692,"YYYY-MM"),LEFT(B2692,7)))</f>
        <v/>
      </c>
    </row>
    <row r="2693">
      <c r="A2693" t="inlineStr">
        <is>
          <t>Kingsley Fitz-Gerald Severine</t>
        </is>
      </c>
      <c r="B2693" s="4" t="n">
        <v>46037</v>
      </c>
      <c r="C2693" t="inlineStr">
        <is>
          <t>/</t>
        </is>
      </c>
      <c r="D2693" t="inlineStr">
        <is>
          <t>Kingsley Fitz-Gerald Severine</t>
        </is>
      </c>
      <c r="E2693" t="inlineStr">
        <is>
          <t>OdooBot</t>
        </is>
      </c>
      <c r="F2693" s="5" t="n">
        <v>46154.70721064815</v>
      </c>
      <c r="H2693" t="inlineStr">
        <is>
          <t>PCGH771</t>
        </is>
      </c>
      <c r="I2693" t="n">
        <v>8</v>
      </c>
      <c r="J2693" t="inlineStr">
        <is>
          <t>PCGH771 - Analysis and Reporting (3) (Okeosisi Jonathan)</t>
        </is>
      </c>
      <c r="K2693" t="inlineStr">
        <is>
          <t>Analysis and Reporting (Reporting)</t>
        </is>
      </c>
      <c r="L2693" t="b">
        <v>1</v>
      </c>
      <c r="M2693" t="inlineStr">
        <is>
          <t>Billed at a Fixed price</t>
        </is>
      </c>
      <c r="N2693" s="6">
        <f>IF(B2693="","",IF(ISNUMBER(B2693),TEXT(B2693,"YYYY-MM"),LEFT(B2693,7)))</f>
        <v/>
      </c>
    </row>
    <row r="2694">
      <c r="A2694" t="inlineStr">
        <is>
          <t>Frederick Antwi</t>
        </is>
      </c>
      <c r="B2694" s="4" t="n">
        <v>46036</v>
      </c>
      <c r="C2694" t="inlineStr">
        <is>
          <t>/</t>
        </is>
      </c>
      <c r="D2694" t="inlineStr">
        <is>
          <t>Frederick Antwi</t>
        </is>
      </c>
      <c r="E2694" t="inlineStr">
        <is>
          <t>Frederick Antwi</t>
        </is>
      </c>
      <c r="F2694" s="5" t="n">
        <v>46160.54376157407</v>
      </c>
      <c r="H2694" t="inlineStr">
        <is>
          <t>P13NC00A00 - WALMART II</t>
        </is>
      </c>
      <c r="I2694" t="n">
        <v>3.5</v>
      </c>
      <c r="L2694" t="b">
        <v>0</v>
      </c>
      <c r="M2694" t="inlineStr">
        <is>
          <t>Non-Billable</t>
        </is>
      </c>
      <c r="N2694" s="6">
        <f>IF(B2694="","",IF(ISNUMBER(B2694),TEXT(B2694,"YYYY-MM"),LEFT(B2694,7)))</f>
        <v/>
      </c>
    </row>
    <row r="2695">
      <c r="A2695" t="inlineStr">
        <is>
          <t>Frederick Antwi</t>
        </is>
      </c>
      <c r="B2695" s="4" t="n">
        <v>46036</v>
      </c>
      <c r="C2695" t="inlineStr">
        <is>
          <t>/</t>
        </is>
      </c>
      <c r="D2695" t="inlineStr">
        <is>
          <t>Frederick Antwi</t>
        </is>
      </c>
      <c r="E2695" t="inlineStr">
        <is>
          <t>Frederick Antwi</t>
        </is>
      </c>
      <c r="F2695" s="5" t="n">
        <v>46160.54357638889</v>
      </c>
      <c r="H2695" t="inlineStr">
        <is>
          <t>PCGH768</t>
        </is>
      </c>
      <c r="I2695" t="n">
        <v>2</v>
      </c>
      <c r="L2695" t="b">
        <v>1</v>
      </c>
      <c r="M2695" t="inlineStr">
        <is>
          <t>Non-Billable</t>
        </is>
      </c>
      <c r="N2695" s="6">
        <f>IF(B2695="","",IF(ISNUMBER(B2695),TEXT(B2695,"YYYY-MM"),LEFT(B2695,7)))</f>
        <v/>
      </c>
    </row>
    <row r="2696">
      <c r="A2696" t="inlineStr">
        <is>
          <t>Frederick Antwi</t>
        </is>
      </c>
      <c r="B2696" s="4" t="n">
        <v>46036</v>
      </c>
      <c r="C2696" t="inlineStr">
        <is>
          <t>/</t>
        </is>
      </c>
      <c r="D2696" t="inlineStr">
        <is>
          <t>Frederick Antwi</t>
        </is>
      </c>
      <c r="E2696" t="inlineStr">
        <is>
          <t>Frederick Antwi</t>
        </is>
      </c>
      <c r="F2696" s="5" t="n">
        <v>46160.54341435185</v>
      </c>
      <c r="H2696" t="inlineStr">
        <is>
          <t>Non-Billable Tasks</t>
        </is>
      </c>
      <c r="I2696" t="n">
        <v>1.5</v>
      </c>
      <c r="L2696" t="b">
        <v>0</v>
      </c>
      <c r="M2696" t="inlineStr">
        <is>
          <t>Non-Billable</t>
        </is>
      </c>
      <c r="N2696" s="6">
        <f>IF(B2696="","",IF(ISNUMBER(B2696),TEXT(B2696,"YYYY-MM"),LEFT(B2696,7)))</f>
        <v/>
      </c>
    </row>
    <row r="2697">
      <c r="A2697" t="inlineStr">
        <is>
          <t>Frederick Antwi</t>
        </is>
      </c>
      <c r="B2697" s="4" t="n">
        <v>46036</v>
      </c>
      <c r="C2697" t="inlineStr">
        <is>
          <t>/</t>
        </is>
      </c>
      <c r="D2697" t="inlineStr">
        <is>
          <t>Frederick Antwi</t>
        </is>
      </c>
      <c r="E2697" t="inlineStr">
        <is>
          <t>Frederick Antwi</t>
        </is>
      </c>
      <c r="F2697" s="5" t="n">
        <v>46160.54326388889</v>
      </c>
      <c r="H2697" t="inlineStr">
        <is>
          <t>PCGH759</t>
        </is>
      </c>
      <c r="I2697" t="n">
        <v>1</v>
      </c>
      <c r="J2697" t="inlineStr">
        <is>
          <t>PCGH759 - PRESCO: Update of Glidepath (Proforest Limited(PCUK GBP))</t>
        </is>
      </c>
      <c r="L2697" t="b">
        <v>1</v>
      </c>
      <c r="M2697" t="inlineStr">
        <is>
          <t>Billed at a Fixed price</t>
        </is>
      </c>
      <c r="N2697" s="6">
        <f>IF(B2697="","",IF(ISNUMBER(B2697),TEXT(B2697,"YYYY-MM"),LEFT(B2697,7)))</f>
        <v/>
      </c>
    </row>
    <row r="2698">
      <c r="A2698" t="inlineStr">
        <is>
          <t>James Parker Mckeown</t>
        </is>
      </c>
      <c r="B2698" s="4" t="n">
        <v>46036</v>
      </c>
      <c r="C2698" t="inlineStr">
        <is>
          <t xml:space="preserve">Quarterly report preparation </t>
        </is>
      </c>
      <c r="D2698" t="inlineStr">
        <is>
          <t>James Parker Mckeown</t>
        </is>
      </c>
      <c r="E2698" t="inlineStr">
        <is>
          <t>James Parker Mckeown</t>
        </is>
      </c>
      <c r="F2698" s="5" t="n">
        <v>46156.83699074074</v>
      </c>
      <c r="H2698" t="inlineStr">
        <is>
          <t>PCGH762 - GVL HCSA Restoration Project</t>
        </is>
      </c>
      <c r="I2698" t="n">
        <v>3</v>
      </c>
      <c r="J2698" t="inlineStr">
        <is>
          <t>PCGH762 - Development and Implementation of MEL Framework (Golden Veroleum Liberia)</t>
        </is>
      </c>
      <c r="L2698" t="b">
        <v>1</v>
      </c>
      <c r="M2698" t="inlineStr">
        <is>
          <t>Billed at a Fixed price</t>
        </is>
      </c>
      <c r="N2698" s="6">
        <f>IF(B2698="","",IF(ISNUMBER(B2698),TEXT(B2698,"YYYY-MM"),LEFT(B2698,7)))</f>
        <v/>
      </c>
    </row>
    <row r="2699">
      <c r="A2699" t="inlineStr">
        <is>
          <t>James Parker Mckeown</t>
        </is>
      </c>
      <c r="B2699" s="4" t="n">
        <v>46036</v>
      </c>
      <c r="C2699" t="inlineStr">
        <is>
          <t>FAO conference: preparation of poster</t>
        </is>
      </c>
      <c r="D2699" t="inlineStr">
        <is>
          <t>James Parker Mckeown</t>
        </is>
      </c>
      <c r="E2699" t="inlineStr">
        <is>
          <t>James Parker Mckeown</t>
        </is>
      </c>
      <c r="F2699" s="5" t="n">
        <v>46156.83586805555</v>
      </c>
      <c r="H2699" t="inlineStr">
        <is>
          <t>Non-Billable Tasks</t>
        </is>
      </c>
      <c r="I2699" t="n">
        <v>1</v>
      </c>
      <c r="K2699" t="inlineStr">
        <is>
          <t>Communication/Data/Training</t>
        </is>
      </c>
      <c r="L2699" t="b">
        <v>0</v>
      </c>
      <c r="M2699" t="inlineStr">
        <is>
          <t>Non-Billable</t>
        </is>
      </c>
      <c r="N2699" s="6">
        <f>IF(B2699="","",IF(ISNUMBER(B2699),TEXT(B2699,"YYYY-MM"),LEFT(B2699,7)))</f>
        <v/>
      </c>
    </row>
    <row r="2700">
      <c r="A2700" t="inlineStr">
        <is>
          <t>James Parker Mckeown</t>
        </is>
      </c>
      <c r="B2700" s="4" t="n">
        <v>46036</v>
      </c>
      <c r="C2700" t="inlineStr">
        <is>
          <t>Discussion on 2026 priorities, deliverables and challenges</t>
        </is>
      </c>
      <c r="D2700" t="inlineStr">
        <is>
          <t>James Parker Mckeown</t>
        </is>
      </c>
      <c r="E2700" t="inlineStr">
        <is>
          <t>James Parker Mckeown</t>
        </is>
      </c>
      <c r="F2700" s="5" t="n">
        <v>46156.83519675926</v>
      </c>
      <c r="H2700" t="inlineStr">
        <is>
          <t>Non-Billable Tasks</t>
        </is>
      </c>
      <c r="I2700" t="n">
        <v>1</v>
      </c>
      <c r="K2700" t="inlineStr">
        <is>
          <t>Other management activities</t>
        </is>
      </c>
      <c r="L2700" t="b">
        <v>0</v>
      </c>
      <c r="M2700" t="inlineStr">
        <is>
          <t>Non-Billable</t>
        </is>
      </c>
      <c r="N2700" s="6">
        <f>IF(B2700="","",IF(ISNUMBER(B2700),TEXT(B2700,"YYYY-MM"),LEFT(B2700,7)))</f>
        <v/>
      </c>
    </row>
    <row r="2701">
      <c r="A2701" t="inlineStr">
        <is>
          <t>James Parker Mckeown</t>
        </is>
      </c>
      <c r="B2701" s="4" t="n">
        <v>46036</v>
      </c>
      <c r="C2701" t="inlineStr">
        <is>
          <t>Global RSP call - January 2026</t>
        </is>
      </c>
      <c r="D2701" t="inlineStr">
        <is>
          <t>James Parker Mckeown</t>
        </is>
      </c>
      <c r="E2701" t="inlineStr">
        <is>
          <t>James Parker Mckeown</t>
        </is>
      </c>
      <c r="F2701" s="5" t="n">
        <v>46156.83418981481</v>
      </c>
      <c r="H2701" t="inlineStr">
        <is>
          <t>Non-Billable Tasks</t>
        </is>
      </c>
      <c r="I2701" t="n">
        <v>1.5</v>
      </c>
      <c r="K2701" t="inlineStr">
        <is>
          <t>Professional development and Knowledge sharing(training,global knowledge calls,exchange weeks)</t>
        </is>
      </c>
      <c r="L2701" t="b">
        <v>0</v>
      </c>
      <c r="M2701" t="inlineStr">
        <is>
          <t>Non-Billable</t>
        </is>
      </c>
      <c r="N2701" s="6">
        <f>IF(B2701="","",IF(ISNUMBER(B2701),TEXT(B2701,"YYYY-MM"),LEFT(B2701,7)))</f>
        <v/>
      </c>
    </row>
    <row r="2702">
      <c r="A2702" t="inlineStr">
        <is>
          <t>James Parker Mckeown</t>
        </is>
      </c>
      <c r="B2702" s="4" t="n">
        <v>46036</v>
      </c>
      <c r="C2702" t="inlineStr">
        <is>
          <t>FGMC BRIDGE: Review of framework/template for mapping local initiatives</t>
        </is>
      </c>
      <c r="D2702" t="inlineStr">
        <is>
          <t>James Parker Mckeown</t>
        </is>
      </c>
      <c r="E2702" t="inlineStr">
        <is>
          <t>James Parker Mckeown</t>
        </is>
      </c>
      <c r="F2702" s="5" t="n">
        <v>46156.83300925926</v>
      </c>
      <c r="G2702" t="inlineStr">
        <is>
          <t>Output 2.3</t>
        </is>
      </c>
      <c r="H2702" t="inlineStr">
        <is>
          <t>P23AC00C00 - FGMC</t>
        </is>
      </c>
      <c r="I2702" t="n">
        <v>2</v>
      </c>
      <c r="K2702" t="inlineStr">
        <is>
          <t>P23AC22A00 - Output Two (Elevating Local Solutions - West Africa)</t>
        </is>
      </c>
      <c r="L2702" t="b">
        <v>0</v>
      </c>
      <c r="M2702" t="inlineStr">
        <is>
          <t>Non-Billable</t>
        </is>
      </c>
      <c r="N2702" s="6">
        <f>IF(B2702="","",IF(ISNUMBER(B2702),TEXT(B2702,"YYYY-MM"),LEFT(B2702,7)))</f>
        <v/>
      </c>
    </row>
    <row r="2703">
      <c r="A2703" t="inlineStr">
        <is>
          <t>James Parker Mckeown</t>
        </is>
      </c>
      <c r="B2703" s="4" t="n">
        <v>46036</v>
      </c>
      <c r="C2703" t="inlineStr">
        <is>
          <t>FGMC BRIDGE: Review of framework/template for mapping local initiatives</t>
        </is>
      </c>
      <c r="D2703" t="inlineStr">
        <is>
          <t>James Parker Mckeown</t>
        </is>
      </c>
      <c r="E2703" t="inlineStr">
        <is>
          <t>James Parker Mckeown</t>
        </is>
      </c>
      <c r="F2703" s="5" t="n">
        <v>46156.83126157407</v>
      </c>
      <c r="G2703" t="inlineStr">
        <is>
          <t>Output 2.3</t>
        </is>
      </c>
      <c r="H2703" t="inlineStr">
        <is>
          <t>P23AC00C00 - FGMC</t>
        </is>
      </c>
      <c r="I2703" t="n">
        <v>2</v>
      </c>
      <c r="K2703" t="inlineStr">
        <is>
          <t>P23AC22A00 - Output Two (Elevating Local Solutions - West Africa)</t>
        </is>
      </c>
      <c r="L2703" t="b">
        <v>0</v>
      </c>
      <c r="M2703" t="inlineStr">
        <is>
          <t>Non-Billable</t>
        </is>
      </c>
      <c r="N2703" s="6">
        <f>IF(B2703="","",IF(ISNUMBER(B2703),TEXT(B2703,"YYYY-MM"),LEFT(B2703,7)))</f>
        <v/>
      </c>
    </row>
    <row r="2704">
      <c r="A2704" t="inlineStr">
        <is>
          <t>Daleba Bernard Kpenahi Raymond</t>
        </is>
      </c>
      <c r="B2704" s="4" t="n">
        <v>46036</v>
      </c>
      <c r="C2704" t="inlineStr">
        <is>
          <t>/</t>
        </is>
      </c>
      <c r="D2704" t="inlineStr">
        <is>
          <t>Daleba Bernard Kpenahi Raymond</t>
        </is>
      </c>
      <c r="E2704" t="inlineStr">
        <is>
          <t>OdooBot</t>
        </is>
      </c>
      <c r="F2704" s="5" t="n">
        <v>46154.70721064815</v>
      </c>
      <c r="H2704" t="inlineStr">
        <is>
          <t>P23AC00C00 - FGMC</t>
        </is>
      </c>
      <c r="I2704" t="n">
        <v>2</v>
      </c>
      <c r="L2704" t="b">
        <v>0</v>
      </c>
      <c r="M2704" t="inlineStr">
        <is>
          <t>Non-Billable</t>
        </is>
      </c>
      <c r="N2704" s="6">
        <f>IF(B2704="","",IF(ISNUMBER(B2704),TEXT(B2704,"YYYY-MM"),LEFT(B2704,7)))</f>
        <v/>
      </c>
    </row>
    <row r="2705">
      <c r="A2705" t="inlineStr">
        <is>
          <t>Stephen Doso</t>
        </is>
      </c>
      <c r="B2705" s="4" t="n">
        <v>46036</v>
      </c>
      <c r="C2705" t="inlineStr">
        <is>
          <t>/</t>
        </is>
      </c>
      <c r="D2705" t="inlineStr">
        <is>
          <t>Stephen Doso</t>
        </is>
      </c>
      <c r="E2705" t="inlineStr">
        <is>
          <t>OdooBot</t>
        </is>
      </c>
      <c r="F2705" s="5" t="n">
        <v>46154.70721064815</v>
      </c>
      <c r="H2705" t="inlineStr">
        <is>
          <t>PCGH769</t>
        </is>
      </c>
      <c r="I2705" t="n">
        <v>1</v>
      </c>
      <c r="J2705" t="inlineStr">
        <is>
          <t>PCGH769 - Desk Study (2) (Biase Plantations Ltd.)</t>
        </is>
      </c>
      <c r="K2705" t="inlineStr">
        <is>
          <t>HCV/HCS - Reporting and review</t>
        </is>
      </c>
      <c r="L2705" t="b">
        <v>1</v>
      </c>
      <c r="M2705" t="inlineStr">
        <is>
          <t>Billed at a Fixed price</t>
        </is>
      </c>
      <c r="N2705" s="6">
        <f>IF(B2705="","",IF(ISNUMBER(B2705),TEXT(B2705,"YYYY-MM"),LEFT(B2705,7)))</f>
        <v/>
      </c>
    </row>
    <row r="2706">
      <c r="A2706" t="inlineStr">
        <is>
          <t>Stephen Doso</t>
        </is>
      </c>
      <c r="B2706" s="4" t="n">
        <v>46036</v>
      </c>
      <c r="C2706" t="inlineStr">
        <is>
          <t>AFi coalition meeting</t>
        </is>
      </c>
      <c r="D2706" t="inlineStr">
        <is>
          <t>Stephen Doso</t>
        </is>
      </c>
      <c r="E2706" t="inlineStr">
        <is>
          <t>OdooBot</t>
        </is>
      </c>
      <c r="F2706" s="5" t="n">
        <v>46154.70721064815</v>
      </c>
      <c r="H2706" t="inlineStr">
        <is>
          <t>Non-Billable Tasks</t>
        </is>
      </c>
      <c r="I2706" t="n">
        <v>1.5</v>
      </c>
      <c r="K2706" t="inlineStr">
        <is>
          <t>Internal Focal points and workstreams</t>
        </is>
      </c>
      <c r="L2706" t="b">
        <v>0</v>
      </c>
      <c r="M2706" t="inlineStr">
        <is>
          <t>Non-Billable</t>
        </is>
      </c>
      <c r="N2706" s="6">
        <f>IF(B2706="","",IF(ISNUMBER(B2706),TEXT(B2706,"YYYY-MM"),LEFT(B2706,7)))</f>
        <v/>
      </c>
    </row>
    <row r="2707">
      <c r="A2707" t="inlineStr">
        <is>
          <t>Stephen Doso</t>
        </is>
      </c>
      <c r="B2707" s="4" t="n">
        <v>46036</v>
      </c>
      <c r="C2707" t="inlineStr">
        <is>
          <t>Global RSP call</t>
        </is>
      </c>
      <c r="D2707" t="inlineStr">
        <is>
          <t>Stephen Doso</t>
        </is>
      </c>
      <c r="E2707" t="inlineStr">
        <is>
          <t>OdooBot</t>
        </is>
      </c>
      <c r="F2707" s="5" t="n">
        <v>46154.70721064815</v>
      </c>
      <c r="H2707" t="inlineStr">
        <is>
          <t>Non-Billable Tasks</t>
        </is>
      </c>
      <c r="I2707" t="n">
        <v>1.5</v>
      </c>
      <c r="K2707" t="inlineStr">
        <is>
          <t>Internal Focal points and workstreams</t>
        </is>
      </c>
      <c r="L2707" t="b">
        <v>0</v>
      </c>
      <c r="M2707" t="inlineStr">
        <is>
          <t>Non-Billable</t>
        </is>
      </c>
      <c r="N2707" s="6">
        <f>IF(B2707="","",IF(ISNUMBER(B2707),TEXT(B2707,"YYYY-MM"),LEFT(B2707,7)))</f>
        <v/>
      </c>
    </row>
    <row r="2708">
      <c r="A2708" t="inlineStr">
        <is>
          <t>Stephen Doso</t>
        </is>
      </c>
      <c r="B2708" s="4" t="n">
        <v>46036</v>
      </c>
      <c r="C2708" t="inlineStr">
        <is>
          <t>/</t>
        </is>
      </c>
      <c r="D2708" t="inlineStr">
        <is>
          <t>Stephen Doso</t>
        </is>
      </c>
      <c r="E2708" t="inlineStr">
        <is>
          <t>OdooBot</t>
        </is>
      </c>
      <c r="F2708" s="5" t="n">
        <v>46154.70721064815</v>
      </c>
      <c r="H2708" t="inlineStr">
        <is>
          <t>Non-Billable Tasks</t>
        </is>
      </c>
      <c r="I2708" t="n">
        <v>1</v>
      </c>
      <c r="K2708" t="inlineStr">
        <is>
          <t>Portfolio Team Management</t>
        </is>
      </c>
      <c r="L2708" t="b">
        <v>0</v>
      </c>
      <c r="M2708" t="inlineStr">
        <is>
          <t>Non-Billable</t>
        </is>
      </c>
      <c r="N2708" s="6">
        <f>IF(B2708="","",IF(ISNUMBER(B2708),TEXT(B2708,"YYYY-MM"),LEFT(B2708,7)))</f>
        <v/>
      </c>
    </row>
    <row r="2709">
      <c r="A2709" t="inlineStr">
        <is>
          <t>Stephen Doso</t>
        </is>
      </c>
      <c r="B2709" s="4" t="n">
        <v>46036</v>
      </c>
      <c r="C2709" t="inlineStr">
        <is>
          <t>/</t>
        </is>
      </c>
      <c r="D2709" t="inlineStr">
        <is>
          <t>Stephen Doso</t>
        </is>
      </c>
      <c r="E2709" t="inlineStr">
        <is>
          <t>OdooBot</t>
        </is>
      </c>
      <c r="F2709" s="5" t="n">
        <v>46154.70721064815</v>
      </c>
      <c r="H2709" t="inlineStr">
        <is>
          <t>Non-Billable Tasks</t>
        </is>
      </c>
      <c r="I2709" t="n">
        <v>3</v>
      </c>
      <c r="K2709" t="inlineStr">
        <is>
          <t>Line Management</t>
        </is>
      </c>
      <c r="L2709" t="b">
        <v>0</v>
      </c>
      <c r="M2709" t="inlineStr">
        <is>
          <t>Non-Billable</t>
        </is>
      </c>
      <c r="N2709" s="6">
        <f>IF(B2709="","",IF(ISNUMBER(B2709),TEXT(B2709,"YYYY-MM"),LEFT(B2709,7)))</f>
        <v/>
      </c>
    </row>
    <row r="2710">
      <c r="A2710" t="inlineStr">
        <is>
          <t>Ekow Nyamekye Tawiah</t>
        </is>
      </c>
      <c r="B2710" s="4" t="n">
        <v>46036</v>
      </c>
      <c r="C2710" t="inlineStr">
        <is>
          <t>/</t>
        </is>
      </c>
      <c r="D2710" t="inlineStr">
        <is>
          <t>Ekow Nyamekye Tawiah</t>
        </is>
      </c>
      <c r="E2710" t="inlineStr">
        <is>
          <t>OdooBot</t>
        </is>
      </c>
      <c r="F2710" s="5" t="n">
        <v>46154.70721064815</v>
      </c>
      <c r="H2710" t="inlineStr">
        <is>
          <t>PCGH722</t>
        </is>
      </c>
      <c r="I2710" t="n">
        <v>1</v>
      </c>
      <c r="J2710" t="inlineStr">
        <is>
          <t>PCGH722 - Analysis and Reporting (3) (Sucrivoire SA)</t>
        </is>
      </c>
      <c r="K2710" t="inlineStr">
        <is>
          <t>Analysis and Reporting (3)</t>
        </is>
      </c>
      <c r="L2710" t="b">
        <v>1</v>
      </c>
      <c r="M2710" t="inlineStr">
        <is>
          <t>Billed at a Fixed price</t>
        </is>
      </c>
      <c r="N2710" s="6">
        <f>IF(B2710="","",IF(ISNUMBER(B2710),TEXT(B2710,"YYYY-MM"),LEFT(B2710,7)))</f>
        <v/>
      </c>
    </row>
    <row r="2711">
      <c r="A2711" t="inlineStr">
        <is>
          <t>Ekow Nyamekye Tawiah</t>
        </is>
      </c>
      <c r="B2711" s="4" t="n">
        <v>46036</v>
      </c>
      <c r="C2711" t="inlineStr">
        <is>
          <t>Annual Planning and Review with Line Manager</t>
        </is>
      </c>
      <c r="D2711" t="inlineStr">
        <is>
          <t>Ekow Nyamekye Tawiah</t>
        </is>
      </c>
      <c r="E2711" t="inlineStr">
        <is>
          <t>OdooBot</t>
        </is>
      </c>
      <c r="F2711" s="5" t="n">
        <v>46154.70721064815</v>
      </c>
      <c r="H2711" t="inlineStr">
        <is>
          <t>Non-Billable Tasks</t>
        </is>
      </c>
      <c r="I2711" t="n">
        <v>1.5</v>
      </c>
      <c r="K2711" t="inlineStr">
        <is>
          <t>Professional development and Knowledge sharing(training,global knowledge calls,exchange weeks)</t>
        </is>
      </c>
      <c r="L2711" t="b">
        <v>0</v>
      </c>
      <c r="M2711" t="inlineStr">
        <is>
          <t>Non-Billable</t>
        </is>
      </c>
      <c r="N2711" s="6">
        <f>IF(B2711="","",IF(ISNUMBER(B2711),TEXT(B2711,"YYYY-MM"),LEFT(B2711,7)))</f>
        <v/>
      </c>
    </row>
    <row r="2712">
      <c r="A2712" t="inlineStr">
        <is>
          <t>Ekow Nyamekye Tawiah</t>
        </is>
      </c>
      <c r="B2712" s="4" t="n">
        <v>46036</v>
      </c>
      <c r="C2712" t="inlineStr">
        <is>
          <t>Global RSP Call</t>
        </is>
      </c>
      <c r="D2712" t="inlineStr">
        <is>
          <t>Ekow Nyamekye Tawiah</t>
        </is>
      </c>
      <c r="E2712" t="inlineStr">
        <is>
          <t>OdooBot</t>
        </is>
      </c>
      <c r="F2712" s="5" t="n">
        <v>46154.70721064815</v>
      </c>
      <c r="H2712" t="inlineStr">
        <is>
          <t>Non-Billable Tasks</t>
        </is>
      </c>
      <c r="I2712" t="n">
        <v>1.5</v>
      </c>
      <c r="K2712" t="inlineStr">
        <is>
          <t>Professional development and Knowledge sharing(training,global knowledge calls,exchange weeks)</t>
        </is>
      </c>
      <c r="L2712" t="b">
        <v>0</v>
      </c>
      <c r="M2712" t="inlineStr">
        <is>
          <t>Non-Billable</t>
        </is>
      </c>
      <c r="N2712" s="6">
        <f>IF(B2712="","",IF(ISNUMBER(B2712),TEXT(B2712,"YYYY-MM"),LEFT(B2712,7)))</f>
        <v/>
      </c>
    </row>
    <row r="2713">
      <c r="A2713" t="inlineStr">
        <is>
          <t>Afua Serwah Akoto Prempeh</t>
        </is>
      </c>
      <c r="B2713" s="4" t="n">
        <v>46036</v>
      </c>
      <c r="C2713" t="inlineStr">
        <is>
          <t>/</t>
        </is>
      </c>
      <c r="D2713" t="inlineStr">
        <is>
          <t>Afua Serwah Akoto Prempeh</t>
        </is>
      </c>
      <c r="E2713" t="inlineStr">
        <is>
          <t>OdooBot</t>
        </is>
      </c>
      <c r="F2713" s="5" t="n">
        <v>46154.70721064815</v>
      </c>
      <c r="H2713" t="inlineStr">
        <is>
          <t>Non-Billable Tasks</t>
        </is>
      </c>
      <c r="I2713" t="n">
        <v>4</v>
      </c>
      <c r="K2713" t="inlineStr">
        <is>
          <t>Communication/Data/Training</t>
        </is>
      </c>
      <c r="L2713" t="b">
        <v>0</v>
      </c>
      <c r="M2713" t="inlineStr">
        <is>
          <t>Non-Billable</t>
        </is>
      </c>
      <c r="N2713" s="6">
        <f>IF(B2713="","",IF(ISNUMBER(B2713),TEXT(B2713,"YYYY-MM"),LEFT(B2713,7)))</f>
        <v/>
      </c>
    </row>
    <row r="2714">
      <c r="A2714" t="inlineStr">
        <is>
          <t>Clement Obeng-Manu</t>
        </is>
      </c>
      <c r="B2714" s="4" t="n">
        <v>46036</v>
      </c>
      <c r="C2714" t="inlineStr">
        <is>
          <t>/</t>
        </is>
      </c>
      <c r="D2714" t="inlineStr">
        <is>
          <t>Clement Obeng-Manu</t>
        </is>
      </c>
      <c r="E2714" t="inlineStr">
        <is>
          <t>OdooBot</t>
        </is>
      </c>
      <c r="F2714" s="5" t="n">
        <v>46154.70721064815</v>
      </c>
      <c r="H2714" t="inlineStr">
        <is>
          <t>PCGH769</t>
        </is>
      </c>
      <c r="I2714" t="n">
        <v>8</v>
      </c>
      <c r="J2714" t="inlineStr">
        <is>
          <t>PCGH769 - Analysis and Reporting (2) (Biase Plantations Ltd.)</t>
        </is>
      </c>
      <c r="K2714" t="inlineStr">
        <is>
          <t>HCV/HCS - Reporting</t>
        </is>
      </c>
      <c r="L2714" t="b">
        <v>1</v>
      </c>
      <c r="M2714" t="inlineStr">
        <is>
          <t>Billed at a Fixed price</t>
        </is>
      </c>
      <c r="N2714" s="6">
        <f>IF(B2714="","",IF(ISNUMBER(B2714),TEXT(B2714,"YYYY-MM"),LEFT(B2714,7)))</f>
        <v/>
      </c>
    </row>
    <row r="2715">
      <c r="A2715" t="inlineStr">
        <is>
          <t>Afua Serwah Akoto Prempeh</t>
        </is>
      </c>
      <c r="B2715" s="4" t="n">
        <v>46036</v>
      </c>
      <c r="C2715" t="inlineStr">
        <is>
          <t>/</t>
        </is>
      </c>
      <c r="D2715" t="inlineStr">
        <is>
          <t>Afua Serwah Akoto Prempeh</t>
        </is>
      </c>
      <c r="E2715" t="inlineStr">
        <is>
          <t>OdooBot</t>
        </is>
      </c>
      <c r="F2715" s="5" t="n">
        <v>46154.70721064815</v>
      </c>
      <c r="H2715" t="inlineStr">
        <is>
          <t>Non-Billable Tasks</t>
        </is>
      </c>
      <c r="I2715" t="n">
        <v>4</v>
      </c>
      <c r="L2715" t="b">
        <v>0</v>
      </c>
      <c r="M2715" t="inlineStr">
        <is>
          <t>Non-Billable</t>
        </is>
      </c>
      <c r="N2715" s="6">
        <f>IF(B2715="","",IF(ISNUMBER(B2715),TEXT(B2715,"YYYY-MM"),LEFT(B2715,7)))</f>
        <v/>
      </c>
    </row>
    <row r="2716">
      <c r="A2716" t="inlineStr">
        <is>
          <t>Augustus Asamoah</t>
        </is>
      </c>
      <c r="B2716" s="4" t="n">
        <v>46036</v>
      </c>
      <c r="C2716" t="inlineStr">
        <is>
          <t>/</t>
        </is>
      </c>
      <c r="D2716" t="inlineStr">
        <is>
          <t>Augustus Asamoah</t>
        </is>
      </c>
      <c r="E2716" t="inlineStr">
        <is>
          <t>OdooBot</t>
        </is>
      </c>
      <c r="F2716" s="5" t="n">
        <v>46154.70721064815</v>
      </c>
      <c r="H2716" t="inlineStr">
        <is>
          <t>Non-Billable Tasks</t>
        </is>
      </c>
      <c r="I2716" t="n">
        <v>8</v>
      </c>
      <c r="K2716" t="inlineStr">
        <is>
          <t>Leave</t>
        </is>
      </c>
      <c r="L2716" t="b">
        <v>0</v>
      </c>
      <c r="M2716" t="inlineStr">
        <is>
          <t>Non-Billable</t>
        </is>
      </c>
      <c r="N2716" s="6">
        <f>IF(B2716="","",IF(ISNUMBER(B2716),TEXT(B2716,"YYYY-MM"),LEFT(B2716,7)))</f>
        <v/>
      </c>
    </row>
    <row r="2717">
      <c r="A2717" t="inlineStr">
        <is>
          <t>Helena Tetteh</t>
        </is>
      </c>
      <c r="B2717" s="4" t="n">
        <v>46036</v>
      </c>
      <c r="C2717" t="inlineStr">
        <is>
          <t>/</t>
        </is>
      </c>
      <c r="D2717" t="inlineStr">
        <is>
          <t xml:space="preserve">Helena Tetteh </t>
        </is>
      </c>
      <c r="E2717" t="inlineStr">
        <is>
          <t>OdooBot</t>
        </is>
      </c>
      <c r="F2717" s="5" t="n">
        <v>46154.70721064815</v>
      </c>
      <c r="G2717" t="inlineStr">
        <is>
          <t>Programme Personnel</t>
        </is>
      </c>
      <c r="H2717" t="inlineStr">
        <is>
          <t>P13GC00A00 - GAC Ulula</t>
        </is>
      </c>
      <c r="I2717" t="n">
        <v>2.5</v>
      </c>
      <c r="K2717" t="inlineStr">
        <is>
          <t>Programme Personnel （Project Manger 2）</t>
        </is>
      </c>
      <c r="L2717" t="b">
        <v>0</v>
      </c>
      <c r="M2717" t="inlineStr">
        <is>
          <t>Non-Billable</t>
        </is>
      </c>
      <c r="N2717" s="6">
        <f>IF(B2717="","",IF(ISNUMBER(B2717),TEXT(B2717,"YYYY-MM"),LEFT(B2717,7)))</f>
        <v/>
      </c>
    </row>
    <row r="2718">
      <c r="A2718" t="inlineStr">
        <is>
          <t>Helena Tetteh</t>
        </is>
      </c>
      <c r="B2718" s="4" t="n">
        <v>46036</v>
      </c>
      <c r="C2718" t="inlineStr">
        <is>
          <t>Global RSP Call</t>
        </is>
      </c>
      <c r="D2718" t="inlineStr">
        <is>
          <t xml:space="preserve">Helena Tetteh </t>
        </is>
      </c>
      <c r="E2718" t="inlineStr">
        <is>
          <t>OdooBot</t>
        </is>
      </c>
      <c r="F2718" s="5" t="n">
        <v>46154.70721064815</v>
      </c>
      <c r="H2718" t="inlineStr">
        <is>
          <t>Non-Billable Tasks</t>
        </is>
      </c>
      <c r="I2718" t="n">
        <v>2.5</v>
      </c>
      <c r="K2718" t="inlineStr">
        <is>
          <t>Professional development and Knowledge sharing(training,global knowledge calls,exchange weeks)</t>
        </is>
      </c>
      <c r="L2718" t="b">
        <v>0</v>
      </c>
      <c r="M2718" t="inlineStr">
        <is>
          <t>Non-Billable</t>
        </is>
      </c>
      <c r="N2718" s="6">
        <f>IF(B2718="","",IF(ISNUMBER(B2718),TEXT(B2718,"YYYY-MM"),LEFT(B2718,7)))</f>
        <v/>
      </c>
    </row>
    <row r="2719">
      <c r="A2719" t="inlineStr">
        <is>
          <t>Helena Tetteh</t>
        </is>
      </c>
      <c r="B2719" s="4" t="n">
        <v>46036</v>
      </c>
      <c r="C2719" t="inlineStr">
        <is>
          <t>/</t>
        </is>
      </c>
      <c r="D2719" t="inlineStr">
        <is>
          <t xml:space="preserve">Helena Tetteh </t>
        </is>
      </c>
      <c r="E2719" t="inlineStr">
        <is>
          <t>OdooBot</t>
        </is>
      </c>
      <c r="F2719" s="5" t="n">
        <v>46154.70721064815</v>
      </c>
      <c r="G2719" t="inlineStr">
        <is>
          <t>Output 3</t>
        </is>
      </c>
      <c r="H2719" t="inlineStr">
        <is>
          <t>P23AC00C00 - FGMC</t>
        </is>
      </c>
      <c r="I2719" t="n">
        <v>3</v>
      </c>
      <c r="K2719" t="inlineStr">
        <is>
          <t>P23AC13A00 - Output one (Demand Side Analysis and Policy Intergration.</t>
        </is>
      </c>
      <c r="L2719" t="b">
        <v>0</v>
      </c>
      <c r="M2719" t="inlineStr">
        <is>
          <t>Non-Billable</t>
        </is>
      </c>
      <c r="N2719" s="6">
        <f>IF(B2719="","",IF(ISNUMBER(B2719),TEXT(B2719,"YYYY-MM"),LEFT(B2719,7)))</f>
        <v/>
      </c>
    </row>
    <row r="2720">
      <c r="A2720" t="inlineStr">
        <is>
          <t>Helena Tetteh</t>
        </is>
      </c>
      <c r="B2720" s="4" t="n">
        <v>46036</v>
      </c>
      <c r="C2720" t="inlineStr">
        <is>
          <t>/</t>
        </is>
      </c>
      <c r="D2720" t="inlineStr">
        <is>
          <t xml:space="preserve">Helena Tetteh </t>
        </is>
      </c>
      <c r="E2720" t="inlineStr">
        <is>
          <t>OdooBot</t>
        </is>
      </c>
      <c r="F2720" s="5" t="n">
        <v>46154.70721064815</v>
      </c>
      <c r="H2720" t="inlineStr">
        <is>
          <t>P23AC00C00 - FGMC</t>
        </is>
      </c>
      <c r="I2720" t="n">
        <v>0</v>
      </c>
      <c r="L2720" t="b">
        <v>0</v>
      </c>
      <c r="M2720" t="inlineStr">
        <is>
          <t>Non-Billable</t>
        </is>
      </c>
      <c r="N2720" s="6">
        <f>IF(B2720="","",IF(ISNUMBER(B2720),TEXT(B2720,"YYYY-MM"),LEFT(B2720,7)))</f>
        <v/>
      </c>
    </row>
    <row r="2721">
      <c r="A2721" t="inlineStr">
        <is>
          <t>Kwadwo Baniako Nti</t>
        </is>
      </c>
      <c r="B2721" s="4" t="n">
        <v>46036</v>
      </c>
      <c r="C2721" t="inlineStr">
        <is>
          <t>/</t>
        </is>
      </c>
      <c r="D2721" t="inlineStr">
        <is>
          <t>Kwadwo Baniako Nti</t>
        </is>
      </c>
      <c r="E2721" t="inlineStr">
        <is>
          <t>OdooBot</t>
        </is>
      </c>
      <c r="F2721" s="5" t="n">
        <v>46154.70721064815</v>
      </c>
      <c r="G2721" t="inlineStr">
        <is>
          <t>Desk Study</t>
        </is>
      </c>
      <c r="H2721" t="inlineStr">
        <is>
          <t>PCGH762 - GVL HCSA Restoration Project</t>
        </is>
      </c>
      <c r="I2721" t="n">
        <v>8</v>
      </c>
      <c r="J2721" t="inlineStr">
        <is>
          <t>PCGH762 - Desk Review, Stakeholder Mapping &amp; Analysis and Engagement (Golden Veroleum Liberia)</t>
        </is>
      </c>
      <c r="K2721" t="inlineStr">
        <is>
          <t>Desk Review, Stakeholder Mapping &amp; Analysis and Engagement</t>
        </is>
      </c>
      <c r="L2721" t="b">
        <v>1</v>
      </c>
      <c r="M2721" t="inlineStr">
        <is>
          <t>Billed at a Fixed price</t>
        </is>
      </c>
      <c r="N2721" s="6">
        <f>IF(B2721="","",IF(ISNUMBER(B2721),TEXT(B2721,"YYYY-MM"),LEFT(B2721,7)))</f>
        <v/>
      </c>
    </row>
    <row r="2722">
      <c r="A2722" t="inlineStr">
        <is>
          <t>Joseph Isaiah Mensah</t>
        </is>
      </c>
      <c r="B2722" s="4" t="n">
        <v>46036</v>
      </c>
      <c r="C2722" t="inlineStr">
        <is>
          <t>/</t>
        </is>
      </c>
      <c r="D2722" t="inlineStr">
        <is>
          <t>Joseph Isaiah Mensah</t>
        </is>
      </c>
      <c r="E2722" t="inlineStr">
        <is>
          <t>OdooBot</t>
        </is>
      </c>
      <c r="F2722" s="5" t="n">
        <v>46154.70721064815</v>
      </c>
      <c r="H2722" t="inlineStr">
        <is>
          <t>PCGH762 - GVL HCSA Restoration Project</t>
        </is>
      </c>
      <c r="I2722" t="n">
        <v>3.833333333333333</v>
      </c>
      <c r="J2722" t="inlineStr">
        <is>
          <t>PCGH763 - Desk study (Due diligence) (Jopafram Nigeria Limited)</t>
        </is>
      </c>
      <c r="K2722" t="inlineStr">
        <is>
          <t>Fundraising and proposal development</t>
        </is>
      </c>
      <c r="L2722" t="b">
        <v>1</v>
      </c>
      <c r="M2722" t="inlineStr">
        <is>
          <t>Billed at a Fixed price</t>
        </is>
      </c>
      <c r="N2722" s="6">
        <f>IF(B2722="","",IF(ISNUMBER(B2722),TEXT(B2722,"YYYY-MM"),LEFT(B2722,7)))</f>
        <v/>
      </c>
    </row>
    <row r="2723">
      <c r="A2723" t="inlineStr">
        <is>
          <t>Joseph Isaiah Mensah</t>
        </is>
      </c>
      <c r="B2723" s="4" t="n">
        <v>46036</v>
      </c>
      <c r="C2723" t="inlineStr">
        <is>
          <t>WCF Partnership meeting</t>
        </is>
      </c>
      <c r="D2723" t="inlineStr">
        <is>
          <t>Joseph Isaiah Mensah</t>
        </is>
      </c>
      <c r="E2723" t="inlineStr">
        <is>
          <t>OdooBot</t>
        </is>
      </c>
      <c r="F2723" s="5" t="n">
        <v>46154.70721064815</v>
      </c>
      <c r="H2723" t="inlineStr">
        <is>
          <t>Non-Billable Tasks</t>
        </is>
      </c>
      <c r="I2723" t="n">
        <v>1</v>
      </c>
      <c r="K2723" t="inlineStr">
        <is>
          <t>Business Development and Networking</t>
        </is>
      </c>
      <c r="L2723" t="b">
        <v>0</v>
      </c>
      <c r="M2723" t="inlineStr">
        <is>
          <t>Non-Billable</t>
        </is>
      </c>
      <c r="N2723" s="6">
        <f>IF(B2723="","",IF(ISNUMBER(B2723),TEXT(B2723,"YYYY-MM"),LEFT(B2723,7)))</f>
        <v/>
      </c>
    </row>
    <row r="2724">
      <c r="A2724" t="inlineStr">
        <is>
          <t>Joseph Isaiah Mensah</t>
        </is>
      </c>
      <c r="B2724" s="4" t="n">
        <v>46036</v>
      </c>
      <c r="C2724" t="inlineStr">
        <is>
          <t>global RSP Call</t>
        </is>
      </c>
      <c r="D2724" t="inlineStr">
        <is>
          <t>Joseph Isaiah Mensah</t>
        </is>
      </c>
      <c r="E2724" t="inlineStr">
        <is>
          <t>OdooBot</t>
        </is>
      </c>
      <c r="F2724" s="5" t="n">
        <v>46154.70721064815</v>
      </c>
      <c r="H2724" t="inlineStr">
        <is>
          <t>Non-Billable Tasks</t>
        </is>
      </c>
      <c r="I2724" t="n">
        <v>1.833333333333333</v>
      </c>
      <c r="K2724" t="inlineStr">
        <is>
          <t>Professional development and Knowledge sharing(training,global knowledge calls,exchange weeks)</t>
        </is>
      </c>
      <c r="L2724" t="b">
        <v>0</v>
      </c>
      <c r="M2724" t="inlineStr">
        <is>
          <t>Non-Billable</t>
        </is>
      </c>
      <c r="N2724" s="6">
        <f>IF(B2724="","",IF(ISNUMBER(B2724),TEXT(B2724,"YYYY-MM"),LEFT(B2724,7)))</f>
        <v/>
      </c>
    </row>
    <row r="2725">
      <c r="A2725" t="inlineStr">
        <is>
          <t>Joseph Isaiah Mensah</t>
        </is>
      </c>
      <c r="B2725" s="4" t="n">
        <v>46036</v>
      </c>
      <c r="C2725" t="inlineStr">
        <is>
          <t>/</t>
        </is>
      </c>
      <c r="D2725" t="inlineStr">
        <is>
          <t>Joseph Isaiah Mensah</t>
        </is>
      </c>
      <c r="E2725" t="inlineStr">
        <is>
          <t>OdooBot</t>
        </is>
      </c>
      <c r="F2725" s="5" t="n">
        <v>46154.70721064815</v>
      </c>
      <c r="G2725" t="inlineStr">
        <is>
          <t>Output 2.1</t>
        </is>
      </c>
      <c r="H2725" t="inlineStr">
        <is>
          <t>P23AC00C00 - FGMC</t>
        </is>
      </c>
      <c r="I2725" t="n">
        <v>2</v>
      </c>
      <c r="K2725" t="inlineStr">
        <is>
          <t>P23AC32A00 - Connecting Supply and Demand Side</t>
        </is>
      </c>
      <c r="L2725" t="b">
        <v>0</v>
      </c>
      <c r="M2725" t="inlineStr">
        <is>
          <t>Non-Billable</t>
        </is>
      </c>
      <c r="N2725" s="6">
        <f>IF(B2725="","",IF(ISNUMBER(B2725),TEXT(B2725,"YYYY-MM"),LEFT(B2725,7)))</f>
        <v/>
      </c>
    </row>
    <row r="2726">
      <c r="A2726" t="inlineStr">
        <is>
          <t>Louis Defo</t>
        </is>
      </c>
      <c r="B2726" s="4" t="n">
        <v>46036</v>
      </c>
      <c r="C2726" t="inlineStr">
        <is>
          <t>/</t>
        </is>
      </c>
      <c r="D2726" t="inlineStr">
        <is>
          <t>Louis Defo</t>
        </is>
      </c>
      <c r="E2726" t="inlineStr">
        <is>
          <t>OdooBot</t>
        </is>
      </c>
      <c r="F2726" s="5" t="n">
        <v>46154.70721064815</v>
      </c>
      <c r="H2726" t="inlineStr">
        <is>
          <t>Internal</t>
        </is>
      </c>
      <c r="I2726" t="n">
        <v>8</v>
      </c>
      <c r="L2726" t="b">
        <v>0</v>
      </c>
      <c r="M2726" t="inlineStr">
        <is>
          <t>Non-Billable</t>
        </is>
      </c>
      <c r="N2726" s="6">
        <f>IF(B2726="","",IF(ISNUMBER(B2726),TEXT(B2726,"YYYY-MM"),LEFT(B2726,7)))</f>
        <v/>
      </c>
    </row>
    <row r="2727">
      <c r="A2727" t="inlineStr">
        <is>
          <t>Kingsley Fitz-Gerald Severine</t>
        </is>
      </c>
      <c r="B2727" s="4" t="n">
        <v>46036</v>
      </c>
      <c r="C2727" t="inlineStr">
        <is>
          <t>/</t>
        </is>
      </c>
      <c r="D2727" t="inlineStr">
        <is>
          <t>Kingsley Fitz-Gerald Severine</t>
        </is>
      </c>
      <c r="E2727" t="inlineStr">
        <is>
          <t>OdooBot</t>
        </is>
      </c>
      <c r="F2727" s="5" t="n">
        <v>46154.70721064815</v>
      </c>
      <c r="H2727" t="inlineStr">
        <is>
          <t>PCGH771</t>
        </is>
      </c>
      <c r="I2727" t="n">
        <v>8</v>
      </c>
      <c r="J2727" t="inlineStr">
        <is>
          <t>PCGH771 - Analysis and Reporting (3) (Okeosisi Jonathan)</t>
        </is>
      </c>
      <c r="K2727" t="inlineStr">
        <is>
          <t>Analysis and Reporting (Reporting)</t>
        </is>
      </c>
      <c r="L2727" t="b">
        <v>1</v>
      </c>
      <c r="M2727" t="inlineStr">
        <is>
          <t>Billed at a Fixed price</t>
        </is>
      </c>
      <c r="N2727" s="6">
        <f>IF(B2727="","",IF(ISNUMBER(B2727),TEXT(B2727,"YYYY-MM"),LEFT(B2727,7)))</f>
        <v/>
      </c>
    </row>
    <row r="2728">
      <c r="A2728" t="inlineStr">
        <is>
          <t>Frederick Antwi</t>
        </is>
      </c>
      <c r="B2728" s="4" t="n">
        <v>46035</v>
      </c>
      <c r="C2728" t="inlineStr">
        <is>
          <t>/</t>
        </is>
      </c>
      <c r="D2728" t="inlineStr">
        <is>
          <t>Frederick Antwi</t>
        </is>
      </c>
      <c r="E2728" t="inlineStr">
        <is>
          <t>Frederick Antwi</t>
        </is>
      </c>
      <c r="F2728" s="5" t="n">
        <v>46160.53975694445</v>
      </c>
      <c r="H2728" t="inlineStr">
        <is>
          <t>P13NC00A00 - WALMART II</t>
        </is>
      </c>
      <c r="I2728" t="n">
        <v>8</v>
      </c>
      <c r="L2728" t="b">
        <v>0</v>
      </c>
      <c r="M2728" t="inlineStr">
        <is>
          <t>Non-Billable</t>
        </is>
      </c>
      <c r="N2728" s="6">
        <f>IF(B2728="","",IF(ISNUMBER(B2728),TEXT(B2728,"YYYY-MM"),LEFT(B2728,7)))</f>
        <v/>
      </c>
    </row>
    <row r="2729">
      <c r="A2729" t="inlineStr">
        <is>
          <t>James Parker Mckeown</t>
        </is>
      </c>
      <c r="B2729" s="4" t="n">
        <v>46035</v>
      </c>
      <c r="C2729" t="inlineStr">
        <is>
          <t xml:space="preserve">Quarterly report preparation </t>
        </is>
      </c>
      <c r="D2729" t="inlineStr">
        <is>
          <t>James Parker Mckeown</t>
        </is>
      </c>
      <c r="E2729" t="inlineStr">
        <is>
          <t>James Parker Mckeown</t>
        </is>
      </c>
      <c r="F2729" s="5" t="n">
        <v>46156.83046296296</v>
      </c>
      <c r="H2729" t="inlineStr">
        <is>
          <t>PCGH762 - GVL HCSA Restoration Project</t>
        </is>
      </c>
      <c r="I2729" t="n">
        <v>2</v>
      </c>
      <c r="J2729" t="inlineStr">
        <is>
          <t>PCGH762 - Development and Implementation of MEL Framework (Golden Veroleum Liberia)</t>
        </is>
      </c>
      <c r="K2729" t="inlineStr">
        <is>
          <t>Development and Implementation of MEL Framework</t>
        </is>
      </c>
      <c r="L2729" t="b">
        <v>1</v>
      </c>
      <c r="M2729" t="inlineStr">
        <is>
          <t>Billed at a Fixed price</t>
        </is>
      </c>
      <c r="N2729" s="6">
        <f>IF(B2729="","",IF(ISNUMBER(B2729),TEXT(B2729,"YYYY-MM"),LEFT(B2729,7)))</f>
        <v/>
      </c>
    </row>
    <row r="2730">
      <c r="A2730" t="inlineStr">
        <is>
          <t>James Parker Mckeown</t>
        </is>
      </c>
      <c r="B2730" s="4" t="n">
        <v>46035</v>
      </c>
      <c r="C2730" t="inlineStr">
        <is>
          <t>Landscape review with Joko</t>
        </is>
      </c>
      <c r="D2730" t="inlineStr">
        <is>
          <t>James Parker Mckeown</t>
        </is>
      </c>
      <c r="E2730" t="inlineStr">
        <is>
          <t>James Parker Mckeown</t>
        </is>
      </c>
      <c r="F2730" s="5" t="n">
        <v>46156.82928240741</v>
      </c>
      <c r="H2730" t="inlineStr">
        <is>
          <t>Non-Billable Tasks</t>
        </is>
      </c>
      <c r="I2730" t="n">
        <v>1</v>
      </c>
      <c r="K2730" t="inlineStr">
        <is>
          <t>Professional development and Knowledge sharing(training,global knowledge calls,exchange weeks)</t>
        </is>
      </c>
      <c r="L2730" t="b">
        <v>0</v>
      </c>
      <c r="M2730" t="inlineStr">
        <is>
          <t>Non-Billable</t>
        </is>
      </c>
      <c r="N2730" s="6">
        <f>IF(B2730="","",IF(ISNUMBER(B2730),TEXT(B2730,"YYYY-MM"),LEFT(B2730,7)))</f>
        <v/>
      </c>
    </row>
    <row r="2731">
      <c r="A2731" t="inlineStr">
        <is>
          <t>James Parker Mckeown</t>
        </is>
      </c>
      <c r="B2731" s="4" t="n">
        <v>46035</v>
      </c>
      <c r="C2731" t="inlineStr">
        <is>
          <t>Annual Review and Planning with Daleba</t>
        </is>
      </c>
      <c r="D2731" t="inlineStr">
        <is>
          <t>James Parker Mckeown</t>
        </is>
      </c>
      <c r="E2731" t="inlineStr">
        <is>
          <t>James Parker Mckeown</t>
        </is>
      </c>
      <c r="F2731" s="5" t="n">
        <v>46156.82815972222</v>
      </c>
      <c r="H2731" t="inlineStr">
        <is>
          <t>Non-Billable Tasks</t>
        </is>
      </c>
      <c r="I2731" t="n">
        <v>2</v>
      </c>
      <c r="K2731" t="inlineStr">
        <is>
          <t>Line Management</t>
        </is>
      </c>
      <c r="L2731" t="b">
        <v>0</v>
      </c>
      <c r="M2731" t="inlineStr">
        <is>
          <t>Non-Billable</t>
        </is>
      </c>
      <c r="N2731" s="6">
        <f>IF(B2731="","",IF(ISNUMBER(B2731),TEXT(B2731,"YYYY-MM"),LEFT(B2731,7)))</f>
        <v/>
      </c>
    </row>
    <row r="2732">
      <c r="A2732" t="inlineStr">
        <is>
          <t>James Parker Mckeown</t>
        </is>
      </c>
      <c r="B2732" s="4" t="n">
        <v>46035</v>
      </c>
      <c r="C2732" t="inlineStr">
        <is>
          <t>Q1 2026 FGMC Bridge budget and workplan</t>
        </is>
      </c>
      <c r="D2732" t="inlineStr">
        <is>
          <t>James Parker Mckeown</t>
        </is>
      </c>
      <c r="E2732" t="inlineStr">
        <is>
          <t>James Parker Mckeown</t>
        </is>
      </c>
      <c r="F2732" s="5" t="n">
        <v>46156.82728009259</v>
      </c>
      <c r="G2732" t="inlineStr">
        <is>
          <t>Output 3</t>
        </is>
      </c>
      <c r="H2732" t="inlineStr">
        <is>
          <t>P23AC00C00 - FGMC</t>
        </is>
      </c>
      <c r="I2732" t="n">
        <v>4.5</v>
      </c>
      <c r="K2732" t="inlineStr">
        <is>
          <t>P23AC13A00 - Output one (Demand Side Analysis and Policy Intergration.</t>
        </is>
      </c>
      <c r="L2732" t="b">
        <v>0</v>
      </c>
      <c r="M2732" t="inlineStr">
        <is>
          <t>Non-Billable</t>
        </is>
      </c>
      <c r="N2732" s="6">
        <f>IF(B2732="","",IF(ISNUMBER(B2732),TEXT(B2732,"YYYY-MM"),LEFT(B2732,7)))</f>
        <v/>
      </c>
    </row>
    <row r="2733">
      <c r="A2733" t="inlineStr">
        <is>
          <t>Stephen Doso</t>
        </is>
      </c>
      <c r="B2733" s="4" t="n">
        <v>46035</v>
      </c>
      <c r="C2733" t="inlineStr">
        <is>
          <t>/</t>
        </is>
      </c>
      <c r="D2733" t="inlineStr">
        <is>
          <t>Stephen Doso</t>
        </is>
      </c>
      <c r="E2733" t="inlineStr">
        <is>
          <t>OdooBot</t>
        </is>
      </c>
      <c r="F2733" s="5" t="n">
        <v>46154.70721064815</v>
      </c>
      <c r="H2733" t="inlineStr">
        <is>
          <t>Non-Billable Tasks</t>
        </is>
      </c>
      <c r="I2733" t="n">
        <v>1</v>
      </c>
      <c r="K2733" t="inlineStr">
        <is>
          <t>Portfolio Team Management</t>
        </is>
      </c>
      <c r="L2733" t="b">
        <v>0</v>
      </c>
      <c r="M2733" t="inlineStr">
        <is>
          <t>Non-Billable</t>
        </is>
      </c>
      <c r="N2733" s="6">
        <f>IF(B2733="","",IF(ISNUMBER(B2733),TEXT(B2733,"YYYY-MM"),LEFT(B2733,7)))</f>
        <v/>
      </c>
    </row>
    <row r="2734">
      <c r="A2734" t="inlineStr">
        <is>
          <t>Stephen Doso</t>
        </is>
      </c>
      <c r="B2734" s="4" t="n">
        <v>46035</v>
      </c>
      <c r="C2734" t="inlineStr">
        <is>
          <t>/</t>
        </is>
      </c>
      <c r="D2734" t="inlineStr">
        <is>
          <t>Stephen Doso</t>
        </is>
      </c>
      <c r="E2734" t="inlineStr">
        <is>
          <t>OdooBot</t>
        </is>
      </c>
      <c r="F2734" s="5" t="n">
        <v>46154.70721064815</v>
      </c>
      <c r="H2734" t="inlineStr">
        <is>
          <t>Non-Billable Tasks</t>
        </is>
      </c>
      <c r="I2734" t="n">
        <v>2</v>
      </c>
      <c r="K2734" t="inlineStr">
        <is>
          <t>Business Development and Networking</t>
        </is>
      </c>
      <c r="L2734" t="b">
        <v>0</v>
      </c>
      <c r="M2734" t="inlineStr">
        <is>
          <t>Non-Billable</t>
        </is>
      </c>
      <c r="N2734" s="6">
        <f>IF(B2734="","",IF(ISNUMBER(B2734),TEXT(B2734,"YYYY-MM"),LEFT(B2734,7)))</f>
        <v/>
      </c>
    </row>
    <row r="2735">
      <c r="A2735" t="inlineStr">
        <is>
          <t>Stephen Doso</t>
        </is>
      </c>
      <c r="B2735" s="4" t="n">
        <v>46035</v>
      </c>
      <c r="C2735" t="inlineStr">
        <is>
          <t>/</t>
        </is>
      </c>
      <c r="D2735" t="inlineStr">
        <is>
          <t>Stephen Doso</t>
        </is>
      </c>
      <c r="E2735" t="inlineStr">
        <is>
          <t>OdooBot</t>
        </is>
      </c>
      <c r="F2735" s="5" t="n">
        <v>46154.70721064815</v>
      </c>
      <c r="H2735" t="inlineStr">
        <is>
          <t>Non-Billable Tasks</t>
        </is>
      </c>
      <c r="I2735" t="n">
        <v>1</v>
      </c>
      <c r="K2735" t="inlineStr">
        <is>
          <t>Communication/Data/Training</t>
        </is>
      </c>
      <c r="L2735" t="b">
        <v>0</v>
      </c>
      <c r="M2735" t="inlineStr">
        <is>
          <t>Non-Billable</t>
        </is>
      </c>
      <c r="N2735" s="6">
        <f>IF(B2735="","",IF(ISNUMBER(B2735),TEXT(B2735,"YYYY-MM"),LEFT(B2735,7)))</f>
        <v/>
      </c>
    </row>
    <row r="2736">
      <c r="A2736" t="inlineStr">
        <is>
          <t>Stephen Doso</t>
        </is>
      </c>
      <c r="B2736" s="4" t="n">
        <v>46035</v>
      </c>
      <c r="C2736" t="inlineStr">
        <is>
          <t>/</t>
        </is>
      </c>
      <c r="D2736" t="inlineStr">
        <is>
          <t>Stephen Doso</t>
        </is>
      </c>
      <c r="E2736" t="inlineStr">
        <is>
          <t>OdooBot</t>
        </is>
      </c>
      <c r="F2736" s="5" t="n">
        <v>46154.70721064815</v>
      </c>
      <c r="H2736" t="inlineStr">
        <is>
          <t>Non-Billable Tasks</t>
        </is>
      </c>
      <c r="I2736" t="n">
        <v>2</v>
      </c>
      <c r="K2736" t="inlineStr">
        <is>
          <t>Internal Focal points and workstreams</t>
        </is>
      </c>
      <c r="L2736" t="b">
        <v>0</v>
      </c>
      <c r="M2736" t="inlineStr">
        <is>
          <t>Non-Billable</t>
        </is>
      </c>
      <c r="N2736" s="6">
        <f>IF(B2736="","",IF(ISNUMBER(B2736),TEXT(B2736,"YYYY-MM"),LEFT(B2736,7)))</f>
        <v/>
      </c>
    </row>
    <row r="2737">
      <c r="A2737" t="inlineStr">
        <is>
          <t>Stephen Doso</t>
        </is>
      </c>
      <c r="B2737" s="4" t="n">
        <v>46035</v>
      </c>
      <c r="C2737" t="inlineStr">
        <is>
          <t>/</t>
        </is>
      </c>
      <c r="D2737" t="inlineStr">
        <is>
          <t>Stephen Doso</t>
        </is>
      </c>
      <c r="E2737" t="inlineStr">
        <is>
          <t>OdooBot</t>
        </is>
      </c>
      <c r="F2737" s="5" t="n">
        <v>46154.70721064815</v>
      </c>
      <c r="H2737" t="inlineStr">
        <is>
          <t>PCGH769</t>
        </is>
      </c>
      <c r="I2737" t="n">
        <v>2</v>
      </c>
      <c r="J2737" t="inlineStr">
        <is>
          <t>PCGH769 - Desk Study (2) (Biase Plantations Ltd.)</t>
        </is>
      </c>
      <c r="K2737" t="inlineStr">
        <is>
          <t>HCV/HCS - Reporting and review</t>
        </is>
      </c>
      <c r="L2737" t="b">
        <v>1</v>
      </c>
      <c r="M2737" t="inlineStr">
        <is>
          <t>Billed at a Fixed price</t>
        </is>
      </c>
      <c r="N2737" s="6">
        <f>IF(B2737="","",IF(ISNUMBER(B2737),TEXT(B2737,"YYYY-MM"),LEFT(B2737,7)))</f>
        <v/>
      </c>
    </row>
    <row r="2738">
      <c r="A2738" t="inlineStr">
        <is>
          <t>Stephen Doso</t>
        </is>
      </c>
      <c r="B2738" s="4" t="n">
        <v>46035</v>
      </c>
      <c r="C2738" t="inlineStr">
        <is>
          <t>/</t>
        </is>
      </c>
      <c r="D2738" t="inlineStr">
        <is>
          <t>Stephen Doso</t>
        </is>
      </c>
      <c r="E2738" t="inlineStr">
        <is>
          <t>OdooBot</t>
        </is>
      </c>
      <c r="F2738" s="5" t="n">
        <v>46154.70721064815</v>
      </c>
      <c r="H2738" t="inlineStr">
        <is>
          <t>PCGH762 - GVL HCSA Restoration Project</t>
        </is>
      </c>
      <c r="I2738" t="n">
        <v>8</v>
      </c>
      <c r="J2738" t="inlineStr">
        <is>
          <t>PCGH763 - Desk study (Due diligence) (Jopafram Nigeria Limited)</t>
        </is>
      </c>
      <c r="K2738" t="inlineStr">
        <is>
          <t>Fundraising and proposal development</t>
        </is>
      </c>
      <c r="L2738" t="b">
        <v>1</v>
      </c>
      <c r="M2738" t="inlineStr">
        <is>
          <t>Billed at a Fixed price</t>
        </is>
      </c>
      <c r="N2738" s="6">
        <f>IF(B2738="","",IF(ISNUMBER(B2738),TEXT(B2738,"YYYY-MM"),LEFT(B2738,7)))</f>
        <v/>
      </c>
    </row>
    <row r="2739">
      <c r="A2739" t="inlineStr">
        <is>
          <t>Ekow Nyamekye Tawiah</t>
        </is>
      </c>
      <c r="B2739" s="4" t="n">
        <v>46035</v>
      </c>
      <c r="C2739" t="inlineStr">
        <is>
          <t>/</t>
        </is>
      </c>
      <c r="D2739" t="inlineStr">
        <is>
          <t>Ekow Nyamekye Tawiah</t>
        </is>
      </c>
      <c r="E2739" t="inlineStr">
        <is>
          <t>OdooBot</t>
        </is>
      </c>
      <c r="F2739" s="5" t="n">
        <v>46154.70721064815</v>
      </c>
      <c r="H2739" t="inlineStr">
        <is>
          <t>PCGH722</t>
        </is>
      </c>
      <c r="I2739" t="n">
        <v>4</v>
      </c>
      <c r="J2739" t="inlineStr">
        <is>
          <t>PCGH722 - Analysis and Reporting (3) (Sucrivoire SA)</t>
        </is>
      </c>
      <c r="K2739" t="inlineStr">
        <is>
          <t>Analysis and Reporting (3)</t>
        </is>
      </c>
      <c r="L2739" t="b">
        <v>1</v>
      </c>
      <c r="M2739" t="inlineStr">
        <is>
          <t>Billed at a Fixed price</t>
        </is>
      </c>
      <c r="N2739" s="6">
        <f>IF(B2739="","",IF(ISNUMBER(B2739),TEXT(B2739,"YYYY-MM"),LEFT(B2739,7)))</f>
        <v/>
      </c>
    </row>
    <row r="2740">
      <c r="A2740" t="inlineStr">
        <is>
          <t>Afua Serwah Akoto Prempeh</t>
        </is>
      </c>
      <c r="B2740" s="4" t="n">
        <v>46035</v>
      </c>
      <c r="C2740" t="inlineStr">
        <is>
          <t>/</t>
        </is>
      </c>
      <c r="D2740" t="inlineStr">
        <is>
          <t>Afua Serwah Akoto Prempeh</t>
        </is>
      </c>
      <c r="E2740" t="inlineStr">
        <is>
          <t>OdooBot</t>
        </is>
      </c>
      <c r="F2740" s="5" t="n">
        <v>46154.70721064815</v>
      </c>
      <c r="H2740" t="inlineStr">
        <is>
          <t>Non-Billable Tasks</t>
        </is>
      </c>
      <c r="I2740" t="n">
        <v>8</v>
      </c>
      <c r="K2740" t="inlineStr">
        <is>
          <t>Communication/Data/Training</t>
        </is>
      </c>
      <c r="L2740" t="b">
        <v>0</v>
      </c>
      <c r="M2740" t="inlineStr">
        <is>
          <t>Non-Billable</t>
        </is>
      </c>
      <c r="N2740" s="6">
        <f>IF(B2740="","",IF(ISNUMBER(B2740),TEXT(B2740,"YYYY-MM"),LEFT(B2740,7)))</f>
        <v/>
      </c>
    </row>
    <row r="2741">
      <c r="A2741" t="inlineStr">
        <is>
          <t>Clement Obeng-Manu</t>
        </is>
      </c>
      <c r="B2741" s="4" t="n">
        <v>46035</v>
      </c>
      <c r="C2741" t="inlineStr">
        <is>
          <t>/</t>
        </is>
      </c>
      <c r="D2741" t="inlineStr">
        <is>
          <t>Clement Obeng-Manu</t>
        </is>
      </c>
      <c r="E2741" t="inlineStr">
        <is>
          <t>OdooBot</t>
        </is>
      </c>
      <c r="F2741" s="5" t="n">
        <v>46154.70721064815</v>
      </c>
      <c r="H2741" t="inlineStr">
        <is>
          <t>PCGH769</t>
        </is>
      </c>
      <c r="I2741" t="n">
        <v>8</v>
      </c>
      <c r="J2741" t="inlineStr">
        <is>
          <t>PCGH769 - Analysis and Reporting (2) (Biase Plantations Ltd.)</t>
        </is>
      </c>
      <c r="K2741" t="inlineStr">
        <is>
          <t>HCV/HCS - Reporting</t>
        </is>
      </c>
      <c r="L2741" t="b">
        <v>1</v>
      </c>
      <c r="M2741" t="inlineStr">
        <is>
          <t>Billed at a Fixed price</t>
        </is>
      </c>
      <c r="N2741" s="6">
        <f>IF(B2741="","",IF(ISNUMBER(B2741),TEXT(B2741,"YYYY-MM"),LEFT(B2741,7)))</f>
        <v/>
      </c>
    </row>
    <row r="2742">
      <c r="A2742" t="inlineStr">
        <is>
          <t>Augustus Asamoah</t>
        </is>
      </c>
      <c r="B2742" s="4" t="n">
        <v>46035</v>
      </c>
      <c r="C2742" t="inlineStr">
        <is>
          <t>/</t>
        </is>
      </c>
      <c r="D2742" t="inlineStr">
        <is>
          <t>Augustus Asamoah</t>
        </is>
      </c>
      <c r="E2742" t="inlineStr">
        <is>
          <t>OdooBot</t>
        </is>
      </c>
      <c r="F2742" s="5" t="n">
        <v>46154.70721064815</v>
      </c>
      <c r="H2742" t="inlineStr">
        <is>
          <t>Non-Billable Tasks</t>
        </is>
      </c>
      <c r="I2742" t="n">
        <v>8</v>
      </c>
      <c r="K2742" t="inlineStr">
        <is>
          <t>Leave</t>
        </is>
      </c>
      <c r="L2742" t="b">
        <v>0</v>
      </c>
      <c r="M2742" t="inlineStr">
        <is>
          <t>Non-Billable</t>
        </is>
      </c>
      <c r="N2742" s="6">
        <f>IF(B2742="","",IF(ISNUMBER(B2742),TEXT(B2742,"YYYY-MM"),LEFT(B2742,7)))</f>
        <v/>
      </c>
    </row>
    <row r="2743">
      <c r="A2743" t="inlineStr">
        <is>
          <t>Helena Tetteh</t>
        </is>
      </c>
      <c r="B2743" s="4" t="n">
        <v>46035</v>
      </c>
      <c r="C2743" t="inlineStr">
        <is>
          <t>/</t>
        </is>
      </c>
      <c r="D2743" t="inlineStr">
        <is>
          <t xml:space="preserve">Helena Tetteh </t>
        </is>
      </c>
      <c r="E2743" t="inlineStr">
        <is>
          <t>OdooBot</t>
        </is>
      </c>
      <c r="F2743" s="5" t="n">
        <v>46154.70721064815</v>
      </c>
      <c r="G2743" t="inlineStr">
        <is>
          <t>Output 3</t>
        </is>
      </c>
      <c r="H2743" t="inlineStr">
        <is>
          <t>P23AC00C00 - FGMC</t>
        </is>
      </c>
      <c r="I2743" t="n">
        <v>8</v>
      </c>
      <c r="K2743" t="inlineStr">
        <is>
          <t>P23AC13A00 - Output one (Demand Side Analysis and Policy Intergration.</t>
        </is>
      </c>
      <c r="L2743" t="b">
        <v>0</v>
      </c>
      <c r="M2743" t="inlineStr">
        <is>
          <t>Non-Billable</t>
        </is>
      </c>
      <c r="N2743" s="6">
        <f>IF(B2743="","",IF(ISNUMBER(B2743),TEXT(B2743,"YYYY-MM"),LEFT(B2743,7)))</f>
        <v/>
      </c>
    </row>
    <row r="2744">
      <c r="A2744" t="inlineStr">
        <is>
          <t>Kwadwo Baniako Nti</t>
        </is>
      </c>
      <c r="B2744" s="4" t="n">
        <v>46035</v>
      </c>
      <c r="C2744" t="inlineStr">
        <is>
          <t>/</t>
        </is>
      </c>
      <c r="D2744" t="inlineStr">
        <is>
          <t>Kwadwo Baniako Nti</t>
        </is>
      </c>
      <c r="E2744" t="inlineStr">
        <is>
          <t>OdooBot</t>
        </is>
      </c>
      <c r="F2744" s="5" t="n">
        <v>46154.70721064815</v>
      </c>
      <c r="G2744" t="inlineStr">
        <is>
          <t>Desk Study</t>
        </is>
      </c>
      <c r="H2744" t="inlineStr">
        <is>
          <t>PCGH762 - GVL HCSA Restoration Project</t>
        </is>
      </c>
      <c r="I2744" t="n">
        <v>8</v>
      </c>
      <c r="J2744" t="inlineStr">
        <is>
          <t>PCGH762 - Desk Review, Stakeholder Mapping &amp; Analysis and Engagement (Golden Veroleum Liberia)</t>
        </is>
      </c>
      <c r="K2744" t="inlineStr">
        <is>
          <t>Desk Review, Stakeholder Mapping &amp; Analysis and Engagement</t>
        </is>
      </c>
      <c r="L2744" t="b">
        <v>1</v>
      </c>
      <c r="M2744" t="inlineStr">
        <is>
          <t>Billed at a Fixed price</t>
        </is>
      </c>
      <c r="N2744" s="6">
        <f>IF(B2744="","",IF(ISNUMBER(B2744),TEXT(B2744,"YYYY-MM"),LEFT(B2744,7)))</f>
        <v/>
      </c>
    </row>
    <row r="2745">
      <c r="A2745" t="inlineStr">
        <is>
          <t>Joseph Isaiah Mensah</t>
        </is>
      </c>
      <c r="B2745" s="4" t="n">
        <v>46035</v>
      </c>
      <c r="C2745" t="inlineStr">
        <is>
          <t>/</t>
        </is>
      </c>
      <c r="D2745" t="inlineStr">
        <is>
          <t>Joseph Isaiah Mensah</t>
        </is>
      </c>
      <c r="E2745" t="inlineStr">
        <is>
          <t>OdooBot</t>
        </is>
      </c>
      <c r="F2745" s="5" t="n">
        <v>46154.70721064815</v>
      </c>
      <c r="H2745" t="inlineStr">
        <is>
          <t>PCGH762 - GVL HCSA Restoration Project</t>
        </is>
      </c>
      <c r="I2745" t="n">
        <v>7</v>
      </c>
      <c r="J2745" t="inlineStr">
        <is>
          <t>PCGH763 - Desk study (Due diligence) (Jopafram Nigeria Limited)</t>
        </is>
      </c>
      <c r="K2745" t="inlineStr">
        <is>
          <t>Fundraising and proposal development</t>
        </is>
      </c>
      <c r="L2745" t="b">
        <v>1</v>
      </c>
      <c r="M2745" t="inlineStr">
        <is>
          <t>Billed at a Fixed price</t>
        </is>
      </c>
      <c r="N2745" s="6">
        <f>IF(B2745="","",IF(ISNUMBER(B2745),TEXT(B2745,"YYYY-MM"),LEFT(B2745,7)))</f>
        <v/>
      </c>
    </row>
    <row r="2746">
      <c r="A2746" t="inlineStr">
        <is>
          <t>Joseph Isaiah Mensah</t>
        </is>
      </c>
      <c r="B2746" s="4" t="n">
        <v>46035</v>
      </c>
      <c r="C2746" t="inlineStr">
        <is>
          <t>/</t>
        </is>
      </c>
      <c r="D2746" t="inlineStr">
        <is>
          <t>Joseph Isaiah Mensah</t>
        </is>
      </c>
      <c r="E2746" t="inlineStr">
        <is>
          <t>OdooBot</t>
        </is>
      </c>
      <c r="F2746" s="5" t="n">
        <v>46154.70721064815</v>
      </c>
      <c r="G2746" t="inlineStr">
        <is>
          <t>Output 4</t>
        </is>
      </c>
      <c r="H2746" t="inlineStr">
        <is>
          <t>P23AC00C00 - FGMC</t>
        </is>
      </c>
      <c r="I2746" t="n">
        <v>1</v>
      </c>
      <c r="K2746" t="inlineStr">
        <is>
          <t>P23AC03A00 - Project Management</t>
        </is>
      </c>
      <c r="L2746" t="b">
        <v>0</v>
      </c>
      <c r="M2746" t="inlineStr">
        <is>
          <t>Non-Billable</t>
        </is>
      </c>
      <c r="N2746" s="6">
        <f>IF(B2746="","",IF(ISNUMBER(B2746),TEXT(B2746,"YYYY-MM"),LEFT(B2746,7)))</f>
        <v/>
      </c>
    </row>
    <row r="2747">
      <c r="A2747" t="inlineStr">
        <is>
          <t>Louis Defo</t>
        </is>
      </c>
      <c r="B2747" s="4" t="n">
        <v>46035</v>
      </c>
      <c r="C2747" t="inlineStr">
        <is>
          <t>/</t>
        </is>
      </c>
      <c r="D2747" t="inlineStr">
        <is>
          <t>Louis Defo</t>
        </is>
      </c>
      <c r="E2747" t="inlineStr">
        <is>
          <t>OdooBot</t>
        </is>
      </c>
      <c r="F2747" s="5" t="n">
        <v>46154.70721064815</v>
      </c>
      <c r="H2747" t="inlineStr">
        <is>
          <t>Internal</t>
        </is>
      </c>
      <c r="I2747" t="n">
        <v>8</v>
      </c>
      <c r="L2747" t="b">
        <v>0</v>
      </c>
      <c r="M2747" t="inlineStr">
        <is>
          <t>Non-Billable</t>
        </is>
      </c>
      <c r="N2747" s="6">
        <f>IF(B2747="","",IF(ISNUMBER(B2747),TEXT(B2747,"YYYY-MM"),LEFT(B2747,7)))</f>
        <v/>
      </c>
    </row>
    <row r="2748">
      <c r="A2748" t="inlineStr">
        <is>
          <t>Kingsley Fitz-Gerald Severine</t>
        </is>
      </c>
      <c r="B2748" s="4" t="n">
        <v>46035</v>
      </c>
      <c r="C2748" t="inlineStr">
        <is>
          <t>/</t>
        </is>
      </c>
      <c r="D2748" t="inlineStr">
        <is>
          <t>Kingsley Fitz-Gerald Severine</t>
        </is>
      </c>
      <c r="E2748" t="inlineStr">
        <is>
          <t>OdooBot</t>
        </is>
      </c>
      <c r="F2748" s="5" t="n">
        <v>46154.70721064815</v>
      </c>
      <c r="H2748" t="inlineStr">
        <is>
          <t>PCGH771</t>
        </is>
      </c>
      <c r="I2748" t="n">
        <v>8</v>
      </c>
      <c r="J2748" t="inlineStr">
        <is>
          <t>PCGH771 - Analysis and Reporting (3) (Okeosisi Jonathan)</t>
        </is>
      </c>
      <c r="K2748" t="inlineStr">
        <is>
          <t>Analysis and Reporting (Mapping)</t>
        </is>
      </c>
      <c r="L2748" t="b">
        <v>1</v>
      </c>
      <c r="M2748" t="inlineStr">
        <is>
          <t>Billed at a Fixed price</t>
        </is>
      </c>
      <c r="N2748" s="6">
        <f>IF(B2748="","",IF(ISNUMBER(B2748),TEXT(B2748,"YYYY-MM"),LEFT(B2748,7)))</f>
        <v/>
      </c>
    </row>
    <row r="2749">
      <c r="A2749" t="inlineStr">
        <is>
          <t>Frederick Antwi</t>
        </is>
      </c>
      <c r="B2749" s="4" t="n">
        <v>46034</v>
      </c>
      <c r="C2749" t="inlineStr">
        <is>
          <t>/</t>
        </is>
      </c>
      <c r="D2749" t="inlineStr">
        <is>
          <t>Frederick Antwi</t>
        </is>
      </c>
      <c r="E2749" t="inlineStr">
        <is>
          <t>Frederick Antwi</t>
        </is>
      </c>
      <c r="F2749" s="5" t="n">
        <v>46160.54296296297</v>
      </c>
      <c r="H2749" t="inlineStr">
        <is>
          <t>Non-Billable Tasks</t>
        </is>
      </c>
      <c r="I2749" t="n">
        <v>0</v>
      </c>
      <c r="L2749" t="b">
        <v>0</v>
      </c>
      <c r="M2749" t="inlineStr">
        <is>
          <t>Non-Billable</t>
        </is>
      </c>
      <c r="N2749" s="6">
        <f>IF(B2749="","",IF(ISNUMBER(B2749),TEXT(B2749,"YYYY-MM"),LEFT(B2749,7)))</f>
        <v/>
      </c>
    </row>
    <row r="2750">
      <c r="A2750" t="inlineStr">
        <is>
          <t>Frederick Antwi</t>
        </is>
      </c>
      <c r="B2750" s="4" t="n">
        <v>46034</v>
      </c>
      <c r="C2750" t="inlineStr">
        <is>
          <t>/</t>
        </is>
      </c>
      <c r="D2750" t="inlineStr">
        <is>
          <t>Frederick Antwi</t>
        </is>
      </c>
      <c r="E2750" t="inlineStr">
        <is>
          <t>Frederick Antwi</t>
        </is>
      </c>
      <c r="F2750" s="5" t="n">
        <v>46160.54159722223</v>
      </c>
      <c r="H2750" t="inlineStr">
        <is>
          <t>PCGH759</t>
        </is>
      </c>
      <c r="I2750" t="n">
        <v>0</v>
      </c>
      <c r="J2750" t="inlineStr">
        <is>
          <t>PCGH759 - PRESCO: Update of Glidepath (Proforest Limited(PCUK GBP))</t>
        </is>
      </c>
      <c r="L2750" t="b">
        <v>1</v>
      </c>
      <c r="M2750" t="inlineStr">
        <is>
          <t>Billed at a Fixed price</t>
        </is>
      </c>
      <c r="N2750" s="6">
        <f>IF(B2750="","",IF(ISNUMBER(B2750),TEXT(B2750,"YYYY-MM"),LEFT(B2750,7)))</f>
        <v/>
      </c>
    </row>
    <row r="2751">
      <c r="A2751" t="inlineStr">
        <is>
          <t>Frederick Antwi</t>
        </is>
      </c>
      <c r="B2751" s="4" t="n">
        <v>46034</v>
      </c>
      <c r="C2751" t="inlineStr">
        <is>
          <t>/</t>
        </is>
      </c>
      <c r="D2751" t="inlineStr">
        <is>
          <t>Frederick Antwi</t>
        </is>
      </c>
      <c r="E2751" t="inlineStr">
        <is>
          <t>Frederick Antwi</t>
        </is>
      </c>
      <c r="F2751" s="5" t="n">
        <v>46160.53945601852</v>
      </c>
      <c r="H2751" t="inlineStr">
        <is>
          <t>P13NC00A00 - WALMART II</t>
        </is>
      </c>
      <c r="I2751" t="n">
        <v>0</v>
      </c>
      <c r="L2751" t="b">
        <v>0</v>
      </c>
      <c r="M2751" t="inlineStr">
        <is>
          <t>Non-Billable</t>
        </is>
      </c>
      <c r="N2751" s="6">
        <f>IF(B2751="","",IF(ISNUMBER(B2751),TEXT(B2751,"YYYY-MM"),LEFT(B2751,7)))</f>
        <v/>
      </c>
    </row>
    <row r="2752">
      <c r="A2752" t="inlineStr">
        <is>
          <t>Frederick Antwi</t>
        </is>
      </c>
      <c r="B2752" s="4" t="n">
        <v>46034</v>
      </c>
      <c r="C2752" t="inlineStr">
        <is>
          <t>/</t>
        </is>
      </c>
      <c r="D2752" t="inlineStr">
        <is>
          <t>Frederick Antwi</t>
        </is>
      </c>
      <c r="E2752" t="inlineStr">
        <is>
          <t>Frederick Antwi</t>
        </is>
      </c>
      <c r="F2752" s="5" t="n">
        <v>46160.53855324074</v>
      </c>
      <c r="H2752" t="inlineStr">
        <is>
          <t>PCGH768</t>
        </is>
      </c>
      <c r="I2752" t="n">
        <v>0</v>
      </c>
      <c r="L2752" t="b">
        <v>1</v>
      </c>
      <c r="M2752" t="inlineStr">
        <is>
          <t>Non-Billable</t>
        </is>
      </c>
      <c r="N2752" s="6">
        <f>IF(B2752="","",IF(ISNUMBER(B2752),TEXT(B2752,"YYYY-MM"),LEFT(B2752,7)))</f>
        <v/>
      </c>
    </row>
    <row r="2753">
      <c r="A2753" t="inlineStr">
        <is>
          <t>Frederick Antwi</t>
        </is>
      </c>
      <c r="B2753" s="4" t="n">
        <v>46034</v>
      </c>
      <c r="C2753" t="inlineStr">
        <is>
          <t>/</t>
        </is>
      </c>
      <c r="D2753" t="inlineStr">
        <is>
          <t>Frederick Antwi</t>
        </is>
      </c>
      <c r="E2753" t="inlineStr">
        <is>
          <t>Frederick Antwi</t>
        </is>
      </c>
      <c r="F2753" s="5" t="n">
        <v>46160.53847222222</v>
      </c>
      <c r="H2753" t="inlineStr">
        <is>
          <t>PCGH768</t>
        </is>
      </c>
      <c r="I2753" t="n">
        <v>4</v>
      </c>
      <c r="L2753" t="b">
        <v>1</v>
      </c>
      <c r="M2753" t="inlineStr">
        <is>
          <t>Non-Billable</t>
        </is>
      </c>
      <c r="N2753" s="6">
        <f>IF(B2753="","",IF(ISNUMBER(B2753),TEXT(B2753,"YYYY-MM"),LEFT(B2753,7)))</f>
        <v/>
      </c>
    </row>
    <row r="2754">
      <c r="A2754" t="inlineStr">
        <is>
          <t>Frederick Antwi</t>
        </is>
      </c>
      <c r="B2754" s="4" t="n">
        <v>46034</v>
      </c>
      <c r="C2754" t="inlineStr">
        <is>
          <t>/</t>
        </is>
      </c>
      <c r="D2754" t="inlineStr">
        <is>
          <t>Frederick Antwi</t>
        </is>
      </c>
      <c r="E2754" t="inlineStr">
        <is>
          <t>Frederick Antwi</t>
        </is>
      </c>
      <c r="F2754" s="5" t="n">
        <v>46160.53839120371</v>
      </c>
      <c r="H2754" t="inlineStr">
        <is>
          <t>PCGH768</t>
        </is>
      </c>
      <c r="I2754" t="n">
        <v>4</v>
      </c>
      <c r="L2754" t="b">
        <v>1</v>
      </c>
      <c r="M2754" t="inlineStr">
        <is>
          <t>Non-Billable</t>
        </is>
      </c>
      <c r="N2754" s="6">
        <f>IF(B2754="","",IF(ISNUMBER(B2754),TEXT(B2754,"YYYY-MM"),LEFT(B2754,7)))</f>
        <v/>
      </c>
    </row>
    <row r="2755">
      <c r="A2755" t="inlineStr">
        <is>
          <t>James Parker Mckeown</t>
        </is>
      </c>
      <c r="B2755" s="4" t="n">
        <v>46034</v>
      </c>
      <c r="C2755" t="inlineStr">
        <is>
          <t>Catch-up with Afua on BRIDGE FGMC</t>
        </is>
      </c>
      <c r="D2755" t="inlineStr">
        <is>
          <t>James Parker Mckeown</t>
        </is>
      </c>
      <c r="E2755" t="inlineStr">
        <is>
          <t>James Parker Mckeown</t>
        </is>
      </c>
      <c r="F2755" s="5" t="n">
        <v>46156.84479166667</v>
      </c>
      <c r="G2755" t="inlineStr">
        <is>
          <t>Output 2.3</t>
        </is>
      </c>
      <c r="H2755" t="inlineStr">
        <is>
          <t>P23AC00C00 - FGMC</t>
        </is>
      </c>
      <c r="I2755" t="n">
        <v>1.5</v>
      </c>
      <c r="K2755" t="inlineStr">
        <is>
          <t>P23AC22A00 - Output Two (Elevating Local Solutions - West Africa)</t>
        </is>
      </c>
      <c r="L2755" t="b">
        <v>0</v>
      </c>
      <c r="M2755" t="inlineStr">
        <is>
          <t>Non-Billable</t>
        </is>
      </c>
      <c r="N2755" s="6">
        <f>IF(B2755="","",IF(ISNUMBER(B2755),TEXT(B2755,"YYYY-MM"),LEFT(B2755,7)))</f>
        <v/>
      </c>
    </row>
    <row r="2756">
      <c r="A2756" t="inlineStr">
        <is>
          <t>James Parker Mckeown</t>
        </is>
      </c>
      <c r="B2756" s="4" t="n">
        <v>46034</v>
      </c>
      <c r="C2756" t="inlineStr">
        <is>
          <t>PFAFR - landscape review with Joko Arif and Shinta</t>
        </is>
      </c>
      <c r="D2756" t="inlineStr">
        <is>
          <t>James Parker Mckeown</t>
        </is>
      </c>
      <c r="E2756" t="inlineStr">
        <is>
          <t>James Parker Mckeown</t>
        </is>
      </c>
      <c r="F2756" s="5" t="n">
        <v>46156.84037037037</v>
      </c>
      <c r="H2756" t="inlineStr">
        <is>
          <t>Non-Billable Tasks</t>
        </is>
      </c>
      <c r="I2756" t="n">
        <v>1</v>
      </c>
      <c r="K2756" t="inlineStr">
        <is>
          <t>Professional development and Knowledge sharing(training,global knowledge calls,exchange weeks)</t>
        </is>
      </c>
      <c r="L2756" t="b">
        <v>0</v>
      </c>
      <c r="M2756" t="inlineStr">
        <is>
          <t>Non-Billable</t>
        </is>
      </c>
      <c r="N2756" s="6">
        <f>IF(B2756="","",IF(ISNUMBER(B2756),TEXT(B2756,"YYYY-MM"),LEFT(B2756,7)))</f>
        <v/>
      </c>
    </row>
    <row r="2757">
      <c r="A2757" t="inlineStr">
        <is>
          <t>James Parker Mckeown</t>
        </is>
      </c>
      <c r="B2757" s="4" t="n">
        <v>46034</v>
      </c>
      <c r="C2757" t="inlineStr">
        <is>
          <t>Review of framework/template for mapping local initiatives</t>
        </is>
      </c>
      <c r="D2757" t="inlineStr">
        <is>
          <t>James Parker Mckeown</t>
        </is>
      </c>
      <c r="E2757" t="inlineStr">
        <is>
          <t>James Parker Mckeown</t>
        </is>
      </c>
      <c r="F2757" s="5" t="n">
        <v>46156.8244675926</v>
      </c>
      <c r="G2757" t="inlineStr">
        <is>
          <t>Output 2.3</t>
        </is>
      </c>
      <c r="H2757" t="inlineStr">
        <is>
          <t>P23AC00C00 - FGMC</t>
        </is>
      </c>
      <c r="I2757" t="n">
        <v>2</v>
      </c>
      <c r="K2757" t="inlineStr">
        <is>
          <t>P23AC22A00 - Output Two (Elevating Local Solutions - West Africa)</t>
        </is>
      </c>
      <c r="L2757" t="b">
        <v>0</v>
      </c>
      <c r="M2757" t="inlineStr">
        <is>
          <t>Non-Billable</t>
        </is>
      </c>
      <c r="N2757" s="6">
        <f>IF(B2757="","",IF(ISNUMBER(B2757),TEXT(B2757,"YYYY-MM"),LEFT(B2757,7)))</f>
        <v/>
      </c>
    </row>
    <row r="2758">
      <c r="A2758" t="inlineStr">
        <is>
          <t>James Parker Mckeown</t>
        </is>
      </c>
      <c r="B2758" s="4" t="n">
        <v>46034</v>
      </c>
      <c r="C2758" t="inlineStr">
        <is>
          <t>status report</t>
        </is>
      </c>
      <c r="D2758" t="inlineStr">
        <is>
          <t>James Parker Mckeown</t>
        </is>
      </c>
      <c r="E2758" t="inlineStr">
        <is>
          <t>James Parker Mckeown</t>
        </is>
      </c>
      <c r="F2758" s="5" t="n">
        <v>46156.82362268519</v>
      </c>
      <c r="H2758" t="inlineStr">
        <is>
          <t>PCGH761</t>
        </is>
      </c>
      <c r="I2758" t="n">
        <v>1.5</v>
      </c>
      <c r="J2758" t="inlineStr">
        <is>
          <t>PCGH761 - Reporting (3) (Fauna and Flora International Liberia)</t>
        </is>
      </c>
      <c r="L2758" t="b">
        <v>1</v>
      </c>
      <c r="M2758" t="inlineStr">
        <is>
          <t>Billed at a Fixed price</t>
        </is>
      </c>
      <c r="N2758" s="6">
        <f>IF(B2758="","",IF(ISNUMBER(B2758),TEXT(B2758,"YYYY-MM"),LEFT(B2758,7)))</f>
        <v/>
      </c>
    </row>
    <row r="2759">
      <c r="A2759" t="inlineStr">
        <is>
          <t>Stephen Doso</t>
        </is>
      </c>
      <c r="B2759" s="4" t="n">
        <v>46034</v>
      </c>
      <c r="C2759" t="inlineStr">
        <is>
          <t>/</t>
        </is>
      </c>
      <c r="D2759" t="inlineStr">
        <is>
          <t>Stephen Doso</t>
        </is>
      </c>
      <c r="E2759" t="inlineStr">
        <is>
          <t>OdooBot</t>
        </is>
      </c>
      <c r="F2759" s="5" t="n">
        <v>46154.70721064815</v>
      </c>
      <c r="H2759" t="inlineStr">
        <is>
          <t>Non-Billable Tasks</t>
        </is>
      </c>
      <c r="I2759" t="n">
        <v>3</v>
      </c>
      <c r="K2759" t="inlineStr">
        <is>
          <t>Communication/Data/Training</t>
        </is>
      </c>
      <c r="L2759" t="b">
        <v>0</v>
      </c>
      <c r="M2759" t="inlineStr">
        <is>
          <t>Non-Billable</t>
        </is>
      </c>
      <c r="N2759" s="6">
        <f>IF(B2759="","",IF(ISNUMBER(B2759),TEXT(B2759,"YYYY-MM"),LEFT(B2759,7)))</f>
        <v/>
      </c>
    </row>
    <row r="2760">
      <c r="A2760" t="inlineStr">
        <is>
          <t>Daleba Bernard Kpenahi Raymond</t>
        </is>
      </c>
      <c r="B2760" s="4" t="n">
        <v>46034</v>
      </c>
      <c r="C2760" t="inlineStr">
        <is>
          <t>FGMC BRIDGE: Review of framework/template for mapping local initiatives</t>
        </is>
      </c>
      <c r="D2760" t="inlineStr">
        <is>
          <t>Daleba Bernard Kpenahi Raymond</t>
        </is>
      </c>
      <c r="E2760" t="inlineStr">
        <is>
          <t>OdooBot</t>
        </is>
      </c>
      <c r="F2760" s="5" t="n">
        <v>46154.70721064815</v>
      </c>
      <c r="H2760" t="inlineStr">
        <is>
          <t>P23AC00C00 - FGMC</t>
        </is>
      </c>
      <c r="I2760" t="n">
        <v>2</v>
      </c>
      <c r="L2760" t="b">
        <v>0</v>
      </c>
      <c r="M2760" t="inlineStr">
        <is>
          <t>Non-Billable</t>
        </is>
      </c>
      <c r="N2760" s="6">
        <f>IF(B2760="","",IF(ISNUMBER(B2760),TEXT(B2760,"YYYY-MM"),LEFT(B2760,7)))</f>
        <v/>
      </c>
    </row>
    <row r="2761">
      <c r="A2761" t="inlineStr">
        <is>
          <t>James Parker Mckeown</t>
        </is>
      </c>
      <c r="B2761" s="4" t="n">
        <v>46034</v>
      </c>
      <c r="C2761" t="inlineStr">
        <is>
          <t>/</t>
        </is>
      </c>
      <c r="D2761" t="inlineStr">
        <is>
          <t>James Parker Mckeown</t>
        </is>
      </c>
      <c r="E2761" t="inlineStr">
        <is>
          <t>OdooBot</t>
        </is>
      </c>
      <c r="F2761" s="5" t="n">
        <v>46154.70721064815</v>
      </c>
      <c r="H2761" t="inlineStr">
        <is>
          <t>PCGH762 - GVL HCSA Restoration Project</t>
        </is>
      </c>
      <c r="I2761" t="n">
        <v>4</v>
      </c>
      <c r="J2761" t="inlineStr">
        <is>
          <t>PCGH762 - Management and Maintenance of the Forest (Golden Veroleum Liberia)</t>
        </is>
      </c>
      <c r="K2761" t="inlineStr">
        <is>
          <t>Management and Maintenance of the Forest</t>
        </is>
      </c>
      <c r="L2761" t="b">
        <v>1</v>
      </c>
      <c r="M2761" t="inlineStr">
        <is>
          <t>Billed at a Fixed price</t>
        </is>
      </c>
      <c r="N2761" s="6">
        <f>IF(B2761="","",IF(ISNUMBER(B2761),TEXT(B2761,"YYYY-MM"),LEFT(B2761,7)))</f>
        <v/>
      </c>
    </row>
    <row r="2762">
      <c r="A2762" t="inlineStr">
        <is>
          <t>James Parker Mckeown</t>
        </is>
      </c>
      <c r="B2762" s="4" t="n">
        <v>46034</v>
      </c>
      <c r="C2762" t="inlineStr">
        <is>
          <t xml:space="preserve">Catch-up with Aristo </t>
        </is>
      </c>
      <c r="D2762" t="inlineStr">
        <is>
          <t>James Parker Mckeown</t>
        </is>
      </c>
      <c r="E2762" t="inlineStr">
        <is>
          <t>OdooBot</t>
        </is>
      </c>
      <c r="F2762" s="5" t="n">
        <v>46154.70721064815</v>
      </c>
      <c r="H2762" t="inlineStr">
        <is>
          <t>Non-Billable Tasks</t>
        </is>
      </c>
      <c r="I2762" t="n">
        <v>0.5</v>
      </c>
      <c r="K2762" t="inlineStr">
        <is>
          <t>Other management activities</t>
        </is>
      </c>
      <c r="L2762" t="b">
        <v>0</v>
      </c>
      <c r="M2762" t="inlineStr">
        <is>
          <t>Non-Billable</t>
        </is>
      </c>
      <c r="N2762" s="6">
        <f>IF(B2762="","",IF(ISNUMBER(B2762),TEXT(B2762,"YYYY-MM"),LEFT(B2762,7)))</f>
        <v/>
      </c>
    </row>
    <row r="2763">
      <c r="A2763" t="inlineStr">
        <is>
          <t>Stephen Doso</t>
        </is>
      </c>
      <c r="B2763" s="4" t="n">
        <v>46034</v>
      </c>
      <c r="C2763" t="inlineStr">
        <is>
          <t>/</t>
        </is>
      </c>
      <c r="D2763" t="inlineStr">
        <is>
          <t>Stephen Doso</t>
        </is>
      </c>
      <c r="E2763" t="inlineStr">
        <is>
          <t>OdooBot</t>
        </is>
      </c>
      <c r="F2763" s="5" t="n">
        <v>46154.70721064815</v>
      </c>
      <c r="H2763" t="inlineStr">
        <is>
          <t>PCGH762 - GVL HCSA Restoration Project</t>
        </is>
      </c>
      <c r="I2763" t="n">
        <v>3</v>
      </c>
      <c r="J2763" t="inlineStr">
        <is>
          <t>PCGH763 - Desk study (Due diligence) (Jopafram Nigeria Limited)</t>
        </is>
      </c>
      <c r="K2763" t="inlineStr">
        <is>
          <t>Fundraising and proposal development</t>
        </is>
      </c>
      <c r="L2763" t="b">
        <v>1</v>
      </c>
      <c r="M2763" t="inlineStr">
        <is>
          <t>Billed at a Fixed price</t>
        </is>
      </c>
      <c r="N2763" s="6">
        <f>IF(B2763="","",IF(ISNUMBER(B2763),TEXT(B2763,"YYYY-MM"),LEFT(B2763,7)))</f>
        <v/>
      </c>
    </row>
    <row r="2764">
      <c r="A2764" t="inlineStr">
        <is>
          <t>Stephen Doso</t>
        </is>
      </c>
      <c r="B2764" s="4" t="n">
        <v>46034</v>
      </c>
      <c r="C2764" t="inlineStr">
        <is>
          <t>/</t>
        </is>
      </c>
      <c r="D2764" t="inlineStr">
        <is>
          <t>Stephen Doso</t>
        </is>
      </c>
      <c r="E2764" t="inlineStr">
        <is>
          <t>OdooBot</t>
        </is>
      </c>
      <c r="F2764" s="5" t="n">
        <v>46154.70721064815</v>
      </c>
      <c r="H2764" t="inlineStr">
        <is>
          <t>Non-Billable Tasks</t>
        </is>
      </c>
      <c r="I2764" t="n">
        <v>2</v>
      </c>
      <c r="K2764" t="inlineStr">
        <is>
          <t>Portfolio Team Management</t>
        </is>
      </c>
      <c r="L2764" t="b">
        <v>0</v>
      </c>
      <c r="M2764" t="inlineStr">
        <is>
          <t>Non-Billable</t>
        </is>
      </c>
      <c r="N2764" s="6">
        <f>IF(B2764="","",IF(ISNUMBER(B2764),TEXT(B2764,"YYYY-MM"),LEFT(B2764,7)))</f>
        <v/>
      </c>
    </row>
    <row r="2765">
      <c r="A2765" t="inlineStr">
        <is>
          <t>Stephen Doso</t>
        </is>
      </c>
      <c r="B2765" s="4" t="n">
        <v>46034</v>
      </c>
      <c r="C2765" t="inlineStr">
        <is>
          <t>/</t>
        </is>
      </c>
      <c r="D2765" t="inlineStr">
        <is>
          <t>Stephen Doso</t>
        </is>
      </c>
      <c r="E2765" t="inlineStr">
        <is>
          <t>OdooBot</t>
        </is>
      </c>
      <c r="F2765" s="5" t="n">
        <v>46154.70721064815</v>
      </c>
      <c r="H2765" t="inlineStr">
        <is>
          <t>PCGH769</t>
        </is>
      </c>
      <c r="I2765" t="n">
        <v>3</v>
      </c>
      <c r="J2765" t="inlineStr">
        <is>
          <t>PCGH769 - Desk Study (2) (Biase Plantations Ltd.)</t>
        </is>
      </c>
      <c r="K2765" t="inlineStr">
        <is>
          <t>HCV/HCS - Reporting and review</t>
        </is>
      </c>
      <c r="L2765" t="b">
        <v>1</v>
      </c>
      <c r="M2765" t="inlineStr">
        <is>
          <t>Billed at a Fixed price</t>
        </is>
      </c>
      <c r="N2765" s="6">
        <f>IF(B2765="","",IF(ISNUMBER(B2765),TEXT(B2765,"YYYY-MM"),LEFT(B2765,7)))</f>
        <v/>
      </c>
    </row>
    <row r="2766">
      <c r="A2766" t="inlineStr">
        <is>
          <t>Ekow Nyamekye Tawiah</t>
        </is>
      </c>
      <c r="B2766" s="4" t="n">
        <v>46034</v>
      </c>
      <c r="C2766" t="inlineStr">
        <is>
          <t>Production Landscapes Call</t>
        </is>
      </c>
      <c r="D2766" t="inlineStr">
        <is>
          <t>Ekow Nyamekye Tawiah</t>
        </is>
      </c>
      <c r="E2766" t="inlineStr">
        <is>
          <t>OdooBot</t>
        </is>
      </c>
      <c r="F2766" s="5" t="n">
        <v>46154.70721064815</v>
      </c>
      <c r="H2766" t="inlineStr">
        <is>
          <t>Non-Billable Tasks</t>
        </is>
      </c>
      <c r="I2766" t="n">
        <v>0</v>
      </c>
      <c r="K2766" t="inlineStr">
        <is>
          <t>Professional development and Knowledge sharing(training,global knowledge calls,exchange weeks)</t>
        </is>
      </c>
      <c r="L2766" t="b">
        <v>0</v>
      </c>
      <c r="M2766" t="inlineStr">
        <is>
          <t>Non-Billable</t>
        </is>
      </c>
      <c r="N2766" s="6">
        <f>IF(B2766="","",IF(ISNUMBER(B2766),TEXT(B2766,"YYYY-MM"),LEFT(B2766,7)))</f>
        <v/>
      </c>
    </row>
    <row r="2767">
      <c r="A2767" t="inlineStr">
        <is>
          <t>Ekow Nyamekye Tawiah</t>
        </is>
      </c>
      <c r="B2767" s="4" t="n">
        <v>46034</v>
      </c>
      <c r="C2767" t="inlineStr">
        <is>
          <t>Borotou Koro Analysis and Reporting</t>
        </is>
      </c>
      <c r="D2767" t="inlineStr">
        <is>
          <t>Ekow Nyamekye Tawiah</t>
        </is>
      </c>
      <c r="E2767" t="inlineStr">
        <is>
          <t>OdooBot</t>
        </is>
      </c>
      <c r="F2767" s="5" t="n">
        <v>46154.70721064815</v>
      </c>
      <c r="H2767" t="inlineStr">
        <is>
          <t>PCGH722</t>
        </is>
      </c>
      <c r="I2767" t="n">
        <v>2.5</v>
      </c>
      <c r="J2767" t="inlineStr">
        <is>
          <t>PCGH722 - Analysis and Reporting (3) (Sucrivoire SA)</t>
        </is>
      </c>
      <c r="K2767" t="inlineStr">
        <is>
          <t>Analysis and Reporting (3)</t>
        </is>
      </c>
      <c r="L2767" t="b">
        <v>1</v>
      </c>
      <c r="M2767" t="inlineStr">
        <is>
          <t>Billed at a Fixed price</t>
        </is>
      </c>
      <c r="N2767" s="6">
        <f>IF(B2767="","",IF(ISNUMBER(B2767),TEXT(B2767,"YYYY-MM"),LEFT(B2767,7)))</f>
        <v/>
      </c>
    </row>
    <row r="2768">
      <c r="A2768" t="inlineStr">
        <is>
          <t>Ekow Nyamekye Tawiah</t>
        </is>
      </c>
      <c r="B2768" s="4" t="n">
        <v>46034</v>
      </c>
      <c r="C2768" t="inlineStr">
        <is>
          <t>Review of PLUP Status</t>
        </is>
      </c>
      <c r="D2768" t="inlineStr">
        <is>
          <t>Ekow Nyamekye Tawiah</t>
        </is>
      </c>
      <c r="E2768" t="inlineStr">
        <is>
          <t>OdooBot</t>
        </is>
      </c>
      <c r="F2768" s="5" t="n">
        <v>46154.70721064815</v>
      </c>
      <c r="H2768" t="inlineStr">
        <is>
          <t>PCGH761</t>
        </is>
      </c>
      <c r="I2768" t="n">
        <v>1.5</v>
      </c>
      <c r="J2768" t="inlineStr">
        <is>
          <t>PCGH761 - Admin (Fauna and Flora International Liberia)</t>
        </is>
      </c>
      <c r="L2768" t="b">
        <v>1</v>
      </c>
      <c r="M2768" t="inlineStr">
        <is>
          <t>Billed at a Fixed price</t>
        </is>
      </c>
      <c r="N2768" s="6">
        <f>IF(B2768="","",IF(ISNUMBER(B2768),TEXT(B2768,"YYYY-MM"),LEFT(B2768,7)))</f>
        <v/>
      </c>
    </row>
    <row r="2769">
      <c r="A2769" t="inlineStr">
        <is>
          <t>Clement Obeng-Manu</t>
        </is>
      </c>
      <c r="B2769" s="4" t="n">
        <v>46034</v>
      </c>
      <c r="C2769" t="inlineStr">
        <is>
          <t>/</t>
        </is>
      </c>
      <c r="D2769" t="inlineStr">
        <is>
          <t>Clement Obeng-Manu</t>
        </is>
      </c>
      <c r="E2769" t="inlineStr">
        <is>
          <t>OdooBot</t>
        </is>
      </c>
      <c r="F2769" s="5" t="n">
        <v>46154.70721064815</v>
      </c>
      <c r="H2769" t="inlineStr">
        <is>
          <t>PCGH769</t>
        </is>
      </c>
      <c r="I2769" t="n">
        <v>8</v>
      </c>
      <c r="J2769" t="inlineStr">
        <is>
          <t>PCGH769 - Analysis and Reporting (2) (Biase Plantations Ltd.)</t>
        </is>
      </c>
      <c r="K2769" t="inlineStr">
        <is>
          <t>HCV/HCS - Reporting</t>
        </is>
      </c>
      <c r="L2769" t="b">
        <v>1</v>
      </c>
      <c r="M2769" t="inlineStr">
        <is>
          <t>Billed at a Fixed price</t>
        </is>
      </c>
      <c r="N2769" s="6">
        <f>IF(B2769="","",IF(ISNUMBER(B2769),TEXT(B2769,"YYYY-MM"),LEFT(B2769,7)))</f>
        <v/>
      </c>
    </row>
    <row r="2770">
      <c r="A2770" t="inlineStr">
        <is>
          <t>Afua Serwah Akoto Prempeh</t>
        </is>
      </c>
      <c r="B2770" s="4" t="n">
        <v>46034</v>
      </c>
      <c r="C2770" t="inlineStr">
        <is>
          <t xml:space="preserve">Review of FAO Panel Guidelines </t>
        </is>
      </c>
      <c r="D2770" t="inlineStr">
        <is>
          <t>Afua Serwah Akoto Prempeh</t>
        </is>
      </c>
      <c r="E2770" t="inlineStr">
        <is>
          <t>OdooBot</t>
        </is>
      </c>
      <c r="F2770" s="5" t="n">
        <v>46154.70721064815</v>
      </c>
      <c r="H2770" t="inlineStr">
        <is>
          <t>Non-Billable Tasks</t>
        </is>
      </c>
      <c r="I2770" t="n">
        <v>0</v>
      </c>
      <c r="L2770" t="b">
        <v>0</v>
      </c>
      <c r="M2770" t="inlineStr">
        <is>
          <t>Non-Billable</t>
        </is>
      </c>
      <c r="N2770" s="6">
        <f>IF(B2770="","",IF(ISNUMBER(B2770),TEXT(B2770,"YYYY-MM"),LEFT(B2770,7)))</f>
        <v/>
      </c>
    </row>
    <row r="2771">
      <c r="A2771" t="inlineStr">
        <is>
          <t>Afua Serwah Akoto Prempeh</t>
        </is>
      </c>
      <c r="B2771" s="4" t="n">
        <v>46034</v>
      </c>
      <c r="C2771" t="inlineStr">
        <is>
          <t xml:space="preserve">BRIDGE programme team meeting and orientation </t>
        </is>
      </c>
      <c r="D2771" t="inlineStr">
        <is>
          <t>Afua Serwah Akoto Prempeh</t>
        </is>
      </c>
      <c r="E2771" t="inlineStr">
        <is>
          <t>OdooBot</t>
        </is>
      </c>
      <c r="F2771" s="5" t="n">
        <v>46154.70721064815</v>
      </c>
      <c r="H2771" t="inlineStr">
        <is>
          <t>Non-Billable Tasks</t>
        </is>
      </c>
      <c r="I2771" t="n">
        <v>4</v>
      </c>
      <c r="L2771" t="b">
        <v>0</v>
      </c>
      <c r="M2771" t="inlineStr">
        <is>
          <t>Non-Billable</t>
        </is>
      </c>
      <c r="N2771" s="6">
        <f>IF(B2771="","",IF(ISNUMBER(B2771),TEXT(B2771,"YYYY-MM"),LEFT(B2771,7)))</f>
        <v/>
      </c>
    </row>
    <row r="2772">
      <c r="A2772" t="inlineStr">
        <is>
          <t>Afua Serwah Akoto Prempeh</t>
        </is>
      </c>
      <c r="B2772" s="4" t="n">
        <v>46034</v>
      </c>
      <c r="C2772" t="inlineStr">
        <is>
          <t>/</t>
        </is>
      </c>
      <c r="D2772" t="inlineStr">
        <is>
          <t>Afua Serwah Akoto Prempeh</t>
        </is>
      </c>
      <c r="E2772" t="inlineStr">
        <is>
          <t>OdooBot</t>
        </is>
      </c>
      <c r="F2772" s="5" t="n">
        <v>46154.70721064815</v>
      </c>
      <c r="H2772" t="inlineStr">
        <is>
          <t>Non-Billable Tasks</t>
        </is>
      </c>
      <c r="I2772" t="n">
        <v>4</v>
      </c>
      <c r="K2772" t="inlineStr">
        <is>
          <t>Communication/Data/Training</t>
        </is>
      </c>
      <c r="L2772" t="b">
        <v>0</v>
      </c>
      <c r="M2772" t="inlineStr">
        <is>
          <t>Non-Billable</t>
        </is>
      </c>
      <c r="N2772" s="6">
        <f>IF(B2772="","",IF(ISNUMBER(B2772),TEXT(B2772,"YYYY-MM"),LEFT(B2772,7)))</f>
        <v/>
      </c>
    </row>
    <row r="2773">
      <c r="A2773" t="inlineStr">
        <is>
          <t>Augustus Asamoah</t>
        </is>
      </c>
      <c r="B2773" s="4" t="n">
        <v>46034</v>
      </c>
      <c r="C2773" t="inlineStr">
        <is>
          <t>Compassionate leave</t>
        </is>
      </c>
      <c r="D2773" t="inlineStr">
        <is>
          <t>Augustus Asamoah</t>
        </is>
      </c>
      <c r="E2773" t="inlineStr">
        <is>
          <t>OdooBot</t>
        </is>
      </c>
      <c r="F2773" s="5" t="n">
        <v>46154.70721064815</v>
      </c>
      <c r="H2773" t="inlineStr">
        <is>
          <t>Non-Billable Tasks</t>
        </is>
      </c>
      <c r="I2773" t="n">
        <v>0</v>
      </c>
      <c r="K2773" t="inlineStr">
        <is>
          <t>Time Off</t>
        </is>
      </c>
      <c r="L2773" t="b">
        <v>0</v>
      </c>
      <c r="M2773" t="inlineStr">
        <is>
          <t>Non-Billable</t>
        </is>
      </c>
      <c r="N2773" s="6">
        <f>IF(B2773="","",IF(ISNUMBER(B2773),TEXT(B2773,"YYYY-MM"),LEFT(B2773,7)))</f>
        <v/>
      </c>
    </row>
    <row r="2774">
      <c r="A2774" t="inlineStr">
        <is>
          <t>Augustus Asamoah</t>
        </is>
      </c>
      <c r="B2774" s="4" t="n">
        <v>46034</v>
      </c>
      <c r="C2774" t="inlineStr">
        <is>
          <t>/</t>
        </is>
      </c>
      <c r="D2774" t="inlineStr">
        <is>
          <t>Augustus Asamoah</t>
        </is>
      </c>
      <c r="E2774" t="inlineStr">
        <is>
          <t>OdooBot</t>
        </is>
      </c>
      <c r="F2774" s="5" t="n">
        <v>46154.70721064815</v>
      </c>
      <c r="H2774" t="inlineStr">
        <is>
          <t>Non-Billable Tasks</t>
        </is>
      </c>
      <c r="I2774" t="n">
        <v>8</v>
      </c>
      <c r="K2774" t="inlineStr">
        <is>
          <t>Leave</t>
        </is>
      </c>
      <c r="L2774" t="b">
        <v>0</v>
      </c>
      <c r="M2774" t="inlineStr">
        <is>
          <t>Non-Billable</t>
        </is>
      </c>
      <c r="N2774" s="6">
        <f>IF(B2774="","",IF(ISNUMBER(B2774),TEXT(B2774,"YYYY-MM"),LEFT(B2774,7)))</f>
        <v/>
      </c>
    </row>
    <row r="2775">
      <c r="A2775" t="inlineStr">
        <is>
          <t>Helena Tetteh</t>
        </is>
      </c>
      <c r="B2775" s="4" t="n">
        <v>46034</v>
      </c>
      <c r="C2775" t="inlineStr">
        <is>
          <t>/</t>
        </is>
      </c>
      <c r="D2775" t="inlineStr">
        <is>
          <t xml:space="preserve">Helena Tetteh </t>
        </is>
      </c>
      <c r="E2775" t="inlineStr">
        <is>
          <t>OdooBot</t>
        </is>
      </c>
      <c r="F2775" s="5" t="n">
        <v>46154.70721064815</v>
      </c>
      <c r="G2775" t="inlineStr">
        <is>
          <t>Programme Personnel</t>
        </is>
      </c>
      <c r="H2775" t="inlineStr">
        <is>
          <t>P13GC00A00 - GAC Ulula</t>
        </is>
      </c>
      <c r="I2775" t="n">
        <v>3</v>
      </c>
      <c r="K2775" t="inlineStr">
        <is>
          <t>Programme Personnel （Project Manger 2）</t>
        </is>
      </c>
      <c r="L2775" t="b">
        <v>0</v>
      </c>
      <c r="M2775" t="inlineStr">
        <is>
          <t>Non-Billable</t>
        </is>
      </c>
      <c r="N2775" s="6">
        <f>IF(B2775="","",IF(ISNUMBER(B2775),TEXT(B2775,"YYYY-MM"),LEFT(B2775,7)))</f>
        <v/>
      </c>
    </row>
    <row r="2776">
      <c r="A2776" t="inlineStr">
        <is>
          <t>Helena Tetteh</t>
        </is>
      </c>
      <c r="B2776" s="4" t="n">
        <v>46034</v>
      </c>
      <c r="C2776" t="inlineStr">
        <is>
          <t>PLUP Bi-Weekly Catch-up Calls</t>
        </is>
      </c>
      <c r="D2776" t="inlineStr">
        <is>
          <t xml:space="preserve">Helena Tetteh </t>
        </is>
      </c>
      <c r="E2776" t="inlineStr">
        <is>
          <t>OdooBot</t>
        </is>
      </c>
      <c r="F2776" s="5" t="n">
        <v>46154.70721064815</v>
      </c>
      <c r="H2776" t="inlineStr">
        <is>
          <t>PCGH761</t>
        </is>
      </c>
      <c r="I2776" t="n">
        <v>1.5</v>
      </c>
      <c r="J2776" t="inlineStr">
        <is>
          <t>PCGH761 - Analysis and Reporting (3) (Fauna and Flora International Liberia)</t>
        </is>
      </c>
      <c r="K2776" t="inlineStr">
        <is>
          <t>Analysis and Reporting</t>
        </is>
      </c>
      <c r="L2776" t="b">
        <v>1</v>
      </c>
      <c r="M2776" t="inlineStr">
        <is>
          <t>Billed at a Fixed price</t>
        </is>
      </c>
      <c r="N2776" s="6">
        <f>IF(B2776="","",IF(ISNUMBER(B2776),TEXT(B2776,"YYYY-MM"),LEFT(B2776,7)))</f>
        <v/>
      </c>
    </row>
    <row r="2777">
      <c r="A2777" t="inlineStr">
        <is>
          <t>Helena Tetteh</t>
        </is>
      </c>
      <c r="B2777" s="4" t="n">
        <v>46034</v>
      </c>
      <c r="C2777" t="inlineStr">
        <is>
          <t>FGMC BRIDGE: Review of framework/template for mapping local initiatives</t>
        </is>
      </c>
      <c r="D2777" t="inlineStr">
        <is>
          <t xml:space="preserve">Helena Tetteh </t>
        </is>
      </c>
      <c r="E2777" t="inlineStr">
        <is>
          <t>OdooBot</t>
        </is>
      </c>
      <c r="F2777" s="5" t="n">
        <v>46154.70721064815</v>
      </c>
      <c r="G2777" t="inlineStr">
        <is>
          <t>Output 3</t>
        </is>
      </c>
      <c r="H2777" t="inlineStr">
        <is>
          <t>P23AC00C00 - FGMC</t>
        </is>
      </c>
      <c r="I2777" t="n">
        <v>2</v>
      </c>
      <c r="K2777" t="inlineStr">
        <is>
          <t>P23AC13A00 - Output one (Demand Side Analysis and Policy Intergration.</t>
        </is>
      </c>
      <c r="L2777" t="b">
        <v>0</v>
      </c>
      <c r="M2777" t="inlineStr">
        <is>
          <t>Non-Billable</t>
        </is>
      </c>
      <c r="N2777" s="6">
        <f>IF(B2777="","",IF(ISNUMBER(B2777),TEXT(B2777,"YYYY-MM"),LEFT(B2777,7)))</f>
        <v/>
      </c>
    </row>
    <row r="2778">
      <c r="A2778" t="inlineStr">
        <is>
          <t>Helena Tetteh</t>
        </is>
      </c>
      <c r="B2778" s="4" t="n">
        <v>46034</v>
      </c>
      <c r="C2778" t="inlineStr">
        <is>
          <t>FGMC BRIDGE: Review of framework/template for mapping local initiatives</t>
        </is>
      </c>
      <c r="D2778" t="inlineStr">
        <is>
          <t xml:space="preserve">Helena Tetteh </t>
        </is>
      </c>
      <c r="E2778" t="inlineStr">
        <is>
          <t>OdooBot</t>
        </is>
      </c>
      <c r="F2778" s="5" t="n">
        <v>46154.70721064815</v>
      </c>
      <c r="H2778" t="inlineStr">
        <is>
          <t>P23AC00C00 - FGMC</t>
        </is>
      </c>
      <c r="I2778" t="n">
        <v>1.5</v>
      </c>
      <c r="L2778" t="b">
        <v>0</v>
      </c>
      <c r="M2778" t="inlineStr">
        <is>
          <t>Non-Billable</t>
        </is>
      </c>
      <c r="N2778" s="6">
        <f>IF(B2778="","",IF(ISNUMBER(B2778),TEXT(B2778,"YYYY-MM"),LEFT(B2778,7)))</f>
        <v/>
      </c>
    </row>
    <row r="2779">
      <c r="A2779" t="inlineStr">
        <is>
          <t>Helena Tetteh</t>
        </is>
      </c>
      <c r="B2779" s="4" t="n">
        <v>46034</v>
      </c>
      <c r="C2779" t="inlineStr">
        <is>
          <t>REVIEW OF FFI PLUP STATUS</t>
        </is>
      </c>
      <c r="D2779" t="inlineStr">
        <is>
          <t xml:space="preserve">Helena Tetteh </t>
        </is>
      </c>
      <c r="E2779" t="inlineStr">
        <is>
          <t>OdooBot</t>
        </is>
      </c>
      <c r="F2779" s="5" t="n">
        <v>46154.70721064815</v>
      </c>
      <c r="G2779" t="inlineStr">
        <is>
          <t>Analysis and Reporting</t>
        </is>
      </c>
      <c r="H2779" t="inlineStr">
        <is>
          <t>PCGH761</t>
        </is>
      </c>
      <c r="I2779" t="n">
        <v>0</v>
      </c>
      <c r="J2779" t="inlineStr">
        <is>
          <t>PCGH761 - Analysis and Reporting (3) (Fauna and Flora International Liberia)</t>
        </is>
      </c>
      <c r="K2779" t="inlineStr">
        <is>
          <t>Data analysis, digitisation of PLUPs and validation of prepared maps, preparation of draft PLUP reports</t>
        </is>
      </c>
      <c r="L2779" t="b">
        <v>1</v>
      </c>
      <c r="M2779" t="inlineStr">
        <is>
          <t>Billed at a Fixed price</t>
        </is>
      </c>
      <c r="N2779" s="6">
        <f>IF(B2779="","",IF(ISNUMBER(B2779),TEXT(B2779,"YYYY-MM"),LEFT(B2779,7)))</f>
        <v/>
      </c>
    </row>
    <row r="2780">
      <c r="A2780" t="inlineStr">
        <is>
          <t>Kwadwo Baniako Nti</t>
        </is>
      </c>
      <c r="B2780" s="4" t="n">
        <v>46034</v>
      </c>
      <c r="C2780" t="inlineStr">
        <is>
          <t xml:space="preserve">Quarter 2 reporting </t>
        </is>
      </c>
      <c r="D2780" t="inlineStr">
        <is>
          <t>Kwadwo Baniako Nti</t>
        </is>
      </c>
      <c r="E2780" t="inlineStr">
        <is>
          <t>OdooBot</t>
        </is>
      </c>
      <c r="F2780" s="5" t="n">
        <v>46154.70721064815</v>
      </c>
      <c r="G2780" t="inlineStr">
        <is>
          <t>Desk Study</t>
        </is>
      </c>
      <c r="H2780" t="inlineStr">
        <is>
          <t>PCGH762 - GVL HCSA Restoration Project</t>
        </is>
      </c>
      <c r="I2780" t="n">
        <v>8</v>
      </c>
      <c r="J2780" t="inlineStr">
        <is>
          <t>PCGH762 - Desk Review, Stakeholder Mapping &amp; Analysis and Engagement (Golden Veroleum Liberia)</t>
        </is>
      </c>
      <c r="K2780" t="inlineStr">
        <is>
          <t>Desk Review, Stakeholder Mapping &amp; Analysis and Engagement</t>
        </is>
      </c>
      <c r="L2780" t="b">
        <v>1</v>
      </c>
      <c r="M2780" t="inlineStr">
        <is>
          <t>Billed at a Fixed price</t>
        </is>
      </c>
      <c r="N2780" s="6">
        <f>IF(B2780="","",IF(ISNUMBER(B2780),TEXT(B2780,"YYYY-MM"),LEFT(B2780,7)))</f>
        <v/>
      </c>
    </row>
    <row r="2781">
      <c r="A2781" t="inlineStr">
        <is>
          <t>Joseph Isaiah Mensah</t>
        </is>
      </c>
      <c r="B2781" s="4" t="n">
        <v>46034</v>
      </c>
      <c r="C2781" t="inlineStr">
        <is>
          <t>/</t>
        </is>
      </c>
      <c r="D2781" t="inlineStr">
        <is>
          <t>Joseph Isaiah Mensah</t>
        </is>
      </c>
      <c r="E2781" t="inlineStr">
        <is>
          <t>OdooBot</t>
        </is>
      </c>
      <c r="F2781" s="5" t="n">
        <v>46154.70721064815</v>
      </c>
      <c r="H2781" t="inlineStr">
        <is>
          <t>PCGH762 - GVL HCSA Restoration Project</t>
        </is>
      </c>
      <c r="I2781" t="n">
        <v>6</v>
      </c>
      <c r="J2781" t="inlineStr">
        <is>
          <t>PCGH763 - Desk study (Due diligence) (Jopafram Nigeria Limited)</t>
        </is>
      </c>
      <c r="K2781" t="inlineStr">
        <is>
          <t>Fundraising and proposal development</t>
        </is>
      </c>
      <c r="L2781" t="b">
        <v>1</v>
      </c>
      <c r="M2781" t="inlineStr">
        <is>
          <t>Billed at a Fixed price</t>
        </is>
      </c>
      <c r="N2781" s="6">
        <f>IF(B2781="","",IF(ISNUMBER(B2781),TEXT(B2781,"YYYY-MM"),LEFT(B2781,7)))</f>
        <v/>
      </c>
    </row>
    <row r="2782">
      <c r="A2782" t="inlineStr">
        <is>
          <t>Joseph Isaiah Mensah</t>
        </is>
      </c>
      <c r="B2782" s="4" t="n">
        <v>46034</v>
      </c>
      <c r="C2782" t="inlineStr">
        <is>
          <t>/</t>
        </is>
      </c>
      <c r="D2782" t="inlineStr">
        <is>
          <t>Joseph Isaiah Mensah</t>
        </is>
      </c>
      <c r="E2782" t="inlineStr">
        <is>
          <t>OdooBot</t>
        </is>
      </c>
      <c r="F2782" s="5" t="n">
        <v>46154.70721064815</v>
      </c>
      <c r="G2782" t="inlineStr">
        <is>
          <t>Output 2.1</t>
        </is>
      </c>
      <c r="H2782" t="inlineStr">
        <is>
          <t>P23AC00C00 - FGMC</t>
        </is>
      </c>
      <c r="I2782" t="n">
        <v>2</v>
      </c>
      <c r="K2782" t="inlineStr">
        <is>
          <t>P23AC32A00 - Connecting Supply and Demand Side</t>
        </is>
      </c>
      <c r="L2782" t="b">
        <v>0</v>
      </c>
      <c r="M2782" t="inlineStr">
        <is>
          <t>Non-Billable</t>
        </is>
      </c>
      <c r="N2782" s="6">
        <f>IF(B2782="","",IF(ISNUMBER(B2782),TEXT(B2782,"YYYY-MM"),LEFT(B2782,7)))</f>
        <v/>
      </c>
    </row>
    <row r="2783">
      <c r="A2783" t="inlineStr">
        <is>
          <t>Louis Defo</t>
        </is>
      </c>
      <c r="B2783" s="4" t="n">
        <v>46034</v>
      </c>
      <c r="C2783" t="inlineStr">
        <is>
          <t>/</t>
        </is>
      </c>
      <c r="D2783" t="inlineStr">
        <is>
          <t>Louis Defo</t>
        </is>
      </c>
      <c r="E2783" t="inlineStr">
        <is>
          <t>OdooBot</t>
        </is>
      </c>
      <c r="F2783" s="5" t="n">
        <v>46154.70721064815</v>
      </c>
      <c r="H2783" t="inlineStr">
        <is>
          <t>Internal</t>
        </is>
      </c>
      <c r="I2783" t="n">
        <v>8</v>
      </c>
      <c r="L2783" t="b">
        <v>0</v>
      </c>
      <c r="M2783" t="inlineStr">
        <is>
          <t>Non-Billable</t>
        </is>
      </c>
      <c r="N2783" s="6">
        <f>IF(B2783="","",IF(ISNUMBER(B2783),TEXT(B2783,"YYYY-MM"),LEFT(B2783,7)))</f>
        <v/>
      </c>
    </row>
    <row r="2784">
      <c r="A2784" t="inlineStr">
        <is>
          <t>Kingsley Fitz-Gerald Severine</t>
        </is>
      </c>
      <c r="B2784" s="4" t="n">
        <v>46034</v>
      </c>
      <c r="C2784" t="inlineStr">
        <is>
          <t>/</t>
        </is>
      </c>
      <c r="D2784" t="inlineStr">
        <is>
          <t>Kingsley Fitz-Gerald Severine</t>
        </is>
      </c>
      <c r="E2784" t="inlineStr">
        <is>
          <t>OdooBot</t>
        </is>
      </c>
      <c r="F2784" s="5" t="n">
        <v>46154.70721064815</v>
      </c>
      <c r="H2784" t="inlineStr">
        <is>
          <t>PCGH771</t>
        </is>
      </c>
      <c r="I2784" t="n">
        <v>8</v>
      </c>
      <c r="J2784" t="inlineStr">
        <is>
          <t>PCGH771 - Analysis and Reporting (3) (Okeosisi Jonathan)</t>
        </is>
      </c>
      <c r="K2784" t="inlineStr">
        <is>
          <t>Analysis and Reporting (Mapping)</t>
        </is>
      </c>
      <c r="L2784" t="b">
        <v>1</v>
      </c>
      <c r="M2784" t="inlineStr">
        <is>
          <t>Billed at a Fixed price</t>
        </is>
      </c>
      <c r="N2784" s="6">
        <f>IF(B2784="","",IF(ISNUMBER(B2784),TEXT(B2784,"YYYY-MM"),LEFT(B2784,7)))</f>
        <v/>
      </c>
    </row>
    <row r="2785">
      <c r="A2785" t="inlineStr">
        <is>
          <t>James Parker Mckeown</t>
        </is>
      </c>
      <c r="B2785" s="4" t="n">
        <v>46033</v>
      </c>
      <c r="C2785" t="inlineStr">
        <is>
          <t>Y1 Q2 report preparation</t>
        </is>
      </c>
      <c r="D2785" t="inlineStr">
        <is>
          <t>James Parker Mckeown</t>
        </is>
      </c>
      <c r="E2785" t="inlineStr">
        <is>
          <t>OdooBot</t>
        </is>
      </c>
      <c r="F2785" s="5" t="n">
        <v>46154.70721064815</v>
      </c>
      <c r="H2785" t="inlineStr">
        <is>
          <t>PCGH762 - GVL HCSA Restoration Project</t>
        </is>
      </c>
      <c r="I2785" t="n">
        <v>0</v>
      </c>
      <c r="J2785" t="inlineStr">
        <is>
          <t>PCGH762 - Management and Maintenance of the Forest (Golden Veroleum Liberia)</t>
        </is>
      </c>
      <c r="K2785" t="inlineStr">
        <is>
          <t>Management and Maintenance of the Forest</t>
        </is>
      </c>
      <c r="L2785" t="b">
        <v>1</v>
      </c>
      <c r="M2785" t="inlineStr">
        <is>
          <t>Billed at a Fixed price</t>
        </is>
      </c>
      <c r="N2785" s="6">
        <f>IF(B2785="","",IF(ISNUMBER(B2785),TEXT(B2785,"YYYY-MM"),LEFT(B2785,7)))</f>
        <v/>
      </c>
    </row>
    <row r="2786">
      <c r="A2786" t="inlineStr">
        <is>
          <t>Louis Defo</t>
        </is>
      </c>
      <c r="B2786" s="4" t="n">
        <v>46031</v>
      </c>
      <c r="C2786" t="inlineStr">
        <is>
          <t>/</t>
        </is>
      </c>
      <c r="D2786" t="inlineStr">
        <is>
          <t>Louis Defo</t>
        </is>
      </c>
      <c r="E2786" t="inlineStr">
        <is>
          <t>Louis Defo</t>
        </is>
      </c>
      <c r="F2786" s="5" t="n">
        <v>46161.34082175926</v>
      </c>
      <c r="H2786" t="inlineStr">
        <is>
          <t>P23AC00C00 - FGMC</t>
        </is>
      </c>
      <c r="I2786" t="n">
        <v>8</v>
      </c>
      <c r="L2786" t="b">
        <v>0</v>
      </c>
      <c r="M2786" t="inlineStr">
        <is>
          <t>Non-Billable</t>
        </is>
      </c>
      <c r="N2786" s="6">
        <f>IF(B2786="","",IF(ISNUMBER(B2786),TEXT(B2786,"YYYY-MM"),LEFT(B2786,7)))</f>
        <v/>
      </c>
    </row>
    <row r="2787">
      <c r="A2787" t="inlineStr">
        <is>
          <t>Frederick Antwi</t>
        </is>
      </c>
      <c r="B2787" s="4" t="n">
        <v>46031</v>
      </c>
      <c r="C2787" t="inlineStr">
        <is>
          <t>/</t>
        </is>
      </c>
      <c r="D2787" t="inlineStr">
        <is>
          <t>Frederick Antwi</t>
        </is>
      </c>
      <c r="E2787" t="inlineStr">
        <is>
          <t>Frederick Antwi</t>
        </is>
      </c>
      <c r="F2787" s="5" t="n">
        <v>46160.5333912037</v>
      </c>
      <c r="G2787" t="inlineStr">
        <is>
          <t>Preplanning Activities (3)</t>
        </is>
      </c>
      <c r="H2787" t="inlineStr">
        <is>
          <t>PCGH768</t>
        </is>
      </c>
      <c r="I2787" t="n">
        <v>8</v>
      </c>
      <c r="J2787" t="inlineStr">
        <is>
          <t>PCGH768 - Preplanning Activities (3) (Proforest Limited(PCUK GBP))</t>
        </is>
      </c>
      <c r="K2787" t="inlineStr">
        <is>
          <t>Development of implementation plan, Calls with Nestlé team, reviewing comments etc</t>
        </is>
      </c>
      <c r="L2787" t="b">
        <v>1</v>
      </c>
      <c r="M2787" t="inlineStr">
        <is>
          <t>Billed at a Fixed price</t>
        </is>
      </c>
      <c r="N2787" s="6">
        <f>IF(B2787="","",IF(ISNUMBER(B2787),TEXT(B2787,"YYYY-MM"),LEFT(B2787,7)))</f>
        <v/>
      </c>
    </row>
    <row r="2788">
      <c r="A2788" t="inlineStr">
        <is>
          <t>James Parker Mckeown</t>
        </is>
      </c>
      <c r="B2788" s="4" t="n">
        <v>46031</v>
      </c>
      <c r="C2788" t="inlineStr">
        <is>
          <t>National Holiday: Constitutional day</t>
        </is>
      </c>
      <c r="D2788" t="inlineStr">
        <is>
          <t>James Parker Mckeown</t>
        </is>
      </c>
      <c r="E2788" t="inlineStr">
        <is>
          <t>OdooBot</t>
        </is>
      </c>
      <c r="F2788" s="5" t="n">
        <v>46154.70721064815</v>
      </c>
      <c r="H2788" t="inlineStr">
        <is>
          <t>Non-Billable Tasks</t>
        </is>
      </c>
      <c r="I2788" t="n">
        <v>8</v>
      </c>
      <c r="K2788" t="inlineStr">
        <is>
          <t>Annual Leave</t>
        </is>
      </c>
      <c r="L2788" t="b">
        <v>0</v>
      </c>
      <c r="M2788" t="inlineStr">
        <is>
          <t>Non-Billable</t>
        </is>
      </c>
      <c r="N2788" s="6">
        <f>IF(B2788="","",IF(ISNUMBER(B2788),TEXT(B2788,"YYYY-MM"),LEFT(B2788,7)))</f>
        <v/>
      </c>
    </row>
    <row r="2789">
      <c r="A2789" t="inlineStr">
        <is>
          <t>Ekow Nyamekye Tawiah</t>
        </is>
      </c>
      <c r="B2789" s="4" t="n">
        <v>46031</v>
      </c>
      <c r="C2789" t="inlineStr">
        <is>
          <t>/</t>
        </is>
      </c>
      <c r="D2789" t="inlineStr">
        <is>
          <t>Ekow Nyamekye Tawiah</t>
        </is>
      </c>
      <c r="E2789" t="inlineStr">
        <is>
          <t>OdooBot</t>
        </is>
      </c>
      <c r="F2789" s="5" t="n">
        <v>46154.70721064815</v>
      </c>
      <c r="H2789" t="inlineStr">
        <is>
          <t>PCGH761</t>
        </is>
      </c>
      <c r="I2789" t="n">
        <v>4</v>
      </c>
      <c r="J2789" t="inlineStr">
        <is>
          <t>PCGH761 - Training, Capacity Building and Coaching (3) (Fauna and Flora International Liberia)</t>
        </is>
      </c>
      <c r="K2789" t="inlineStr">
        <is>
          <t>Training, Capacity Building and Coaching (3)</t>
        </is>
      </c>
      <c r="L2789" t="b">
        <v>1</v>
      </c>
      <c r="M2789" t="inlineStr">
        <is>
          <t>Billed at a Fixed price</t>
        </is>
      </c>
      <c r="N2789" s="6">
        <f>IF(B2789="","",IF(ISNUMBER(B2789),TEXT(B2789,"YYYY-MM"),LEFT(B2789,7)))</f>
        <v/>
      </c>
    </row>
    <row r="2790">
      <c r="A2790" t="inlineStr">
        <is>
          <t>Clement Obeng-Manu</t>
        </is>
      </c>
      <c r="B2790" s="4" t="n">
        <v>46031</v>
      </c>
      <c r="C2790" t="inlineStr">
        <is>
          <t>/</t>
        </is>
      </c>
      <c r="D2790" t="inlineStr">
        <is>
          <t>Clement Obeng-Manu</t>
        </is>
      </c>
      <c r="E2790" t="inlineStr">
        <is>
          <t>OdooBot</t>
        </is>
      </c>
      <c r="F2790" s="5" t="n">
        <v>46154.70721064815</v>
      </c>
      <c r="H2790" t="inlineStr">
        <is>
          <t>Non-Billable Tasks</t>
        </is>
      </c>
      <c r="I2790" t="n">
        <v>8</v>
      </c>
      <c r="K2790" t="inlineStr">
        <is>
          <t>Annual Leave</t>
        </is>
      </c>
      <c r="L2790" t="b">
        <v>0</v>
      </c>
      <c r="M2790" t="inlineStr">
        <is>
          <t>Non-Billable</t>
        </is>
      </c>
      <c r="N2790" s="6">
        <f>IF(B2790="","",IF(ISNUMBER(B2790),TEXT(B2790,"YYYY-MM"),LEFT(B2790,7)))</f>
        <v/>
      </c>
    </row>
    <row r="2791">
      <c r="A2791" t="inlineStr">
        <is>
          <t>Clement Obeng-Manu</t>
        </is>
      </c>
      <c r="B2791" s="4" t="n">
        <v>46031</v>
      </c>
      <c r="C2791" t="inlineStr">
        <is>
          <t>/</t>
        </is>
      </c>
      <c r="D2791" t="inlineStr">
        <is>
          <t>Clement Obeng-Manu</t>
        </is>
      </c>
      <c r="E2791" t="inlineStr">
        <is>
          <t>OdooBot</t>
        </is>
      </c>
      <c r="F2791" s="5" t="n">
        <v>46154.70721064815</v>
      </c>
      <c r="H2791" t="inlineStr">
        <is>
          <t>PCGH769</t>
        </is>
      </c>
      <c r="I2791" t="n">
        <v>0</v>
      </c>
      <c r="J2791" t="inlineStr">
        <is>
          <t>PCGH769 - Analysis and Reporting (2) (Biase Plantations Ltd.)</t>
        </is>
      </c>
      <c r="K2791" t="inlineStr">
        <is>
          <t>HCV/HCS - Reporting</t>
        </is>
      </c>
      <c r="L2791" t="b">
        <v>1</v>
      </c>
      <c r="M2791" t="inlineStr">
        <is>
          <t>Billed at a Fixed price</t>
        </is>
      </c>
      <c r="N2791" s="6">
        <f>IF(B2791="","",IF(ISNUMBER(B2791),TEXT(B2791,"YYYY-MM"),LEFT(B2791,7)))</f>
        <v/>
      </c>
    </row>
    <row r="2792">
      <c r="A2792" t="inlineStr">
        <is>
          <t>Stephen Doso</t>
        </is>
      </c>
      <c r="B2792" s="4" t="n">
        <v>46031</v>
      </c>
      <c r="C2792" t="inlineStr">
        <is>
          <t>/</t>
        </is>
      </c>
      <c r="D2792" t="inlineStr">
        <is>
          <t>Stephen Doso</t>
        </is>
      </c>
      <c r="E2792" t="inlineStr">
        <is>
          <t>OdooBot</t>
        </is>
      </c>
      <c r="F2792" s="5" t="n">
        <v>46154.70721064815</v>
      </c>
      <c r="H2792" t="inlineStr">
        <is>
          <t>Non-Billable Tasks</t>
        </is>
      </c>
      <c r="I2792" t="n">
        <v>8</v>
      </c>
      <c r="K2792" t="inlineStr">
        <is>
          <t>Public Holiday</t>
        </is>
      </c>
      <c r="L2792" t="b">
        <v>0</v>
      </c>
      <c r="M2792" t="inlineStr">
        <is>
          <t>Non-Billable</t>
        </is>
      </c>
      <c r="N2792" s="6">
        <f>IF(B2792="","",IF(ISNUMBER(B2792),TEXT(B2792,"YYYY-MM"),LEFT(B2792,7)))</f>
        <v/>
      </c>
    </row>
    <row r="2793">
      <c r="A2793" t="inlineStr">
        <is>
          <t>Afua Serwah Akoto Prempeh</t>
        </is>
      </c>
      <c r="B2793" s="4" t="n">
        <v>46031</v>
      </c>
      <c r="C2793" t="inlineStr">
        <is>
          <t>/</t>
        </is>
      </c>
      <c r="D2793" t="inlineStr">
        <is>
          <t>Afua Serwah Akoto Prempeh</t>
        </is>
      </c>
      <c r="E2793" t="inlineStr">
        <is>
          <t>OdooBot</t>
        </is>
      </c>
      <c r="F2793" s="5" t="n">
        <v>46154.70721064815</v>
      </c>
      <c r="H2793" t="inlineStr">
        <is>
          <t>Non-Billable Tasks</t>
        </is>
      </c>
      <c r="I2793" t="n">
        <v>8</v>
      </c>
      <c r="L2793" t="b">
        <v>0</v>
      </c>
      <c r="M2793" t="inlineStr">
        <is>
          <t>Non-Billable</t>
        </is>
      </c>
      <c r="N2793" s="6">
        <f>IF(B2793="","",IF(ISNUMBER(B2793),TEXT(B2793,"YYYY-MM"),LEFT(B2793,7)))</f>
        <v/>
      </c>
    </row>
    <row r="2794">
      <c r="A2794" t="inlineStr">
        <is>
          <t>Augustus Asamoah</t>
        </is>
      </c>
      <c r="B2794" s="4" t="n">
        <v>46031</v>
      </c>
      <c r="C2794" t="inlineStr">
        <is>
          <t>/</t>
        </is>
      </c>
      <c r="D2794" t="inlineStr">
        <is>
          <t>Augustus Asamoah</t>
        </is>
      </c>
      <c r="E2794" t="inlineStr">
        <is>
          <t>OdooBot</t>
        </is>
      </c>
      <c r="F2794" s="5" t="n">
        <v>46154.70721064815</v>
      </c>
      <c r="H2794" t="inlineStr">
        <is>
          <t>Non-Billable Tasks</t>
        </is>
      </c>
      <c r="I2794" t="n">
        <v>8</v>
      </c>
      <c r="K2794" t="inlineStr">
        <is>
          <t>Public Holiday</t>
        </is>
      </c>
      <c r="L2794" t="b">
        <v>0</v>
      </c>
      <c r="M2794" t="inlineStr">
        <is>
          <t>Non-Billable</t>
        </is>
      </c>
      <c r="N2794" s="6">
        <f>IF(B2794="","",IF(ISNUMBER(B2794),TEXT(B2794,"YYYY-MM"),LEFT(B2794,7)))</f>
        <v/>
      </c>
    </row>
    <row r="2795">
      <c r="A2795" t="inlineStr">
        <is>
          <t>Augustus Asamoah</t>
        </is>
      </c>
      <c r="B2795" s="4" t="n">
        <v>46031</v>
      </c>
      <c r="C2795" t="inlineStr">
        <is>
          <t>/</t>
        </is>
      </c>
      <c r="D2795" t="inlineStr">
        <is>
          <t>Augustus Asamoah</t>
        </is>
      </c>
      <c r="E2795" t="inlineStr">
        <is>
          <t>OdooBot</t>
        </is>
      </c>
      <c r="F2795" s="5" t="n">
        <v>46154.70721064815</v>
      </c>
      <c r="G2795" t="inlineStr">
        <is>
          <t>Programme Personnel and Management</t>
        </is>
      </c>
      <c r="H2795" t="inlineStr">
        <is>
          <t>P13NC00A00 - WALMART II</t>
        </is>
      </c>
      <c r="I2795" t="n">
        <v>0</v>
      </c>
      <c r="K2795" t="inlineStr">
        <is>
          <t>Programme Personnel</t>
        </is>
      </c>
      <c r="L2795" t="b">
        <v>0</v>
      </c>
      <c r="M2795" t="inlineStr">
        <is>
          <t>Non-Billable</t>
        </is>
      </c>
      <c r="N2795" s="6">
        <f>IF(B2795="","",IF(ISNUMBER(B2795),TEXT(B2795,"YYYY-MM"),LEFT(B2795,7)))</f>
        <v/>
      </c>
    </row>
    <row r="2796">
      <c r="A2796" t="inlineStr">
        <is>
          <t>Augustus Asamoah</t>
        </is>
      </c>
      <c r="B2796" s="4" t="n">
        <v>46031</v>
      </c>
      <c r="C2796" t="inlineStr">
        <is>
          <t>/</t>
        </is>
      </c>
      <c r="D2796" t="inlineStr">
        <is>
          <t>Augustus Asamoah</t>
        </is>
      </c>
      <c r="E2796" t="inlineStr">
        <is>
          <t>OdooBot</t>
        </is>
      </c>
      <c r="F2796" s="5" t="n">
        <v>46154.70721064815</v>
      </c>
      <c r="H2796" t="inlineStr">
        <is>
          <t>PCGH771</t>
        </is>
      </c>
      <c r="I2796" t="n">
        <v>0</v>
      </c>
      <c r="J2796" t="inlineStr">
        <is>
          <t>PCGH771 - Desk Study (2) (Okeosisi Jonathan)</t>
        </is>
      </c>
      <c r="L2796" t="b">
        <v>1</v>
      </c>
      <c r="M2796" t="inlineStr">
        <is>
          <t>Billed at a Fixed price</t>
        </is>
      </c>
      <c r="N2796" s="6">
        <f>IF(B2796="","",IF(ISNUMBER(B2796),TEXT(B2796,"YYYY-MM"),LEFT(B2796,7)))</f>
        <v/>
      </c>
    </row>
    <row r="2797">
      <c r="A2797" t="inlineStr">
        <is>
          <t>Helena Tetteh</t>
        </is>
      </c>
      <c r="B2797" s="4" t="n">
        <v>46031</v>
      </c>
      <c r="C2797" t="inlineStr">
        <is>
          <t>/</t>
        </is>
      </c>
      <c r="D2797" t="inlineStr">
        <is>
          <t xml:space="preserve">Helena Tetteh </t>
        </is>
      </c>
      <c r="E2797" t="inlineStr">
        <is>
          <t>OdooBot</t>
        </is>
      </c>
      <c r="F2797" s="5" t="n">
        <v>46154.70721064815</v>
      </c>
      <c r="H2797" t="inlineStr">
        <is>
          <t>Non-Billable Tasks</t>
        </is>
      </c>
      <c r="I2797" t="n">
        <v>8</v>
      </c>
      <c r="K2797" t="inlineStr">
        <is>
          <t>Public Holiday</t>
        </is>
      </c>
      <c r="L2797" t="b">
        <v>0</v>
      </c>
      <c r="M2797" t="inlineStr">
        <is>
          <t>Non-Billable</t>
        </is>
      </c>
      <c r="N2797" s="6">
        <f>IF(B2797="","",IF(ISNUMBER(B2797),TEXT(B2797,"YYYY-MM"),LEFT(B2797,7)))</f>
        <v/>
      </c>
    </row>
    <row r="2798">
      <c r="A2798" t="inlineStr">
        <is>
          <t>Daleba Bernard Kpenahi Raymond</t>
        </is>
      </c>
      <c r="B2798" s="4" t="n">
        <v>46031</v>
      </c>
      <c r="C2798" t="inlineStr">
        <is>
          <t>/</t>
        </is>
      </c>
      <c r="D2798" t="inlineStr">
        <is>
          <t>Daleba Bernard Kpenahi Raymond</t>
        </is>
      </c>
      <c r="E2798" t="inlineStr">
        <is>
          <t>OdooBot</t>
        </is>
      </c>
      <c r="F2798" s="5" t="n">
        <v>46154.70721064815</v>
      </c>
      <c r="H2798" t="inlineStr">
        <is>
          <t>Non-Billable Tasks</t>
        </is>
      </c>
      <c r="I2798" t="n">
        <v>8</v>
      </c>
      <c r="K2798" t="inlineStr">
        <is>
          <t>Annual Leave</t>
        </is>
      </c>
      <c r="L2798" t="b">
        <v>0</v>
      </c>
      <c r="M2798" t="inlineStr">
        <is>
          <t>Non-Billable</t>
        </is>
      </c>
      <c r="N2798" s="6">
        <f>IF(B2798="","",IF(ISNUMBER(B2798),TEXT(B2798,"YYYY-MM"),LEFT(B2798,7)))</f>
        <v/>
      </c>
    </row>
    <row r="2799">
      <c r="A2799" t="inlineStr">
        <is>
          <t>Joseph Isaiah Mensah</t>
        </is>
      </c>
      <c r="B2799" s="4" t="n">
        <v>46031</v>
      </c>
      <c r="C2799" t="inlineStr">
        <is>
          <t>/</t>
        </is>
      </c>
      <c r="D2799" t="inlineStr">
        <is>
          <t>Joseph Isaiah Mensah</t>
        </is>
      </c>
      <c r="E2799" t="inlineStr">
        <is>
          <t>OdooBot</t>
        </is>
      </c>
      <c r="F2799" s="5" t="n">
        <v>46154.70721064815</v>
      </c>
      <c r="H2799" t="inlineStr">
        <is>
          <t>Non-Billable Tasks</t>
        </is>
      </c>
      <c r="I2799" t="n">
        <v>8</v>
      </c>
      <c r="K2799" t="inlineStr">
        <is>
          <t>Public Holiday</t>
        </is>
      </c>
      <c r="L2799" t="b">
        <v>0</v>
      </c>
      <c r="M2799" t="inlineStr">
        <is>
          <t>Non-Billable</t>
        </is>
      </c>
      <c r="N2799" s="6">
        <f>IF(B2799="","",IF(ISNUMBER(B2799),TEXT(B2799,"YYYY-MM"),LEFT(B2799,7)))</f>
        <v/>
      </c>
    </row>
    <row r="2800">
      <c r="A2800" t="inlineStr">
        <is>
          <t>Kwadwo Baniako Nti</t>
        </is>
      </c>
      <c r="B2800" s="4" t="n">
        <v>46031</v>
      </c>
      <c r="C2800" t="inlineStr">
        <is>
          <t>/</t>
        </is>
      </c>
      <c r="D2800" t="inlineStr">
        <is>
          <t>Kwadwo Baniako Nti</t>
        </is>
      </c>
      <c r="E2800" t="inlineStr">
        <is>
          <t>OdooBot</t>
        </is>
      </c>
      <c r="F2800" s="5" t="n">
        <v>46154.70721064815</v>
      </c>
      <c r="H2800" t="inlineStr">
        <is>
          <t>Non-Billable Tasks</t>
        </is>
      </c>
      <c r="I2800" t="n">
        <v>8</v>
      </c>
      <c r="K2800" t="inlineStr">
        <is>
          <t>Public Holiday</t>
        </is>
      </c>
      <c r="L2800" t="b">
        <v>0</v>
      </c>
      <c r="M2800" t="inlineStr">
        <is>
          <t>Non-Billable</t>
        </is>
      </c>
      <c r="N2800" s="6">
        <f>IF(B2800="","",IF(ISNUMBER(B2800),TEXT(B2800,"YYYY-MM"),LEFT(B2800,7)))</f>
        <v/>
      </c>
    </row>
    <row r="2801">
      <c r="A2801" t="inlineStr">
        <is>
          <t>Kingsley Fitz-Gerald Severine</t>
        </is>
      </c>
      <c r="B2801" s="4" t="n">
        <v>46031</v>
      </c>
      <c r="C2801" t="inlineStr">
        <is>
          <t>/</t>
        </is>
      </c>
      <c r="D2801" t="inlineStr">
        <is>
          <t>Kingsley Fitz-Gerald Severine</t>
        </is>
      </c>
      <c r="E2801" t="inlineStr">
        <is>
          <t>OdooBot</t>
        </is>
      </c>
      <c r="F2801" s="5" t="n">
        <v>46154.70721064815</v>
      </c>
      <c r="H2801" t="inlineStr">
        <is>
          <t>Non-Billable Tasks</t>
        </is>
      </c>
      <c r="I2801" t="n">
        <v>8</v>
      </c>
      <c r="K2801" t="inlineStr">
        <is>
          <t>Public Holiday</t>
        </is>
      </c>
      <c r="L2801" t="b">
        <v>0</v>
      </c>
      <c r="M2801" t="inlineStr">
        <is>
          <t>Non-Billable</t>
        </is>
      </c>
      <c r="N2801" s="6">
        <f>IF(B2801="","",IF(ISNUMBER(B2801),TEXT(B2801,"YYYY-MM"),LEFT(B2801,7)))</f>
        <v/>
      </c>
    </row>
    <row r="2802">
      <c r="A2802" t="inlineStr">
        <is>
          <t>Louis Defo</t>
        </is>
      </c>
      <c r="B2802" s="4" t="n">
        <v>46030</v>
      </c>
      <c r="C2802" t="inlineStr">
        <is>
          <t>/</t>
        </is>
      </c>
      <c r="D2802" t="inlineStr">
        <is>
          <t>Louis Defo</t>
        </is>
      </c>
      <c r="E2802" t="inlineStr">
        <is>
          <t>Louis Defo</t>
        </is>
      </c>
      <c r="F2802" s="5" t="n">
        <v>46161.34047453704</v>
      </c>
      <c r="H2802" t="inlineStr">
        <is>
          <t>P23AC00C00 - FGMC</t>
        </is>
      </c>
      <c r="I2802" t="n">
        <v>8</v>
      </c>
      <c r="L2802" t="b">
        <v>0</v>
      </c>
      <c r="M2802" t="inlineStr">
        <is>
          <t>Non-Billable</t>
        </is>
      </c>
      <c r="N2802" s="6">
        <f>IF(B2802="","",IF(ISNUMBER(B2802),TEXT(B2802,"YYYY-MM"),LEFT(B2802,7)))</f>
        <v/>
      </c>
    </row>
    <row r="2803">
      <c r="A2803" t="inlineStr">
        <is>
          <t>James Parker Mckeown</t>
        </is>
      </c>
      <c r="B2803" s="4" t="n">
        <v>46030</v>
      </c>
      <c r="C2803" t="inlineStr">
        <is>
          <t xml:space="preserve">Demand - production countries alignment </t>
        </is>
      </c>
      <c r="D2803" t="inlineStr">
        <is>
          <t>James Parker Mckeown</t>
        </is>
      </c>
      <c r="E2803" t="inlineStr">
        <is>
          <t>OdooBot</t>
        </is>
      </c>
      <c r="F2803" s="5" t="n">
        <v>46154.70721064815</v>
      </c>
      <c r="G2803" t="inlineStr">
        <is>
          <t>Output 2.3</t>
        </is>
      </c>
      <c r="H2803" t="inlineStr">
        <is>
          <t>P23AC00C00 - FGMC</t>
        </is>
      </c>
      <c r="I2803" t="n">
        <v>2</v>
      </c>
      <c r="K2803" t="inlineStr">
        <is>
          <t>P23AC22A00 - Output Two (Elevating Local Solutions - West Africa)</t>
        </is>
      </c>
      <c r="L2803" t="b">
        <v>0</v>
      </c>
      <c r="M2803" t="inlineStr">
        <is>
          <t>Non-Billable</t>
        </is>
      </c>
      <c r="N2803" s="6">
        <f>IF(B2803="","",IF(ISNUMBER(B2803),TEXT(B2803,"YYYY-MM"),LEFT(B2803,7)))</f>
        <v/>
      </c>
    </row>
    <row r="2804">
      <c r="A2804" t="inlineStr">
        <is>
          <t>James Parker Mckeown</t>
        </is>
      </c>
      <c r="B2804" s="4" t="n">
        <v>46030</v>
      </c>
      <c r="C2804" t="inlineStr">
        <is>
          <t xml:space="preserve">Year 1 Q2 report </t>
        </is>
      </c>
      <c r="D2804" t="inlineStr">
        <is>
          <t>James Parker Mckeown</t>
        </is>
      </c>
      <c r="E2804" t="inlineStr">
        <is>
          <t>OdooBot</t>
        </is>
      </c>
      <c r="F2804" s="5" t="n">
        <v>46154.70721064815</v>
      </c>
      <c r="G2804" t="inlineStr">
        <is>
          <t>Management and Maintenance of the Forest</t>
        </is>
      </c>
      <c r="H2804" t="inlineStr">
        <is>
          <t>PCGH762 - GVL HCSA Restoration Project</t>
        </is>
      </c>
      <c r="I2804" t="n">
        <v>3</v>
      </c>
      <c r="J2804" t="inlineStr">
        <is>
          <t>PCGH762 - Management and Maintenance of the Forest (Golden Veroleum Liberia)</t>
        </is>
      </c>
      <c r="K2804" t="inlineStr">
        <is>
          <t>Management and Maintenance of the Forest</t>
        </is>
      </c>
      <c r="L2804" t="b">
        <v>1</v>
      </c>
      <c r="M2804" t="inlineStr">
        <is>
          <t>Billed at a Fixed price</t>
        </is>
      </c>
      <c r="N2804" s="6">
        <f>IF(B2804="","",IF(ISNUMBER(B2804),TEXT(B2804,"YYYY-MM"),LEFT(B2804,7)))</f>
        <v/>
      </c>
    </row>
    <row r="2805">
      <c r="A2805" t="inlineStr">
        <is>
          <t>Ekow Nyamekye Tawiah</t>
        </is>
      </c>
      <c r="B2805" s="4" t="n">
        <v>46030</v>
      </c>
      <c r="C2805" t="inlineStr">
        <is>
          <t>/</t>
        </is>
      </c>
      <c r="D2805" t="inlineStr">
        <is>
          <t>Ekow Nyamekye Tawiah</t>
        </is>
      </c>
      <c r="E2805" t="inlineStr">
        <is>
          <t>OdooBot</t>
        </is>
      </c>
      <c r="F2805" s="5" t="n">
        <v>46154.70721064815</v>
      </c>
      <c r="H2805" t="inlineStr">
        <is>
          <t>PCGH761</t>
        </is>
      </c>
      <c r="I2805" t="n">
        <v>4</v>
      </c>
      <c r="J2805" t="inlineStr">
        <is>
          <t>PCGH761 - Training, Capacity Building and Coaching (3) (Fauna and Flora International Liberia)</t>
        </is>
      </c>
      <c r="K2805" t="inlineStr">
        <is>
          <t>Training, Capacity Building and Coaching (3)</t>
        </is>
      </c>
      <c r="L2805" t="b">
        <v>1</v>
      </c>
      <c r="M2805" t="inlineStr">
        <is>
          <t>Billed at a Fixed price</t>
        </is>
      </c>
      <c r="N2805" s="6">
        <f>IF(B2805="","",IF(ISNUMBER(B2805),TEXT(B2805,"YYYY-MM"),LEFT(B2805,7)))</f>
        <v/>
      </c>
    </row>
    <row r="2806">
      <c r="A2806" t="inlineStr">
        <is>
          <t>Clement Obeng-Manu</t>
        </is>
      </c>
      <c r="B2806" s="4" t="n">
        <v>46030</v>
      </c>
      <c r="C2806" t="inlineStr">
        <is>
          <t>/</t>
        </is>
      </c>
      <c r="D2806" t="inlineStr">
        <is>
          <t>Clement Obeng-Manu</t>
        </is>
      </c>
      <c r="E2806" t="inlineStr">
        <is>
          <t>OdooBot</t>
        </is>
      </c>
      <c r="F2806" s="5" t="n">
        <v>46154.70721064815</v>
      </c>
      <c r="H2806" t="inlineStr">
        <is>
          <t>PCGH769</t>
        </is>
      </c>
      <c r="I2806" t="n">
        <v>8</v>
      </c>
      <c r="J2806" t="inlineStr">
        <is>
          <t>PCGH769 - Analysis and Reporting (2) (Biase Plantations Ltd.)</t>
        </is>
      </c>
      <c r="K2806" t="inlineStr">
        <is>
          <t>HCV/HCS - Reporting</t>
        </is>
      </c>
      <c r="L2806" t="b">
        <v>1</v>
      </c>
      <c r="M2806" t="inlineStr">
        <is>
          <t>Billed at a Fixed price</t>
        </is>
      </c>
      <c r="N2806" s="6">
        <f>IF(B2806="","",IF(ISNUMBER(B2806),TEXT(B2806,"YYYY-MM"),LEFT(B2806,7)))</f>
        <v/>
      </c>
    </row>
    <row r="2807">
      <c r="A2807" t="inlineStr">
        <is>
          <t>Stephen Doso</t>
        </is>
      </c>
      <c r="B2807" s="4" t="n">
        <v>46030</v>
      </c>
      <c r="C2807" t="inlineStr">
        <is>
          <t>/</t>
        </is>
      </c>
      <c r="D2807" t="inlineStr">
        <is>
          <t>Stephen Doso</t>
        </is>
      </c>
      <c r="E2807" t="inlineStr">
        <is>
          <t>OdooBot</t>
        </is>
      </c>
      <c r="F2807" s="5" t="n">
        <v>46154.70721064815</v>
      </c>
      <c r="H2807" t="inlineStr">
        <is>
          <t>Non-Billable Tasks</t>
        </is>
      </c>
      <c r="I2807" t="n">
        <v>8</v>
      </c>
      <c r="K2807" t="inlineStr">
        <is>
          <t>Annual Leave</t>
        </is>
      </c>
      <c r="L2807" t="b">
        <v>0</v>
      </c>
      <c r="M2807" t="inlineStr">
        <is>
          <t>Non-Billable</t>
        </is>
      </c>
      <c r="N2807" s="6">
        <f>IF(B2807="","",IF(ISNUMBER(B2807),TEXT(B2807,"YYYY-MM"),LEFT(B2807,7)))</f>
        <v/>
      </c>
    </row>
    <row r="2808">
      <c r="A2808" t="inlineStr">
        <is>
          <t>Afua Serwah Akoto Prempeh</t>
        </is>
      </c>
      <c r="B2808" s="4" t="n">
        <v>46030</v>
      </c>
      <c r="C2808" t="inlineStr">
        <is>
          <t>/</t>
        </is>
      </c>
      <c r="D2808" t="inlineStr">
        <is>
          <t>Afua Serwah Akoto Prempeh</t>
        </is>
      </c>
      <c r="E2808" t="inlineStr">
        <is>
          <t>OdooBot</t>
        </is>
      </c>
      <c r="F2808" s="5" t="n">
        <v>46154.70721064815</v>
      </c>
      <c r="H2808" t="inlineStr">
        <is>
          <t>Non-Billable Tasks</t>
        </is>
      </c>
      <c r="I2808" t="n">
        <v>8</v>
      </c>
      <c r="L2808" t="b">
        <v>0</v>
      </c>
      <c r="M2808" t="inlineStr">
        <is>
          <t>Non-Billable</t>
        </is>
      </c>
      <c r="N2808" s="6">
        <f>IF(B2808="","",IF(ISNUMBER(B2808),TEXT(B2808,"YYYY-MM"),LEFT(B2808,7)))</f>
        <v/>
      </c>
    </row>
    <row r="2809">
      <c r="A2809" t="inlineStr">
        <is>
          <t>Augustus Asamoah</t>
        </is>
      </c>
      <c r="B2809" s="4" t="n">
        <v>46030</v>
      </c>
      <c r="C2809" t="inlineStr">
        <is>
          <t>/</t>
        </is>
      </c>
      <c r="D2809" t="inlineStr">
        <is>
          <t>Augustus Asamoah</t>
        </is>
      </c>
      <c r="E2809" t="inlineStr">
        <is>
          <t>OdooBot</t>
        </is>
      </c>
      <c r="F2809" s="5" t="n">
        <v>46154.70721064815</v>
      </c>
      <c r="G2809" t="inlineStr">
        <is>
          <t>Programme Personnel and Management</t>
        </is>
      </c>
      <c r="H2809" t="inlineStr">
        <is>
          <t>P13NC00A00 - WALMART II</t>
        </is>
      </c>
      <c r="I2809" t="n">
        <v>2</v>
      </c>
      <c r="K2809" t="inlineStr">
        <is>
          <t>Programme Personnel</t>
        </is>
      </c>
      <c r="L2809" t="b">
        <v>0</v>
      </c>
      <c r="M2809" t="inlineStr">
        <is>
          <t>Non-Billable</t>
        </is>
      </c>
      <c r="N2809" s="6">
        <f>IF(B2809="","",IF(ISNUMBER(B2809),TEXT(B2809,"YYYY-MM"),LEFT(B2809,7)))</f>
        <v/>
      </c>
    </row>
    <row r="2810">
      <c r="A2810" t="inlineStr">
        <is>
          <t>Augustus Asamoah</t>
        </is>
      </c>
      <c r="B2810" s="4" t="n">
        <v>46030</v>
      </c>
      <c r="C2810" t="inlineStr">
        <is>
          <t>/</t>
        </is>
      </c>
      <c r="D2810" t="inlineStr">
        <is>
          <t>Augustus Asamoah</t>
        </is>
      </c>
      <c r="E2810" t="inlineStr">
        <is>
          <t>OdooBot</t>
        </is>
      </c>
      <c r="F2810" s="5" t="n">
        <v>46154.70721064815</v>
      </c>
      <c r="G2810" t="inlineStr">
        <is>
          <t>Programme Personnel and Management</t>
        </is>
      </c>
      <c r="H2810" t="inlineStr">
        <is>
          <t>P13QC00A00 - EFI Programme</t>
        </is>
      </c>
      <c r="I2810" t="n">
        <v>3</v>
      </c>
      <c r="K2810" t="inlineStr">
        <is>
          <t>Programme Personnel</t>
        </is>
      </c>
      <c r="L2810" t="b">
        <v>0</v>
      </c>
      <c r="M2810" t="inlineStr">
        <is>
          <t>Non-Billable</t>
        </is>
      </c>
      <c r="N2810" s="6">
        <f>IF(B2810="","",IF(ISNUMBER(B2810),TEXT(B2810,"YYYY-MM"),LEFT(B2810,7)))</f>
        <v/>
      </c>
    </row>
    <row r="2811">
      <c r="A2811" t="inlineStr">
        <is>
          <t>Augustus Asamoah</t>
        </is>
      </c>
      <c r="B2811" s="4" t="n">
        <v>46030</v>
      </c>
      <c r="C2811" t="inlineStr">
        <is>
          <t>/</t>
        </is>
      </c>
      <c r="D2811" t="inlineStr">
        <is>
          <t>Augustus Asamoah</t>
        </is>
      </c>
      <c r="E2811" t="inlineStr">
        <is>
          <t>OdooBot</t>
        </is>
      </c>
      <c r="F2811" s="5" t="n">
        <v>46154.70721064815</v>
      </c>
      <c r="H2811" t="inlineStr">
        <is>
          <t>PCGH771</t>
        </is>
      </c>
      <c r="I2811" t="n">
        <v>3</v>
      </c>
      <c r="J2811" t="inlineStr">
        <is>
          <t>PCGH771 - Desk Study (2) (Okeosisi Jonathan)</t>
        </is>
      </c>
      <c r="L2811" t="b">
        <v>1</v>
      </c>
      <c r="M2811" t="inlineStr">
        <is>
          <t>Billed at a Fixed price</t>
        </is>
      </c>
      <c r="N2811" s="6">
        <f>IF(B2811="","",IF(ISNUMBER(B2811),TEXT(B2811,"YYYY-MM"),LEFT(B2811,7)))</f>
        <v/>
      </c>
    </row>
    <row r="2812">
      <c r="A2812" t="inlineStr">
        <is>
          <t>Helena Tetteh</t>
        </is>
      </c>
      <c r="B2812" s="4" t="n">
        <v>46030</v>
      </c>
      <c r="C2812" t="inlineStr">
        <is>
          <t>/</t>
        </is>
      </c>
      <c r="D2812" t="inlineStr">
        <is>
          <t xml:space="preserve">Helena Tetteh </t>
        </is>
      </c>
      <c r="E2812" t="inlineStr">
        <is>
          <t>OdooBot</t>
        </is>
      </c>
      <c r="F2812" s="5" t="n">
        <v>46154.70721064815</v>
      </c>
      <c r="G2812" t="inlineStr">
        <is>
          <t>Programme Personnel</t>
        </is>
      </c>
      <c r="H2812" t="inlineStr">
        <is>
          <t>P13GC00A00 - GAC Ulula</t>
        </is>
      </c>
      <c r="I2812" t="n">
        <v>8</v>
      </c>
      <c r="K2812" t="inlineStr">
        <is>
          <t>Programme Personnel （Project Manger 2）</t>
        </is>
      </c>
      <c r="L2812" t="b">
        <v>0</v>
      </c>
      <c r="M2812" t="inlineStr">
        <is>
          <t>Non-Billable</t>
        </is>
      </c>
      <c r="N2812" s="6">
        <f>IF(B2812="","",IF(ISNUMBER(B2812),TEXT(B2812,"YYYY-MM"),LEFT(B2812,7)))</f>
        <v/>
      </c>
    </row>
    <row r="2813">
      <c r="A2813" t="inlineStr">
        <is>
          <t>Daleba Bernard Kpenahi Raymond</t>
        </is>
      </c>
      <c r="B2813" s="4" t="n">
        <v>46030</v>
      </c>
      <c r="C2813" t="inlineStr">
        <is>
          <t>/</t>
        </is>
      </c>
      <c r="D2813" t="inlineStr">
        <is>
          <t>Daleba Bernard Kpenahi Raymond</t>
        </is>
      </c>
      <c r="E2813" t="inlineStr">
        <is>
          <t>OdooBot</t>
        </is>
      </c>
      <c r="F2813" s="5" t="n">
        <v>46154.70721064815</v>
      </c>
      <c r="H2813" t="inlineStr">
        <is>
          <t>Non-Billable Tasks</t>
        </is>
      </c>
      <c r="I2813" t="n">
        <v>8</v>
      </c>
      <c r="K2813" t="inlineStr">
        <is>
          <t>Annual Leave</t>
        </is>
      </c>
      <c r="L2813" t="b">
        <v>0</v>
      </c>
      <c r="M2813" t="inlineStr">
        <is>
          <t>Non-Billable</t>
        </is>
      </c>
      <c r="N2813" s="6">
        <f>IF(B2813="","",IF(ISNUMBER(B2813),TEXT(B2813,"YYYY-MM"),LEFT(B2813,7)))</f>
        <v/>
      </c>
    </row>
    <row r="2814">
      <c r="A2814" t="inlineStr">
        <is>
          <t>Joseph Isaiah Mensah</t>
        </is>
      </c>
      <c r="B2814" s="4" t="n">
        <v>46030</v>
      </c>
      <c r="C2814" t="inlineStr">
        <is>
          <t>/</t>
        </is>
      </c>
      <c r="D2814" t="inlineStr">
        <is>
          <t>Joseph Isaiah Mensah</t>
        </is>
      </c>
      <c r="E2814" t="inlineStr">
        <is>
          <t>OdooBot</t>
        </is>
      </c>
      <c r="F2814" s="5" t="n">
        <v>46154.70721064815</v>
      </c>
      <c r="H2814" t="inlineStr">
        <is>
          <t>PCGH762 - GVL HCSA Restoration Project</t>
        </is>
      </c>
      <c r="I2814" t="n">
        <v>7</v>
      </c>
      <c r="J2814" t="inlineStr">
        <is>
          <t>PCGH763 - Desk study (Due diligence) (Jopafram Nigeria Limited)</t>
        </is>
      </c>
      <c r="K2814" t="inlineStr">
        <is>
          <t>Fundraising and proposal development</t>
        </is>
      </c>
      <c r="L2814" t="b">
        <v>1</v>
      </c>
      <c r="M2814" t="inlineStr">
        <is>
          <t>Billed at a Fixed price</t>
        </is>
      </c>
      <c r="N2814" s="6">
        <f>IF(B2814="","",IF(ISNUMBER(B2814),TEXT(B2814,"YYYY-MM"),LEFT(B2814,7)))</f>
        <v/>
      </c>
    </row>
    <row r="2815">
      <c r="A2815" t="inlineStr">
        <is>
          <t>Joseph Isaiah Mensah</t>
        </is>
      </c>
      <c r="B2815" s="4" t="n">
        <v>46030</v>
      </c>
      <c r="C2815" t="inlineStr">
        <is>
          <t>/</t>
        </is>
      </c>
      <c r="D2815" t="inlineStr">
        <is>
          <t>Joseph Isaiah Mensah</t>
        </is>
      </c>
      <c r="E2815" t="inlineStr">
        <is>
          <t>OdooBot</t>
        </is>
      </c>
      <c r="F2815" s="5" t="n">
        <v>46154.70721064815</v>
      </c>
      <c r="G2815" t="inlineStr">
        <is>
          <t>Output 4</t>
        </is>
      </c>
      <c r="H2815" t="inlineStr">
        <is>
          <t>P23AC00C00 - FGMC</t>
        </is>
      </c>
      <c r="I2815" t="n">
        <v>1</v>
      </c>
      <c r="K2815" t="inlineStr">
        <is>
          <t>P23AC03A00 - Project Management</t>
        </is>
      </c>
      <c r="L2815" t="b">
        <v>0</v>
      </c>
      <c r="M2815" t="inlineStr">
        <is>
          <t>Non-Billable</t>
        </is>
      </c>
      <c r="N2815" s="6">
        <f>IF(B2815="","",IF(ISNUMBER(B2815),TEXT(B2815,"YYYY-MM"),LEFT(B2815,7)))</f>
        <v/>
      </c>
    </row>
    <row r="2816">
      <c r="A2816" t="inlineStr">
        <is>
          <t>Kwadwo Baniako Nti</t>
        </is>
      </c>
      <c r="B2816" s="4" t="n">
        <v>46030</v>
      </c>
      <c r="C2816" t="inlineStr">
        <is>
          <t>/</t>
        </is>
      </c>
      <c r="D2816" t="inlineStr">
        <is>
          <t>Kwadwo Baniako Nti</t>
        </is>
      </c>
      <c r="E2816" t="inlineStr">
        <is>
          <t>OdooBot</t>
        </is>
      </c>
      <c r="F2816" s="5" t="n">
        <v>46154.70721064815</v>
      </c>
      <c r="H2816" t="inlineStr">
        <is>
          <t>Non-Billable Tasks</t>
        </is>
      </c>
      <c r="I2816" t="n">
        <v>8</v>
      </c>
      <c r="K2816" t="inlineStr">
        <is>
          <t>Annual Leave</t>
        </is>
      </c>
      <c r="L2816" t="b">
        <v>0</v>
      </c>
      <c r="M2816" t="inlineStr">
        <is>
          <t>Non-Billable</t>
        </is>
      </c>
      <c r="N2816" s="6">
        <f>IF(B2816="","",IF(ISNUMBER(B2816),TEXT(B2816,"YYYY-MM"),LEFT(B2816,7)))</f>
        <v/>
      </c>
    </row>
    <row r="2817">
      <c r="A2817" t="inlineStr">
        <is>
          <t>Kingsley Fitz-Gerald Severine</t>
        </is>
      </c>
      <c r="B2817" s="4" t="n">
        <v>46030</v>
      </c>
      <c r="C2817" t="inlineStr">
        <is>
          <t>/</t>
        </is>
      </c>
      <c r="D2817" t="inlineStr">
        <is>
          <t>Kingsley Fitz-Gerald Severine</t>
        </is>
      </c>
      <c r="E2817" t="inlineStr">
        <is>
          <t>OdooBot</t>
        </is>
      </c>
      <c r="F2817" s="5" t="n">
        <v>46154.70721064815</v>
      </c>
      <c r="G2817" t="inlineStr">
        <is>
          <t>Site Assessment (2)</t>
        </is>
      </c>
      <c r="H2817" t="inlineStr">
        <is>
          <t>PCGH686</t>
        </is>
      </c>
      <c r="I2817" t="n">
        <v>8</v>
      </c>
      <c r="J2817" t="inlineStr">
        <is>
          <t>PCGH686 - Field Verification of the Effectiveness of Implementation of the HCV Management Plan (Plantation Socfinaf Ghana)</t>
        </is>
      </c>
      <c r="K2817" t="inlineStr">
        <is>
          <t>Site Assessment</t>
        </is>
      </c>
      <c r="L2817" t="b">
        <v>1</v>
      </c>
      <c r="M2817" t="inlineStr">
        <is>
          <t>Billed at a Fixed price</t>
        </is>
      </c>
      <c r="N2817" s="6">
        <f>IF(B2817="","",IF(ISNUMBER(B2817),TEXT(B2817,"YYYY-MM"),LEFT(B2817,7)))</f>
        <v/>
      </c>
    </row>
    <row r="2818">
      <c r="A2818" t="inlineStr">
        <is>
          <t>Frederick Antwi</t>
        </is>
      </c>
      <c r="B2818" s="4" t="n">
        <v>46030</v>
      </c>
      <c r="C2818" t="inlineStr">
        <is>
          <t>Developing presentation summary for Nestle</t>
        </is>
      </c>
      <c r="D2818" t="inlineStr">
        <is>
          <t>Frederick Antwi</t>
        </is>
      </c>
      <c r="E2818" t="inlineStr">
        <is>
          <t>Frederick Antwi</t>
        </is>
      </c>
      <c r="F2818" s="5" t="n">
        <v>46160.53336805556</v>
      </c>
      <c r="G2818" t="inlineStr">
        <is>
          <t>Preplanning Activities (3)</t>
        </is>
      </c>
      <c r="H2818" t="inlineStr">
        <is>
          <t>PCGH768</t>
        </is>
      </c>
      <c r="I2818" t="n">
        <v>8</v>
      </c>
      <c r="J2818" t="inlineStr">
        <is>
          <t>PCGH768 - Preplanning Activities (3) (Proforest Limited(PCUK GBP))</t>
        </is>
      </c>
      <c r="K2818" t="inlineStr">
        <is>
          <t>Development of implementation plan, Calls with Nestlé team, reviewing comments etc</t>
        </is>
      </c>
      <c r="L2818" t="b">
        <v>1</v>
      </c>
      <c r="M2818" t="inlineStr">
        <is>
          <t>Billed at a Fixed price</t>
        </is>
      </c>
      <c r="N2818" s="6">
        <f>IF(B2818="","",IF(ISNUMBER(B2818),TEXT(B2818,"YYYY-MM"),LEFT(B2818,7)))</f>
        <v/>
      </c>
    </row>
    <row r="2819">
      <c r="A2819" t="inlineStr">
        <is>
          <t>Louis Defo</t>
        </is>
      </c>
      <c r="B2819" s="4" t="n">
        <v>46029</v>
      </c>
      <c r="C2819" t="inlineStr">
        <is>
          <t>/</t>
        </is>
      </c>
      <c r="D2819" t="inlineStr">
        <is>
          <t>Louis Defo</t>
        </is>
      </c>
      <c r="E2819" t="inlineStr">
        <is>
          <t>Louis Defo</t>
        </is>
      </c>
      <c r="F2819" s="5" t="n">
        <v>46161.3395949074</v>
      </c>
      <c r="H2819" t="inlineStr">
        <is>
          <t>P23AC00C00 - FGMC</t>
        </is>
      </c>
      <c r="I2819" t="n">
        <v>8</v>
      </c>
      <c r="L2819" t="b">
        <v>0</v>
      </c>
      <c r="M2819" t="inlineStr">
        <is>
          <t>Non-Billable</t>
        </is>
      </c>
      <c r="N2819" s="6">
        <f>IF(B2819="","",IF(ISNUMBER(B2819),TEXT(B2819,"YYYY-MM"),LEFT(B2819,7)))</f>
        <v/>
      </c>
    </row>
    <row r="2820">
      <c r="A2820" t="inlineStr">
        <is>
          <t>James Parker Mckeown</t>
        </is>
      </c>
      <c r="B2820" s="4" t="n">
        <v>46029</v>
      </c>
      <c r="C2820" t="inlineStr">
        <is>
          <t>/</t>
        </is>
      </c>
      <c r="D2820" t="inlineStr">
        <is>
          <t>James Parker Mckeown</t>
        </is>
      </c>
      <c r="E2820" t="inlineStr">
        <is>
          <t>OdooBot</t>
        </is>
      </c>
      <c r="F2820" s="5" t="n">
        <v>46154.70721064815</v>
      </c>
      <c r="G2820" t="inlineStr">
        <is>
          <t>Management and Maintenance of the Forest</t>
        </is>
      </c>
      <c r="H2820" t="inlineStr">
        <is>
          <t>PCGH762 - GVL HCSA Restoration Project</t>
        </is>
      </c>
      <c r="I2820" t="n">
        <v>3</v>
      </c>
      <c r="J2820" t="inlineStr">
        <is>
          <t>PCGH762 - Management and Maintenance of the Forest (Golden Veroleum Liberia)</t>
        </is>
      </c>
      <c r="K2820" t="inlineStr">
        <is>
          <t>Management and Maintenance of the Forest</t>
        </is>
      </c>
      <c r="L2820" t="b">
        <v>1</v>
      </c>
      <c r="M2820" t="inlineStr">
        <is>
          <t>Billed at a Fixed price</t>
        </is>
      </c>
      <c r="N2820" s="6">
        <f>IF(B2820="","",IF(ISNUMBER(B2820),TEXT(B2820,"YYYY-MM"),LEFT(B2820,7)))</f>
        <v/>
      </c>
    </row>
    <row r="2821">
      <c r="A2821" t="inlineStr">
        <is>
          <t>James Parker Mckeown</t>
        </is>
      </c>
      <c r="B2821" s="4" t="n">
        <v>46029</v>
      </c>
      <c r="C2821" t="inlineStr">
        <is>
          <t>EFI workplan and budget</t>
        </is>
      </c>
      <c r="D2821" t="inlineStr">
        <is>
          <t>James Parker Mckeown</t>
        </is>
      </c>
      <c r="E2821" t="inlineStr">
        <is>
          <t>OdooBot</t>
        </is>
      </c>
      <c r="F2821" s="5" t="n">
        <v>46154.70721064815</v>
      </c>
      <c r="H2821" t="inlineStr">
        <is>
          <t>Non-Billable Tasks</t>
        </is>
      </c>
      <c r="I2821" t="n">
        <v>3</v>
      </c>
      <c r="K2821" t="inlineStr">
        <is>
          <t>Business Development and Networking</t>
        </is>
      </c>
      <c r="L2821" t="b">
        <v>0</v>
      </c>
      <c r="M2821" t="inlineStr">
        <is>
          <t>Non-Billable</t>
        </is>
      </c>
      <c r="N2821" s="6">
        <f>IF(B2821="","",IF(ISNUMBER(B2821),TEXT(B2821,"YYYY-MM"),LEFT(B2821,7)))</f>
        <v/>
      </c>
    </row>
    <row r="2822">
      <c r="A2822" t="inlineStr">
        <is>
          <t>James Parker Mckeown</t>
        </is>
      </c>
      <c r="B2822" s="4" t="n">
        <v>46029</v>
      </c>
      <c r="C2822" t="inlineStr">
        <is>
          <t xml:space="preserve">Outcome of the Meeting of the HMB&amp;MCE with Traditional Leaders
</t>
        </is>
      </c>
      <c r="D2822" t="inlineStr">
        <is>
          <t>James Parker Mckeown</t>
        </is>
      </c>
      <c r="E2822" t="inlineStr">
        <is>
          <t>OdooBot</t>
        </is>
      </c>
      <c r="F2822" s="5" t="n">
        <v>46154.70721064815</v>
      </c>
      <c r="H2822" t="inlineStr">
        <is>
          <t>Non-Billable Tasks</t>
        </is>
      </c>
      <c r="I2822" t="n">
        <v>2</v>
      </c>
      <c r="K2822" t="inlineStr">
        <is>
          <t>Portfolio Team Management</t>
        </is>
      </c>
      <c r="L2822" t="b">
        <v>0</v>
      </c>
      <c r="M2822" t="inlineStr">
        <is>
          <t>Non-Billable</t>
        </is>
      </c>
      <c r="N2822" s="6">
        <f>IF(B2822="","",IF(ISNUMBER(B2822),TEXT(B2822,"YYYY-MM"),LEFT(B2822,7)))</f>
        <v/>
      </c>
    </row>
    <row r="2823">
      <c r="A2823" t="inlineStr">
        <is>
          <t>Ekow Nyamekye Tawiah</t>
        </is>
      </c>
      <c r="B2823" s="4" t="n">
        <v>46029</v>
      </c>
      <c r="C2823" t="inlineStr">
        <is>
          <t>/</t>
        </is>
      </c>
      <c r="D2823" t="inlineStr">
        <is>
          <t>Ekow Nyamekye Tawiah</t>
        </is>
      </c>
      <c r="E2823" t="inlineStr">
        <is>
          <t>OdooBot</t>
        </is>
      </c>
      <c r="F2823" s="5" t="n">
        <v>46154.70721064815</v>
      </c>
      <c r="H2823" t="inlineStr">
        <is>
          <t>PCGH722</t>
        </is>
      </c>
      <c r="I2823" t="n">
        <v>4</v>
      </c>
      <c r="J2823" t="inlineStr">
        <is>
          <t>PCGH722 - Analysis and Reporting (3) (Sucrivoire SA)</t>
        </is>
      </c>
      <c r="K2823" t="inlineStr">
        <is>
          <t>Analysis and Reporting (3)</t>
        </is>
      </c>
      <c r="L2823" t="b">
        <v>1</v>
      </c>
      <c r="M2823" t="inlineStr">
        <is>
          <t>Billed at a Fixed price</t>
        </is>
      </c>
      <c r="N2823" s="6">
        <f>IF(B2823="","",IF(ISNUMBER(B2823),TEXT(B2823,"YYYY-MM"),LEFT(B2823,7)))</f>
        <v/>
      </c>
    </row>
    <row r="2824">
      <c r="A2824" t="inlineStr">
        <is>
          <t>Stephen Doso</t>
        </is>
      </c>
      <c r="B2824" s="4" t="n">
        <v>46029</v>
      </c>
      <c r="C2824" t="inlineStr">
        <is>
          <t>/</t>
        </is>
      </c>
      <c r="D2824" t="inlineStr">
        <is>
          <t>Stephen Doso</t>
        </is>
      </c>
      <c r="E2824" t="inlineStr">
        <is>
          <t>OdooBot</t>
        </is>
      </c>
      <c r="F2824" s="5" t="n">
        <v>46154.70721064815</v>
      </c>
      <c r="H2824" t="inlineStr">
        <is>
          <t>Non-Billable Tasks</t>
        </is>
      </c>
      <c r="I2824" t="n">
        <v>8</v>
      </c>
      <c r="K2824" t="inlineStr">
        <is>
          <t>Annual Leave</t>
        </is>
      </c>
      <c r="L2824" t="b">
        <v>0</v>
      </c>
      <c r="M2824" t="inlineStr">
        <is>
          <t>Non-Billable</t>
        </is>
      </c>
      <c r="N2824" s="6">
        <f>IF(B2824="","",IF(ISNUMBER(B2824),TEXT(B2824,"YYYY-MM"),LEFT(B2824,7)))</f>
        <v/>
      </c>
    </row>
    <row r="2825">
      <c r="A2825" t="inlineStr">
        <is>
          <t>Afua Serwah Akoto Prempeh</t>
        </is>
      </c>
      <c r="B2825" s="4" t="n">
        <v>46029</v>
      </c>
      <c r="C2825" t="inlineStr">
        <is>
          <t>/</t>
        </is>
      </c>
      <c r="D2825" t="inlineStr">
        <is>
          <t>Afua Serwah Akoto Prempeh</t>
        </is>
      </c>
      <c r="E2825" t="inlineStr">
        <is>
          <t>OdooBot</t>
        </is>
      </c>
      <c r="F2825" s="5" t="n">
        <v>46154.70721064815</v>
      </c>
      <c r="H2825" t="inlineStr">
        <is>
          <t>Non-Billable Tasks</t>
        </is>
      </c>
      <c r="I2825" t="n">
        <v>8</v>
      </c>
      <c r="L2825" t="b">
        <v>0</v>
      </c>
      <c r="M2825" t="inlineStr">
        <is>
          <t>Non-Billable</t>
        </is>
      </c>
      <c r="N2825" s="6">
        <f>IF(B2825="","",IF(ISNUMBER(B2825),TEXT(B2825,"YYYY-MM"),LEFT(B2825,7)))</f>
        <v/>
      </c>
    </row>
    <row r="2826">
      <c r="A2826" t="inlineStr">
        <is>
          <t>Augustus Asamoah</t>
        </is>
      </c>
      <c r="B2826" s="4" t="n">
        <v>46029</v>
      </c>
      <c r="C2826" t="inlineStr">
        <is>
          <t>/</t>
        </is>
      </c>
      <c r="D2826" t="inlineStr">
        <is>
          <t>Augustus Asamoah</t>
        </is>
      </c>
      <c r="E2826" t="inlineStr">
        <is>
          <t>OdooBot</t>
        </is>
      </c>
      <c r="F2826" s="5" t="n">
        <v>46154.70721064815</v>
      </c>
      <c r="G2826" t="inlineStr">
        <is>
          <t>Programme Personnel and Management</t>
        </is>
      </c>
      <c r="H2826" t="inlineStr">
        <is>
          <t>P13QC00A00 - EFI Programme</t>
        </is>
      </c>
      <c r="I2826" t="n">
        <v>3</v>
      </c>
      <c r="K2826" t="inlineStr">
        <is>
          <t>Programme Personnel</t>
        </is>
      </c>
      <c r="L2826" t="b">
        <v>0</v>
      </c>
      <c r="M2826" t="inlineStr">
        <is>
          <t>Non-Billable</t>
        </is>
      </c>
      <c r="N2826" s="6">
        <f>IF(B2826="","",IF(ISNUMBER(B2826),TEXT(B2826,"YYYY-MM"),LEFT(B2826,7)))</f>
        <v/>
      </c>
    </row>
    <row r="2827">
      <c r="A2827" t="inlineStr">
        <is>
          <t>Augustus Asamoah</t>
        </is>
      </c>
      <c r="B2827" s="4" t="n">
        <v>46029</v>
      </c>
      <c r="C2827" t="inlineStr">
        <is>
          <t>/</t>
        </is>
      </c>
      <c r="D2827" t="inlineStr">
        <is>
          <t>Augustus Asamoah</t>
        </is>
      </c>
      <c r="E2827" t="inlineStr">
        <is>
          <t>OdooBot</t>
        </is>
      </c>
      <c r="F2827" s="5" t="n">
        <v>46154.70721064815</v>
      </c>
      <c r="G2827" t="inlineStr">
        <is>
          <t>Programme Personnel and Management</t>
        </is>
      </c>
      <c r="H2827" t="inlineStr">
        <is>
          <t>P13NC00A00 - WALMART II</t>
        </is>
      </c>
      <c r="I2827" t="n">
        <v>5</v>
      </c>
      <c r="K2827" t="inlineStr">
        <is>
          <t>Programme Personnel</t>
        </is>
      </c>
      <c r="L2827" t="b">
        <v>0</v>
      </c>
      <c r="M2827" t="inlineStr">
        <is>
          <t>Non-Billable</t>
        </is>
      </c>
      <c r="N2827" s="6">
        <f>IF(B2827="","",IF(ISNUMBER(B2827),TEXT(B2827,"YYYY-MM"),LEFT(B2827,7)))</f>
        <v/>
      </c>
    </row>
    <row r="2828">
      <c r="A2828" t="inlineStr">
        <is>
          <t>Augustus Asamoah</t>
        </is>
      </c>
      <c r="B2828" s="4" t="n">
        <v>46029</v>
      </c>
      <c r="C2828" t="inlineStr">
        <is>
          <t>/</t>
        </is>
      </c>
      <c r="D2828" t="inlineStr">
        <is>
          <t>Augustus Asamoah</t>
        </is>
      </c>
      <c r="E2828" t="inlineStr">
        <is>
          <t>OdooBot</t>
        </is>
      </c>
      <c r="F2828" s="5" t="n">
        <v>46154.70721064815</v>
      </c>
      <c r="H2828" t="inlineStr">
        <is>
          <t>P13NC00A00 - WALMART II</t>
        </is>
      </c>
      <c r="I2828" t="n">
        <v>0</v>
      </c>
      <c r="L2828" t="b">
        <v>0</v>
      </c>
      <c r="M2828" t="inlineStr">
        <is>
          <t>Non-Billable</t>
        </is>
      </c>
      <c r="N2828" s="6">
        <f>IF(B2828="","",IF(ISNUMBER(B2828),TEXT(B2828,"YYYY-MM"),LEFT(B2828,7)))</f>
        <v/>
      </c>
    </row>
    <row r="2829">
      <c r="A2829" t="inlineStr">
        <is>
          <t>Helena Tetteh</t>
        </is>
      </c>
      <c r="B2829" s="4" t="n">
        <v>46029</v>
      </c>
      <c r="C2829" t="inlineStr">
        <is>
          <t>/</t>
        </is>
      </c>
      <c r="D2829" t="inlineStr">
        <is>
          <t xml:space="preserve">Helena Tetteh </t>
        </is>
      </c>
      <c r="E2829" t="inlineStr">
        <is>
          <t>OdooBot</t>
        </is>
      </c>
      <c r="F2829" s="5" t="n">
        <v>46154.70721064815</v>
      </c>
      <c r="H2829" t="inlineStr">
        <is>
          <t>Non-Billable Tasks</t>
        </is>
      </c>
      <c r="I2829" t="n">
        <v>8</v>
      </c>
      <c r="K2829" t="inlineStr">
        <is>
          <t>Annual Leave</t>
        </is>
      </c>
      <c r="L2829" t="b">
        <v>0</v>
      </c>
      <c r="M2829" t="inlineStr">
        <is>
          <t>Non-Billable</t>
        </is>
      </c>
      <c r="N2829" s="6">
        <f>IF(B2829="","",IF(ISNUMBER(B2829),TEXT(B2829,"YYYY-MM"),LEFT(B2829,7)))</f>
        <v/>
      </c>
    </row>
    <row r="2830">
      <c r="A2830" t="inlineStr">
        <is>
          <t>Daleba Bernard Kpenahi Raymond</t>
        </is>
      </c>
      <c r="B2830" s="4" t="n">
        <v>46029</v>
      </c>
      <c r="C2830" t="inlineStr">
        <is>
          <t>/</t>
        </is>
      </c>
      <c r="D2830" t="inlineStr">
        <is>
          <t>Daleba Bernard Kpenahi Raymond</t>
        </is>
      </c>
      <c r="E2830" t="inlineStr">
        <is>
          <t>OdooBot</t>
        </is>
      </c>
      <c r="F2830" s="5" t="n">
        <v>46154.70721064815</v>
      </c>
      <c r="H2830" t="inlineStr">
        <is>
          <t>Non-Billable Tasks</t>
        </is>
      </c>
      <c r="I2830" t="n">
        <v>8</v>
      </c>
      <c r="K2830" t="inlineStr">
        <is>
          <t>Annual Leave</t>
        </is>
      </c>
      <c r="L2830" t="b">
        <v>0</v>
      </c>
      <c r="M2830" t="inlineStr">
        <is>
          <t>Non-Billable</t>
        </is>
      </c>
      <c r="N2830" s="6">
        <f>IF(B2830="","",IF(ISNUMBER(B2830),TEXT(B2830,"YYYY-MM"),LEFT(B2830,7)))</f>
        <v/>
      </c>
    </row>
    <row r="2831">
      <c r="A2831" t="inlineStr">
        <is>
          <t>Joseph Isaiah Mensah</t>
        </is>
      </c>
      <c r="B2831" s="4" t="n">
        <v>46029</v>
      </c>
      <c r="C2831" t="inlineStr">
        <is>
          <t>/</t>
        </is>
      </c>
      <c r="D2831" t="inlineStr">
        <is>
          <t>Joseph Isaiah Mensah</t>
        </is>
      </c>
      <c r="E2831" t="inlineStr">
        <is>
          <t>OdooBot</t>
        </is>
      </c>
      <c r="F2831" s="5" t="n">
        <v>46154.70721064815</v>
      </c>
      <c r="H2831" t="inlineStr">
        <is>
          <t>PCGH762 - GVL HCSA Restoration Project</t>
        </is>
      </c>
      <c r="I2831" t="n">
        <v>6.833333333333333</v>
      </c>
      <c r="J2831" t="inlineStr">
        <is>
          <t>PCGH763 - Desk study (Due diligence) (Jopafram Nigeria Limited)</t>
        </is>
      </c>
      <c r="K2831" t="inlineStr">
        <is>
          <t>Fundraising and proposal development</t>
        </is>
      </c>
      <c r="L2831" t="b">
        <v>1</v>
      </c>
      <c r="M2831" t="inlineStr">
        <is>
          <t>Billed at a Fixed price</t>
        </is>
      </c>
      <c r="N2831" s="6">
        <f>IF(B2831="","",IF(ISNUMBER(B2831),TEXT(B2831,"YYYY-MM"),LEFT(B2831,7)))</f>
        <v/>
      </c>
    </row>
    <row r="2832">
      <c r="A2832" t="inlineStr">
        <is>
          <t>Joseph Isaiah Mensah</t>
        </is>
      </c>
      <c r="B2832" s="4" t="n">
        <v>46029</v>
      </c>
      <c r="C2832" t="inlineStr">
        <is>
          <t>Discussion of Workplan</t>
        </is>
      </c>
      <c r="D2832" t="inlineStr">
        <is>
          <t>Joseph Isaiah Mensah</t>
        </is>
      </c>
      <c r="E2832" t="inlineStr">
        <is>
          <t>OdooBot</t>
        </is>
      </c>
      <c r="F2832" s="5" t="n">
        <v>46154.70721064815</v>
      </c>
      <c r="G2832" t="inlineStr">
        <is>
          <t>Programme Personnel and Management</t>
        </is>
      </c>
      <c r="H2832" t="inlineStr">
        <is>
          <t>P13QC00A00 - EFI Programme</t>
        </is>
      </c>
      <c r="I2832" t="n">
        <v>1.833333333333333</v>
      </c>
      <c r="K2832" t="inlineStr">
        <is>
          <t>Programme Personnel</t>
        </is>
      </c>
      <c r="L2832" t="b">
        <v>0</v>
      </c>
      <c r="M2832" t="inlineStr">
        <is>
          <t>Non-Billable</t>
        </is>
      </c>
      <c r="N2832" s="6">
        <f>IF(B2832="","",IF(ISNUMBER(B2832),TEXT(B2832,"YYYY-MM"),LEFT(B2832,7)))</f>
        <v/>
      </c>
    </row>
    <row r="2833">
      <c r="A2833" t="inlineStr">
        <is>
          <t>Kwadwo Baniako Nti</t>
        </is>
      </c>
      <c r="B2833" s="4" t="n">
        <v>46029</v>
      </c>
      <c r="C2833" t="inlineStr">
        <is>
          <t>/</t>
        </is>
      </c>
      <c r="D2833" t="inlineStr">
        <is>
          <t>Kwadwo Baniako Nti</t>
        </is>
      </c>
      <c r="E2833" t="inlineStr">
        <is>
          <t>OdooBot</t>
        </is>
      </c>
      <c r="F2833" s="5" t="n">
        <v>46154.70721064815</v>
      </c>
      <c r="H2833" t="inlineStr">
        <is>
          <t>Non-Billable Tasks</t>
        </is>
      </c>
      <c r="I2833" t="n">
        <v>8</v>
      </c>
      <c r="K2833" t="inlineStr">
        <is>
          <t>Annual Leave</t>
        </is>
      </c>
      <c r="L2833" t="b">
        <v>0</v>
      </c>
      <c r="M2833" t="inlineStr">
        <is>
          <t>Non-Billable</t>
        </is>
      </c>
      <c r="N2833" s="6">
        <f>IF(B2833="","",IF(ISNUMBER(B2833),TEXT(B2833,"YYYY-MM"),LEFT(B2833,7)))</f>
        <v/>
      </c>
    </row>
    <row r="2834">
      <c r="A2834" t="inlineStr">
        <is>
          <t>Kingsley Fitz-Gerald Severine</t>
        </is>
      </c>
      <c r="B2834" s="4" t="n">
        <v>46029</v>
      </c>
      <c r="C2834" t="inlineStr">
        <is>
          <t>/</t>
        </is>
      </c>
      <c r="D2834" t="inlineStr">
        <is>
          <t>Kingsley Fitz-Gerald Severine</t>
        </is>
      </c>
      <c r="E2834" t="inlineStr">
        <is>
          <t>OdooBot</t>
        </is>
      </c>
      <c r="F2834" s="5" t="n">
        <v>46154.70721064815</v>
      </c>
      <c r="G2834" t="inlineStr">
        <is>
          <t>Site Assessment (1)</t>
        </is>
      </c>
      <c r="H2834" t="inlineStr">
        <is>
          <t>PCGH686</t>
        </is>
      </c>
      <c r="I2834" t="n">
        <v>8</v>
      </c>
      <c r="J2834" t="inlineStr">
        <is>
          <t>PCGH686 - Field Verification of the Effectiveness of Implementation of the HCV Management Plan (Plantation Socfinaf Ghana)</t>
        </is>
      </c>
      <c r="K2834" t="inlineStr">
        <is>
          <t>Site Assessment</t>
        </is>
      </c>
      <c r="L2834" t="b">
        <v>1</v>
      </c>
      <c r="M2834" t="inlineStr">
        <is>
          <t>Billed at a Fixed price</t>
        </is>
      </c>
      <c r="N2834" s="6">
        <f>IF(B2834="","",IF(ISNUMBER(B2834),TEXT(B2834,"YYYY-MM"),LEFT(B2834,7)))</f>
        <v/>
      </c>
    </row>
    <row r="2835">
      <c r="A2835" t="inlineStr">
        <is>
          <t>Clement Obeng-Manu</t>
        </is>
      </c>
      <c r="B2835" s="4" t="n">
        <v>46029</v>
      </c>
      <c r="C2835" t="inlineStr">
        <is>
          <t>Reporting</t>
        </is>
      </c>
      <c r="D2835" t="inlineStr">
        <is>
          <t>Clement Obeng-Manu</t>
        </is>
      </c>
      <c r="E2835" t="inlineStr">
        <is>
          <t>OdooBot</t>
        </is>
      </c>
      <c r="F2835" s="5" t="n">
        <v>46154.70721064815</v>
      </c>
      <c r="H2835" t="inlineStr">
        <is>
          <t>PCGH752</t>
        </is>
      </c>
      <c r="I2835" t="n">
        <v>8</v>
      </c>
      <c r="K2835" t="inlineStr">
        <is>
          <t>Mapping and Reporting (Reporting)</t>
        </is>
      </c>
      <c r="L2835" t="b">
        <v>1</v>
      </c>
      <c r="M2835" t="inlineStr">
        <is>
          <t>Non-Billable</t>
        </is>
      </c>
      <c r="N2835" s="6">
        <f>IF(B2835="","",IF(ISNUMBER(B2835),TEXT(B2835,"YYYY-MM"),LEFT(B2835,7)))</f>
        <v/>
      </c>
    </row>
    <row r="2836">
      <c r="A2836" t="inlineStr">
        <is>
          <t>Frederick Antwi</t>
        </is>
      </c>
      <c r="B2836" s="4" t="n">
        <v>46029</v>
      </c>
      <c r="C2836" t="inlineStr">
        <is>
          <t>/</t>
        </is>
      </c>
      <c r="D2836" t="inlineStr">
        <is>
          <t>Frederick Antwi</t>
        </is>
      </c>
      <c r="E2836" t="inlineStr">
        <is>
          <t>OdooBot</t>
        </is>
      </c>
      <c r="F2836" s="5" t="n">
        <v>46154.70721064815</v>
      </c>
      <c r="G2836" t="inlineStr">
        <is>
          <t>Programme Personnel and Management</t>
        </is>
      </c>
      <c r="H2836" t="inlineStr">
        <is>
          <t>P13NC00A00 - WALMART II</t>
        </is>
      </c>
      <c r="I2836" t="n">
        <v>8</v>
      </c>
      <c r="K2836" t="inlineStr">
        <is>
          <t>Programme Personnel</t>
        </is>
      </c>
      <c r="L2836" t="b">
        <v>0</v>
      </c>
      <c r="M2836" t="inlineStr">
        <is>
          <t>Non-Billable</t>
        </is>
      </c>
      <c r="N2836" s="6">
        <f>IF(B2836="","",IF(ISNUMBER(B2836),TEXT(B2836,"YYYY-MM"),LEFT(B2836,7)))</f>
        <v/>
      </c>
    </row>
    <row r="2837">
      <c r="A2837" t="inlineStr">
        <is>
          <t>Louis Defo</t>
        </is>
      </c>
      <c r="B2837" s="4" t="n">
        <v>46028</v>
      </c>
      <c r="C2837" t="inlineStr">
        <is>
          <t>/</t>
        </is>
      </c>
      <c r="D2837" t="inlineStr">
        <is>
          <t>Louis Defo</t>
        </is>
      </c>
      <c r="E2837" t="inlineStr">
        <is>
          <t>Louis Defo</t>
        </is>
      </c>
      <c r="F2837" s="5" t="n">
        <v>46161.33920138889</v>
      </c>
      <c r="H2837" t="inlineStr">
        <is>
          <t>P23AC00C00 - FGMC</t>
        </is>
      </c>
      <c r="I2837" t="n">
        <v>8</v>
      </c>
      <c r="L2837" t="b">
        <v>0</v>
      </c>
      <c r="M2837" t="inlineStr">
        <is>
          <t>Non-Billable</t>
        </is>
      </c>
      <c r="N2837" s="6">
        <f>IF(B2837="","",IF(ISNUMBER(B2837),TEXT(B2837,"YYYY-MM"),LEFT(B2837,7)))</f>
        <v/>
      </c>
    </row>
    <row r="2838">
      <c r="A2838" t="inlineStr">
        <is>
          <t>James Parker Mckeown</t>
        </is>
      </c>
      <c r="B2838" s="4" t="n">
        <v>46028</v>
      </c>
      <c r="C2838" t="inlineStr">
        <is>
          <t xml:space="preserve">Reading and responding to emails  </t>
        </is>
      </c>
      <c r="D2838" t="inlineStr">
        <is>
          <t>James Parker Mckeown</t>
        </is>
      </c>
      <c r="E2838" t="inlineStr">
        <is>
          <t>OdooBot</t>
        </is>
      </c>
      <c r="F2838" s="5" t="n">
        <v>46154.70721064815</v>
      </c>
      <c r="H2838" t="inlineStr">
        <is>
          <t>PCGH786 - Impact Level Baseline assessment for FGMC</t>
        </is>
      </c>
      <c r="I2838" t="n">
        <v>2</v>
      </c>
      <c r="L2838" t="b">
        <v>1</v>
      </c>
      <c r="M2838" t="inlineStr">
        <is>
          <t>Non-Billable</t>
        </is>
      </c>
      <c r="N2838" s="6">
        <f>IF(B2838="","",IF(ISNUMBER(B2838),TEXT(B2838,"YYYY-MM"),LEFT(B2838,7)))</f>
        <v/>
      </c>
    </row>
    <row r="2839">
      <c r="A2839" t="inlineStr">
        <is>
          <t>James Parker Mckeown</t>
        </is>
      </c>
      <c r="B2839" s="4" t="n">
        <v>46028</v>
      </c>
      <c r="C2839" t="inlineStr">
        <is>
          <t>FAO Regional meeting prep</t>
        </is>
      </c>
      <c r="D2839" t="inlineStr">
        <is>
          <t>James Parker Mckeown</t>
        </is>
      </c>
      <c r="E2839" t="inlineStr">
        <is>
          <t>OdooBot</t>
        </is>
      </c>
      <c r="F2839" s="5" t="n">
        <v>46154.70721064815</v>
      </c>
      <c r="H2839" t="inlineStr">
        <is>
          <t>Non-Billable Tasks</t>
        </is>
      </c>
      <c r="I2839" t="n">
        <v>1</v>
      </c>
      <c r="K2839" t="inlineStr">
        <is>
          <t>Business Development and Networking</t>
        </is>
      </c>
      <c r="L2839" t="b">
        <v>0</v>
      </c>
      <c r="M2839" t="inlineStr">
        <is>
          <t>Non-Billable</t>
        </is>
      </c>
      <c r="N2839" s="6">
        <f>IF(B2839="","",IF(ISNUMBER(B2839),TEXT(B2839,"YYYY-MM"),LEFT(B2839,7)))</f>
        <v/>
      </c>
    </row>
    <row r="2840">
      <c r="A2840" t="inlineStr">
        <is>
          <t>James Parker Mckeown</t>
        </is>
      </c>
      <c r="B2840" s="4" t="n">
        <v>46028</v>
      </c>
      <c r="C2840" t="inlineStr">
        <is>
          <t>/</t>
        </is>
      </c>
      <c r="D2840" t="inlineStr">
        <is>
          <t>James Parker Mckeown</t>
        </is>
      </c>
      <c r="E2840" t="inlineStr">
        <is>
          <t>OdooBot</t>
        </is>
      </c>
      <c r="F2840" s="5" t="n">
        <v>46154.70721064815</v>
      </c>
      <c r="G2840" t="inlineStr">
        <is>
          <t>Output 2.3</t>
        </is>
      </c>
      <c r="H2840" t="inlineStr">
        <is>
          <t>P23AC00C00 - FGMC</t>
        </is>
      </c>
      <c r="I2840" t="n">
        <v>6</v>
      </c>
      <c r="K2840" t="inlineStr">
        <is>
          <t>P23AC22A00 - Output Two (Elevating Local Solutions - West Africa)</t>
        </is>
      </c>
      <c r="L2840" t="b">
        <v>0</v>
      </c>
      <c r="M2840" t="inlineStr">
        <is>
          <t>Non-Billable</t>
        </is>
      </c>
      <c r="N2840" s="6">
        <f>IF(B2840="","",IF(ISNUMBER(B2840),TEXT(B2840,"YYYY-MM"),LEFT(B2840,7)))</f>
        <v/>
      </c>
    </row>
    <row r="2841">
      <c r="A2841" t="inlineStr">
        <is>
          <t>Ekow Nyamekye Tawiah</t>
        </is>
      </c>
      <c r="B2841" s="4" t="n">
        <v>46028</v>
      </c>
      <c r="C2841" t="inlineStr">
        <is>
          <t>Borotou Koro Analysis and Reporting</t>
        </is>
      </c>
      <c r="D2841" t="inlineStr">
        <is>
          <t>Ekow Nyamekye Tawiah</t>
        </is>
      </c>
      <c r="E2841" t="inlineStr">
        <is>
          <t>OdooBot</t>
        </is>
      </c>
      <c r="F2841" s="5" t="n">
        <v>46154.70721064815</v>
      </c>
      <c r="H2841" t="inlineStr">
        <is>
          <t>PCGH722</t>
        </is>
      </c>
      <c r="I2841" t="n">
        <v>4</v>
      </c>
      <c r="J2841" t="inlineStr">
        <is>
          <t>PCGH722 - Analysis and Reporting (3) (Sucrivoire SA)</t>
        </is>
      </c>
      <c r="K2841" t="inlineStr">
        <is>
          <t>Analysis and Reporting (3)</t>
        </is>
      </c>
      <c r="L2841" t="b">
        <v>1</v>
      </c>
      <c r="M2841" t="inlineStr">
        <is>
          <t>Billed at a Fixed price</t>
        </is>
      </c>
      <c r="N2841" s="6">
        <f>IF(B2841="","",IF(ISNUMBER(B2841),TEXT(B2841,"YYYY-MM"),LEFT(B2841,7)))</f>
        <v/>
      </c>
    </row>
    <row r="2842">
      <c r="A2842" t="inlineStr">
        <is>
          <t>Stephen Doso</t>
        </is>
      </c>
      <c r="B2842" s="4" t="n">
        <v>46028</v>
      </c>
      <c r="C2842" t="inlineStr">
        <is>
          <t>/</t>
        </is>
      </c>
      <c r="D2842" t="inlineStr">
        <is>
          <t>Stephen Doso</t>
        </is>
      </c>
      <c r="E2842" t="inlineStr">
        <is>
          <t>OdooBot</t>
        </is>
      </c>
      <c r="F2842" s="5" t="n">
        <v>46154.70721064815</v>
      </c>
      <c r="H2842" t="inlineStr">
        <is>
          <t>Non-Billable Tasks</t>
        </is>
      </c>
      <c r="I2842" t="n">
        <v>8</v>
      </c>
      <c r="K2842" t="inlineStr">
        <is>
          <t>Annual Leave</t>
        </is>
      </c>
      <c r="L2842" t="b">
        <v>0</v>
      </c>
      <c r="M2842" t="inlineStr">
        <is>
          <t>Non-Billable</t>
        </is>
      </c>
      <c r="N2842" s="6">
        <f>IF(B2842="","",IF(ISNUMBER(B2842),TEXT(B2842,"YYYY-MM"),LEFT(B2842,7)))</f>
        <v/>
      </c>
    </row>
    <row r="2843">
      <c r="A2843" t="inlineStr">
        <is>
          <t>Afua Serwah Akoto Prempeh</t>
        </is>
      </c>
      <c r="B2843" s="4" t="n">
        <v>46028</v>
      </c>
      <c r="C2843" t="inlineStr">
        <is>
          <t>/</t>
        </is>
      </c>
      <c r="D2843" t="inlineStr">
        <is>
          <t>Afua Serwah Akoto Prempeh</t>
        </is>
      </c>
      <c r="E2843" t="inlineStr">
        <is>
          <t>OdooBot</t>
        </is>
      </c>
      <c r="F2843" s="5" t="n">
        <v>46154.70721064815</v>
      </c>
      <c r="H2843" t="inlineStr">
        <is>
          <t>Non-Billable Tasks</t>
        </is>
      </c>
      <c r="I2843" t="n">
        <v>8</v>
      </c>
      <c r="L2843" t="b">
        <v>0</v>
      </c>
      <c r="M2843" t="inlineStr">
        <is>
          <t>Non-Billable</t>
        </is>
      </c>
      <c r="N2843" s="6">
        <f>IF(B2843="","",IF(ISNUMBER(B2843),TEXT(B2843,"YYYY-MM"),LEFT(B2843,7)))</f>
        <v/>
      </c>
    </row>
    <row r="2844">
      <c r="A2844" t="inlineStr">
        <is>
          <t>Augustus Asamoah</t>
        </is>
      </c>
      <c r="B2844" s="4" t="n">
        <v>46028</v>
      </c>
      <c r="C2844" t="inlineStr">
        <is>
          <t>/</t>
        </is>
      </c>
      <c r="D2844" t="inlineStr">
        <is>
          <t>Augustus Asamoah</t>
        </is>
      </c>
      <c r="E2844" t="inlineStr">
        <is>
          <t>OdooBot</t>
        </is>
      </c>
      <c r="F2844" s="5" t="n">
        <v>46154.70721064815</v>
      </c>
      <c r="H2844" t="inlineStr">
        <is>
          <t>P13NC00A00 - WALMART II</t>
        </is>
      </c>
      <c r="I2844" t="n">
        <v>0</v>
      </c>
      <c r="L2844" t="b">
        <v>0</v>
      </c>
      <c r="M2844" t="inlineStr">
        <is>
          <t>Non-Billable</t>
        </is>
      </c>
      <c r="N2844" s="6">
        <f>IF(B2844="","",IF(ISNUMBER(B2844),TEXT(B2844,"YYYY-MM"),LEFT(B2844,7)))</f>
        <v/>
      </c>
    </row>
    <row r="2845">
      <c r="A2845" t="inlineStr">
        <is>
          <t>Augustus Asamoah</t>
        </is>
      </c>
      <c r="B2845" s="4" t="n">
        <v>46028</v>
      </c>
      <c r="C2845" t="inlineStr">
        <is>
          <t>/</t>
        </is>
      </c>
      <c r="D2845" t="inlineStr">
        <is>
          <t>Augustus Asamoah</t>
        </is>
      </c>
      <c r="E2845" t="inlineStr">
        <is>
          <t>OdooBot</t>
        </is>
      </c>
      <c r="F2845" s="5" t="n">
        <v>46154.70721064815</v>
      </c>
      <c r="G2845" t="inlineStr">
        <is>
          <t>Programme Personnel and Management</t>
        </is>
      </c>
      <c r="H2845" t="inlineStr">
        <is>
          <t>P13QC00A00 - EFI Programme</t>
        </is>
      </c>
      <c r="I2845" t="n">
        <v>2</v>
      </c>
      <c r="K2845" t="inlineStr">
        <is>
          <t>Programme Personnel</t>
        </is>
      </c>
      <c r="L2845" t="b">
        <v>0</v>
      </c>
      <c r="M2845" t="inlineStr">
        <is>
          <t>Non-Billable</t>
        </is>
      </c>
      <c r="N2845" s="6">
        <f>IF(B2845="","",IF(ISNUMBER(B2845),TEXT(B2845,"YYYY-MM"),LEFT(B2845,7)))</f>
        <v/>
      </c>
    </row>
    <row r="2846">
      <c r="A2846" t="inlineStr">
        <is>
          <t>Augustus Asamoah</t>
        </is>
      </c>
      <c r="B2846" s="4" t="n">
        <v>46028</v>
      </c>
      <c r="C2846" t="inlineStr">
        <is>
          <t>/</t>
        </is>
      </c>
      <c r="D2846" t="inlineStr">
        <is>
          <t>Augustus Asamoah</t>
        </is>
      </c>
      <c r="E2846" t="inlineStr">
        <is>
          <t>OdooBot</t>
        </is>
      </c>
      <c r="F2846" s="5" t="n">
        <v>46154.70721064815</v>
      </c>
      <c r="G2846" t="inlineStr">
        <is>
          <t>Programme Personnel and Management</t>
        </is>
      </c>
      <c r="H2846" t="inlineStr">
        <is>
          <t>P13NC00A00 - WALMART II</t>
        </is>
      </c>
      <c r="I2846" t="n">
        <v>6</v>
      </c>
      <c r="K2846" t="inlineStr">
        <is>
          <t>Programme Personnel</t>
        </is>
      </c>
      <c r="L2846" t="b">
        <v>0</v>
      </c>
      <c r="M2846" t="inlineStr">
        <is>
          <t>Non-Billable</t>
        </is>
      </c>
      <c r="N2846" s="6">
        <f>IF(B2846="","",IF(ISNUMBER(B2846),TEXT(B2846,"YYYY-MM"),LEFT(B2846,7)))</f>
        <v/>
      </c>
    </row>
    <row r="2847">
      <c r="A2847" t="inlineStr">
        <is>
          <t>Helena Tetteh</t>
        </is>
      </c>
      <c r="B2847" s="4" t="n">
        <v>46028</v>
      </c>
      <c r="C2847" t="inlineStr">
        <is>
          <t>/</t>
        </is>
      </c>
      <c r="D2847" t="inlineStr">
        <is>
          <t xml:space="preserve">Helena Tetteh </t>
        </is>
      </c>
      <c r="E2847" t="inlineStr">
        <is>
          <t>OdooBot</t>
        </is>
      </c>
      <c r="F2847" s="5" t="n">
        <v>46154.70721064815</v>
      </c>
      <c r="H2847" t="inlineStr">
        <is>
          <t>Non-Billable Tasks</t>
        </is>
      </c>
      <c r="I2847" t="n">
        <v>8</v>
      </c>
      <c r="K2847" t="inlineStr">
        <is>
          <t>Annual Leave</t>
        </is>
      </c>
      <c r="L2847" t="b">
        <v>0</v>
      </c>
      <c r="M2847" t="inlineStr">
        <is>
          <t>Non-Billable</t>
        </is>
      </c>
      <c r="N2847" s="6">
        <f>IF(B2847="","",IF(ISNUMBER(B2847),TEXT(B2847,"YYYY-MM"),LEFT(B2847,7)))</f>
        <v/>
      </c>
    </row>
    <row r="2848">
      <c r="A2848" t="inlineStr">
        <is>
          <t>Daleba Bernard Kpenahi Raymond</t>
        </is>
      </c>
      <c r="B2848" s="4" t="n">
        <v>46028</v>
      </c>
      <c r="C2848" t="inlineStr">
        <is>
          <t>/</t>
        </is>
      </c>
      <c r="D2848" t="inlineStr">
        <is>
          <t>Daleba Bernard Kpenahi Raymond</t>
        </is>
      </c>
      <c r="E2848" t="inlineStr">
        <is>
          <t>OdooBot</t>
        </is>
      </c>
      <c r="F2848" s="5" t="n">
        <v>46154.70721064815</v>
      </c>
      <c r="H2848" t="inlineStr">
        <is>
          <t>Non-Billable Tasks</t>
        </is>
      </c>
      <c r="I2848" t="n">
        <v>8</v>
      </c>
      <c r="K2848" t="inlineStr">
        <is>
          <t>Annual Leave</t>
        </is>
      </c>
      <c r="L2848" t="b">
        <v>0</v>
      </c>
      <c r="M2848" t="inlineStr">
        <is>
          <t>Non-Billable</t>
        </is>
      </c>
      <c r="N2848" s="6">
        <f>IF(B2848="","",IF(ISNUMBER(B2848),TEXT(B2848,"YYYY-MM"),LEFT(B2848,7)))</f>
        <v/>
      </c>
    </row>
    <row r="2849">
      <c r="A2849" t="inlineStr">
        <is>
          <t>Joseph Isaiah Mensah</t>
        </is>
      </c>
      <c r="B2849" s="4" t="n">
        <v>46028</v>
      </c>
      <c r="C2849" t="inlineStr">
        <is>
          <t>/</t>
        </is>
      </c>
      <c r="D2849" t="inlineStr">
        <is>
          <t>Joseph Isaiah Mensah</t>
        </is>
      </c>
      <c r="E2849" t="inlineStr">
        <is>
          <t>OdooBot</t>
        </is>
      </c>
      <c r="F2849" s="5" t="n">
        <v>46154.70721064815</v>
      </c>
      <c r="H2849" t="inlineStr">
        <is>
          <t>PCGH762 - GVL HCSA Restoration Project</t>
        </is>
      </c>
      <c r="I2849" t="n">
        <v>7</v>
      </c>
      <c r="J2849" t="inlineStr">
        <is>
          <t>PCGH763 - Desk study (Due diligence) (Jopafram Nigeria Limited)</t>
        </is>
      </c>
      <c r="K2849" t="inlineStr">
        <is>
          <t>Fundraising and proposal development</t>
        </is>
      </c>
      <c r="L2849" t="b">
        <v>1</v>
      </c>
      <c r="M2849" t="inlineStr">
        <is>
          <t>Billed at a Fixed price</t>
        </is>
      </c>
      <c r="N2849" s="6">
        <f>IF(B2849="","",IF(ISNUMBER(B2849),TEXT(B2849,"YYYY-MM"),LEFT(B2849,7)))</f>
        <v/>
      </c>
    </row>
    <row r="2850">
      <c r="A2850" t="inlineStr">
        <is>
          <t>Joseph Isaiah Mensah</t>
        </is>
      </c>
      <c r="B2850" s="4" t="n">
        <v>46028</v>
      </c>
      <c r="C2850" t="inlineStr">
        <is>
          <t>Climate Smart Curriculum Dev't</t>
        </is>
      </c>
      <c r="D2850" t="inlineStr">
        <is>
          <t>Joseph Isaiah Mensah</t>
        </is>
      </c>
      <c r="E2850" t="inlineStr">
        <is>
          <t>OdooBot</t>
        </is>
      </c>
      <c r="F2850" s="5" t="n">
        <v>46154.70721064815</v>
      </c>
      <c r="G2850" t="inlineStr">
        <is>
          <t>Programme Personnel and Management</t>
        </is>
      </c>
      <c r="H2850" t="inlineStr">
        <is>
          <t>P13QC00A00 - EFI Programme</t>
        </is>
      </c>
      <c r="I2850" t="n">
        <v>1</v>
      </c>
      <c r="K2850" t="inlineStr">
        <is>
          <t>Programme Personnel</t>
        </is>
      </c>
      <c r="L2850" t="b">
        <v>0</v>
      </c>
      <c r="M2850" t="inlineStr">
        <is>
          <t>Non-Billable</t>
        </is>
      </c>
      <c r="N2850" s="6">
        <f>IF(B2850="","",IF(ISNUMBER(B2850),TEXT(B2850,"YYYY-MM"),LEFT(B2850,7)))</f>
        <v/>
      </c>
    </row>
    <row r="2851">
      <c r="A2851" t="inlineStr">
        <is>
          <t>Kwadwo Baniako Nti</t>
        </is>
      </c>
      <c r="B2851" s="4" t="n">
        <v>46028</v>
      </c>
      <c r="C2851" t="inlineStr">
        <is>
          <t>/</t>
        </is>
      </c>
      <c r="D2851" t="inlineStr">
        <is>
          <t>Kwadwo Baniako Nti</t>
        </is>
      </c>
      <c r="E2851" t="inlineStr">
        <is>
          <t>OdooBot</t>
        </is>
      </c>
      <c r="F2851" s="5" t="n">
        <v>46154.70721064815</v>
      </c>
      <c r="H2851" t="inlineStr">
        <is>
          <t>Non-Billable Tasks</t>
        </is>
      </c>
      <c r="I2851" t="n">
        <v>8</v>
      </c>
      <c r="K2851" t="inlineStr">
        <is>
          <t>Annual Leave</t>
        </is>
      </c>
      <c r="L2851" t="b">
        <v>0</v>
      </c>
      <c r="M2851" t="inlineStr">
        <is>
          <t>Non-Billable</t>
        </is>
      </c>
      <c r="N2851" s="6">
        <f>IF(B2851="","",IF(ISNUMBER(B2851),TEXT(B2851,"YYYY-MM"),LEFT(B2851,7)))</f>
        <v/>
      </c>
    </row>
    <row r="2852">
      <c r="A2852" t="inlineStr">
        <is>
          <t>Kingsley Fitz-Gerald Severine</t>
        </is>
      </c>
      <c r="B2852" s="4" t="n">
        <v>46028</v>
      </c>
      <c r="C2852" t="inlineStr">
        <is>
          <t>/</t>
        </is>
      </c>
      <c r="D2852" t="inlineStr">
        <is>
          <t>Kingsley Fitz-Gerald Severine</t>
        </is>
      </c>
      <c r="E2852" t="inlineStr">
        <is>
          <t>OdooBot</t>
        </is>
      </c>
      <c r="F2852" s="5" t="n">
        <v>46154.70721064815</v>
      </c>
      <c r="G2852" t="inlineStr">
        <is>
          <t>Site Assessment (1) (Phase 2)</t>
        </is>
      </c>
      <c r="H2852" t="inlineStr">
        <is>
          <t>PCGH686</t>
        </is>
      </c>
      <c r="I2852" t="n">
        <v>8</v>
      </c>
      <c r="J2852" t="inlineStr">
        <is>
          <t>PCGH686 - Field Verification of the Effectiveness of Implementation of the HCV Management Plan (Plantation Socfinaf Ghana)</t>
        </is>
      </c>
      <c r="K2852" t="inlineStr">
        <is>
          <t>Site Assessment (Phase 2)</t>
        </is>
      </c>
      <c r="L2852" t="b">
        <v>1</v>
      </c>
      <c r="M2852" t="inlineStr">
        <is>
          <t>Billed at a Fixed price</t>
        </is>
      </c>
      <c r="N2852" s="6">
        <f>IF(B2852="","",IF(ISNUMBER(B2852),TEXT(B2852,"YYYY-MM"),LEFT(B2852,7)))</f>
        <v/>
      </c>
    </row>
    <row r="2853">
      <c r="A2853" t="inlineStr">
        <is>
          <t>Clement Obeng-Manu</t>
        </is>
      </c>
      <c r="B2853" s="4" t="n">
        <v>46028</v>
      </c>
      <c r="C2853" t="inlineStr">
        <is>
          <t>/</t>
        </is>
      </c>
      <c r="D2853" t="inlineStr">
        <is>
          <t>Clement Obeng-Manu</t>
        </is>
      </c>
      <c r="E2853" t="inlineStr">
        <is>
          <t>OdooBot</t>
        </is>
      </c>
      <c r="F2853" s="5" t="n">
        <v>46154.70721064815</v>
      </c>
      <c r="H2853" t="inlineStr">
        <is>
          <t>PCGH752</t>
        </is>
      </c>
      <c r="I2853" t="n">
        <v>8</v>
      </c>
      <c r="J2853" t="inlineStr">
        <is>
          <t>PCGH752 - Mapping, Reporting, and Review (Okeosisi Jonathan)</t>
        </is>
      </c>
      <c r="K2853" t="inlineStr">
        <is>
          <t>Mapping and Reporting (Reporting)</t>
        </is>
      </c>
      <c r="L2853" t="b">
        <v>1</v>
      </c>
      <c r="M2853" t="inlineStr">
        <is>
          <t>Billed at a Fixed price</t>
        </is>
      </c>
      <c r="N2853" s="6">
        <f>IF(B2853="","",IF(ISNUMBER(B2853),TEXT(B2853,"YYYY-MM"),LEFT(B2853,7)))</f>
        <v/>
      </c>
    </row>
    <row r="2854">
      <c r="A2854" t="inlineStr">
        <is>
          <t>Frederick Antwi</t>
        </is>
      </c>
      <c r="B2854" s="4" t="n">
        <v>46028</v>
      </c>
      <c r="C2854" t="inlineStr">
        <is>
          <t>/</t>
        </is>
      </c>
      <c r="D2854" t="inlineStr">
        <is>
          <t>Frederick Antwi</t>
        </is>
      </c>
      <c r="E2854" t="inlineStr">
        <is>
          <t>OdooBot</t>
        </is>
      </c>
      <c r="F2854" s="5" t="n">
        <v>46154.70721064815</v>
      </c>
      <c r="G2854" t="inlineStr">
        <is>
          <t>Preplanning Activities (3)</t>
        </is>
      </c>
      <c r="H2854" t="inlineStr">
        <is>
          <t>PCGH768</t>
        </is>
      </c>
      <c r="I2854" t="n">
        <v>8</v>
      </c>
      <c r="J2854" t="inlineStr">
        <is>
          <t>PCGH768 - Preplanning Activities (3) (Proforest Limited(PCUK GBP))</t>
        </is>
      </c>
      <c r="K2854" t="inlineStr">
        <is>
          <t>Development of implementation plan, Calls with Nestlé team, reviewing comments etc</t>
        </is>
      </c>
      <c r="L2854" t="b">
        <v>1</v>
      </c>
      <c r="M2854" t="inlineStr">
        <is>
          <t>Billed at a Fixed price</t>
        </is>
      </c>
      <c r="N2854" s="6">
        <f>IF(B2854="","",IF(ISNUMBER(B2854),TEXT(B2854,"YYYY-MM"),LEFT(B2854,7)))</f>
        <v/>
      </c>
    </row>
    <row r="2855">
      <c r="A2855" t="inlineStr">
        <is>
          <t>Clement Obeng-Manu</t>
        </is>
      </c>
      <c r="B2855" s="4" t="n">
        <v>46028</v>
      </c>
      <c r="C2855" t="inlineStr">
        <is>
          <t>/</t>
        </is>
      </c>
      <c r="D2855" t="inlineStr">
        <is>
          <t>Clement Obeng-Manu</t>
        </is>
      </c>
      <c r="E2855" t="inlineStr">
        <is>
          <t>OdooBot</t>
        </is>
      </c>
      <c r="F2855" s="5" t="n">
        <v>46154.70721064815</v>
      </c>
      <c r="H2855" t="inlineStr">
        <is>
          <t>Non-Billable Tasks</t>
        </is>
      </c>
      <c r="I2855" t="n">
        <v>0</v>
      </c>
      <c r="K2855" t="inlineStr">
        <is>
          <t>Annual Leave</t>
        </is>
      </c>
      <c r="L2855" t="b">
        <v>0</v>
      </c>
      <c r="M2855" t="inlineStr">
        <is>
          <t>Non-Billable</t>
        </is>
      </c>
      <c r="N2855" s="6">
        <f>IF(B2855="","",IF(ISNUMBER(B2855),TEXT(B2855,"YYYY-MM"),LEFT(B2855,7)))</f>
        <v/>
      </c>
    </row>
    <row r="2856">
      <c r="A2856" t="inlineStr">
        <is>
          <t>Louis Defo</t>
        </is>
      </c>
      <c r="B2856" s="4" t="n">
        <v>46027</v>
      </c>
      <c r="C2856" t="inlineStr">
        <is>
          <t>/</t>
        </is>
      </c>
      <c r="D2856" t="inlineStr">
        <is>
          <t>Louis Defo</t>
        </is>
      </c>
      <c r="E2856" t="inlineStr">
        <is>
          <t>Louis Defo</t>
        </is>
      </c>
      <c r="F2856" s="5" t="n">
        <v>46161.3388425926</v>
      </c>
      <c r="H2856" t="inlineStr">
        <is>
          <t>P23AC00C00 - FGMC</t>
        </is>
      </c>
      <c r="I2856" t="n">
        <v>8</v>
      </c>
      <c r="L2856" t="b">
        <v>0</v>
      </c>
      <c r="M2856" t="inlineStr">
        <is>
          <t>Non-Billable</t>
        </is>
      </c>
      <c r="N2856" s="6">
        <f>IF(B2856="","",IF(ISNUMBER(B2856),TEXT(B2856,"YYYY-MM"),LEFT(B2856,7)))</f>
        <v/>
      </c>
    </row>
    <row r="2857">
      <c r="A2857" t="inlineStr">
        <is>
          <t>James Parker Mckeown</t>
        </is>
      </c>
      <c r="B2857" s="4" t="n">
        <v>46027</v>
      </c>
      <c r="C2857" t="inlineStr">
        <is>
          <t xml:space="preserve">Gathering information for Mapping Liberia's Local Initiatives </t>
        </is>
      </c>
      <c r="D2857" t="inlineStr">
        <is>
          <t>James Parker Mckeown</t>
        </is>
      </c>
      <c r="E2857" t="inlineStr">
        <is>
          <t>OdooBot</t>
        </is>
      </c>
      <c r="F2857" s="5" t="n">
        <v>46154.70721064815</v>
      </c>
      <c r="G2857" t="inlineStr">
        <is>
          <t>Output 2.3</t>
        </is>
      </c>
      <c r="H2857" t="inlineStr">
        <is>
          <t>P23AC00C00 - FGMC</t>
        </is>
      </c>
      <c r="I2857" t="n">
        <v>8</v>
      </c>
      <c r="K2857" t="inlineStr">
        <is>
          <t>P23AC22A00 - Output Two (Elevating Local Solutions - West Africa)</t>
        </is>
      </c>
      <c r="L2857" t="b">
        <v>0</v>
      </c>
      <c r="M2857" t="inlineStr">
        <is>
          <t>Non-Billable</t>
        </is>
      </c>
      <c r="N2857" s="6">
        <f>IF(B2857="","",IF(ISNUMBER(B2857),TEXT(B2857,"YYYY-MM"),LEFT(B2857,7)))</f>
        <v/>
      </c>
    </row>
    <row r="2858">
      <c r="A2858" t="inlineStr">
        <is>
          <t>James Parker Mckeown</t>
        </is>
      </c>
      <c r="B2858" s="4" t="n">
        <v>46027</v>
      </c>
      <c r="C2858" t="inlineStr">
        <is>
          <t>Reviewed FCDO FGMC proposal sent by Kwadwo</t>
        </is>
      </c>
      <c r="D2858" t="inlineStr">
        <is>
          <t>James Parker Mckeown</t>
        </is>
      </c>
      <c r="E2858" t="inlineStr">
        <is>
          <t>OdooBot</t>
        </is>
      </c>
      <c r="F2858" s="5" t="n">
        <v>46154.70721064815</v>
      </c>
      <c r="H2858" t="inlineStr">
        <is>
          <t>PCGH762 - GVL HCSA Restoration Project</t>
        </is>
      </c>
      <c r="I2858" t="n">
        <v>2</v>
      </c>
      <c r="J2858" t="inlineStr">
        <is>
          <t>PCGH763 - Desk study (Due diligence) (Jopafram Nigeria Limited)</t>
        </is>
      </c>
      <c r="K2858" t="inlineStr">
        <is>
          <t>Fundraising and proposal development</t>
        </is>
      </c>
      <c r="L2858" t="b">
        <v>1</v>
      </c>
      <c r="M2858" t="inlineStr">
        <is>
          <t>Billed at a Fixed price</t>
        </is>
      </c>
      <c r="N2858" s="6">
        <f>IF(B2858="","",IF(ISNUMBER(B2858),TEXT(B2858,"YYYY-MM"),LEFT(B2858,7)))</f>
        <v/>
      </c>
    </row>
    <row r="2859">
      <c r="A2859" t="inlineStr">
        <is>
          <t>Ekow Nyamekye Tawiah</t>
        </is>
      </c>
      <c r="B2859" s="4" t="n">
        <v>46027</v>
      </c>
      <c r="C2859" t="inlineStr">
        <is>
          <t>Training and Capacity Building report</t>
        </is>
      </c>
      <c r="D2859" t="inlineStr">
        <is>
          <t>Ekow Nyamekye Tawiah</t>
        </is>
      </c>
      <c r="E2859" t="inlineStr">
        <is>
          <t>OdooBot</t>
        </is>
      </c>
      <c r="F2859" s="5" t="n">
        <v>46154.70721064815</v>
      </c>
      <c r="H2859" t="inlineStr">
        <is>
          <t>PCGH761</t>
        </is>
      </c>
      <c r="I2859" t="n">
        <v>4</v>
      </c>
      <c r="J2859" t="inlineStr">
        <is>
          <t>PCGH761 - Training, Capacity Building and Coaching (3) (Fauna and Flora International Liberia)</t>
        </is>
      </c>
      <c r="K2859" t="inlineStr">
        <is>
          <t>Training, Capacity Building and Coaching (3)</t>
        </is>
      </c>
      <c r="L2859" t="b">
        <v>1</v>
      </c>
      <c r="M2859" t="inlineStr">
        <is>
          <t>Billed at a Fixed price</t>
        </is>
      </c>
      <c r="N2859" s="6">
        <f>IF(B2859="","",IF(ISNUMBER(B2859),TEXT(B2859,"YYYY-MM"),LEFT(B2859,7)))</f>
        <v/>
      </c>
    </row>
    <row r="2860">
      <c r="A2860" t="inlineStr">
        <is>
          <t>Stephen Doso</t>
        </is>
      </c>
      <c r="B2860" s="4" t="n">
        <v>46027</v>
      </c>
      <c r="C2860" t="inlineStr">
        <is>
          <t>/</t>
        </is>
      </c>
      <c r="D2860" t="inlineStr">
        <is>
          <t>Stephen Doso</t>
        </is>
      </c>
      <c r="E2860" t="inlineStr">
        <is>
          <t>OdooBot</t>
        </is>
      </c>
      <c r="F2860" s="5" t="n">
        <v>46154.70721064815</v>
      </c>
      <c r="H2860" t="inlineStr">
        <is>
          <t>Non-Billable Tasks</t>
        </is>
      </c>
      <c r="I2860" t="n">
        <v>8</v>
      </c>
      <c r="K2860" t="inlineStr">
        <is>
          <t>Annual Leave</t>
        </is>
      </c>
      <c r="L2860" t="b">
        <v>0</v>
      </c>
      <c r="M2860" t="inlineStr">
        <is>
          <t>Non-Billable</t>
        </is>
      </c>
      <c r="N2860" s="6">
        <f>IF(B2860="","",IF(ISNUMBER(B2860),TEXT(B2860,"YYYY-MM"),LEFT(B2860,7)))</f>
        <v/>
      </c>
    </row>
    <row r="2861">
      <c r="A2861" t="inlineStr">
        <is>
          <t>Afua Serwah Akoto Prempeh</t>
        </is>
      </c>
      <c r="B2861" s="4" t="n">
        <v>46027</v>
      </c>
      <c r="C2861" t="inlineStr">
        <is>
          <t xml:space="preserve">Medical Leave </t>
        </is>
      </c>
      <c r="D2861" t="inlineStr">
        <is>
          <t>Afua Serwah Akoto Prempeh</t>
        </is>
      </c>
      <c r="E2861" t="inlineStr">
        <is>
          <t>OdooBot</t>
        </is>
      </c>
      <c r="F2861" s="5" t="n">
        <v>46154.70721064815</v>
      </c>
      <c r="H2861" t="inlineStr">
        <is>
          <t>Non-Billable Tasks</t>
        </is>
      </c>
      <c r="I2861" t="n">
        <v>8</v>
      </c>
      <c r="L2861" t="b">
        <v>0</v>
      </c>
      <c r="M2861" t="inlineStr">
        <is>
          <t>Non-Billable</t>
        </is>
      </c>
      <c r="N2861" s="6">
        <f>IF(B2861="","",IF(ISNUMBER(B2861),TEXT(B2861,"YYYY-MM"),LEFT(B2861,7)))</f>
        <v/>
      </c>
    </row>
    <row r="2862">
      <c r="A2862" t="inlineStr">
        <is>
          <t>Augustus Asamoah</t>
        </is>
      </c>
      <c r="B2862" s="4" t="n">
        <v>46027</v>
      </c>
      <c r="C2862" t="inlineStr">
        <is>
          <t>Meeting on ground truthing</t>
        </is>
      </c>
      <c r="D2862" t="inlineStr">
        <is>
          <t>Augustus Asamoah</t>
        </is>
      </c>
      <c r="E2862" t="inlineStr">
        <is>
          <t>OdooBot</t>
        </is>
      </c>
      <c r="F2862" s="5" t="n">
        <v>46154.70721064815</v>
      </c>
      <c r="H2862" t="inlineStr">
        <is>
          <t>PCGH771</t>
        </is>
      </c>
      <c r="I2862" t="n">
        <v>0</v>
      </c>
      <c r="J2862" t="inlineStr">
        <is>
          <t>PCGH771 - Desk Study (2) (Okeosisi Jonathan)</t>
        </is>
      </c>
      <c r="L2862" t="b">
        <v>1</v>
      </c>
      <c r="M2862" t="inlineStr">
        <is>
          <t>Billed at a Fixed price</t>
        </is>
      </c>
      <c r="N2862" s="6">
        <f>IF(B2862="","",IF(ISNUMBER(B2862),TEXT(B2862,"YYYY-MM"),LEFT(B2862,7)))</f>
        <v/>
      </c>
    </row>
    <row r="2863">
      <c r="A2863" t="inlineStr">
        <is>
          <t>Augustus Asamoah</t>
        </is>
      </c>
      <c r="B2863" s="4" t="n">
        <v>46027</v>
      </c>
      <c r="C2863" t="inlineStr">
        <is>
          <t>/</t>
        </is>
      </c>
      <c r="D2863" t="inlineStr">
        <is>
          <t>Augustus Asamoah</t>
        </is>
      </c>
      <c r="E2863" t="inlineStr">
        <is>
          <t>OdooBot</t>
        </is>
      </c>
      <c r="F2863" s="5" t="n">
        <v>46154.70721064815</v>
      </c>
      <c r="G2863" t="inlineStr">
        <is>
          <t>Programme Personnel and Management</t>
        </is>
      </c>
      <c r="H2863" t="inlineStr">
        <is>
          <t>P13QC00A00 - EFI Programme</t>
        </is>
      </c>
      <c r="I2863" t="n">
        <v>4</v>
      </c>
      <c r="K2863" t="inlineStr">
        <is>
          <t>Programme Personnel</t>
        </is>
      </c>
      <c r="L2863" t="b">
        <v>0</v>
      </c>
      <c r="M2863" t="inlineStr">
        <is>
          <t>Non-Billable</t>
        </is>
      </c>
      <c r="N2863" s="6">
        <f>IF(B2863="","",IF(ISNUMBER(B2863),TEXT(B2863,"YYYY-MM"),LEFT(B2863,7)))</f>
        <v/>
      </c>
    </row>
    <row r="2864">
      <c r="A2864" t="inlineStr">
        <is>
          <t>Augustus Asamoah</t>
        </is>
      </c>
      <c r="B2864" s="4" t="n">
        <v>46027</v>
      </c>
      <c r="C2864" t="inlineStr">
        <is>
          <t>Work Planning</t>
        </is>
      </c>
      <c r="D2864" t="inlineStr">
        <is>
          <t>Augustus Asamoah</t>
        </is>
      </c>
      <c r="E2864" t="inlineStr">
        <is>
          <t>OdooBot</t>
        </is>
      </c>
      <c r="F2864" s="5" t="n">
        <v>46154.70721064815</v>
      </c>
      <c r="G2864" t="inlineStr">
        <is>
          <t>Programme Personnel and Management</t>
        </is>
      </c>
      <c r="H2864" t="inlineStr">
        <is>
          <t>P13NC00A00 - WALMART II</t>
        </is>
      </c>
      <c r="I2864" t="n">
        <v>4</v>
      </c>
      <c r="K2864" t="inlineStr">
        <is>
          <t>Programme Personnel</t>
        </is>
      </c>
      <c r="L2864" t="b">
        <v>0</v>
      </c>
      <c r="M2864" t="inlineStr">
        <is>
          <t>Non-Billable</t>
        </is>
      </c>
      <c r="N2864" s="6">
        <f>IF(B2864="","",IF(ISNUMBER(B2864),TEXT(B2864,"YYYY-MM"),LEFT(B2864,7)))</f>
        <v/>
      </c>
    </row>
    <row r="2865">
      <c r="A2865" t="inlineStr">
        <is>
          <t>Helena Tetteh</t>
        </is>
      </c>
      <c r="B2865" s="4" t="n">
        <v>46027</v>
      </c>
      <c r="C2865" t="inlineStr">
        <is>
          <t>Constitution day</t>
        </is>
      </c>
      <c r="D2865" t="inlineStr">
        <is>
          <t xml:space="preserve">Helena Tetteh </t>
        </is>
      </c>
      <c r="E2865" t="inlineStr">
        <is>
          <t>OdooBot</t>
        </is>
      </c>
      <c r="F2865" s="5" t="n">
        <v>46154.70721064815</v>
      </c>
      <c r="H2865" t="inlineStr">
        <is>
          <t>Non-Billable Tasks</t>
        </is>
      </c>
      <c r="I2865" t="n">
        <v>0</v>
      </c>
      <c r="K2865" t="inlineStr">
        <is>
          <t>Public Holiday</t>
        </is>
      </c>
      <c r="L2865" t="b">
        <v>0</v>
      </c>
      <c r="M2865" t="inlineStr">
        <is>
          <t>Non-Billable</t>
        </is>
      </c>
      <c r="N2865" s="6">
        <f>IF(B2865="","",IF(ISNUMBER(B2865),TEXT(B2865,"YYYY-MM"),LEFT(B2865,7)))</f>
        <v/>
      </c>
    </row>
    <row r="2866">
      <c r="A2866" t="inlineStr">
        <is>
          <t>Helena Tetteh</t>
        </is>
      </c>
      <c r="B2866" s="4" t="n">
        <v>46027</v>
      </c>
      <c r="C2866" t="inlineStr">
        <is>
          <t>/</t>
        </is>
      </c>
      <c r="D2866" t="inlineStr">
        <is>
          <t xml:space="preserve">Helena Tetteh </t>
        </is>
      </c>
      <c r="E2866" t="inlineStr">
        <is>
          <t>OdooBot</t>
        </is>
      </c>
      <c r="F2866" s="5" t="n">
        <v>46154.70721064815</v>
      </c>
      <c r="H2866" t="inlineStr">
        <is>
          <t>Non-Billable Tasks</t>
        </is>
      </c>
      <c r="I2866" t="n">
        <v>4</v>
      </c>
      <c r="K2866" t="inlineStr">
        <is>
          <t>Annual Leave</t>
        </is>
      </c>
      <c r="L2866" t="b">
        <v>0</v>
      </c>
      <c r="M2866" t="inlineStr">
        <is>
          <t>Non-Billable</t>
        </is>
      </c>
      <c r="N2866" s="6">
        <f>IF(B2866="","",IF(ISNUMBER(B2866),TEXT(B2866,"YYYY-MM"),LEFT(B2866,7)))</f>
        <v/>
      </c>
    </row>
    <row r="2867">
      <c r="A2867" t="inlineStr">
        <is>
          <t>Helena Tetteh</t>
        </is>
      </c>
      <c r="B2867" s="4" t="n">
        <v>46027</v>
      </c>
      <c r="C2867" t="inlineStr">
        <is>
          <t>Ulula end of project (technical) report</t>
        </is>
      </c>
      <c r="D2867" t="inlineStr">
        <is>
          <t xml:space="preserve">Helena Tetteh </t>
        </is>
      </c>
      <c r="E2867" t="inlineStr">
        <is>
          <t>OdooBot</t>
        </is>
      </c>
      <c r="F2867" s="5" t="n">
        <v>46154.70721064815</v>
      </c>
      <c r="G2867" t="inlineStr">
        <is>
          <t>Programme Personnel</t>
        </is>
      </c>
      <c r="H2867" t="inlineStr">
        <is>
          <t>P13GC00A00 - GAC Ulula</t>
        </is>
      </c>
      <c r="I2867" t="n">
        <v>4</v>
      </c>
      <c r="K2867" t="inlineStr">
        <is>
          <t>Programme Personnel （Project Manger 2）</t>
        </is>
      </c>
      <c r="L2867" t="b">
        <v>0</v>
      </c>
      <c r="M2867" t="inlineStr">
        <is>
          <t>Non-Billable</t>
        </is>
      </c>
      <c r="N2867" s="6">
        <f>IF(B2867="","",IF(ISNUMBER(B2867),TEXT(B2867,"YYYY-MM"),LEFT(B2867,7)))</f>
        <v/>
      </c>
    </row>
    <row r="2868">
      <c r="A2868" t="inlineStr">
        <is>
          <t>Daleba Bernard Kpenahi Raymond</t>
        </is>
      </c>
      <c r="B2868" s="4" t="n">
        <v>46027</v>
      </c>
      <c r="C2868" t="inlineStr">
        <is>
          <t xml:space="preserve">Annual Leave </t>
        </is>
      </c>
      <c r="D2868" t="inlineStr">
        <is>
          <t>Daleba Bernard Kpenahi Raymond</t>
        </is>
      </c>
      <c r="E2868" t="inlineStr">
        <is>
          <t>OdooBot</t>
        </is>
      </c>
      <c r="F2868" s="5" t="n">
        <v>46154.70721064815</v>
      </c>
      <c r="H2868" t="inlineStr">
        <is>
          <t>Non-Billable Tasks</t>
        </is>
      </c>
      <c r="I2868" t="n">
        <v>8</v>
      </c>
      <c r="K2868" t="inlineStr">
        <is>
          <t>Annual Leave</t>
        </is>
      </c>
      <c r="L2868" t="b">
        <v>0</v>
      </c>
      <c r="M2868" t="inlineStr">
        <is>
          <t>Non-Billable</t>
        </is>
      </c>
      <c r="N2868" s="6">
        <f>IF(B2868="","",IF(ISNUMBER(B2868),TEXT(B2868,"YYYY-MM"),LEFT(B2868,7)))</f>
        <v/>
      </c>
    </row>
    <row r="2869">
      <c r="A2869" t="inlineStr">
        <is>
          <t>Joseph Isaiah Mensah</t>
        </is>
      </c>
      <c r="B2869" s="4" t="n">
        <v>46027</v>
      </c>
      <c r="C2869" t="inlineStr">
        <is>
          <t>/</t>
        </is>
      </c>
      <c r="D2869" t="inlineStr">
        <is>
          <t>Joseph Isaiah Mensah</t>
        </is>
      </c>
      <c r="E2869" t="inlineStr">
        <is>
          <t>OdooBot</t>
        </is>
      </c>
      <c r="F2869" s="5" t="n">
        <v>46154.70721064815</v>
      </c>
      <c r="H2869" t="inlineStr">
        <is>
          <t>PCGH762 - GVL HCSA Restoration Project</t>
        </is>
      </c>
      <c r="I2869" t="n">
        <v>8</v>
      </c>
      <c r="J2869" t="inlineStr">
        <is>
          <t>PCGH763 - Desk study (Due diligence) (Jopafram Nigeria Limited)</t>
        </is>
      </c>
      <c r="K2869" t="inlineStr">
        <is>
          <t>Fundraising and proposal development</t>
        </is>
      </c>
      <c r="L2869" t="b">
        <v>1</v>
      </c>
      <c r="M2869" t="inlineStr">
        <is>
          <t>Billed at a Fixed price</t>
        </is>
      </c>
      <c r="N2869" s="6">
        <f>IF(B2869="","",IF(ISNUMBER(B2869),TEXT(B2869,"YYYY-MM"),LEFT(B2869,7)))</f>
        <v/>
      </c>
    </row>
    <row r="2870">
      <c r="A2870" t="inlineStr">
        <is>
          <t>Kwadwo Baniako Nti</t>
        </is>
      </c>
      <c r="B2870" s="4" t="n">
        <v>46027</v>
      </c>
      <c r="C2870" t="inlineStr">
        <is>
          <t>/</t>
        </is>
      </c>
      <c r="D2870" t="inlineStr">
        <is>
          <t>Kwadwo Baniako Nti</t>
        </is>
      </c>
      <c r="E2870" t="inlineStr">
        <is>
          <t>OdooBot</t>
        </is>
      </c>
      <c r="F2870" s="5" t="n">
        <v>46154.70721064815</v>
      </c>
      <c r="H2870" t="inlineStr">
        <is>
          <t>Non-Billable Tasks</t>
        </is>
      </c>
      <c r="I2870" t="n">
        <v>0</v>
      </c>
      <c r="K2870" t="inlineStr">
        <is>
          <t>Public Holiday</t>
        </is>
      </c>
      <c r="L2870" t="b">
        <v>0</v>
      </c>
      <c r="M2870" t="inlineStr">
        <is>
          <t>Non-Billable</t>
        </is>
      </c>
      <c r="N2870" s="6">
        <f>IF(B2870="","",IF(ISNUMBER(B2870),TEXT(B2870,"YYYY-MM"),LEFT(B2870,7)))</f>
        <v/>
      </c>
    </row>
    <row r="2871">
      <c r="A2871" t="inlineStr">
        <is>
          <t>Kwadwo Baniako Nti</t>
        </is>
      </c>
      <c r="B2871" s="4" t="n">
        <v>46027</v>
      </c>
      <c r="C2871" t="inlineStr">
        <is>
          <t>Part of 2025 annual leave</t>
        </is>
      </c>
      <c r="D2871" t="inlineStr">
        <is>
          <t>Kwadwo Baniako Nti</t>
        </is>
      </c>
      <c r="E2871" t="inlineStr">
        <is>
          <t>OdooBot</t>
        </is>
      </c>
      <c r="F2871" s="5" t="n">
        <v>46154.70721064815</v>
      </c>
      <c r="H2871" t="inlineStr">
        <is>
          <t>Non-Billable Tasks</t>
        </is>
      </c>
      <c r="I2871" t="n">
        <v>8</v>
      </c>
      <c r="K2871" t="inlineStr">
        <is>
          <t>Annual Leave</t>
        </is>
      </c>
      <c r="L2871" t="b">
        <v>0</v>
      </c>
      <c r="M2871" t="inlineStr">
        <is>
          <t>Non-Billable</t>
        </is>
      </c>
      <c r="N2871" s="6">
        <f>IF(B2871="","",IF(ISNUMBER(B2871),TEXT(B2871,"YYYY-MM"),LEFT(B2871,7)))</f>
        <v/>
      </c>
    </row>
    <row r="2872">
      <c r="A2872" t="inlineStr">
        <is>
          <t>Kingsley Fitz-Gerald Severine</t>
        </is>
      </c>
      <c r="B2872" s="4" t="n">
        <v>46027</v>
      </c>
      <c r="C2872" t="inlineStr">
        <is>
          <t>/</t>
        </is>
      </c>
      <c r="D2872" t="inlineStr">
        <is>
          <t>Kingsley Fitz-Gerald Severine</t>
        </is>
      </c>
      <c r="E2872" t="inlineStr">
        <is>
          <t>OdooBot</t>
        </is>
      </c>
      <c r="F2872" s="5" t="n">
        <v>46154.70721064815</v>
      </c>
      <c r="G2872" t="inlineStr">
        <is>
          <t>Site Assessment (1)</t>
        </is>
      </c>
      <c r="H2872" t="inlineStr">
        <is>
          <t>PCGH686</t>
        </is>
      </c>
      <c r="I2872" t="n">
        <v>8</v>
      </c>
      <c r="J2872" t="inlineStr">
        <is>
          <t>PCGH686 - Field Verification of the Effectiveness of Implementation of the HCV Management Plan (Plantation Socfinaf Ghana)</t>
        </is>
      </c>
      <c r="K2872" t="inlineStr">
        <is>
          <t>Site Assessment</t>
        </is>
      </c>
      <c r="L2872" t="b">
        <v>1</v>
      </c>
      <c r="M2872" t="inlineStr">
        <is>
          <t>Billed at a Fixed price</t>
        </is>
      </c>
      <c r="N2872" s="6">
        <f>IF(B2872="","",IF(ISNUMBER(B2872),TEXT(B2872,"YYYY-MM"),LEFT(B2872,7)))</f>
        <v/>
      </c>
    </row>
    <row r="2873">
      <c r="A2873" t="inlineStr">
        <is>
          <t>Frederick Antwi</t>
        </is>
      </c>
      <c r="B2873" s="4" t="n">
        <v>46027</v>
      </c>
      <c r="C2873" t="inlineStr">
        <is>
          <t xml:space="preserve">Review of annual and quarterly workplans for 2026 </t>
        </is>
      </c>
      <c r="D2873" t="inlineStr">
        <is>
          <t>Frederick Antwi</t>
        </is>
      </c>
      <c r="E2873" t="inlineStr">
        <is>
          <t>OdooBot</t>
        </is>
      </c>
      <c r="F2873" s="5" t="n">
        <v>46154.70721064815</v>
      </c>
      <c r="G2873" t="inlineStr">
        <is>
          <t>Programme Personnel and Management</t>
        </is>
      </c>
      <c r="H2873" t="inlineStr">
        <is>
          <t>P13NC00A00 - WALMART II</t>
        </is>
      </c>
      <c r="I2873" t="n">
        <v>8</v>
      </c>
      <c r="K2873" t="inlineStr">
        <is>
          <t>Programme Personnel</t>
        </is>
      </c>
      <c r="L2873" t="b">
        <v>0</v>
      </c>
      <c r="M2873" t="inlineStr">
        <is>
          <t>Non-Billable</t>
        </is>
      </c>
      <c r="N2873" s="6">
        <f>IF(B2873="","",IF(ISNUMBER(B2873),TEXT(B2873,"YYYY-MM"),LEFT(B2873,7)))</f>
        <v/>
      </c>
    </row>
    <row r="2874">
      <c r="A2874" t="inlineStr">
        <is>
          <t>Clement Obeng-Manu</t>
        </is>
      </c>
      <c r="B2874" s="4" t="n">
        <v>46027</v>
      </c>
      <c r="C2874" t="inlineStr">
        <is>
          <t>/</t>
        </is>
      </c>
      <c r="D2874" t="inlineStr">
        <is>
          <t>Clement Obeng-Manu</t>
        </is>
      </c>
      <c r="E2874" t="inlineStr">
        <is>
          <t>OdooBot</t>
        </is>
      </c>
      <c r="F2874" s="5" t="n">
        <v>46154.70721064815</v>
      </c>
      <c r="H2874" t="inlineStr">
        <is>
          <t>Non-Billable Tasks</t>
        </is>
      </c>
      <c r="I2874" t="n">
        <v>8</v>
      </c>
      <c r="K2874" t="inlineStr">
        <is>
          <t>Annual Leave</t>
        </is>
      </c>
      <c r="L2874" t="b">
        <v>0</v>
      </c>
      <c r="M2874" t="inlineStr">
        <is>
          <t>Non-Billable</t>
        </is>
      </c>
      <c r="N2874" s="6">
        <f>IF(B2874="","",IF(ISNUMBER(B2874),TEXT(B2874,"YYYY-MM"),LEFT(B2874,7)))</f>
        <v/>
      </c>
    </row>
    <row r="2875">
      <c r="A2875" t="inlineStr">
        <is>
          <t>Louis Defo</t>
        </is>
      </c>
      <c r="B2875" s="4" t="n">
        <v>46024</v>
      </c>
      <c r="C2875" t="inlineStr">
        <is>
          <t>/</t>
        </is>
      </c>
      <c r="D2875" t="inlineStr">
        <is>
          <t>Louis Defo</t>
        </is>
      </c>
      <c r="E2875" t="inlineStr">
        <is>
          <t>Louis Defo</t>
        </is>
      </c>
      <c r="F2875" s="5" t="n">
        <v>46161.33171296296</v>
      </c>
      <c r="H2875" t="inlineStr">
        <is>
          <t>Non-Billable Tasks</t>
        </is>
      </c>
      <c r="I2875" t="n">
        <v>8</v>
      </c>
      <c r="L2875" t="b">
        <v>0</v>
      </c>
      <c r="M2875" t="inlineStr">
        <is>
          <t>Non-Billable</t>
        </is>
      </c>
      <c r="N2875" s="6">
        <f>IF(B2875="","",IF(ISNUMBER(B2875),TEXT(B2875,"YYYY-MM"),LEFT(B2875,7)))</f>
        <v/>
      </c>
    </row>
    <row r="2876">
      <c r="A2876" t="inlineStr">
        <is>
          <t>James Parker Mckeown</t>
        </is>
      </c>
      <c r="B2876" s="4" t="n">
        <v>46024</v>
      </c>
      <c r="C2876" t="inlineStr">
        <is>
          <t>/</t>
        </is>
      </c>
      <c r="D2876" t="inlineStr">
        <is>
          <t>James Parker Mckeown</t>
        </is>
      </c>
      <c r="E2876" t="inlineStr">
        <is>
          <t>OdooBot</t>
        </is>
      </c>
      <c r="F2876" s="5" t="n">
        <v>46154.70721064815</v>
      </c>
      <c r="H2876" t="inlineStr">
        <is>
          <t>Non-Billable Tasks</t>
        </is>
      </c>
      <c r="I2876" t="n">
        <v>8</v>
      </c>
      <c r="K2876" t="inlineStr">
        <is>
          <t>Annual Leave</t>
        </is>
      </c>
      <c r="L2876" t="b">
        <v>0</v>
      </c>
      <c r="M2876" t="inlineStr">
        <is>
          <t>Non-Billable</t>
        </is>
      </c>
      <c r="N2876" s="6">
        <f>IF(B2876="","",IF(ISNUMBER(B2876),TEXT(B2876,"YYYY-MM"),LEFT(B2876,7)))</f>
        <v/>
      </c>
    </row>
    <row r="2877">
      <c r="A2877" t="inlineStr">
        <is>
          <t>Ekow Nyamekye Tawiah</t>
        </is>
      </c>
      <c r="B2877" s="4" t="n">
        <v>46024</v>
      </c>
      <c r="C2877" t="inlineStr">
        <is>
          <t>/</t>
        </is>
      </c>
      <c r="D2877" t="inlineStr">
        <is>
          <t>Ekow Nyamekye Tawiah</t>
        </is>
      </c>
      <c r="E2877" t="inlineStr">
        <is>
          <t>Ekow Nyamekye Tawiah</t>
        </is>
      </c>
      <c r="F2877" s="5" t="n">
        <v>46162.82651620371</v>
      </c>
      <c r="H2877" t="inlineStr">
        <is>
          <t>Non-Billable Tasks</t>
        </is>
      </c>
      <c r="I2877" t="n">
        <v>4</v>
      </c>
      <c r="K2877" t="inlineStr">
        <is>
          <t>Public Holiday</t>
        </is>
      </c>
      <c r="L2877" t="b">
        <v>0</v>
      </c>
      <c r="M2877" t="inlineStr">
        <is>
          <t>Non-Billable</t>
        </is>
      </c>
      <c r="N2877" s="6">
        <f>IF(B2877="","",IF(ISNUMBER(B2877),TEXT(B2877,"YYYY-MM"),LEFT(B2877,7)))</f>
        <v/>
      </c>
    </row>
    <row r="2878">
      <c r="A2878" t="inlineStr">
        <is>
          <t>Stephen Doso</t>
        </is>
      </c>
      <c r="B2878" s="4" t="n">
        <v>46024</v>
      </c>
      <c r="C2878" t="inlineStr">
        <is>
          <t>/</t>
        </is>
      </c>
      <c r="D2878" t="inlineStr">
        <is>
          <t>Stephen Doso</t>
        </is>
      </c>
      <c r="E2878" t="inlineStr">
        <is>
          <t>OdooBot</t>
        </is>
      </c>
      <c r="F2878" s="5" t="n">
        <v>46154.70721064815</v>
      </c>
      <c r="H2878" t="inlineStr">
        <is>
          <t>Non-Billable Tasks</t>
        </is>
      </c>
      <c r="I2878" t="n">
        <v>8</v>
      </c>
      <c r="K2878" t="inlineStr">
        <is>
          <t>Annual Leave</t>
        </is>
      </c>
      <c r="L2878" t="b">
        <v>0</v>
      </c>
      <c r="M2878" t="inlineStr">
        <is>
          <t>Non-Billable</t>
        </is>
      </c>
      <c r="N2878" s="6">
        <f>IF(B2878="","",IF(ISNUMBER(B2878),TEXT(B2878,"YYYY-MM"),LEFT(B2878,7)))</f>
        <v/>
      </c>
    </row>
    <row r="2879">
      <c r="A2879" t="inlineStr">
        <is>
          <t>Daleba Bernard Kpenahi Raymond</t>
        </is>
      </c>
      <c r="B2879" s="4" t="n">
        <v>46024</v>
      </c>
      <c r="C2879" t="inlineStr">
        <is>
          <t>/</t>
        </is>
      </c>
      <c r="D2879" t="inlineStr">
        <is>
          <t>Daleba Bernard Kpenahi Raymond</t>
        </is>
      </c>
      <c r="E2879" t="inlineStr">
        <is>
          <t>OdooBot</t>
        </is>
      </c>
      <c r="F2879" s="5" t="n">
        <v>46154.70721064815</v>
      </c>
      <c r="H2879" t="inlineStr">
        <is>
          <t>Non-Billable Tasks</t>
        </is>
      </c>
      <c r="I2879" t="n">
        <v>8</v>
      </c>
      <c r="K2879" t="inlineStr">
        <is>
          <t>Annual Leave</t>
        </is>
      </c>
      <c r="L2879" t="b">
        <v>0</v>
      </c>
      <c r="M2879" t="inlineStr">
        <is>
          <t>Non-Billable</t>
        </is>
      </c>
      <c r="N2879" s="6">
        <f>IF(B2879="","",IF(ISNUMBER(B2879),TEXT(B2879,"YYYY-MM"),LEFT(B2879,7)))</f>
        <v/>
      </c>
    </row>
    <row r="2880">
      <c r="A2880" t="inlineStr">
        <is>
          <t>Joseph Isaiah Mensah</t>
        </is>
      </c>
      <c r="B2880" s="4" t="n">
        <v>46024</v>
      </c>
      <c r="C2880" t="inlineStr">
        <is>
          <t>/</t>
        </is>
      </c>
      <c r="D2880" t="inlineStr">
        <is>
          <t>Joseph Isaiah Mensah</t>
        </is>
      </c>
      <c r="E2880" t="inlineStr">
        <is>
          <t>OdooBot</t>
        </is>
      </c>
      <c r="F2880" s="5" t="n">
        <v>46154.70721064815</v>
      </c>
      <c r="H2880" t="inlineStr">
        <is>
          <t>PCGH762 - GVL HCSA Restoration Project</t>
        </is>
      </c>
      <c r="I2880" t="n">
        <v>8</v>
      </c>
      <c r="J2880" t="inlineStr">
        <is>
          <t>PCGH763 - Desk study (Due diligence) (Jopafram Nigeria Limited)</t>
        </is>
      </c>
      <c r="K2880" t="inlineStr">
        <is>
          <t>Fundraising and proposal development</t>
        </is>
      </c>
      <c r="L2880" t="b">
        <v>1</v>
      </c>
      <c r="M2880" t="inlineStr">
        <is>
          <t>Billed at a Fixed price</t>
        </is>
      </c>
      <c r="N2880" s="6">
        <f>IF(B2880="","",IF(ISNUMBER(B2880),TEXT(B2880,"YYYY-MM"),LEFT(B2880,7)))</f>
        <v/>
      </c>
    </row>
    <row r="2881">
      <c r="A2881" t="inlineStr">
        <is>
          <t>Kwadwo Baniako Nti</t>
        </is>
      </c>
      <c r="B2881" s="4" t="n">
        <v>46024</v>
      </c>
      <c r="C2881" t="inlineStr">
        <is>
          <t>/</t>
        </is>
      </c>
      <c r="D2881" t="inlineStr">
        <is>
          <t>Kwadwo Baniako Nti</t>
        </is>
      </c>
      <c r="E2881" t="inlineStr">
        <is>
          <t>OdooBot</t>
        </is>
      </c>
      <c r="F2881" s="5" t="n">
        <v>46154.70721064815</v>
      </c>
      <c r="G2881" t="inlineStr">
        <is>
          <t>Management and Maintenance of the Forest</t>
        </is>
      </c>
      <c r="H2881" t="inlineStr">
        <is>
          <t>PCGH762 - GVL HCSA Restoration Project</t>
        </is>
      </c>
      <c r="I2881" t="n">
        <v>8</v>
      </c>
      <c r="J2881" t="inlineStr">
        <is>
          <t>PCGH762 - Management and Maintenance of the Forest (Golden Veroleum Liberia)</t>
        </is>
      </c>
      <c r="K2881" t="inlineStr">
        <is>
          <t>Management and Maintenance of the Forest</t>
        </is>
      </c>
      <c r="L2881" t="b">
        <v>1</v>
      </c>
      <c r="M2881" t="inlineStr">
        <is>
          <t>Billed at a Fixed price</t>
        </is>
      </c>
      <c r="N2881" s="6">
        <f>IF(B2881="","",IF(ISNUMBER(B2881),TEXT(B2881,"YYYY-MM"),LEFT(B2881,7)))</f>
        <v/>
      </c>
    </row>
    <row r="2882">
      <c r="A2882" t="inlineStr">
        <is>
          <t>Kingsley Fitz-Gerald Severine</t>
        </is>
      </c>
      <c r="B2882" s="4" t="n">
        <v>46024</v>
      </c>
      <c r="C2882" t="inlineStr">
        <is>
          <t>/</t>
        </is>
      </c>
      <c r="D2882" t="inlineStr">
        <is>
          <t>Kingsley Fitz-Gerald Severine</t>
        </is>
      </c>
      <c r="E2882" t="inlineStr">
        <is>
          <t>OdooBot</t>
        </is>
      </c>
      <c r="F2882" s="5" t="n">
        <v>46154.70721064815</v>
      </c>
      <c r="G2882" t="inlineStr">
        <is>
          <t>Analysis and Reporting (2) (Phase 2)</t>
        </is>
      </c>
      <c r="H2882" t="inlineStr">
        <is>
          <t>PCGH686</t>
        </is>
      </c>
      <c r="I2882" t="n">
        <v>8</v>
      </c>
      <c r="J2882" t="inlineStr">
        <is>
          <t>PCGH686 - Analysis and Reporting Including Recommendations (T2) (Plantation Socfinaf Ghana)</t>
        </is>
      </c>
      <c r="K2882" t="inlineStr">
        <is>
          <t>Analysis and Reporting (Phase 2)</t>
        </is>
      </c>
      <c r="L2882" t="b">
        <v>1</v>
      </c>
      <c r="M2882" t="inlineStr">
        <is>
          <t>Billed at a Fixed price</t>
        </is>
      </c>
      <c r="N2882" s="6">
        <f>IF(B2882="","",IF(ISNUMBER(B2882),TEXT(B2882,"YYYY-MM"),LEFT(B2882,7)))</f>
        <v/>
      </c>
    </row>
    <row r="2883">
      <c r="A2883" t="inlineStr">
        <is>
          <t>Frederick Antwi</t>
        </is>
      </c>
      <c r="B2883" s="4" t="n">
        <v>46024</v>
      </c>
      <c r="C2883" t="inlineStr">
        <is>
          <t>/</t>
        </is>
      </c>
      <c r="D2883" t="inlineStr">
        <is>
          <t>Frederick Antwi</t>
        </is>
      </c>
      <c r="E2883" t="inlineStr">
        <is>
          <t>OdooBot</t>
        </is>
      </c>
      <c r="F2883" s="5" t="n">
        <v>46154.70721064815</v>
      </c>
      <c r="H2883" t="inlineStr">
        <is>
          <t>PCGH768</t>
        </is>
      </c>
      <c r="I2883" t="n">
        <v>8</v>
      </c>
      <c r="J2883" t="inlineStr">
        <is>
          <t>PCGH768 - Development of Training materials (3) (Proforest Limited(PCUK GBP))</t>
        </is>
      </c>
      <c r="K2883" t="inlineStr">
        <is>
          <t>Development of Training materials (3)</t>
        </is>
      </c>
      <c r="L2883" t="b">
        <v>1</v>
      </c>
      <c r="M2883" t="inlineStr">
        <is>
          <t>Billed at a Fixed price</t>
        </is>
      </c>
      <c r="N2883" s="6">
        <f>IF(B2883="","",IF(ISNUMBER(B2883),TEXT(B2883,"YYYY-MM"),LEFT(B2883,7)))</f>
        <v/>
      </c>
    </row>
    <row r="2884">
      <c r="A2884" t="inlineStr">
        <is>
          <t>Clement Obeng-Manu</t>
        </is>
      </c>
      <c r="B2884" s="4" t="n">
        <v>46024</v>
      </c>
      <c r="C2884" t="inlineStr">
        <is>
          <t>/</t>
        </is>
      </c>
      <c r="D2884" t="inlineStr">
        <is>
          <t>Clement Obeng-Manu</t>
        </is>
      </c>
      <c r="E2884" t="inlineStr">
        <is>
          <t>OdooBot</t>
        </is>
      </c>
      <c r="F2884" s="5" t="n">
        <v>46154.70721064815</v>
      </c>
      <c r="H2884" t="inlineStr">
        <is>
          <t>Non-Billable Tasks</t>
        </is>
      </c>
      <c r="I2884" t="n">
        <v>8</v>
      </c>
      <c r="K2884" t="inlineStr">
        <is>
          <t>Annual Leave</t>
        </is>
      </c>
      <c r="L2884" t="b">
        <v>0</v>
      </c>
      <c r="M2884" t="inlineStr">
        <is>
          <t>Non-Billable</t>
        </is>
      </c>
      <c r="N2884" s="6">
        <f>IF(B2884="","",IF(ISNUMBER(B2884),TEXT(B2884,"YYYY-MM"),LEFT(B2884,7)))</f>
        <v/>
      </c>
    </row>
    <row r="2885">
      <c r="A2885" t="inlineStr">
        <is>
          <t>Helena Tetteh</t>
        </is>
      </c>
      <c r="B2885" s="4" t="n">
        <v>46024</v>
      </c>
      <c r="C2885" t="inlineStr">
        <is>
          <t>/</t>
        </is>
      </c>
      <c r="D2885" t="inlineStr">
        <is>
          <t xml:space="preserve">Helena Tetteh </t>
        </is>
      </c>
      <c r="E2885" t="inlineStr">
        <is>
          <t>OdooBot</t>
        </is>
      </c>
      <c r="F2885" s="5" t="n">
        <v>46154.70721064815</v>
      </c>
      <c r="H2885" t="inlineStr">
        <is>
          <t>Non-Billable Tasks</t>
        </is>
      </c>
      <c r="I2885" t="n">
        <v>8</v>
      </c>
      <c r="K2885" t="inlineStr">
        <is>
          <t>Leave</t>
        </is>
      </c>
      <c r="L2885" t="b">
        <v>0</v>
      </c>
      <c r="M2885" t="inlineStr">
        <is>
          <t>Non-Billable</t>
        </is>
      </c>
      <c r="N2885" s="6">
        <f>IF(B2885="","",IF(ISNUMBER(B2885),TEXT(B2885,"YYYY-MM"),LEFT(B2885,7)))</f>
        <v/>
      </c>
    </row>
    <row r="2886">
      <c r="A2886" t="inlineStr">
        <is>
          <t>Louis Defo</t>
        </is>
      </c>
      <c r="B2886" s="4" t="n">
        <v>46023</v>
      </c>
      <c r="C2886" t="inlineStr">
        <is>
          <t>/</t>
        </is>
      </c>
      <c r="D2886" t="inlineStr">
        <is>
          <t>Louis Defo</t>
        </is>
      </c>
      <c r="E2886" t="inlineStr">
        <is>
          <t>Louis Defo</t>
        </is>
      </c>
      <c r="F2886" s="5" t="n">
        <v>46161.32765046296</v>
      </c>
      <c r="H2886" t="inlineStr">
        <is>
          <t>P23AC00C00 - FGMC</t>
        </is>
      </c>
      <c r="I2886" t="n">
        <v>8</v>
      </c>
      <c r="L2886" t="b">
        <v>0</v>
      </c>
      <c r="M2886" t="inlineStr">
        <is>
          <t>Non-Billable</t>
        </is>
      </c>
      <c r="N2886" s="6">
        <f>IF(B2886="","",IF(ISNUMBER(B2886),TEXT(B2886,"YYYY-MM"),LEFT(B2886,7)))</f>
        <v/>
      </c>
    </row>
    <row r="2887">
      <c r="A2887" t="inlineStr">
        <is>
          <t>James Parker Mckeown</t>
        </is>
      </c>
      <c r="B2887" s="4" t="n">
        <v>46023</v>
      </c>
      <c r="C2887" t="inlineStr">
        <is>
          <t>/</t>
        </is>
      </c>
      <c r="D2887" t="inlineStr">
        <is>
          <t>James Parker Mckeown</t>
        </is>
      </c>
      <c r="E2887" t="inlineStr">
        <is>
          <t>OdooBot</t>
        </is>
      </c>
      <c r="F2887" s="5" t="n">
        <v>46154.70721064815</v>
      </c>
      <c r="H2887" t="inlineStr">
        <is>
          <t>Non-Billable Tasks</t>
        </is>
      </c>
      <c r="I2887" t="n">
        <v>8</v>
      </c>
      <c r="K2887" t="inlineStr">
        <is>
          <t>Annual Leave</t>
        </is>
      </c>
      <c r="L2887" t="b">
        <v>0</v>
      </c>
      <c r="M2887" t="inlineStr">
        <is>
          <t>Non-Billable</t>
        </is>
      </c>
      <c r="N2887" s="6">
        <f>IF(B2887="","",IF(ISNUMBER(B2887),TEXT(B2887,"YYYY-MM"),LEFT(B2887,7)))</f>
        <v/>
      </c>
    </row>
    <row r="2888">
      <c r="A2888" t="inlineStr">
        <is>
          <t>Afua Serwah Akoto Prempeh</t>
        </is>
      </c>
      <c r="B2888" s="4" t="n">
        <v>46023</v>
      </c>
      <c r="C2888" t="inlineStr">
        <is>
          <t xml:space="preserve">Orientation Meetings with James Parker, BRIDGE Team meetings </t>
        </is>
      </c>
      <c r="D2888" t="inlineStr">
        <is>
          <t>Afua Serwah Akoto Prempeh</t>
        </is>
      </c>
      <c r="E2888" t="inlineStr">
        <is>
          <t>OdooBot</t>
        </is>
      </c>
      <c r="F2888" s="5" t="n">
        <v>46154.70721064815</v>
      </c>
      <c r="H2888" t="inlineStr">
        <is>
          <t>P23AC00C00 - FGMC</t>
        </is>
      </c>
      <c r="I2888" t="n">
        <v>0</v>
      </c>
      <c r="L2888" t="b">
        <v>0</v>
      </c>
      <c r="M2888" t="inlineStr">
        <is>
          <t>Non-Billable</t>
        </is>
      </c>
      <c r="N2888" s="6">
        <f>IF(B2888="","",IF(ISNUMBER(B2888),TEXT(B2888,"YYYY-MM"),LEFT(B2888,7)))</f>
        <v/>
      </c>
    </row>
    <row r="2889">
      <c r="A2889" t="inlineStr">
        <is>
          <t>Stephen Doso</t>
        </is>
      </c>
      <c r="B2889" s="4" t="n">
        <v>46023</v>
      </c>
      <c r="C2889" t="inlineStr">
        <is>
          <t>/</t>
        </is>
      </c>
      <c r="D2889" t="inlineStr">
        <is>
          <t>Stephen Doso</t>
        </is>
      </c>
      <c r="E2889" t="inlineStr">
        <is>
          <t>OdooBot</t>
        </is>
      </c>
      <c r="F2889" s="5" t="n">
        <v>46154.70721064815</v>
      </c>
      <c r="H2889" t="inlineStr">
        <is>
          <t>Non-Billable Tasks</t>
        </is>
      </c>
      <c r="I2889" t="n">
        <v>8</v>
      </c>
      <c r="K2889" t="inlineStr">
        <is>
          <t>Public Holiday</t>
        </is>
      </c>
      <c r="L2889" t="b">
        <v>0</v>
      </c>
      <c r="M2889" t="inlineStr">
        <is>
          <t>Non-Billable</t>
        </is>
      </c>
      <c r="N2889" s="6">
        <f>IF(B2889="","",IF(ISNUMBER(B2889),TEXT(B2889,"YYYY-MM"),LEFT(B2889,7)))</f>
        <v/>
      </c>
    </row>
    <row r="2890">
      <c r="A2890" t="inlineStr">
        <is>
          <t>Daleba Bernard Kpenahi Raymond</t>
        </is>
      </c>
      <c r="B2890" s="4" t="n">
        <v>46023</v>
      </c>
      <c r="C2890" t="inlineStr">
        <is>
          <t>/</t>
        </is>
      </c>
      <c r="D2890" t="inlineStr">
        <is>
          <t>Daleba Bernard Kpenahi Raymond</t>
        </is>
      </c>
      <c r="E2890" t="inlineStr">
        <is>
          <t>OdooBot</t>
        </is>
      </c>
      <c r="F2890" s="5" t="n">
        <v>46154.70721064815</v>
      </c>
      <c r="H2890" t="inlineStr">
        <is>
          <t>Non-Billable Tasks</t>
        </is>
      </c>
      <c r="I2890" t="n">
        <v>8</v>
      </c>
      <c r="K2890" t="inlineStr">
        <is>
          <t>Annual Leave</t>
        </is>
      </c>
      <c r="L2890" t="b">
        <v>0</v>
      </c>
      <c r="M2890" t="inlineStr">
        <is>
          <t>Non-Billable</t>
        </is>
      </c>
      <c r="N2890" s="6">
        <f>IF(B2890="","",IF(ISNUMBER(B2890),TEXT(B2890,"YYYY-MM"),LEFT(B2890,7)))</f>
        <v/>
      </c>
    </row>
    <row r="2891">
      <c r="A2891" t="inlineStr">
        <is>
          <t>Joseph Isaiah Mensah</t>
        </is>
      </c>
      <c r="B2891" s="4" t="n">
        <v>46023</v>
      </c>
      <c r="C2891" t="inlineStr">
        <is>
          <t>/</t>
        </is>
      </c>
      <c r="D2891" t="inlineStr">
        <is>
          <t>Joseph Isaiah Mensah</t>
        </is>
      </c>
      <c r="E2891" t="inlineStr">
        <is>
          <t>OdooBot</t>
        </is>
      </c>
      <c r="F2891" s="5" t="n">
        <v>46154.70721064815</v>
      </c>
      <c r="H2891" t="inlineStr">
        <is>
          <t>Non-Billable Tasks</t>
        </is>
      </c>
      <c r="I2891" t="n">
        <v>8</v>
      </c>
      <c r="K2891" t="inlineStr">
        <is>
          <t>Public Holiday</t>
        </is>
      </c>
      <c r="L2891" t="b">
        <v>0</v>
      </c>
      <c r="M2891" t="inlineStr">
        <is>
          <t>Non-Billable</t>
        </is>
      </c>
      <c r="N2891" s="6">
        <f>IF(B2891="","",IF(ISNUMBER(B2891),TEXT(B2891,"YYYY-MM"),LEFT(B2891,7)))</f>
        <v/>
      </c>
    </row>
    <row r="2892">
      <c r="A2892" t="inlineStr">
        <is>
          <t>Kwadwo Baniako Nti</t>
        </is>
      </c>
      <c r="B2892" s="4" t="n">
        <v>46023</v>
      </c>
      <c r="C2892" t="inlineStr">
        <is>
          <t>/</t>
        </is>
      </c>
      <c r="D2892" t="inlineStr">
        <is>
          <t>Kwadwo Baniako Nti</t>
        </is>
      </c>
      <c r="E2892" t="inlineStr">
        <is>
          <t>OdooBot</t>
        </is>
      </c>
      <c r="F2892" s="5" t="n">
        <v>46154.70721064815</v>
      </c>
      <c r="H2892" t="inlineStr">
        <is>
          <t>Non-Billable Tasks</t>
        </is>
      </c>
      <c r="I2892" t="n">
        <v>8</v>
      </c>
      <c r="K2892" t="inlineStr">
        <is>
          <t>Public Holiday</t>
        </is>
      </c>
      <c r="L2892" t="b">
        <v>0</v>
      </c>
      <c r="M2892" t="inlineStr">
        <is>
          <t>Non-Billable</t>
        </is>
      </c>
      <c r="N2892" s="6">
        <f>IF(B2892="","",IF(ISNUMBER(B2892),TEXT(B2892,"YYYY-MM"),LEFT(B2892,7)))</f>
        <v/>
      </c>
    </row>
    <row r="2893">
      <c r="A2893" t="inlineStr">
        <is>
          <t>Kingsley Fitz-Gerald Severine</t>
        </is>
      </c>
      <c r="B2893" s="4" t="n">
        <v>46023</v>
      </c>
      <c r="C2893" t="inlineStr">
        <is>
          <t>New Year Day</t>
        </is>
      </c>
      <c r="D2893" t="inlineStr">
        <is>
          <t>Kingsley Fitz-Gerald Severine</t>
        </is>
      </c>
      <c r="E2893" t="inlineStr">
        <is>
          <t>OdooBot</t>
        </is>
      </c>
      <c r="F2893" s="5" t="n">
        <v>46154.70721064815</v>
      </c>
      <c r="H2893" t="inlineStr">
        <is>
          <t>Non-Billable Tasks</t>
        </is>
      </c>
      <c r="I2893" t="n">
        <v>8</v>
      </c>
      <c r="K2893" t="inlineStr">
        <is>
          <t>Public Holiday</t>
        </is>
      </c>
      <c r="L2893" t="b">
        <v>0</v>
      </c>
      <c r="M2893" t="inlineStr">
        <is>
          <t>Non-Billable</t>
        </is>
      </c>
      <c r="N2893" s="6">
        <f>IF(B2893="","",IF(ISNUMBER(B2893),TEXT(B2893,"YYYY-MM"),LEFT(B2893,7)))</f>
        <v/>
      </c>
    </row>
    <row r="2894">
      <c r="A2894" t="inlineStr">
        <is>
          <t>Frederick Antwi</t>
        </is>
      </c>
      <c r="B2894" s="4" t="n">
        <v>46023</v>
      </c>
      <c r="C2894" t="inlineStr">
        <is>
          <t>/</t>
        </is>
      </c>
      <c r="D2894" t="inlineStr">
        <is>
          <t>Frederick Antwi</t>
        </is>
      </c>
      <c r="E2894" t="inlineStr">
        <is>
          <t>OdooBot</t>
        </is>
      </c>
      <c r="F2894" s="5" t="n">
        <v>46154.70721064815</v>
      </c>
      <c r="H2894" t="inlineStr">
        <is>
          <t>Non-Billable Tasks</t>
        </is>
      </c>
      <c r="I2894" t="n">
        <v>8</v>
      </c>
      <c r="K2894" t="inlineStr">
        <is>
          <t>Public Holiday</t>
        </is>
      </c>
      <c r="L2894" t="b">
        <v>0</v>
      </c>
      <c r="M2894" t="inlineStr">
        <is>
          <t>Non-Billable</t>
        </is>
      </c>
      <c r="N2894" s="6">
        <f>IF(B2894="","",IF(ISNUMBER(B2894),TEXT(B2894,"YYYY-MM"),LEFT(B2894,7)))</f>
        <v/>
      </c>
    </row>
    <row r="2895">
      <c r="A2895" t="inlineStr">
        <is>
          <t>Clement Obeng-Manu</t>
        </is>
      </c>
      <c r="B2895" s="4" t="n">
        <v>46023</v>
      </c>
      <c r="C2895" t="inlineStr">
        <is>
          <t>/</t>
        </is>
      </c>
      <c r="D2895" t="inlineStr">
        <is>
          <t>Clement Obeng-Manu</t>
        </is>
      </c>
      <c r="E2895" t="inlineStr">
        <is>
          <t>OdooBot</t>
        </is>
      </c>
      <c r="F2895" s="5" t="n">
        <v>46154.70721064815</v>
      </c>
      <c r="H2895" t="inlineStr">
        <is>
          <t>Non-Billable Tasks</t>
        </is>
      </c>
      <c r="I2895" t="n">
        <v>8</v>
      </c>
      <c r="K2895" t="inlineStr">
        <is>
          <t>Public Holiday</t>
        </is>
      </c>
      <c r="L2895" t="b">
        <v>0</v>
      </c>
      <c r="M2895" t="inlineStr">
        <is>
          <t>Non-Billable</t>
        </is>
      </c>
      <c r="N2895" s="6">
        <f>IF(B2895="","",IF(ISNUMBER(B2895),TEXT(B2895,"YYYY-MM"),LEFT(B2895,7)))</f>
        <v/>
      </c>
    </row>
    <row r="2896">
      <c r="A2896" t="inlineStr">
        <is>
          <t>Ekow Nyamekye Tawiah</t>
        </is>
      </c>
      <c r="B2896" s="4" t="n">
        <v>46023</v>
      </c>
      <c r="C2896" t="inlineStr">
        <is>
          <t>/</t>
        </is>
      </c>
      <c r="D2896" t="inlineStr">
        <is>
          <t>Ekow Nyamekye Tawiah</t>
        </is>
      </c>
      <c r="E2896" t="inlineStr">
        <is>
          <t>Ekow Nyamekye Tawiah</t>
        </is>
      </c>
      <c r="F2896" s="5" t="n">
        <v>46162.82650462963</v>
      </c>
      <c r="H2896" t="inlineStr">
        <is>
          <t>Non-Billable Tasks</t>
        </is>
      </c>
      <c r="I2896" t="n">
        <v>4</v>
      </c>
      <c r="K2896" t="inlineStr">
        <is>
          <t>Public Holiday</t>
        </is>
      </c>
      <c r="L2896" t="b">
        <v>0</v>
      </c>
      <c r="M2896" t="inlineStr">
        <is>
          <t>Non-Billable</t>
        </is>
      </c>
      <c r="N2896" s="6">
        <f>IF(B2896="","",IF(ISNUMBER(B2896),TEXT(B2896,"YYYY-MM"),LEFT(B2896,7)))</f>
        <v/>
      </c>
    </row>
    <row r="2897">
      <c r="A2897" t="inlineStr">
        <is>
          <t>Helena Tetteh</t>
        </is>
      </c>
      <c r="B2897" s="4" t="n">
        <v>46023</v>
      </c>
      <c r="C2897" t="inlineStr">
        <is>
          <t>/</t>
        </is>
      </c>
      <c r="D2897" t="inlineStr">
        <is>
          <t xml:space="preserve">Helena Tetteh </t>
        </is>
      </c>
      <c r="E2897" t="inlineStr">
        <is>
          <t>OdooBot</t>
        </is>
      </c>
      <c r="F2897" s="5" t="n">
        <v>46154.70721064815</v>
      </c>
      <c r="H2897" t="inlineStr">
        <is>
          <t>Non-Billable Tasks</t>
        </is>
      </c>
      <c r="I2897" t="n">
        <v>8</v>
      </c>
      <c r="K2897" t="inlineStr">
        <is>
          <t>Public Holiday</t>
        </is>
      </c>
      <c r="L2897" t="b">
        <v>0</v>
      </c>
      <c r="M2897" t="inlineStr">
        <is>
          <t>Non-Billable</t>
        </is>
      </c>
      <c r="N2897" s="6">
        <f>IF(B2897="","",IF(ISNUMBER(B2897),TEXT(B2897,"YYYY-MM"),LEFT(B2897,7)))</f>
        <v/>
      </c>
    </row>
    <row r="2898">
      <c r="N2898" s="6">
        <f>IF(B2898="","",IF(ISNUMBER(B2898),TEXT(B2898,"YYYY-MM"),LEFT(B2898,7)))</f>
        <v/>
      </c>
    </row>
    <row r="2899">
      <c r="N2899" s="6">
        <f>IF(B2899="","",IF(ISNUMBER(B2899),TEXT(B2899,"YYYY-MM"),LEFT(B2899,7)))</f>
        <v/>
      </c>
    </row>
    <row r="2900">
      <c r="N2900" s="6">
        <f>IF(B2900="","",IF(ISNUMBER(B2900),TEXT(B2900,"YYYY-MM"),LEFT(B2900,7)))</f>
        <v/>
      </c>
    </row>
    <row r="2901">
      <c r="N2901" s="6">
        <f>IF(B2901="","",IF(ISNUMBER(B2901),TEXT(B2901,"YYYY-MM"),LEFT(B2901,7)))</f>
        <v/>
      </c>
    </row>
    <row r="2902">
      <c r="N2902" s="6">
        <f>IF(B2902="","",IF(ISNUMBER(B2902),TEXT(B2902,"YYYY-MM"),LEFT(B2902,7)))</f>
        <v/>
      </c>
    </row>
    <row r="2903">
      <c r="N2903" s="6">
        <f>IF(B2903="","",IF(ISNUMBER(B2903),TEXT(B2903,"YYYY-MM"),LEFT(B2903,7)))</f>
        <v/>
      </c>
    </row>
    <row r="2904">
      <c r="N2904" s="6">
        <f>IF(B2904="","",IF(ISNUMBER(B2904),TEXT(B2904,"YYYY-MM"),LEFT(B2904,7)))</f>
        <v/>
      </c>
    </row>
    <row r="2905">
      <c r="N2905" s="6">
        <f>IF(B2905="","",IF(ISNUMBER(B2905),TEXT(B2905,"YYYY-MM"),LEFT(B2905,7)))</f>
        <v/>
      </c>
    </row>
    <row r="2906">
      <c r="N2906" s="6">
        <f>IF(B2906="","",IF(ISNUMBER(B2906),TEXT(B2906,"YYYY-MM"),LEFT(B2906,7)))</f>
        <v/>
      </c>
    </row>
    <row r="2907">
      <c r="N2907" s="6">
        <f>IF(B2907="","",IF(ISNUMBER(B2907),TEXT(B2907,"YYYY-MM"),LEFT(B2907,7)))</f>
        <v/>
      </c>
    </row>
    <row r="2908">
      <c r="N2908" s="6">
        <f>IF(B2908="","",IF(ISNUMBER(B2908),TEXT(B2908,"YYYY-MM"),LEFT(B2908,7)))</f>
        <v/>
      </c>
    </row>
    <row r="2909">
      <c r="N2909" s="6">
        <f>IF(B2909="","",IF(ISNUMBER(B2909),TEXT(B2909,"YYYY-MM"),LEFT(B2909,7)))</f>
        <v/>
      </c>
    </row>
    <row r="2910">
      <c r="N2910" s="6">
        <f>IF(B2910="","",IF(ISNUMBER(B2910),TEXT(B2910,"YYYY-MM"),LEFT(B2910,7)))</f>
        <v/>
      </c>
    </row>
    <row r="2911">
      <c r="N2911" s="6">
        <f>IF(B2911="","",IF(ISNUMBER(B2911),TEXT(B2911,"YYYY-MM"),LEFT(B2911,7)))</f>
        <v/>
      </c>
    </row>
    <row r="2912">
      <c r="N2912" s="6">
        <f>IF(B2912="","",IF(ISNUMBER(B2912),TEXT(B2912,"YYYY-MM"),LEFT(B2912,7)))</f>
        <v/>
      </c>
    </row>
    <row r="2913">
      <c r="N2913" s="6">
        <f>IF(B2913="","",IF(ISNUMBER(B2913),TEXT(B2913,"YYYY-MM"),LEFT(B2913,7)))</f>
        <v/>
      </c>
    </row>
    <row r="2914">
      <c r="N2914" s="6">
        <f>IF(B2914="","",IF(ISNUMBER(B2914),TEXT(B2914,"YYYY-MM"),LEFT(B2914,7)))</f>
        <v/>
      </c>
    </row>
    <row r="2915">
      <c r="N2915" s="6">
        <f>IF(B2915="","",IF(ISNUMBER(B2915),TEXT(B2915,"YYYY-MM"),LEFT(B2915,7)))</f>
        <v/>
      </c>
    </row>
    <row r="2916">
      <c r="N2916" s="6">
        <f>IF(B2916="","",IF(ISNUMBER(B2916),TEXT(B2916,"YYYY-MM"),LEFT(B2916,7)))</f>
        <v/>
      </c>
    </row>
    <row r="2917">
      <c r="N2917" s="6">
        <f>IF(B2917="","",IF(ISNUMBER(B2917),TEXT(B2917,"YYYY-MM"),LEFT(B2917,7)))</f>
        <v/>
      </c>
    </row>
    <row r="2918">
      <c r="N2918" s="6">
        <f>IF(B2918="","",IF(ISNUMBER(B2918),TEXT(B2918,"YYYY-MM"),LEFT(B2918,7)))</f>
        <v/>
      </c>
    </row>
    <row r="2919">
      <c r="N2919" s="6">
        <f>IF(B2919="","",IF(ISNUMBER(B2919),TEXT(B2919,"YYYY-MM"),LEFT(B2919,7)))</f>
        <v/>
      </c>
    </row>
    <row r="2920">
      <c r="N2920" s="6">
        <f>IF(B2920="","",IF(ISNUMBER(B2920),TEXT(B2920,"YYYY-MM"),LEFT(B2920,7)))</f>
        <v/>
      </c>
    </row>
    <row r="2921">
      <c r="N2921" s="6">
        <f>IF(B2921="","",IF(ISNUMBER(B2921),TEXT(B2921,"YYYY-MM"),LEFT(B2921,7)))</f>
        <v/>
      </c>
    </row>
    <row r="2922">
      <c r="N2922" s="6">
        <f>IF(B2922="","",IF(ISNUMBER(B2922),TEXT(B2922,"YYYY-MM"),LEFT(B2922,7)))</f>
        <v/>
      </c>
    </row>
    <row r="2923">
      <c r="N2923" s="6">
        <f>IF(B2923="","",IF(ISNUMBER(B2923),TEXT(B2923,"YYYY-MM"),LEFT(B2923,7)))</f>
        <v/>
      </c>
    </row>
    <row r="2924">
      <c r="N2924" s="6">
        <f>IF(B2924="","",IF(ISNUMBER(B2924),TEXT(B2924,"YYYY-MM"),LEFT(B2924,7)))</f>
        <v/>
      </c>
    </row>
    <row r="2925">
      <c r="N2925" s="6">
        <f>IF(B2925="","",IF(ISNUMBER(B2925),TEXT(B2925,"YYYY-MM"),LEFT(B2925,7)))</f>
        <v/>
      </c>
    </row>
    <row r="2926">
      <c r="N2926" s="6">
        <f>IF(B2926="","",IF(ISNUMBER(B2926),TEXT(B2926,"YYYY-MM"),LEFT(B2926,7)))</f>
        <v/>
      </c>
    </row>
    <row r="2927">
      <c r="N2927" s="6">
        <f>IF(B2927="","",IF(ISNUMBER(B2927),TEXT(B2927,"YYYY-MM"),LEFT(B2927,7)))</f>
        <v/>
      </c>
    </row>
    <row r="2928">
      <c r="N2928" s="6">
        <f>IF(B2928="","",IF(ISNUMBER(B2928),TEXT(B2928,"YYYY-MM"),LEFT(B2928,7)))</f>
        <v/>
      </c>
    </row>
    <row r="2929">
      <c r="N2929" s="6">
        <f>IF(B2929="","",IF(ISNUMBER(B2929),TEXT(B2929,"YYYY-MM"),LEFT(B2929,7)))</f>
        <v/>
      </c>
    </row>
    <row r="2930">
      <c r="N2930" s="6">
        <f>IF(B2930="","",IF(ISNUMBER(B2930),TEXT(B2930,"YYYY-MM"),LEFT(B2930,7)))</f>
        <v/>
      </c>
    </row>
    <row r="2931">
      <c r="N2931" s="6">
        <f>IF(B2931="","",IF(ISNUMBER(B2931),TEXT(B2931,"YYYY-MM"),LEFT(B2931,7)))</f>
        <v/>
      </c>
    </row>
    <row r="2932">
      <c r="N2932" s="6">
        <f>IF(B2932="","",IF(ISNUMBER(B2932),TEXT(B2932,"YYYY-MM"),LEFT(B2932,7)))</f>
        <v/>
      </c>
    </row>
    <row r="2933">
      <c r="N2933" s="6">
        <f>IF(B2933="","",IF(ISNUMBER(B2933),TEXT(B2933,"YYYY-MM"),LEFT(B2933,7)))</f>
        <v/>
      </c>
    </row>
    <row r="2934">
      <c r="N2934" s="6">
        <f>IF(B2934="","",IF(ISNUMBER(B2934),TEXT(B2934,"YYYY-MM"),LEFT(B2934,7)))</f>
        <v/>
      </c>
    </row>
    <row r="2935">
      <c r="N2935" s="6">
        <f>IF(B2935="","",IF(ISNUMBER(B2935),TEXT(B2935,"YYYY-MM"),LEFT(B2935,7)))</f>
        <v/>
      </c>
    </row>
    <row r="2936">
      <c r="N2936" s="6">
        <f>IF(B2936="","",IF(ISNUMBER(B2936),TEXT(B2936,"YYYY-MM"),LEFT(B2936,7)))</f>
        <v/>
      </c>
    </row>
    <row r="2937">
      <c r="N2937" s="6">
        <f>IF(B2937="","",IF(ISNUMBER(B2937),TEXT(B2937,"YYYY-MM"),LEFT(B2937,7)))</f>
        <v/>
      </c>
    </row>
    <row r="2938">
      <c r="N2938" s="6">
        <f>IF(B2938="","",IF(ISNUMBER(B2938),TEXT(B2938,"YYYY-MM"),LEFT(B2938,7)))</f>
        <v/>
      </c>
    </row>
    <row r="2939">
      <c r="N2939" s="6">
        <f>IF(B2939="","",IF(ISNUMBER(B2939),TEXT(B2939,"YYYY-MM"),LEFT(B2939,7)))</f>
        <v/>
      </c>
    </row>
    <row r="2940">
      <c r="N2940" s="6">
        <f>IF(B2940="","",IF(ISNUMBER(B2940),TEXT(B2940,"YYYY-MM"),LEFT(B2940,7)))</f>
        <v/>
      </c>
    </row>
    <row r="2941">
      <c r="N2941" s="6">
        <f>IF(B2941="","",IF(ISNUMBER(B2941),TEXT(B2941,"YYYY-MM"),LEFT(B2941,7)))</f>
        <v/>
      </c>
    </row>
    <row r="2942">
      <c r="N2942" s="6">
        <f>IF(B2942="","",IF(ISNUMBER(B2942),TEXT(B2942,"YYYY-MM"),LEFT(B2942,7)))</f>
        <v/>
      </c>
    </row>
    <row r="2943">
      <c r="N2943" s="6">
        <f>IF(B2943="","",IF(ISNUMBER(B2943),TEXT(B2943,"YYYY-MM"),LEFT(B2943,7)))</f>
        <v/>
      </c>
    </row>
    <row r="2944">
      <c r="N2944" s="6">
        <f>IF(B2944="","",IF(ISNUMBER(B2944),TEXT(B2944,"YYYY-MM"),LEFT(B2944,7)))</f>
        <v/>
      </c>
    </row>
    <row r="2945">
      <c r="N2945" s="6">
        <f>IF(B2945="","",IF(ISNUMBER(B2945),TEXT(B2945,"YYYY-MM"),LEFT(B2945,7)))</f>
        <v/>
      </c>
    </row>
    <row r="2946">
      <c r="N2946" s="6">
        <f>IF(B2946="","",IF(ISNUMBER(B2946),TEXT(B2946,"YYYY-MM"),LEFT(B2946,7)))</f>
        <v/>
      </c>
    </row>
    <row r="2947">
      <c r="N2947" s="6">
        <f>IF(B2947="","",IF(ISNUMBER(B2947),TEXT(B2947,"YYYY-MM"),LEFT(B2947,7)))</f>
        <v/>
      </c>
    </row>
    <row r="2948">
      <c r="N2948" s="6">
        <f>IF(B2948="","",IF(ISNUMBER(B2948),TEXT(B2948,"YYYY-MM"),LEFT(B2948,7)))</f>
        <v/>
      </c>
    </row>
    <row r="2949">
      <c r="N2949" s="6">
        <f>IF(B2949="","",IF(ISNUMBER(B2949),TEXT(B2949,"YYYY-MM"),LEFT(B2949,7)))</f>
        <v/>
      </c>
    </row>
    <row r="2950">
      <c r="N2950" s="6">
        <f>IF(B2950="","",IF(ISNUMBER(B2950),TEXT(B2950,"YYYY-MM"),LEFT(B2950,7)))</f>
        <v/>
      </c>
    </row>
    <row r="2951">
      <c r="N2951" s="6">
        <f>IF(B2951="","",IF(ISNUMBER(B2951),TEXT(B2951,"YYYY-MM"),LEFT(B2951,7)))</f>
        <v/>
      </c>
    </row>
    <row r="2952">
      <c r="N2952" s="6">
        <f>IF(B2952="","",IF(ISNUMBER(B2952),TEXT(B2952,"YYYY-MM"),LEFT(B2952,7)))</f>
        <v/>
      </c>
    </row>
    <row r="2953">
      <c r="N2953" s="6">
        <f>IF(B2953="","",IF(ISNUMBER(B2953),TEXT(B2953,"YYYY-MM"),LEFT(B2953,7)))</f>
        <v/>
      </c>
    </row>
    <row r="2954">
      <c r="N2954" s="6">
        <f>IF(B2954="","",IF(ISNUMBER(B2954),TEXT(B2954,"YYYY-MM"),LEFT(B2954,7)))</f>
        <v/>
      </c>
    </row>
    <row r="2955">
      <c r="N2955" s="6">
        <f>IF(B2955="","",IF(ISNUMBER(B2955),TEXT(B2955,"YYYY-MM"),LEFT(B2955,7)))</f>
        <v/>
      </c>
    </row>
    <row r="2956">
      <c r="N2956" s="6">
        <f>IF(B2956="","",IF(ISNUMBER(B2956),TEXT(B2956,"YYYY-MM"),LEFT(B2956,7)))</f>
        <v/>
      </c>
    </row>
    <row r="2957">
      <c r="N2957" s="6">
        <f>IF(B2957="","",IF(ISNUMBER(B2957),TEXT(B2957,"YYYY-MM"),LEFT(B2957,7)))</f>
        <v/>
      </c>
    </row>
    <row r="2958">
      <c r="N2958" s="6">
        <f>IF(B2958="","",IF(ISNUMBER(B2958),TEXT(B2958,"YYYY-MM"),LEFT(B2958,7)))</f>
        <v/>
      </c>
    </row>
    <row r="2959">
      <c r="N2959" s="6">
        <f>IF(B2959="","",IF(ISNUMBER(B2959),TEXT(B2959,"YYYY-MM"),LEFT(B2959,7)))</f>
        <v/>
      </c>
    </row>
    <row r="2960">
      <c r="N2960" s="6">
        <f>IF(B2960="","",IF(ISNUMBER(B2960),TEXT(B2960,"YYYY-MM"),LEFT(B2960,7)))</f>
        <v/>
      </c>
    </row>
    <row r="2961">
      <c r="N2961" s="6">
        <f>IF(B2961="","",IF(ISNUMBER(B2961),TEXT(B2961,"YYYY-MM"),LEFT(B2961,7)))</f>
        <v/>
      </c>
    </row>
    <row r="2962">
      <c r="N2962" s="6">
        <f>IF(B2962="","",IF(ISNUMBER(B2962),TEXT(B2962,"YYYY-MM"),LEFT(B2962,7)))</f>
        <v/>
      </c>
    </row>
    <row r="2963">
      <c r="N2963" s="6">
        <f>IF(B2963="","",IF(ISNUMBER(B2963),TEXT(B2963,"YYYY-MM"),LEFT(B2963,7)))</f>
        <v/>
      </c>
    </row>
    <row r="2964">
      <c r="N2964" s="6">
        <f>IF(B2964="","",IF(ISNUMBER(B2964),TEXT(B2964,"YYYY-MM"),LEFT(B2964,7)))</f>
        <v/>
      </c>
    </row>
    <row r="2965">
      <c r="N2965" s="6">
        <f>IF(B2965="","",IF(ISNUMBER(B2965),TEXT(B2965,"YYYY-MM"),LEFT(B2965,7)))</f>
        <v/>
      </c>
    </row>
    <row r="2966">
      <c r="N2966" s="6">
        <f>IF(B2966="","",IF(ISNUMBER(B2966),TEXT(B2966,"YYYY-MM"),LEFT(B2966,7)))</f>
        <v/>
      </c>
    </row>
    <row r="2967">
      <c r="N2967" s="6">
        <f>IF(B2967="","",IF(ISNUMBER(B2967),TEXT(B2967,"YYYY-MM"),LEFT(B2967,7)))</f>
        <v/>
      </c>
    </row>
    <row r="2968">
      <c r="N2968" s="6">
        <f>IF(B2968="","",IF(ISNUMBER(B2968),TEXT(B2968,"YYYY-MM"),LEFT(B2968,7)))</f>
        <v/>
      </c>
    </row>
    <row r="2969">
      <c r="N2969" s="6">
        <f>IF(B2969="","",IF(ISNUMBER(B2969),TEXT(B2969,"YYYY-MM"),LEFT(B2969,7)))</f>
        <v/>
      </c>
    </row>
    <row r="2970">
      <c r="N2970" s="6">
        <f>IF(B2970="","",IF(ISNUMBER(B2970),TEXT(B2970,"YYYY-MM"),LEFT(B2970,7)))</f>
        <v/>
      </c>
    </row>
    <row r="2971">
      <c r="N2971" s="6">
        <f>IF(B2971="","",IF(ISNUMBER(B2971),TEXT(B2971,"YYYY-MM"),LEFT(B2971,7)))</f>
        <v/>
      </c>
    </row>
    <row r="2972">
      <c r="N2972" s="6">
        <f>IF(B2972="","",IF(ISNUMBER(B2972),TEXT(B2972,"YYYY-MM"),LEFT(B2972,7)))</f>
        <v/>
      </c>
    </row>
    <row r="2973">
      <c r="N2973" s="6">
        <f>IF(B2973="","",IF(ISNUMBER(B2973),TEXT(B2973,"YYYY-MM"),LEFT(B2973,7)))</f>
        <v/>
      </c>
    </row>
    <row r="2974">
      <c r="N2974" s="6">
        <f>IF(B2974="","",IF(ISNUMBER(B2974),TEXT(B2974,"YYYY-MM"),LEFT(B2974,7)))</f>
        <v/>
      </c>
    </row>
    <row r="2975">
      <c r="N2975" s="6">
        <f>IF(B2975="","",IF(ISNUMBER(B2975),TEXT(B2975,"YYYY-MM"),LEFT(B2975,7)))</f>
        <v/>
      </c>
    </row>
    <row r="2976">
      <c r="N2976" s="6">
        <f>IF(B2976="","",IF(ISNUMBER(B2976),TEXT(B2976,"YYYY-MM"),LEFT(B2976,7)))</f>
        <v/>
      </c>
    </row>
    <row r="2977">
      <c r="N2977" s="6">
        <f>IF(B2977="","",IF(ISNUMBER(B2977),TEXT(B2977,"YYYY-MM"),LEFT(B2977,7)))</f>
        <v/>
      </c>
    </row>
    <row r="2978">
      <c r="N2978" s="6">
        <f>IF(B2978="","",IF(ISNUMBER(B2978),TEXT(B2978,"YYYY-MM"),LEFT(B2978,7)))</f>
        <v/>
      </c>
    </row>
    <row r="2979">
      <c r="N2979" s="6">
        <f>IF(B2979="","",IF(ISNUMBER(B2979),TEXT(B2979,"YYYY-MM"),LEFT(B2979,7)))</f>
        <v/>
      </c>
    </row>
    <row r="2980">
      <c r="N2980" s="6">
        <f>IF(B2980="","",IF(ISNUMBER(B2980),TEXT(B2980,"YYYY-MM"),LEFT(B2980,7)))</f>
        <v/>
      </c>
    </row>
    <row r="2981">
      <c r="N2981" s="6">
        <f>IF(B2981="","",IF(ISNUMBER(B2981),TEXT(B2981,"YYYY-MM"),LEFT(B2981,7)))</f>
        <v/>
      </c>
    </row>
    <row r="2982">
      <c r="N2982" s="6">
        <f>IF(B2982="","",IF(ISNUMBER(B2982),TEXT(B2982,"YYYY-MM"),LEFT(B2982,7)))</f>
        <v/>
      </c>
    </row>
    <row r="2983">
      <c r="N2983" s="6">
        <f>IF(B2983="","",IF(ISNUMBER(B2983),TEXT(B2983,"YYYY-MM"),LEFT(B2983,7)))</f>
        <v/>
      </c>
    </row>
    <row r="2984">
      <c r="N2984" s="6">
        <f>IF(B2984="","",IF(ISNUMBER(B2984),TEXT(B2984,"YYYY-MM"),LEFT(B2984,7)))</f>
        <v/>
      </c>
    </row>
    <row r="2985">
      <c r="N2985" s="6">
        <f>IF(B2985="","",IF(ISNUMBER(B2985),TEXT(B2985,"YYYY-MM"),LEFT(B2985,7)))</f>
        <v/>
      </c>
    </row>
    <row r="2986">
      <c r="N2986" s="6">
        <f>IF(B2986="","",IF(ISNUMBER(B2986),TEXT(B2986,"YYYY-MM"),LEFT(B2986,7)))</f>
        <v/>
      </c>
    </row>
    <row r="2987">
      <c r="N2987" s="6">
        <f>IF(B2987="","",IF(ISNUMBER(B2987),TEXT(B2987,"YYYY-MM"),LEFT(B2987,7)))</f>
        <v/>
      </c>
    </row>
    <row r="2988">
      <c r="N2988" s="6">
        <f>IF(B2988="","",IF(ISNUMBER(B2988),TEXT(B2988,"YYYY-MM"),LEFT(B2988,7)))</f>
        <v/>
      </c>
    </row>
    <row r="2989">
      <c r="N2989" s="6">
        <f>IF(B2989="","",IF(ISNUMBER(B2989),TEXT(B2989,"YYYY-MM"),LEFT(B2989,7)))</f>
        <v/>
      </c>
    </row>
    <row r="2990">
      <c r="N2990" s="6">
        <f>IF(B2990="","",IF(ISNUMBER(B2990),TEXT(B2990,"YYYY-MM"),LEFT(B2990,7)))</f>
        <v/>
      </c>
    </row>
    <row r="2991">
      <c r="N2991" s="6">
        <f>IF(B2991="","",IF(ISNUMBER(B2991),TEXT(B2991,"YYYY-MM"),LEFT(B2991,7)))</f>
        <v/>
      </c>
    </row>
    <row r="2992">
      <c r="N2992" s="6">
        <f>IF(B2992="","",IF(ISNUMBER(B2992),TEXT(B2992,"YYYY-MM"),LEFT(B2992,7)))</f>
        <v/>
      </c>
    </row>
    <row r="2993">
      <c r="N2993" s="6">
        <f>IF(B2993="","",IF(ISNUMBER(B2993),TEXT(B2993,"YYYY-MM"),LEFT(B2993,7)))</f>
        <v/>
      </c>
    </row>
    <row r="2994">
      <c r="N2994" s="6">
        <f>IF(B2994="","",IF(ISNUMBER(B2994),TEXT(B2994,"YYYY-MM"),LEFT(B2994,7)))</f>
        <v/>
      </c>
    </row>
    <row r="2995">
      <c r="N2995" s="6">
        <f>IF(B2995="","",IF(ISNUMBER(B2995),TEXT(B2995,"YYYY-MM"),LEFT(B2995,7)))</f>
        <v/>
      </c>
    </row>
    <row r="2996">
      <c r="N2996" s="6">
        <f>IF(B2996="","",IF(ISNUMBER(B2996),TEXT(B2996,"YYYY-MM"),LEFT(B2996,7)))</f>
        <v/>
      </c>
    </row>
    <row r="2997">
      <c r="N2997" s="6">
        <f>IF(B2997="","",IF(ISNUMBER(B2997),TEXT(B2997,"YYYY-MM"),LEFT(B2997,7)))</f>
        <v/>
      </c>
    </row>
    <row r="2998">
      <c r="N2998" s="6">
        <f>IF(B2998="","",IF(ISNUMBER(B2998),TEXT(B2998,"YYYY-MM"),LEFT(B2998,7)))</f>
        <v/>
      </c>
    </row>
    <row r="2999">
      <c r="N2999" s="6">
        <f>IF(B2999="","",IF(ISNUMBER(B2999),TEXT(B2999,"YYYY-MM"),LEFT(B2999,7)))</f>
        <v/>
      </c>
    </row>
    <row r="3000">
      <c r="N3000" s="6">
        <f>IF(B3000="","",IF(ISNUMBER(B3000),TEXT(B3000,"YYYY-MM"),LEFT(B3000,7)))</f>
        <v/>
      </c>
    </row>
    <row r="3001">
      <c r="N3001" s="6">
        <f>IF(B3001="","",IF(ISNUMBER(B3001),TEXT(B3001,"YYYY-MM"),LEFT(B3001,7)))</f>
        <v/>
      </c>
    </row>
    <row r="3002">
      <c r="N3002" s="6">
        <f>IF(B3002="","",IF(ISNUMBER(B3002),TEXT(B3002,"YYYY-MM"),LEFT(B3002,7)))</f>
        <v/>
      </c>
    </row>
    <row r="3003">
      <c r="N3003" s="6">
        <f>IF(B3003="","",IF(ISNUMBER(B3003),TEXT(B3003,"YYYY-MM"),LEFT(B3003,7)))</f>
        <v/>
      </c>
    </row>
    <row r="3004">
      <c r="N3004" s="6">
        <f>IF(B3004="","",IF(ISNUMBER(B3004),TEXT(B3004,"YYYY-MM"),LEFT(B3004,7)))</f>
        <v/>
      </c>
    </row>
    <row r="3005">
      <c r="N3005" s="6">
        <f>IF(B3005="","",IF(ISNUMBER(B3005),TEXT(B3005,"YYYY-MM"),LEFT(B3005,7)))</f>
        <v/>
      </c>
    </row>
    <row r="3006">
      <c r="N3006" s="6">
        <f>IF(B3006="","",IF(ISNUMBER(B3006),TEXT(B3006,"YYYY-MM"),LEFT(B3006,7)))</f>
        <v/>
      </c>
    </row>
    <row r="3007">
      <c r="N3007" s="6">
        <f>IF(B3007="","",IF(ISNUMBER(B3007),TEXT(B3007,"YYYY-MM"),LEFT(B3007,7)))</f>
        <v/>
      </c>
    </row>
    <row r="3008">
      <c r="N3008" s="6">
        <f>IF(B3008="","",IF(ISNUMBER(B3008),TEXT(B3008,"YYYY-MM"),LEFT(B3008,7)))</f>
        <v/>
      </c>
    </row>
    <row r="3009">
      <c r="N3009" s="6">
        <f>IF(B3009="","",IF(ISNUMBER(B3009),TEXT(B3009,"YYYY-MM"),LEFT(B3009,7)))</f>
        <v/>
      </c>
    </row>
    <row r="3010">
      <c r="N3010" s="6">
        <f>IF(B3010="","",IF(ISNUMBER(B3010),TEXT(B3010,"YYYY-MM"),LEFT(B3010,7)))</f>
        <v/>
      </c>
    </row>
    <row r="3011">
      <c r="N3011" s="6">
        <f>IF(B3011="","",IF(ISNUMBER(B3011),TEXT(B3011,"YYYY-MM"),LEFT(B3011,7)))</f>
        <v/>
      </c>
    </row>
    <row r="3012">
      <c r="N3012" s="6">
        <f>IF(B3012="","",IF(ISNUMBER(B3012),TEXT(B3012,"YYYY-MM"),LEFT(B3012,7)))</f>
        <v/>
      </c>
    </row>
    <row r="3013">
      <c r="N3013" s="6">
        <f>IF(B3013="","",IF(ISNUMBER(B3013),TEXT(B3013,"YYYY-MM"),LEFT(B3013,7)))</f>
        <v/>
      </c>
    </row>
    <row r="3014">
      <c r="N3014" s="6">
        <f>IF(B3014="","",IF(ISNUMBER(B3014),TEXT(B3014,"YYYY-MM"),LEFT(B3014,7)))</f>
        <v/>
      </c>
    </row>
    <row r="3015">
      <c r="N3015" s="6">
        <f>IF(B3015="","",IF(ISNUMBER(B3015),TEXT(B3015,"YYYY-MM"),LEFT(B3015,7)))</f>
        <v/>
      </c>
    </row>
    <row r="3016">
      <c r="N3016" s="6">
        <f>IF(B3016="","",IF(ISNUMBER(B3016),TEXT(B3016,"YYYY-MM"),LEFT(B3016,7)))</f>
        <v/>
      </c>
    </row>
    <row r="3017">
      <c r="N3017" s="6">
        <f>IF(B3017="","",IF(ISNUMBER(B3017),TEXT(B3017,"YYYY-MM"),LEFT(B3017,7)))</f>
        <v/>
      </c>
    </row>
    <row r="3018">
      <c r="N3018" s="6">
        <f>IF(B3018="","",IF(ISNUMBER(B3018),TEXT(B3018,"YYYY-MM"),LEFT(B3018,7)))</f>
        <v/>
      </c>
    </row>
    <row r="3019">
      <c r="N3019" s="6">
        <f>IF(B3019="","",IF(ISNUMBER(B3019),TEXT(B3019,"YYYY-MM"),LEFT(B3019,7)))</f>
        <v/>
      </c>
    </row>
    <row r="3020">
      <c r="N3020" s="6">
        <f>IF(B3020="","",IF(ISNUMBER(B3020),TEXT(B3020,"YYYY-MM"),LEFT(B3020,7)))</f>
        <v/>
      </c>
    </row>
    <row r="3021">
      <c r="N3021" s="6">
        <f>IF(B3021="","",IF(ISNUMBER(B3021),TEXT(B3021,"YYYY-MM"),LEFT(B3021,7)))</f>
        <v/>
      </c>
    </row>
    <row r="3022">
      <c r="N3022" s="6">
        <f>IF(B3022="","",IF(ISNUMBER(B3022),TEXT(B3022,"YYYY-MM"),LEFT(B3022,7)))</f>
        <v/>
      </c>
    </row>
    <row r="3023">
      <c r="N3023" s="6">
        <f>IF(B3023="","",IF(ISNUMBER(B3023),TEXT(B3023,"YYYY-MM"),LEFT(B3023,7)))</f>
        <v/>
      </c>
    </row>
    <row r="3024">
      <c r="N3024" s="6">
        <f>IF(B3024="","",IF(ISNUMBER(B3024),TEXT(B3024,"YYYY-MM"),LEFT(B3024,7)))</f>
        <v/>
      </c>
    </row>
    <row r="3025">
      <c r="N3025" s="6">
        <f>IF(B3025="","",IF(ISNUMBER(B3025),TEXT(B3025,"YYYY-MM"),LEFT(B3025,7)))</f>
        <v/>
      </c>
    </row>
    <row r="3026">
      <c r="N3026" s="6">
        <f>IF(B3026="","",IF(ISNUMBER(B3026),TEXT(B3026,"YYYY-MM"),LEFT(B3026,7)))</f>
        <v/>
      </c>
    </row>
    <row r="3027">
      <c r="N3027" s="6">
        <f>IF(B3027="","",IF(ISNUMBER(B3027),TEXT(B3027,"YYYY-MM"),LEFT(B3027,7)))</f>
        <v/>
      </c>
    </row>
    <row r="3028">
      <c r="N3028" s="6">
        <f>IF(B3028="","",IF(ISNUMBER(B3028),TEXT(B3028,"YYYY-MM"),LEFT(B3028,7)))</f>
        <v/>
      </c>
    </row>
    <row r="3029">
      <c r="N3029" s="6">
        <f>IF(B3029="","",IF(ISNUMBER(B3029),TEXT(B3029,"YYYY-MM"),LEFT(B3029,7)))</f>
        <v/>
      </c>
    </row>
    <row r="3030">
      <c r="N3030" s="6">
        <f>IF(B3030="","",IF(ISNUMBER(B3030),TEXT(B3030,"YYYY-MM"),LEFT(B3030,7)))</f>
        <v/>
      </c>
    </row>
    <row r="3031">
      <c r="N3031" s="6">
        <f>IF(B3031="","",IF(ISNUMBER(B3031),TEXT(B3031,"YYYY-MM"),LEFT(B3031,7)))</f>
        <v/>
      </c>
    </row>
    <row r="3032">
      <c r="N3032" s="6">
        <f>IF(B3032="","",IF(ISNUMBER(B3032),TEXT(B3032,"YYYY-MM"),LEFT(B3032,7)))</f>
        <v/>
      </c>
    </row>
    <row r="3033">
      <c r="N3033" s="6">
        <f>IF(B3033="","",IF(ISNUMBER(B3033),TEXT(B3033,"YYYY-MM"),LEFT(B3033,7)))</f>
        <v/>
      </c>
    </row>
    <row r="3034">
      <c r="N3034" s="6">
        <f>IF(B3034="","",IF(ISNUMBER(B3034),TEXT(B3034,"YYYY-MM"),LEFT(B3034,7)))</f>
        <v/>
      </c>
    </row>
    <row r="3035">
      <c r="N3035" s="6">
        <f>IF(B3035="","",IF(ISNUMBER(B3035),TEXT(B3035,"YYYY-MM"),LEFT(B3035,7)))</f>
        <v/>
      </c>
    </row>
    <row r="3036">
      <c r="N3036" s="6">
        <f>IF(B3036="","",IF(ISNUMBER(B3036),TEXT(B3036,"YYYY-MM"),LEFT(B3036,7)))</f>
        <v/>
      </c>
    </row>
    <row r="3037">
      <c r="N3037" s="6">
        <f>IF(B3037="","",IF(ISNUMBER(B3037),TEXT(B3037,"YYYY-MM"),LEFT(B3037,7)))</f>
        <v/>
      </c>
    </row>
    <row r="3038">
      <c r="N3038" s="6">
        <f>IF(B3038="","",IF(ISNUMBER(B3038),TEXT(B3038,"YYYY-MM"),LEFT(B3038,7)))</f>
        <v/>
      </c>
    </row>
    <row r="3039">
      <c r="N3039" s="6">
        <f>IF(B3039="","",IF(ISNUMBER(B3039),TEXT(B3039,"YYYY-MM"),LEFT(B3039,7)))</f>
        <v/>
      </c>
    </row>
    <row r="3040">
      <c r="N3040" s="6">
        <f>IF(B3040="","",IF(ISNUMBER(B3040),TEXT(B3040,"YYYY-MM"),LEFT(B3040,7)))</f>
        <v/>
      </c>
    </row>
    <row r="3041">
      <c r="N3041" s="6">
        <f>IF(B3041="","",IF(ISNUMBER(B3041),TEXT(B3041,"YYYY-MM"),LEFT(B3041,7)))</f>
        <v/>
      </c>
    </row>
    <row r="3042">
      <c r="N3042" s="6">
        <f>IF(B3042="","",IF(ISNUMBER(B3042),TEXT(B3042,"YYYY-MM"),LEFT(B3042,7)))</f>
        <v/>
      </c>
    </row>
    <row r="3043">
      <c r="N3043" s="6">
        <f>IF(B3043="","",IF(ISNUMBER(B3043),TEXT(B3043,"YYYY-MM"),LEFT(B3043,7)))</f>
        <v/>
      </c>
    </row>
    <row r="3044">
      <c r="N3044" s="6">
        <f>IF(B3044="","",IF(ISNUMBER(B3044),TEXT(B3044,"YYYY-MM"),LEFT(B3044,7)))</f>
        <v/>
      </c>
    </row>
    <row r="3045">
      <c r="N3045" s="6">
        <f>IF(B3045="","",IF(ISNUMBER(B3045),TEXT(B3045,"YYYY-MM"),LEFT(B3045,7)))</f>
        <v/>
      </c>
    </row>
    <row r="3046">
      <c r="N3046" s="6">
        <f>IF(B3046="","",IF(ISNUMBER(B3046),TEXT(B3046,"YYYY-MM"),LEFT(B3046,7)))</f>
        <v/>
      </c>
    </row>
    <row r="3047">
      <c r="N3047" s="6">
        <f>IF(B3047="","",IF(ISNUMBER(B3047),TEXT(B3047,"YYYY-MM"),LEFT(B3047,7)))</f>
        <v/>
      </c>
    </row>
    <row r="3048">
      <c r="N3048" s="6">
        <f>IF(B3048="","",IF(ISNUMBER(B3048),TEXT(B3048,"YYYY-MM"),LEFT(B3048,7)))</f>
        <v/>
      </c>
    </row>
    <row r="3049">
      <c r="N3049" s="6">
        <f>IF(B3049="","",IF(ISNUMBER(B3049),TEXT(B3049,"YYYY-MM"),LEFT(B3049,7)))</f>
        <v/>
      </c>
    </row>
    <row r="3050">
      <c r="N3050" s="6">
        <f>IF(B3050="","",IF(ISNUMBER(B3050),TEXT(B3050,"YYYY-MM"),LEFT(B3050,7)))</f>
        <v/>
      </c>
    </row>
    <row r="3051">
      <c r="N3051" s="6">
        <f>IF(B3051="","",IF(ISNUMBER(B3051),TEXT(B3051,"YYYY-MM"),LEFT(B3051,7)))</f>
        <v/>
      </c>
    </row>
    <row r="3052">
      <c r="N3052" s="6">
        <f>IF(B3052="","",IF(ISNUMBER(B3052),TEXT(B3052,"YYYY-MM"),LEFT(B3052,7)))</f>
        <v/>
      </c>
    </row>
    <row r="3053">
      <c r="N3053" s="6">
        <f>IF(B3053="","",IF(ISNUMBER(B3053),TEXT(B3053,"YYYY-MM"),LEFT(B3053,7)))</f>
        <v/>
      </c>
    </row>
    <row r="3054">
      <c r="N3054" s="6">
        <f>IF(B3054="","",IF(ISNUMBER(B3054),TEXT(B3054,"YYYY-MM"),LEFT(B3054,7)))</f>
        <v/>
      </c>
    </row>
    <row r="3055">
      <c r="N3055" s="6">
        <f>IF(B3055="","",IF(ISNUMBER(B3055),TEXT(B3055,"YYYY-MM"),LEFT(B3055,7)))</f>
        <v/>
      </c>
    </row>
    <row r="3056">
      <c r="N3056" s="6">
        <f>IF(B3056="","",IF(ISNUMBER(B3056),TEXT(B3056,"YYYY-MM"),LEFT(B3056,7)))</f>
        <v/>
      </c>
    </row>
    <row r="3057">
      <c r="N3057" s="6">
        <f>IF(B3057="","",IF(ISNUMBER(B3057),TEXT(B3057,"YYYY-MM"),LEFT(B3057,7)))</f>
        <v/>
      </c>
    </row>
    <row r="3058">
      <c r="N3058" s="6">
        <f>IF(B3058="","",IF(ISNUMBER(B3058),TEXT(B3058,"YYYY-MM"),LEFT(B3058,7)))</f>
        <v/>
      </c>
    </row>
    <row r="3059">
      <c r="N3059" s="6">
        <f>IF(B3059="","",IF(ISNUMBER(B3059),TEXT(B3059,"YYYY-MM"),LEFT(B3059,7)))</f>
        <v/>
      </c>
    </row>
    <row r="3060">
      <c r="N3060" s="6">
        <f>IF(B3060="","",IF(ISNUMBER(B3060),TEXT(B3060,"YYYY-MM"),LEFT(B3060,7)))</f>
        <v/>
      </c>
    </row>
    <row r="3061">
      <c r="N3061" s="6">
        <f>IF(B3061="","",IF(ISNUMBER(B3061),TEXT(B3061,"YYYY-MM"),LEFT(B3061,7)))</f>
        <v/>
      </c>
    </row>
    <row r="3062">
      <c r="N3062" s="6">
        <f>IF(B3062="","",IF(ISNUMBER(B3062),TEXT(B3062,"YYYY-MM"),LEFT(B3062,7)))</f>
        <v/>
      </c>
    </row>
    <row r="3063">
      <c r="N3063" s="6">
        <f>IF(B3063="","",IF(ISNUMBER(B3063),TEXT(B3063,"YYYY-MM"),LEFT(B3063,7)))</f>
        <v/>
      </c>
    </row>
    <row r="3064">
      <c r="N3064" s="6">
        <f>IF(B3064="","",IF(ISNUMBER(B3064),TEXT(B3064,"YYYY-MM"),LEFT(B3064,7)))</f>
        <v/>
      </c>
    </row>
    <row r="3065">
      <c r="N3065" s="6">
        <f>IF(B3065="","",IF(ISNUMBER(B3065),TEXT(B3065,"YYYY-MM"),LEFT(B3065,7)))</f>
        <v/>
      </c>
    </row>
    <row r="3066">
      <c r="N3066" s="6">
        <f>IF(B3066="","",IF(ISNUMBER(B3066),TEXT(B3066,"YYYY-MM"),LEFT(B3066,7)))</f>
        <v/>
      </c>
    </row>
    <row r="3067">
      <c r="N3067" s="6">
        <f>IF(B3067="","",IF(ISNUMBER(B3067),TEXT(B3067,"YYYY-MM"),LEFT(B3067,7)))</f>
        <v/>
      </c>
    </row>
    <row r="3068">
      <c r="N3068" s="6">
        <f>IF(B3068="","",IF(ISNUMBER(B3068),TEXT(B3068,"YYYY-MM"),LEFT(B3068,7)))</f>
        <v/>
      </c>
    </row>
    <row r="3069">
      <c r="N3069" s="6">
        <f>IF(B3069="","",IF(ISNUMBER(B3069),TEXT(B3069,"YYYY-MM"),LEFT(B3069,7)))</f>
        <v/>
      </c>
    </row>
    <row r="3070">
      <c r="N3070" s="6">
        <f>IF(B3070="","",IF(ISNUMBER(B3070),TEXT(B3070,"YYYY-MM"),LEFT(B3070,7)))</f>
        <v/>
      </c>
    </row>
    <row r="3071">
      <c r="N3071" s="6">
        <f>IF(B3071="","",IF(ISNUMBER(B3071),TEXT(B3071,"YYYY-MM"),LEFT(B3071,7)))</f>
        <v/>
      </c>
    </row>
    <row r="3072">
      <c r="N3072" s="6">
        <f>IF(B3072="","",IF(ISNUMBER(B3072),TEXT(B3072,"YYYY-MM"),LEFT(B3072,7)))</f>
        <v/>
      </c>
    </row>
    <row r="3073">
      <c r="N3073" s="6">
        <f>IF(B3073="","",IF(ISNUMBER(B3073),TEXT(B3073,"YYYY-MM"),LEFT(B3073,7)))</f>
        <v/>
      </c>
    </row>
    <row r="3074">
      <c r="N3074" s="6">
        <f>IF(B3074="","",IF(ISNUMBER(B3074),TEXT(B3074,"YYYY-MM"),LEFT(B3074,7)))</f>
        <v/>
      </c>
    </row>
    <row r="3075">
      <c r="N3075" s="6">
        <f>IF(B3075="","",IF(ISNUMBER(B3075),TEXT(B3075,"YYYY-MM"),LEFT(B3075,7)))</f>
        <v/>
      </c>
    </row>
    <row r="3076">
      <c r="N3076" s="6">
        <f>IF(B3076="","",IF(ISNUMBER(B3076),TEXT(B3076,"YYYY-MM"),LEFT(B3076,7)))</f>
        <v/>
      </c>
    </row>
    <row r="3077">
      <c r="N3077" s="6">
        <f>IF(B3077="","",IF(ISNUMBER(B3077),TEXT(B3077,"YYYY-MM"),LEFT(B3077,7)))</f>
        <v/>
      </c>
    </row>
    <row r="3078">
      <c r="N3078" s="6">
        <f>IF(B3078="","",IF(ISNUMBER(B3078),TEXT(B3078,"YYYY-MM"),LEFT(B3078,7)))</f>
        <v/>
      </c>
    </row>
    <row r="3079">
      <c r="N3079" s="6">
        <f>IF(B3079="","",IF(ISNUMBER(B3079),TEXT(B3079,"YYYY-MM"),LEFT(B3079,7)))</f>
        <v/>
      </c>
    </row>
    <row r="3080">
      <c r="N3080" s="6">
        <f>IF(B3080="","",IF(ISNUMBER(B3080),TEXT(B3080,"YYYY-MM"),LEFT(B3080,7)))</f>
        <v/>
      </c>
    </row>
    <row r="3081">
      <c r="N3081" s="6">
        <f>IF(B3081="","",IF(ISNUMBER(B3081),TEXT(B3081,"YYYY-MM"),LEFT(B3081,7)))</f>
        <v/>
      </c>
    </row>
    <row r="3082">
      <c r="N3082" s="6">
        <f>IF(B3082="","",IF(ISNUMBER(B3082),TEXT(B3082,"YYYY-MM"),LEFT(B3082,7)))</f>
        <v/>
      </c>
    </row>
    <row r="3083">
      <c r="N3083" s="6">
        <f>IF(B3083="","",IF(ISNUMBER(B3083),TEXT(B3083,"YYYY-MM"),LEFT(B3083,7)))</f>
        <v/>
      </c>
    </row>
    <row r="3084">
      <c r="N3084" s="6">
        <f>IF(B3084="","",IF(ISNUMBER(B3084),TEXT(B3084,"YYYY-MM"),LEFT(B3084,7)))</f>
        <v/>
      </c>
    </row>
    <row r="3085">
      <c r="N3085" s="6">
        <f>IF(B3085="","",IF(ISNUMBER(B3085),TEXT(B3085,"YYYY-MM"),LEFT(B3085,7)))</f>
        <v/>
      </c>
    </row>
    <row r="3086">
      <c r="N3086" s="6">
        <f>IF(B3086="","",IF(ISNUMBER(B3086),TEXT(B3086,"YYYY-MM"),LEFT(B3086,7)))</f>
        <v/>
      </c>
    </row>
    <row r="3087">
      <c r="N3087" s="6">
        <f>IF(B3087="","",IF(ISNUMBER(B3087),TEXT(B3087,"YYYY-MM"),LEFT(B3087,7)))</f>
        <v/>
      </c>
    </row>
    <row r="3088">
      <c r="N3088" s="6">
        <f>IF(B3088="","",IF(ISNUMBER(B3088),TEXT(B3088,"YYYY-MM"),LEFT(B3088,7)))</f>
        <v/>
      </c>
    </row>
    <row r="3089">
      <c r="N3089" s="6">
        <f>IF(B3089="","",IF(ISNUMBER(B3089),TEXT(B3089,"YYYY-MM"),LEFT(B3089,7)))</f>
        <v/>
      </c>
    </row>
    <row r="3090">
      <c r="N3090" s="6">
        <f>IF(B3090="","",IF(ISNUMBER(B3090),TEXT(B3090,"YYYY-MM"),LEFT(B3090,7)))</f>
        <v/>
      </c>
    </row>
    <row r="3091">
      <c r="N3091" s="6">
        <f>IF(B3091="","",IF(ISNUMBER(B3091),TEXT(B3091,"YYYY-MM"),LEFT(B3091,7)))</f>
        <v/>
      </c>
    </row>
    <row r="3092">
      <c r="N3092" s="6">
        <f>IF(B3092="","",IF(ISNUMBER(B3092),TEXT(B3092,"YYYY-MM"),LEFT(B3092,7)))</f>
        <v/>
      </c>
    </row>
    <row r="3093">
      <c r="N3093" s="6">
        <f>IF(B3093="","",IF(ISNUMBER(B3093),TEXT(B3093,"YYYY-MM"),LEFT(B3093,7)))</f>
        <v/>
      </c>
    </row>
    <row r="3094">
      <c r="N3094" s="6">
        <f>IF(B3094="","",IF(ISNUMBER(B3094),TEXT(B3094,"YYYY-MM"),LEFT(B3094,7)))</f>
        <v/>
      </c>
    </row>
    <row r="3095">
      <c r="N3095" s="6">
        <f>IF(B3095="","",IF(ISNUMBER(B3095),TEXT(B3095,"YYYY-MM"),LEFT(B3095,7)))</f>
        <v/>
      </c>
    </row>
    <row r="3096">
      <c r="N3096" s="6">
        <f>IF(B3096="","",IF(ISNUMBER(B3096),TEXT(B3096,"YYYY-MM"),LEFT(B3096,7)))</f>
        <v/>
      </c>
    </row>
    <row r="3097">
      <c r="N3097" s="6">
        <f>IF(B3097="","",IF(ISNUMBER(B3097),TEXT(B3097,"YYYY-MM"),LEFT(B3097,7)))</f>
        <v/>
      </c>
    </row>
    <row r="3098">
      <c r="N3098" s="6">
        <f>IF(B3098="","",IF(ISNUMBER(B3098),TEXT(B3098,"YYYY-MM"),LEFT(B3098,7)))</f>
        <v/>
      </c>
    </row>
    <row r="3099">
      <c r="N3099" s="6">
        <f>IF(B3099="","",IF(ISNUMBER(B3099),TEXT(B3099,"YYYY-MM"),LEFT(B3099,7)))</f>
        <v/>
      </c>
    </row>
    <row r="3100">
      <c r="N3100" s="6">
        <f>IF(B3100="","",IF(ISNUMBER(B3100),TEXT(B3100,"YYYY-MM"),LEFT(B3100,7)))</f>
        <v/>
      </c>
    </row>
    <row r="3101">
      <c r="N3101" s="6">
        <f>IF(B3101="","",IF(ISNUMBER(B3101),TEXT(B3101,"YYYY-MM"),LEFT(B3101,7)))</f>
        <v/>
      </c>
    </row>
    <row r="3102">
      <c r="N3102" s="6">
        <f>IF(B3102="","",IF(ISNUMBER(B3102),TEXT(B3102,"YYYY-MM"),LEFT(B3102,7)))</f>
        <v/>
      </c>
    </row>
    <row r="3103">
      <c r="N3103" s="6">
        <f>IF(B3103="","",IF(ISNUMBER(B3103),TEXT(B3103,"YYYY-MM"),LEFT(B3103,7)))</f>
        <v/>
      </c>
    </row>
    <row r="3104">
      <c r="N3104" s="6">
        <f>IF(B3104="","",IF(ISNUMBER(B3104),TEXT(B3104,"YYYY-MM"),LEFT(B3104,7)))</f>
        <v/>
      </c>
    </row>
    <row r="3105">
      <c r="N3105" s="6">
        <f>IF(B3105="","",IF(ISNUMBER(B3105),TEXT(B3105,"YYYY-MM"),LEFT(B3105,7)))</f>
        <v/>
      </c>
    </row>
    <row r="3106">
      <c r="N3106" s="6">
        <f>IF(B3106="","",IF(ISNUMBER(B3106),TEXT(B3106,"YYYY-MM"),LEFT(B3106,7)))</f>
        <v/>
      </c>
    </row>
    <row r="3107">
      <c r="N3107" s="6">
        <f>IF(B3107="","",IF(ISNUMBER(B3107),TEXT(B3107,"YYYY-MM"),LEFT(B3107,7)))</f>
        <v/>
      </c>
    </row>
    <row r="3108">
      <c r="N3108" s="6">
        <f>IF(B3108="","",IF(ISNUMBER(B3108),TEXT(B3108,"YYYY-MM"),LEFT(B3108,7)))</f>
        <v/>
      </c>
    </row>
    <row r="3109">
      <c r="N3109" s="6">
        <f>IF(B3109="","",IF(ISNUMBER(B3109),TEXT(B3109,"YYYY-MM"),LEFT(B3109,7)))</f>
        <v/>
      </c>
    </row>
    <row r="3110">
      <c r="N3110" s="6">
        <f>IF(B3110="","",IF(ISNUMBER(B3110),TEXT(B3110,"YYYY-MM"),LEFT(B3110,7)))</f>
        <v/>
      </c>
    </row>
    <row r="3111">
      <c r="N3111" s="6">
        <f>IF(B3111="","",IF(ISNUMBER(B3111),TEXT(B3111,"YYYY-MM"),LEFT(B3111,7)))</f>
        <v/>
      </c>
    </row>
    <row r="3112">
      <c r="N3112" s="6">
        <f>IF(B3112="","",IF(ISNUMBER(B3112),TEXT(B3112,"YYYY-MM"),LEFT(B3112,7)))</f>
        <v/>
      </c>
    </row>
    <row r="3113">
      <c r="N3113" s="6">
        <f>IF(B3113="","",IF(ISNUMBER(B3113),TEXT(B3113,"YYYY-MM"),LEFT(B3113,7)))</f>
        <v/>
      </c>
    </row>
    <row r="3114">
      <c r="N3114" s="6">
        <f>IF(B3114="","",IF(ISNUMBER(B3114),TEXT(B3114,"YYYY-MM"),LEFT(B3114,7)))</f>
        <v/>
      </c>
    </row>
    <row r="3115">
      <c r="N3115" s="6">
        <f>IF(B3115="","",IF(ISNUMBER(B3115),TEXT(B3115,"YYYY-MM"),LEFT(B3115,7)))</f>
        <v/>
      </c>
    </row>
    <row r="3116">
      <c r="N3116" s="6">
        <f>IF(B3116="","",IF(ISNUMBER(B3116),TEXT(B3116,"YYYY-MM"),LEFT(B3116,7)))</f>
        <v/>
      </c>
    </row>
    <row r="3117">
      <c r="N3117" s="6">
        <f>IF(B3117="","",IF(ISNUMBER(B3117),TEXT(B3117,"YYYY-MM"),LEFT(B3117,7)))</f>
        <v/>
      </c>
    </row>
    <row r="3118">
      <c r="N3118" s="6">
        <f>IF(B3118="","",IF(ISNUMBER(B3118),TEXT(B3118,"YYYY-MM"),LEFT(B3118,7)))</f>
        <v/>
      </c>
    </row>
    <row r="3119">
      <c r="N3119" s="6">
        <f>IF(B3119="","",IF(ISNUMBER(B3119),TEXT(B3119,"YYYY-MM"),LEFT(B3119,7)))</f>
        <v/>
      </c>
    </row>
    <row r="3120">
      <c r="N3120" s="6">
        <f>IF(B3120="","",IF(ISNUMBER(B3120),TEXT(B3120,"YYYY-MM"),LEFT(B3120,7)))</f>
        <v/>
      </c>
    </row>
    <row r="3121">
      <c r="N3121" s="6">
        <f>IF(B3121="","",IF(ISNUMBER(B3121),TEXT(B3121,"YYYY-MM"),LEFT(B3121,7)))</f>
        <v/>
      </c>
    </row>
    <row r="3122">
      <c r="N3122" s="6">
        <f>IF(B3122="","",IF(ISNUMBER(B3122),TEXT(B3122,"YYYY-MM"),LEFT(B3122,7)))</f>
        <v/>
      </c>
    </row>
    <row r="3123">
      <c r="N3123" s="6">
        <f>IF(B3123="","",IF(ISNUMBER(B3123),TEXT(B3123,"YYYY-MM"),LEFT(B3123,7)))</f>
        <v/>
      </c>
    </row>
    <row r="3124">
      <c r="N3124" s="6">
        <f>IF(B3124="","",IF(ISNUMBER(B3124),TEXT(B3124,"YYYY-MM"),LEFT(B3124,7)))</f>
        <v/>
      </c>
    </row>
    <row r="3125">
      <c r="N3125" s="6">
        <f>IF(B3125="","",IF(ISNUMBER(B3125),TEXT(B3125,"YYYY-MM"),LEFT(B3125,7)))</f>
        <v/>
      </c>
    </row>
    <row r="3126">
      <c r="N3126" s="6">
        <f>IF(B3126="","",IF(ISNUMBER(B3126),TEXT(B3126,"YYYY-MM"),LEFT(B3126,7)))</f>
        <v/>
      </c>
    </row>
    <row r="3127">
      <c r="N3127" s="6">
        <f>IF(B3127="","",IF(ISNUMBER(B3127),TEXT(B3127,"YYYY-MM"),LEFT(B3127,7)))</f>
        <v/>
      </c>
    </row>
    <row r="3128">
      <c r="N3128" s="6">
        <f>IF(B3128="","",IF(ISNUMBER(B3128),TEXT(B3128,"YYYY-MM"),LEFT(B3128,7)))</f>
        <v/>
      </c>
    </row>
    <row r="3129">
      <c r="N3129" s="6">
        <f>IF(B3129="","",IF(ISNUMBER(B3129),TEXT(B3129,"YYYY-MM"),LEFT(B3129,7)))</f>
        <v/>
      </c>
    </row>
    <row r="3130">
      <c r="N3130" s="6">
        <f>IF(B3130="","",IF(ISNUMBER(B3130),TEXT(B3130,"YYYY-MM"),LEFT(B3130,7)))</f>
        <v/>
      </c>
    </row>
    <row r="3131">
      <c r="N3131" s="6">
        <f>IF(B3131="","",IF(ISNUMBER(B3131),TEXT(B3131,"YYYY-MM"),LEFT(B3131,7)))</f>
        <v/>
      </c>
    </row>
    <row r="3132">
      <c r="N3132" s="6">
        <f>IF(B3132="","",IF(ISNUMBER(B3132),TEXT(B3132,"YYYY-MM"),LEFT(B3132,7)))</f>
        <v/>
      </c>
    </row>
    <row r="3133">
      <c r="N3133" s="6">
        <f>IF(B3133="","",IF(ISNUMBER(B3133),TEXT(B3133,"YYYY-MM"),LEFT(B3133,7)))</f>
        <v/>
      </c>
    </row>
    <row r="3134">
      <c r="N3134" s="6">
        <f>IF(B3134="","",IF(ISNUMBER(B3134),TEXT(B3134,"YYYY-MM"),LEFT(B3134,7)))</f>
        <v/>
      </c>
    </row>
    <row r="3135">
      <c r="N3135" s="6">
        <f>IF(B3135="","",IF(ISNUMBER(B3135),TEXT(B3135,"YYYY-MM"),LEFT(B3135,7)))</f>
        <v/>
      </c>
    </row>
    <row r="3136">
      <c r="N3136" s="6">
        <f>IF(B3136="","",IF(ISNUMBER(B3136),TEXT(B3136,"YYYY-MM"),LEFT(B3136,7)))</f>
        <v/>
      </c>
    </row>
    <row r="3137">
      <c r="N3137" s="6">
        <f>IF(B3137="","",IF(ISNUMBER(B3137),TEXT(B3137,"YYYY-MM"),LEFT(B3137,7)))</f>
        <v/>
      </c>
    </row>
    <row r="3138">
      <c r="N3138" s="6">
        <f>IF(B3138="","",IF(ISNUMBER(B3138),TEXT(B3138,"YYYY-MM"),LEFT(B3138,7)))</f>
        <v/>
      </c>
    </row>
    <row r="3139">
      <c r="N3139" s="6">
        <f>IF(B3139="","",IF(ISNUMBER(B3139),TEXT(B3139,"YYYY-MM"),LEFT(B3139,7)))</f>
        <v/>
      </c>
    </row>
    <row r="3140">
      <c r="N3140" s="6">
        <f>IF(B3140="","",IF(ISNUMBER(B3140),TEXT(B3140,"YYYY-MM"),LEFT(B3140,7)))</f>
        <v/>
      </c>
    </row>
    <row r="3141">
      <c r="N3141" s="6">
        <f>IF(B3141="","",IF(ISNUMBER(B3141),TEXT(B3141,"YYYY-MM"),LEFT(B3141,7)))</f>
        <v/>
      </c>
    </row>
    <row r="3142">
      <c r="N3142" s="6">
        <f>IF(B3142="","",IF(ISNUMBER(B3142),TEXT(B3142,"YYYY-MM"),LEFT(B3142,7)))</f>
        <v/>
      </c>
    </row>
    <row r="3143">
      <c r="N3143" s="6">
        <f>IF(B3143="","",IF(ISNUMBER(B3143),TEXT(B3143,"YYYY-MM"),LEFT(B3143,7)))</f>
        <v/>
      </c>
    </row>
    <row r="3144">
      <c r="N3144" s="6">
        <f>IF(B3144="","",IF(ISNUMBER(B3144),TEXT(B3144,"YYYY-MM"),LEFT(B3144,7)))</f>
        <v/>
      </c>
    </row>
    <row r="3145">
      <c r="N3145" s="6">
        <f>IF(B3145="","",IF(ISNUMBER(B3145),TEXT(B3145,"YYYY-MM"),LEFT(B3145,7)))</f>
        <v/>
      </c>
    </row>
    <row r="3146">
      <c r="N3146" s="6">
        <f>IF(B3146="","",IF(ISNUMBER(B3146),TEXT(B3146,"YYYY-MM"),LEFT(B3146,7)))</f>
        <v/>
      </c>
    </row>
    <row r="3147">
      <c r="N3147" s="6">
        <f>IF(B3147="","",IF(ISNUMBER(B3147),TEXT(B3147,"YYYY-MM"),LEFT(B3147,7)))</f>
        <v/>
      </c>
    </row>
    <row r="3148">
      <c r="N3148" s="6">
        <f>IF(B3148="","",IF(ISNUMBER(B3148),TEXT(B3148,"YYYY-MM"),LEFT(B3148,7)))</f>
        <v/>
      </c>
    </row>
    <row r="3149">
      <c r="N3149" s="6">
        <f>IF(B3149="","",IF(ISNUMBER(B3149),TEXT(B3149,"YYYY-MM"),LEFT(B3149,7)))</f>
        <v/>
      </c>
    </row>
    <row r="3150">
      <c r="N3150" s="6">
        <f>IF(B3150="","",IF(ISNUMBER(B3150),TEXT(B3150,"YYYY-MM"),LEFT(B3150,7)))</f>
        <v/>
      </c>
    </row>
    <row r="3151">
      <c r="N3151" s="6">
        <f>IF(B3151="","",IF(ISNUMBER(B3151),TEXT(B3151,"YYYY-MM"),LEFT(B3151,7)))</f>
        <v/>
      </c>
    </row>
    <row r="3152">
      <c r="N3152" s="6">
        <f>IF(B3152="","",IF(ISNUMBER(B3152),TEXT(B3152,"YYYY-MM"),LEFT(B3152,7)))</f>
        <v/>
      </c>
    </row>
    <row r="3153">
      <c r="N3153" s="6">
        <f>IF(B3153="","",IF(ISNUMBER(B3153),TEXT(B3153,"YYYY-MM"),LEFT(B3153,7)))</f>
        <v/>
      </c>
    </row>
    <row r="3154">
      <c r="N3154" s="6">
        <f>IF(B3154="","",IF(ISNUMBER(B3154),TEXT(B3154,"YYYY-MM"),LEFT(B3154,7)))</f>
        <v/>
      </c>
    </row>
    <row r="3155">
      <c r="N3155" s="6">
        <f>IF(B3155="","",IF(ISNUMBER(B3155),TEXT(B3155,"YYYY-MM"),LEFT(B3155,7)))</f>
        <v/>
      </c>
    </row>
    <row r="3156">
      <c r="N3156" s="6">
        <f>IF(B3156="","",IF(ISNUMBER(B3156),TEXT(B3156,"YYYY-MM"),LEFT(B3156,7)))</f>
        <v/>
      </c>
    </row>
    <row r="3157">
      <c r="N3157" s="6">
        <f>IF(B3157="","",IF(ISNUMBER(B3157),TEXT(B3157,"YYYY-MM"),LEFT(B3157,7)))</f>
        <v/>
      </c>
    </row>
    <row r="3158">
      <c r="N3158" s="6">
        <f>IF(B3158="","",IF(ISNUMBER(B3158),TEXT(B3158,"YYYY-MM"),LEFT(B3158,7)))</f>
        <v/>
      </c>
    </row>
    <row r="3159">
      <c r="N3159" s="6">
        <f>IF(B3159="","",IF(ISNUMBER(B3159),TEXT(B3159,"YYYY-MM"),LEFT(B3159,7)))</f>
        <v/>
      </c>
    </row>
    <row r="3160">
      <c r="N3160" s="6">
        <f>IF(B3160="","",IF(ISNUMBER(B3160),TEXT(B3160,"YYYY-MM"),LEFT(B3160,7)))</f>
        <v/>
      </c>
    </row>
    <row r="3161">
      <c r="N3161" s="6">
        <f>IF(B3161="","",IF(ISNUMBER(B3161),TEXT(B3161,"YYYY-MM"),LEFT(B3161,7)))</f>
        <v/>
      </c>
    </row>
    <row r="3162">
      <c r="N3162" s="6">
        <f>IF(B3162="","",IF(ISNUMBER(B3162),TEXT(B3162,"YYYY-MM"),LEFT(B3162,7)))</f>
        <v/>
      </c>
    </row>
    <row r="3163">
      <c r="N3163" s="6">
        <f>IF(B3163="","",IF(ISNUMBER(B3163),TEXT(B3163,"YYYY-MM"),LEFT(B3163,7)))</f>
        <v/>
      </c>
    </row>
    <row r="3164">
      <c r="N3164" s="6">
        <f>IF(B3164="","",IF(ISNUMBER(B3164),TEXT(B3164,"YYYY-MM"),LEFT(B3164,7)))</f>
        <v/>
      </c>
    </row>
    <row r="3165">
      <c r="N3165" s="6">
        <f>IF(B3165="","",IF(ISNUMBER(B3165),TEXT(B3165,"YYYY-MM"),LEFT(B3165,7)))</f>
        <v/>
      </c>
    </row>
    <row r="3166">
      <c r="N3166" s="6">
        <f>IF(B3166="","",IF(ISNUMBER(B3166),TEXT(B3166,"YYYY-MM"),LEFT(B3166,7)))</f>
        <v/>
      </c>
    </row>
    <row r="3167">
      <c r="N3167" s="6">
        <f>IF(B3167="","",IF(ISNUMBER(B3167),TEXT(B3167,"YYYY-MM"),LEFT(B3167,7)))</f>
        <v/>
      </c>
    </row>
    <row r="3168">
      <c r="N3168" s="6">
        <f>IF(B3168="","",IF(ISNUMBER(B3168),TEXT(B3168,"YYYY-MM"),LEFT(B3168,7)))</f>
        <v/>
      </c>
    </row>
    <row r="3169">
      <c r="N3169" s="6">
        <f>IF(B3169="","",IF(ISNUMBER(B3169),TEXT(B3169,"YYYY-MM"),LEFT(B3169,7)))</f>
        <v/>
      </c>
    </row>
    <row r="3170">
      <c r="N3170" s="6">
        <f>IF(B3170="","",IF(ISNUMBER(B3170),TEXT(B3170,"YYYY-MM"),LEFT(B3170,7)))</f>
        <v/>
      </c>
    </row>
    <row r="3171">
      <c r="N3171" s="6">
        <f>IF(B3171="","",IF(ISNUMBER(B3171),TEXT(B3171,"YYYY-MM"),LEFT(B3171,7)))</f>
        <v/>
      </c>
    </row>
    <row r="3172">
      <c r="N3172" s="6">
        <f>IF(B3172="","",IF(ISNUMBER(B3172),TEXT(B3172,"YYYY-MM"),LEFT(B3172,7)))</f>
        <v/>
      </c>
    </row>
    <row r="3173">
      <c r="N3173" s="6">
        <f>IF(B3173="","",IF(ISNUMBER(B3173),TEXT(B3173,"YYYY-MM"),LEFT(B3173,7)))</f>
        <v/>
      </c>
    </row>
    <row r="3174">
      <c r="N3174" s="6">
        <f>IF(B3174="","",IF(ISNUMBER(B3174),TEXT(B3174,"YYYY-MM"),LEFT(B3174,7)))</f>
        <v/>
      </c>
    </row>
    <row r="3175">
      <c r="N3175" s="6">
        <f>IF(B3175="","",IF(ISNUMBER(B3175),TEXT(B3175,"YYYY-MM"),LEFT(B3175,7)))</f>
        <v/>
      </c>
    </row>
    <row r="3176">
      <c r="N3176" s="6">
        <f>IF(B3176="","",IF(ISNUMBER(B3176),TEXT(B3176,"YYYY-MM"),LEFT(B3176,7)))</f>
        <v/>
      </c>
    </row>
    <row r="3177">
      <c r="N3177" s="6">
        <f>IF(B3177="","",IF(ISNUMBER(B3177),TEXT(B3177,"YYYY-MM"),LEFT(B3177,7)))</f>
        <v/>
      </c>
    </row>
    <row r="3178">
      <c r="N3178" s="6">
        <f>IF(B3178="","",IF(ISNUMBER(B3178),TEXT(B3178,"YYYY-MM"),LEFT(B3178,7)))</f>
        <v/>
      </c>
    </row>
    <row r="3179">
      <c r="N3179" s="6">
        <f>IF(B3179="","",IF(ISNUMBER(B3179),TEXT(B3179,"YYYY-MM"),LEFT(B3179,7)))</f>
        <v/>
      </c>
    </row>
    <row r="3180">
      <c r="N3180" s="6">
        <f>IF(B3180="","",IF(ISNUMBER(B3180),TEXT(B3180,"YYYY-MM"),LEFT(B3180,7)))</f>
        <v/>
      </c>
    </row>
    <row r="3181">
      <c r="N3181" s="6">
        <f>IF(B3181="","",IF(ISNUMBER(B3181),TEXT(B3181,"YYYY-MM"),LEFT(B3181,7)))</f>
        <v/>
      </c>
    </row>
    <row r="3182">
      <c r="N3182" s="6">
        <f>IF(B3182="","",IF(ISNUMBER(B3182),TEXT(B3182,"YYYY-MM"),LEFT(B3182,7)))</f>
        <v/>
      </c>
    </row>
    <row r="3183">
      <c r="N3183" s="6">
        <f>IF(B3183="","",IF(ISNUMBER(B3183),TEXT(B3183,"YYYY-MM"),LEFT(B3183,7)))</f>
        <v/>
      </c>
    </row>
    <row r="3184">
      <c r="N3184" s="6">
        <f>IF(B3184="","",IF(ISNUMBER(B3184),TEXT(B3184,"YYYY-MM"),LEFT(B3184,7)))</f>
        <v/>
      </c>
    </row>
    <row r="3185">
      <c r="N3185" s="6">
        <f>IF(B3185="","",IF(ISNUMBER(B3185),TEXT(B3185,"YYYY-MM"),LEFT(B3185,7)))</f>
        <v/>
      </c>
    </row>
    <row r="3186">
      <c r="N3186" s="6">
        <f>IF(B3186="","",IF(ISNUMBER(B3186),TEXT(B3186,"YYYY-MM"),LEFT(B3186,7)))</f>
        <v/>
      </c>
    </row>
    <row r="3187">
      <c r="N3187" s="6">
        <f>IF(B3187="","",IF(ISNUMBER(B3187),TEXT(B3187,"YYYY-MM"),LEFT(B3187,7)))</f>
        <v/>
      </c>
    </row>
    <row r="3188">
      <c r="N3188" s="6">
        <f>IF(B3188="","",IF(ISNUMBER(B3188),TEXT(B3188,"YYYY-MM"),LEFT(B3188,7)))</f>
        <v/>
      </c>
    </row>
    <row r="3189">
      <c r="N3189" s="6">
        <f>IF(B3189="","",IF(ISNUMBER(B3189),TEXT(B3189,"YYYY-MM"),LEFT(B3189,7)))</f>
        <v/>
      </c>
    </row>
    <row r="3190">
      <c r="N3190" s="6">
        <f>IF(B3190="","",IF(ISNUMBER(B3190),TEXT(B3190,"YYYY-MM"),LEFT(B3190,7)))</f>
        <v/>
      </c>
    </row>
    <row r="3191">
      <c r="N3191" s="6">
        <f>IF(B3191="","",IF(ISNUMBER(B3191),TEXT(B3191,"YYYY-MM"),LEFT(B3191,7)))</f>
        <v/>
      </c>
    </row>
    <row r="3192">
      <c r="N3192" s="6">
        <f>IF(B3192="","",IF(ISNUMBER(B3192),TEXT(B3192,"YYYY-MM"),LEFT(B3192,7)))</f>
        <v/>
      </c>
    </row>
    <row r="3193">
      <c r="N3193" s="6">
        <f>IF(B3193="","",IF(ISNUMBER(B3193),TEXT(B3193,"YYYY-MM"),LEFT(B3193,7)))</f>
        <v/>
      </c>
    </row>
    <row r="3194">
      <c r="N3194" s="6">
        <f>IF(B3194="","",IF(ISNUMBER(B3194),TEXT(B3194,"YYYY-MM"),LEFT(B3194,7)))</f>
        <v/>
      </c>
    </row>
    <row r="3195">
      <c r="N3195" s="6">
        <f>IF(B3195="","",IF(ISNUMBER(B3195),TEXT(B3195,"YYYY-MM"),LEFT(B3195,7)))</f>
        <v/>
      </c>
    </row>
    <row r="3196">
      <c r="N3196" s="6">
        <f>IF(B3196="","",IF(ISNUMBER(B3196),TEXT(B3196,"YYYY-MM"),LEFT(B3196,7)))</f>
        <v/>
      </c>
    </row>
    <row r="3197">
      <c r="N3197" s="6">
        <f>IF(B3197="","",IF(ISNUMBER(B3197),TEXT(B3197,"YYYY-MM"),LEFT(B3197,7)))</f>
        <v/>
      </c>
    </row>
    <row r="3198">
      <c r="N3198" s="6">
        <f>IF(B3198="","",IF(ISNUMBER(B3198),TEXT(B3198,"YYYY-MM"),LEFT(B3198,7)))</f>
        <v/>
      </c>
    </row>
    <row r="3199">
      <c r="N3199" s="6">
        <f>IF(B3199="","",IF(ISNUMBER(B3199),TEXT(B3199,"YYYY-MM"),LEFT(B3199,7)))</f>
        <v/>
      </c>
    </row>
    <row r="3200">
      <c r="N3200" s="6">
        <f>IF(B3200="","",IF(ISNUMBER(B3200),TEXT(B3200,"YYYY-MM"),LEFT(B3200,7)))</f>
        <v/>
      </c>
    </row>
    <row r="3201">
      <c r="N3201" s="6">
        <f>IF(B3201="","",IF(ISNUMBER(B3201),TEXT(B3201,"YYYY-MM"),LEFT(B3201,7)))</f>
        <v/>
      </c>
    </row>
    <row r="3202">
      <c r="N3202" s="6">
        <f>IF(B3202="","",IF(ISNUMBER(B3202),TEXT(B3202,"YYYY-MM"),LEFT(B3202,7)))</f>
        <v/>
      </c>
    </row>
    <row r="3203">
      <c r="N3203" s="6">
        <f>IF(B3203="","",IF(ISNUMBER(B3203),TEXT(B3203,"YYYY-MM"),LEFT(B3203,7)))</f>
        <v/>
      </c>
    </row>
    <row r="3204">
      <c r="N3204" s="6">
        <f>IF(B3204="","",IF(ISNUMBER(B3204),TEXT(B3204,"YYYY-MM"),LEFT(B3204,7)))</f>
        <v/>
      </c>
    </row>
    <row r="3205">
      <c r="N3205" s="6">
        <f>IF(B3205="","",IF(ISNUMBER(B3205),TEXT(B3205,"YYYY-MM"),LEFT(B3205,7)))</f>
        <v/>
      </c>
    </row>
    <row r="3206">
      <c r="N3206" s="6">
        <f>IF(B3206="","",IF(ISNUMBER(B3206),TEXT(B3206,"YYYY-MM"),LEFT(B3206,7)))</f>
        <v/>
      </c>
    </row>
    <row r="3207">
      <c r="N3207" s="6">
        <f>IF(B3207="","",IF(ISNUMBER(B3207),TEXT(B3207,"YYYY-MM"),LEFT(B3207,7)))</f>
        <v/>
      </c>
    </row>
    <row r="3208">
      <c r="N3208" s="6">
        <f>IF(B3208="","",IF(ISNUMBER(B3208),TEXT(B3208,"YYYY-MM"),LEFT(B3208,7)))</f>
        <v/>
      </c>
    </row>
    <row r="3209">
      <c r="N3209" s="6">
        <f>IF(B3209="","",IF(ISNUMBER(B3209),TEXT(B3209,"YYYY-MM"),LEFT(B3209,7)))</f>
        <v/>
      </c>
    </row>
    <row r="3210">
      <c r="N3210" s="6">
        <f>IF(B3210="","",IF(ISNUMBER(B3210),TEXT(B3210,"YYYY-MM"),LEFT(B3210,7)))</f>
        <v/>
      </c>
    </row>
    <row r="3211">
      <c r="N3211" s="6">
        <f>IF(B3211="","",IF(ISNUMBER(B3211),TEXT(B3211,"YYYY-MM"),LEFT(B3211,7)))</f>
        <v/>
      </c>
    </row>
    <row r="3212">
      <c r="N3212" s="6">
        <f>IF(B3212="","",IF(ISNUMBER(B3212),TEXT(B3212,"YYYY-MM"),LEFT(B3212,7)))</f>
        <v/>
      </c>
    </row>
    <row r="3213">
      <c r="N3213" s="6">
        <f>IF(B3213="","",IF(ISNUMBER(B3213),TEXT(B3213,"YYYY-MM"),LEFT(B3213,7)))</f>
        <v/>
      </c>
    </row>
    <row r="3214">
      <c r="N3214" s="6">
        <f>IF(B3214="","",IF(ISNUMBER(B3214),TEXT(B3214,"YYYY-MM"),LEFT(B3214,7)))</f>
        <v/>
      </c>
    </row>
    <row r="3215">
      <c r="N3215" s="6">
        <f>IF(B3215="","",IF(ISNUMBER(B3215),TEXT(B3215,"YYYY-MM"),LEFT(B3215,7)))</f>
        <v/>
      </c>
    </row>
    <row r="3216">
      <c r="N3216" s="6">
        <f>IF(B3216="","",IF(ISNUMBER(B3216),TEXT(B3216,"YYYY-MM"),LEFT(B3216,7)))</f>
        <v/>
      </c>
    </row>
    <row r="3217">
      <c r="N3217" s="6">
        <f>IF(B3217="","",IF(ISNUMBER(B3217),TEXT(B3217,"YYYY-MM"),LEFT(B3217,7)))</f>
        <v/>
      </c>
    </row>
    <row r="3218">
      <c r="N3218" s="6">
        <f>IF(B3218="","",IF(ISNUMBER(B3218),TEXT(B3218,"YYYY-MM"),LEFT(B3218,7)))</f>
        <v/>
      </c>
    </row>
    <row r="3219">
      <c r="N3219" s="6">
        <f>IF(B3219="","",IF(ISNUMBER(B3219),TEXT(B3219,"YYYY-MM"),LEFT(B3219,7)))</f>
        <v/>
      </c>
    </row>
    <row r="3220">
      <c r="N3220" s="6">
        <f>IF(B3220="","",IF(ISNUMBER(B3220),TEXT(B3220,"YYYY-MM"),LEFT(B3220,7)))</f>
        <v/>
      </c>
    </row>
    <row r="3221">
      <c r="N3221" s="6">
        <f>IF(B3221="","",IF(ISNUMBER(B3221),TEXT(B3221,"YYYY-MM"),LEFT(B3221,7)))</f>
        <v/>
      </c>
    </row>
    <row r="3222">
      <c r="N3222" s="6">
        <f>IF(B3222="","",IF(ISNUMBER(B3222),TEXT(B3222,"YYYY-MM"),LEFT(B3222,7)))</f>
        <v/>
      </c>
    </row>
    <row r="3223">
      <c r="N3223" s="6">
        <f>IF(B3223="","",IF(ISNUMBER(B3223),TEXT(B3223,"YYYY-MM"),LEFT(B3223,7)))</f>
        <v/>
      </c>
    </row>
    <row r="3224">
      <c r="N3224" s="6">
        <f>IF(B3224="","",IF(ISNUMBER(B3224),TEXT(B3224,"YYYY-MM"),LEFT(B3224,7)))</f>
        <v/>
      </c>
    </row>
    <row r="3225">
      <c r="N3225" s="6">
        <f>IF(B3225="","",IF(ISNUMBER(B3225),TEXT(B3225,"YYYY-MM"),LEFT(B3225,7)))</f>
        <v/>
      </c>
    </row>
    <row r="3226">
      <c r="N3226" s="6">
        <f>IF(B3226="","",IF(ISNUMBER(B3226),TEXT(B3226,"YYYY-MM"),LEFT(B3226,7)))</f>
        <v/>
      </c>
    </row>
    <row r="3227">
      <c r="N3227" s="6">
        <f>IF(B3227="","",IF(ISNUMBER(B3227),TEXT(B3227,"YYYY-MM"),LEFT(B3227,7)))</f>
        <v/>
      </c>
    </row>
    <row r="3228">
      <c r="N3228" s="6">
        <f>IF(B3228="","",IF(ISNUMBER(B3228),TEXT(B3228,"YYYY-MM"),LEFT(B3228,7)))</f>
        <v/>
      </c>
    </row>
    <row r="3229">
      <c r="N3229" s="6">
        <f>IF(B3229="","",IF(ISNUMBER(B3229),TEXT(B3229,"YYYY-MM"),LEFT(B3229,7)))</f>
        <v/>
      </c>
    </row>
    <row r="3230">
      <c r="N3230" s="6">
        <f>IF(B3230="","",IF(ISNUMBER(B3230),TEXT(B3230,"YYYY-MM"),LEFT(B3230,7)))</f>
        <v/>
      </c>
    </row>
    <row r="3231">
      <c r="N3231" s="6">
        <f>IF(B3231="","",IF(ISNUMBER(B3231),TEXT(B3231,"YYYY-MM"),LEFT(B3231,7)))</f>
        <v/>
      </c>
    </row>
    <row r="3232">
      <c r="N3232" s="6">
        <f>IF(B3232="","",IF(ISNUMBER(B3232),TEXT(B3232,"YYYY-MM"),LEFT(B3232,7)))</f>
        <v/>
      </c>
    </row>
    <row r="3233">
      <c r="N3233" s="6">
        <f>IF(B3233="","",IF(ISNUMBER(B3233),TEXT(B3233,"YYYY-MM"),LEFT(B3233,7)))</f>
        <v/>
      </c>
    </row>
    <row r="3234">
      <c r="N3234" s="6">
        <f>IF(B3234="","",IF(ISNUMBER(B3234),TEXT(B3234,"YYYY-MM"),LEFT(B3234,7)))</f>
        <v/>
      </c>
    </row>
    <row r="3235">
      <c r="N3235" s="6">
        <f>IF(B3235="","",IF(ISNUMBER(B3235),TEXT(B3235,"YYYY-MM"),LEFT(B3235,7)))</f>
        <v/>
      </c>
    </row>
    <row r="3236">
      <c r="N3236" s="6">
        <f>IF(B3236="","",IF(ISNUMBER(B3236),TEXT(B3236,"YYYY-MM"),LEFT(B3236,7)))</f>
        <v/>
      </c>
    </row>
    <row r="3237">
      <c r="N3237" s="6">
        <f>IF(B3237="","",IF(ISNUMBER(B3237),TEXT(B3237,"YYYY-MM"),LEFT(B3237,7)))</f>
        <v/>
      </c>
    </row>
    <row r="3238">
      <c r="N3238" s="6">
        <f>IF(B3238="","",IF(ISNUMBER(B3238),TEXT(B3238,"YYYY-MM"),LEFT(B3238,7)))</f>
        <v/>
      </c>
    </row>
    <row r="3239">
      <c r="N3239" s="6">
        <f>IF(B3239="","",IF(ISNUMBER(B3239),TEXT(B3239,"YYYY-MM"),LEFT(B3239,7)))</f>
        <v/>
      </c>
    </row>
    <row r="3240">
      <c r="N3240" s="6">
        <f>IF(B3240="","",IF(ISNUMBER(B3240),TEXT(B3240,"YYYY-MM"),LEFT(B3240,7)))</f>
        <v/>
      </c>
    </row>
    <row r="3241">
      <c r="N3241" s="6">
        <f>IF(B3241="","",IF(ISNUMBER(B3241),TEXT(B3241,"YYYY-MM"),LEFT(B3241,7)))</f>
        <v/>
      </c>
    </row>
    <row r="3242">
      <c r="N3242" s="6">
        <f>IF(B3242="","",IF(ISNUMBER(B3242),TEXT(B3242,"YYYY-MM"),LEFT(B3242,7)))</f>
        <v/>
      </c>
    </row>
    <row r="3243">
      <c r="N3243" s="6">
        <f>IF(B3243="","",IF(ISNUMBER(B3243),TEXT(B3243,"YYYY-MM"),LEFT(B3243,7)))</f>
        <v/>
      </c>
    </row>
    <row r="3244">
      <c r="N3244" s="6">
        <f>IF(B3244="","",IF(ISNUMBER(B3244),TEXT(B3244,"YYYY-MM"),LEFT(B3244,7)))</f>
        <v/>
      </c>
    </row>
    <row r="3245">
      <c r="N3245" s="6">
        <f>IF(B3245="","",IF(ISNUMBER(B3245),TEXT(B3245,"YYYY-MM"),LEFT(B3245,7)))</f>
        <v/>
      </c>
    </row>
    <row r="3246">
      <c r="N3246" s="6">
        <f>IF(B3246="","",IF(ISNUMBER(B3246),TEXT(B3246,"YYYY-MM"),LEFT(B3246,7)))</f>
        <v/>
      </c>
    </row>
    <row r="3247">
      <c r="N3247" s="6">
        <f>IF(B3247="","",IF(ISNUMBER(B3247),TEXT(B3247,"YYYY-MM"),LEFT(B3247,7)))</f>
        <v/>
      </c>
    </row>
    <row r="3248">
      <c r="N3248" s="6">
        <f>IF(B3248="","",IF(ISNUMBER(B3248),TEXT(B3248,"YYYY-MM"),LEFT(B3248,7)))</f>
        <v/>
      </c>
    </row>
    <row r="3249">
      <c r="N3249" s="6">
        <f>IF(B3249="","",IF(ISNUMBER(B3249),TEXT(B3249,"YYYY-MM"),LEFT(B3249,7)))</f>
        <v/>
      </c>
    </row>
    <row r="3250">
      <c r="N3250" s="6">
        <f>IF(B3250="","",IF(ISNUMBER(B3250),TEXT(B3250,"YYYY-MM"),LEFT(B3250,7)))</f>
        <v/>
      </c>
    </row>
    <row r="3251">
      <c r="N3251" s="6">
        <f>IF(B3251="","",IF(ISNUMBER(B3251),TEXT(B3251,"YYYY-MM"),LEFT(B3251,7)))</f>
        <v/>
      </c>
    </row>
    <row r="3252">
      <c r="N3252" s="6">
        <f>IF(B3252="","",IF(ISNUMBER(B3252),TEXT(B3252,"YYYY-MM"),LEFT(B3252,7)))</f>
        <v/>
      </c>
    </row>
    <row r="3253">
      <c r="N3253" s="6">
        <f>IF(B3253="","",IF(ISNUMBER(B3253),TEXT(B3253,"YYYY-MM"),LEFT(B3253,7)))</f>
        <v/>
      </c>
    </row>
    <row r="3254">
      <c r="N3254" s="6">
        <f>IF(B3254="","",IF(ISNUMBER(B3254),TEXT(B3254,"YYYY-MM"),LEFT(B3254,7)))</f>
        <v/>
      </c>
    </row>
    <row r="3255">
      <c r="N3255" s="6">
        <f>IF(B3255="","",IF(ISNUMBER(B3255),TEXT(B3255,"YYYY-MM"),LEFT(B3255,7)))</f>
        <v/>
      </c>
    </row>
    <row r="3256">
      <c r="N3256" s="6">
        <f>IF(B3256="","",IF(ISNUMBER(B3256),TEXT(B3256,"YYYY-MM"),LEFT(B3256,7)))</f>
        <v/>
      </c>
    </row>
    <row r="3257">
      <c r="N3257" s="6">
        <f>IF(B3257="","",IF(ISNUMBER(B3257),TEXT(B3257,"YYYY-MM"),LEFT(B3257,7)))</f>
        <v/>
      </c>
    </row>
    <row r="3258">
      <c r="N3258" s="6">
        <f>IF(B3258="","",IF(ISNUMBER(B3258),TEXT(B3258,"YYYY-MM"),LEFT(B3258,7)))</f>
        <v/>
      </c>
    </row>
    <row r="3259">
      <c r="N3259" s="6">
        <f>IF(B3259="","",IF(ISNUMBER(B3259),TEXT(B3259,"YYYY-MM"),LEFT(B3259,7)))</f>
        <v/>
      </c>
    </row>
    <row r="3260">
      <c r="N3260" s="6">
        <f>IF(B3260="","",IF(ISNUMBER(B3260),TEXT(B3260,"YYYY-MM"),LEFT(B3260,7)))</f>
        <v/>
      </c>
    </row>
    <row r="3261">
      <c r="N3261" s="6">
        <f>IF(B3261="","",IF(ISNUMBER(B3261),TEXT(B3261,"YYYY-MM"),LEFT(B3261,7)))</f>
        <v/>
      </c>
    </row>
    <row r="3262">
      <c r="N3262" s="6">
        <f>IF(B3262="","",IF(ISNUMBER(B3262),TEXT(B3262,"YYYY-MM"),LEFT(B3262,7)))</f>
        <v/>
      </c>
    </row>
    <row r="3263">
      <c r="N3263" s="6">
        <f>IF(B3263="","",IF(ISNUMBER(B3263),TEXT(B3263,"YYYY-MM"),LEFT(B3263,7)))</f>
        <v/>
      </c>
    </row>
    <row r="3264">
      <c r="N3264" s="6">
        <f>IF(B3264="","",IF(ISNUMBER(B3264),TEXT(B3264,"YYYY-MM"),LEFT(B3264,7)))</f>
        <v/>
      </c>
    </row>
    <row r="3265">
      <c r="N3265" s="6">
        <f>IF(B3265="","",IF(ISNUMBER(B3265),TEXT(B3265,"YYYY-MM"),LEFT(B3265,7)))</f>
        <v/>
      </c>
    </row>
    <row r="3266">
      <c r="N3266" s="6">
        <f>IF(B3266="","",IF(ISNUMBER(B3266),TEXT(B3266,"YYYY-MM"),LEFT(B3266,7)))</f>
        <v/>
      </c>
    </row>
    <row r="3267">
      <c r="N3267" s="6">
        <f>IF(B3267="","",IF(ISNUMBER(B3267),TEXT(B3267,"YYYY-MM"),LEFT(B3267,7)))</f>
        <v/>
      </c>
    </row>
    <row r="3268">
      <c r="N3268" s="6">
        <f>IF(B3268="","",IF(ISNUMBER(B3268),TEXT(B3268,"YYYY-MM"),LEFT(B3268,7)))</f>
        <v/>
      </c>
    </row>
    <row r="3269">
      <c r="N3269" s="6">
        <f>IF(B3269="","",IF(ISNUMBER(B3269),TEXT(B3269,"YYYY-MM"),LEFT(B3269,7)))</f>
        <v/>
      </c>
    </row>
    <row r="3270">
      <c r="N3270" s="6">
        <f>IF(B3270="","",IF(ISNUMBER(B3270),TEXT(B3270,"YYYY-MM"),LEFT(B3270,7)))</f>
        <v/>
      </c>
    </row>
    <row r="3271">
      <c r="N3271" s="6">
        <f>IF(B3271="","",IF(ISNUMBER(B3271),TEXT(B3271,"YYYY-MM"),LEFT(B3271,7)))</f>
        <v/>
      </c>
    </row>
    <row r="3272">
      <c r="N3272" s="6">
        <f>IF(B3272="","",IF(ISNUMBER(B3272),TEXT(B3272,"YYYY-MM"),LEFT(B3272,7)))</f>
        <v/>
      </c>
    </row>
    <row r="3273">
      <c r="N3273" s="6">
        <f>IF(B3273="","",IF(ISNUMBER(B3273),TEXT(B3273,"YYYY-MM"),LEFT(B3273,7)))</f>
        <v/>
      </c>
    </row>
    <row r="3274">
      <c r="N3274" s="6">
        <f>IF(B3274="","",IF(ISNUMBER(B3274),TEXT(B3274,"YYYY-MM"),LEFT(B3274,7)))</f>
        <v/>
      </c>
    </row>
    <row r="3275">
      <c r="N3275" s="6">
        <f>IF(B3275="","",IF(ISNUMBER(B3275),TEXT(B3275,"YYYY-MM"),LEFT(B3275,7)))</f>
        <v/>
      </c>
    </row>
    <row r="3276">
      <c r="N3276" s="6">
        <f>IF(B3276="","",IF(ISNUMBER(B3276),TEXT(B3276,"YYYY-MM"),LEFT(B3276,7)))</f>
        <v/>
      </c>
    </row>
    <row r="3277">
      <c r="N3277" s="6">
        <f>IF(B3277="","",IF(ISNUMBER(B3277),TEXT(B3277,"YYYY-MM"),LEFT(B3277,7)))</f>
        <v/>
      </c>
    </row>
    <row r="3278">
      <c r="N3278" s="6">
        <f>IF(B3278="","",IF(ISNUMBER(B3278),TEXT(B3278,"YYYY-MM"),LEFT(B3278,7)))</f>
        <v/>
      </c>
    </row>
    <row r="3279">
      <c r="N3279" s="6">
        <f>IF(B3279="","",IF(ISNUMBER(B3279),TEXT(B3279,"YYYY-MM"),LEFT(B3279,7)))</f>
        <v/>
      </c>
    </row>
    <row r="3280">
      <c r="N3280" s="6">
        <f>IF(B3280="","",IF(ISNUMBER(B3280),TEXT(B3280,"YYYY-MM"),LEFT(B3280,7)))</f>
        <v/>
      </c>
    </row>
    <row r="3281">
      <c r="N3281" s="6">
        <f>IF(B3281="","",IF(ISNUMBER(B3281),TEXT(B3281,"YYYY-MM"),LEFT(B3281,7)))</f>
        <v/>
      </c>
    </row>
    <row r="3282">
      <c r="N3282" s="6">
        <f>IF(B3282="","",IF(ISNUMBER(B3282),TEXT(B3282,"YYYY-MM"),LEFT(B3282,7)))</f>
        <v/>
      </c>
    </row>
    <row r="3283">
      <c r="N3283" s="6">
        <f>IF(B3283="","",IF(ISNUMBER(B3283),TEXT(B3283,"YYYY-MM"),LEFT(B3283,7)))</f>
        <v/>
      </c>
    </row>
    <row r="3284">
      <c r="N3284" s="6">
        <f>IF(B3284="","",IF(ISNUMBER(B3284),TEXT(B3284,"YYYY-MM"),LEFT(B3284,7)))</f>
        <v/>
      </c>
    </row>
    <row r="3285">
      <c r="N3285" s="6">
        <f>IF(B3285="","",IF(ISNUMBER(B3285),TEXT(B3285,"YYYY-MM"),LEFT(B3285,7)))</f>
        <v/>
      </c>
    </row>
    <row r="3286">
      <c r="N3286" s="6">
        <f>IF(B3286="","",IF(ISNUMBER(B3286),TEXT(B3286,"YYYY-MM"),LEFT(B3286,7)))</f>
        <v/>
      </c>
    </row>
    <row r="3287">
      <c r="N3287" s="6">
        <f>IF(B3287="","",IF(ISNUMBER(B3287),TEXT(B3287,"YYYY-MM"),LEFT(B3287,7)))</f>
        <v/>
      </c>
    </row>
    <row r="3288">
      <c r="N3288" s="6">
        <f>IF(B3288="","",IF(ISNUMBER(B3288),TEXT(B3288,"YYYY-MM"),LEFT(B3288,7)))</f>
        <v/>
      </c>
    </row>
    <row r="3289">
      <c r="N3289" s="6">
        <f>IF(B3289="","",IF(ISNUMBER(B3289),TEXT(B3289,"YYYY-MM"),LEFT(B3289,7)))</f>
        <v/>
      </c>
    </row>
    <row r="3290">
      <c r="N3290" s="6">
        <f>IF(B3290="","",IF(ISNUMBER(B3290),TEXT(B3290,"YYYY-MM"),LEFT(B3290,7)))</f>
        <v/>
      </c>
    </row>
    <row r="3291">
      <c r="N3291" s="6">
        <f>IF(B3291="","",IF(ISNUMBER(B3291),TEXT(B3291,"YYYY-MM"),LEFT(B3291,7)))</f>
        <v/>
      </c>
    </row>
    <row r="3292">
      <c r="N3292" s="6">
        <f>IF(B3292="","",IF(ISNUMBER(B3292),TEXT(B3292,"YYYY-MM"),LEFT(B3292,7)))</f>
        <v/>
      </c>
    </row>
    <row r="3293">
      <c r="N3293" s="6">
        <f>IF(B3293="","",IF(ISNUMBER(B3293),TEXT(B3293,"YYYY-MM"),LEFT(B3293,7)))</f>
        <v/>
      </c>
    </row>
    <row r="3294">
      <c r="N3294" s="6">
        <f>IF(B3294="","",IF(ISNUMBER(B3294),TEXT(B3294,"YYYY-MM"),LEFT(B3294,7)))</f>
        <v/>
      </c>
    </row>
    <row r="3295">
      <c r="N3295" s="6">
        <f>IF(B3295="","",IF(ISNUMBER(B3295),TEXT(B3295,"YYYY-MM"),LEFT(B3295,7)))</f>
        <v/>
      </c>
    </row>
    <row r="3296">
      <c r="N3296" s="6">
        <f>IF(B3296="","",IF(ISNUMBER(B3296),TEXT(B3296,"YYYY-MM"),LEFT(B3296,7)))</f>
        <v/>
      </c>
    </row>
    <row r="3297">
      <c r="N3297" s="6">
        <f>IF(B3297="","",IF(ISNUMBER(B3297),TEXT(B3297,"YYYY-MM"),LEFT(B3297,7)))</f>
        <v/>
      </c>
    </row>
    <row r="3298">
      <c r="N3298" s="6">
        <f>IF(B3298="","",IF(ISNUMBER(B3298),TEXT(B3298,"YYYY-MM"),LEFT(B3298,7)))</f>
        <v/>
      </c>
    </row>
    <row r="3299">
      <c r="N3299" s="6">
        <f>IF(B3299="","",IF(ISNUMBER(B3299),TEXT(B3299,"YYYY-MM"),LEFT(B3299,7)))</f>
        <v/>
      </c>
    </row>
    <row r="3300">
      <c r="N3300" s="6">
        <f>IF(B3300="","",IF(ISNUMBER(B3300),TEXT(B3300,"YYYY-MM"),LEFT(B3300,7)))</f>
        <v/>
      </c>
    </row>
    <row r="3301">
      <c r="N3301" s="6">
        <f>IF(B3301="","",IF(ISNUMBER(B3301),TEXT(B3301,"YYYY-MM"),LEFT(B3301,7)))</f>
        <v/>
      </c>
    </row>
    <row r="3302">
      <c r="N3302" s="6">
        <f>IF(B3302="","",IF(ISNUMBER(B3302),TEXT(B3302,"YYYY-MM"),LEFT(B3302,7)))</f>
        <v/>
      </c>
    </row>
    <row r="3303">
      <c r="N3303" s="6">
        <f>IF(B3303="","",IF(ISNUMBER(B3303),TEXT(B3303,"YYYY-MM"),LEFT(B3303,7)))</f>
        <v/>
      </c>
    </row>
    <row r="3304">
      <c r="N3304" s="6">
        <f>IF(B3304="","",IF(ISNUMBER(B3304),TEXT(B3304,"YYYY-MM"),LEFT(B3304,7)))</f>
        <v/>
      </c>
    </row>
    <row r="3305">
      <c r="N3305" s="6">
        <f>IF(B3305="","",IF(ISNUMBER(B3305),TEXT(B3305,"YYYY-MM"),LEFT(B3305,7)))</f>
        <v/>
      </c>
    </row>
    <row r="3306">
      <c r="N3306" s="6">
        <f>IF(B3306="","",IF(ISNUMBER(B3306),TEXT(B3306,"YYYY-MM"),LEFT(B3306,7)))</f>
        <v/>
      </c>
    </row>
    <row r="3307">
      <c r="N3307" s="6">
        <f>IF(B3307="","",IF(ISNUMBER(B3307),TEXT(B3307,"YYYY-MM"),LEFT(B3307,7)))</f>
        <v/>
      </c>
    </row>
    <row r="3308">
      <c r="N3308" s="6">
        <f>IF(B3308="","",IF(ISNUMBER(B3308),TEXT(B3308,"YYYY-MM"),LEFT(B3308,7)))</f>
        <v/>
      </c>
    </row>
    <row r="3309">
      <c r="N3309" s="6">
        <f>IF(B3309="","",IF(ISNUMBER(B3309),TEXT(B3309,"YYYY-MM"),LEFT(B3309,7)))</f>
        <v/>
      </c>
    </row>
    <row r="3310">
      <c r="N3310" s="6">
        <f>IF(B3310="","",IF(ISNUMBER(B3310),TEXT(B3310,"YYYY-MM"),LEFT(B3310,7)))</f>
        <v/>
      </c>
    </row>
    <row r="3311">
      <c r="N3311" s="6">
        <f>IF(B3311="","",IF(ISNUMBER(B3311),TEXT(B3311,"YYYY-MM"),LEFT(B3311,7)))</f>
        <v/>
      </c>
    </row>
    <row r="3312">
      <c r="N3312" s="6">
        <f>IF(B3312="","",IF(ISNUMBER(B3312),TEXT(B3312,"YYYY-MM"),LEFT(B3312,7)))</f>
        <v/>
      </c>
    </row>
    <row r="3313">
      <c r="N3313" s="6">
        <f>IF(B3313="","",IF(ISNUMBER(B3313),TEXT(B3313,"YYYY-MM"),LEFT(B3313,7)))</f>
        <v/>
      </c>
    </row>
    <row r="3314">
      <c r="N3314" s="6">
        <f>IF(B3314="","",IF(ISNUMBER(B3314),TEXT(B3314,"YYYY-MM"),LEFT(B3314,7)))</f>
        <v/>
      </c>
    </row>
    <row r="3315">
      <c r="N3315" s="6">
        <f>IF(B3315="","",IF(ISNUMBER(B3315),TEXT(B3315,"YYYY-MM"),LEFT(B3315,7)))</f>
        <v/>
      </c>
    </row>
    <row r="3316">
      <c r="N3316" s="6">
        <f>IF(B3316="","",IF(ISNUMBER(B3316),TEXT(B3316,"YYYY-MM"),LEFT(B3316,7)))</f>
        <v/>
      </c>
    </row>
    <row r="3317">
      <c r="N3317" s="6">
        <f>IF(B3317="","",IF(ISNUMBER(B3317),TEXT(B3317,"YYYY-MM"),LEFT(B3317,7)))</f>
        <v/>
      </c>
    </row>
    <row r="3318">
      <c r="N3318" s="6">
        <f>IF(B3318="","",IF(ISNUMBER(B3318),TEXT(B3318,"YYYY-MM"),LEFT(B3318,7)))</f>
        <v/>
      </c>
    </row>
    <row r="3319">
      <c r="N3319" s="6">
        <f>IF(B3319="","",IF(ISNUMBER(B3319),TEXT(B3319,"YYYY-MM"),LEFT(B3319,7)))</f>
        <v/>
      </c>
    </row>
    <row r="3320">
      <c r="N3320" s="6">
        <f>IF(B3320="","",IF(ISNUMBER(B3320),TEXT(B3320,"YYYY-MM"),LEFT(B3320,7)))</f>
        <v/>
      </c>
    </row>
    <row r="3321">
      <c r="N3321" s="6">
        <f>IF(B3321="","",IF(ISNUMBER(B3321),TEXT(B3321,"YYYY-MM"),LEFT(B3321,7)))</f>
        <v/>
      </c>
    </row>
    <row r="3322">
      <c r="N3322" s="6">
        <f>IF(B3322="","",IF(ISNUMBER(B3322),TEXT(B3322,"YYYY-MM"),LEFT(B3322,7)))</f>
        <v/>
      </c>
    </row>
    <row r="3323">
      <c r="N3323" s="6">
        <f>IF(B3323="","",IF(ISNUMBER(B3323),TEXT(B3323,"YYYY-MM"),LEFT(B3323,7)))</f>
        <v/>
      </c>
    </row>
    <row r="3324">
      <c r="N3324" s="6">
        <f>IF(B3324="","",IF(ISNUMBER(B3324),TEXT(B3324,"YYYY-MM"),LEFT(B3324,7)))</f>
        <v/>
      </c>
    </row>
    <row r="3325">
      <c r="N3325" s="6">
        <f>IF(B3325="","",IF(ISNUMBER(B3325),TEXT(B3325,"YYYY-MM"),LEFT(B3325,7)))</f>
        <v/>
      </c>
    </row>
    <row r="3326">
      <c r="N3326" s="6">
        <f>IF(B3326="","",IF(ISNUMBER(B3326),TEXT(B3326,"YYYY-MM"),LEFT(B3326,7)))</f>
        <v/>
      </c>
    </row>
    <row r="3327">
      <c r="N3327" s="6">
        <f>IF(B3327="","",IF(ISNUMBER(B3327),TEXT(B3327,"YYYY-MM"),LEFT(B3327,7)))</f>
        <v/>
      </c>
    </row>
    <row r="3328">
      <c r="N3328" s="6">
        <f>IF(B3328="","",IF(ISNUMBER(B3328),TEXT(B3328,"YYYY-MM"),LEFT(B3328,7)))</f>
        <v/>
      </c>
    </row>
    <row r="3329">
      <c r="N3329" s="6">
        <f>IF(B3329="","",IF(ISNUMBER(B3329),TEXT(B3329,"YYYY-MM"),LEFT(B3329,7)))</f>
        <v/>
      </c>
    </row>
    <row r="3330">
      <c r="N3330" s="6">
        <f>IF(B3330="","",IF(ISNUMBER(B3330),TEXT(B3330,"YYYY-MM"),LEFT(B3330,7)))</f>
        <v/>
      </c>
    </row>
    <row r="3331">
      <c r="N3331" s="6">
        <f>IF(B3331="","",IF(ISNUMBER(B3331),TEXT(B3331,"YYYY-MM"),LEFT(B3331,7)))</f>
        <v/>
      </c>
    </row>
    <row r="3332">
      <c r="N3332" s="6">
        <f>IF(B3332="","",IF(ISNUMBER(B3332),TEXT(B3332,"YYYY-MM"),LEFT(B3332,7)))</f>
        <v/>
      </c>
    </row>
    <row r="3333">
      <c r="N3333" s="6">
        <f>IF(B3333="","",IF(ISNUMBER(B3333),TEXT(B3333,"YYYY-MM"),LEFT(B3333,7)))</f>
        <v/>
      </c>
    </row>
    <row r="3334">
      <c r="N3334" s="6">
        <f>IF(B3334="","",IF(ISNUMBER(B3334),TEXT(B3334,"YYYY-MM"),LEFT(B3334,7)))</f>
        <v/>
      </c>
    </row>
    <row r="3335">
      <c r="N3335" s="6">
        <f>IF(B3335="","",IF(ISNUMBER(B3335),TEXT(B3335,"YYYY-MM"),LEFT(B3335,7)))</f>
        <v/>
      </c>
    </row>
    <row r="3336">
      <c r="N3336" s="6">
        <f>IF(B3336="","",IF(ISNUMBER(B3336),TEXT(B3336,"YYYY-MM"),LEFT(B3336,7)))</f>
        <v/>
      </c>
    </row>
    <row r="3337">
      <c r="N3337" s="6">
        <f>IF(B3337="","",IF(ISNUMBER(B3337),TEXT(B3337,"YYYY-MM"),LEFT(B3337,7)))</f>
        <v/>
      </c>
    </row>
    <row r="3338">
      <c r="N3338" s="6">
        <f>IF(B3338="","",IF(ISNUMBER(B3338),TEXT(B3338,"YYYY-MM"),LEFT(B3338,7)))</f>
        <v/>
      </c>
    </row>
    <row r="3339">
      <c r="N3339" s="6">
        <f>IF(B3339="","",IF(ISNUMBER(B3339),TEXT(B3339,"YYYY-MM"),LEFT(B3339,7)))</f>
        <v/>
      </c>
    </row>
    <row r="3340">
      <c r="N3340" s="6">
        <f>IF(B3340="","",IF(ISNUMBER(B3340),TEXT(B3340,"YYYY-MM"),LEFT(B3340,7)))</f>
        <v/>
      </c>
    </row>
    <row r="3341">
      <c r="N3341" s="6">
        <f>IF(B3341="","",IF(ISNUMBER(B3341),TEXT(B3341,"YYYY-MM"),LEFT(B3341,7)))</f>
        <v/>
      </c>
    </row>
    <row r="3342">
      <c r="N3342" s="6">
        <f>IF(B3342="","",IF(ISNUMBER(B3342),TEXT(B3342,"YYYY-MM"),LEFT(B3342,7)))</f>
        <v/>
      </c>
    </row>
    <row r="3343">
      <c r="N3343" s="6">
        <f>IF(B3343="","",IF(ISNUMBER(B3343),TEXT(B3343,"YYYY-MM"),LEFT(B3343,7)))</f>
        <v/>
      </c>
    </row>
    <row r="3344">
      <c r="N3344" s="6">
        <f>IF(B3344="","",IF(ISNUMBER(B3344),TEXT(B3344,"YYYY-MM"),LEFT(B3344,7)))</f>
        <v/>
      </c>
    </row>
    <row r="3345">
      <c r="N3345" s="6">
        <f>IF(B3345="","",IF(ISNUMBER(B3345),TEXT(B3345,"YYYY-MM"),LEFT(B3345,7)))</f>
        <v/>
      </c>
    </row>
    <row r="3346">
      <c r="N3346" s="6">
        <f>IF(B3346="","",IF(ISNUMBER(B3346),TEXT(B3346,"YYYY-MM"),LEFT(B3346,7)))</f>
        <v/>
      </c>
    </row>
    <row r="3347">
      <c r="N3347" s="6">
        <f>IF(B3347="","",IF(ISNUMBER(B3347),TEXT(B3347,"YYYY-MM"),LEFT(B3347,7)))</f>
        <v/>
      </c>
    </row>
    <row r="3348">
      <c r="N3348" s="6">
        <f>IF(B3348="","",IF(ISNUMBER(B3348),TEXT(B3348,"YYYY-MM"),LEFT(B3348,7)))</f>
        <v/>
      </c>
    </row>
    <row r="3349">
      <c r="N3349" s="6">
        <f>IF(B3349="","",IF(ISNUMBER(B3349),TEXT(B3349,"YYYY-MM"),LEFT(B3349,7)))</f>
        <v/>
      </c>
    </row>
    <row r="3350">
      <c r="N3350" s="6">
        <f>IF(B3350="","",IF(ISNUMBER(B3350),TEXT(B3350,"YYYY-MM"),LEFT(B3350,7)))</f>
        <v/>
      </c>
    </row>
    <row r="3351">
      <c r="N3351" s="6">
        <f>IF(B3351="","",IF(ISNUMBER(B3351),TEXT(B3351,"YYYY-MM"),LEFT(B3351,7)))</f>
        <v/>
      </c>
    </row>
    <row r="3352">
      <c r="N3352" s="6">
        <f>IF(B3352="","",IF(ISNUMBER(B3352),TEXT(B3352,"YYYY-MM"),LEFT(B3352,7)))</f>
        <v/>
      </c>
    </row>
    <row r="3353">
      <c r="N3353" s="6">
        <f>IF(B3353="","",IF(ISNUMBER(B3353),TEXT(B3353,"YYYY-MM"),LEFT(B3353,7)))</f>
        <v/>
      </c>
    </row>
    <row r="3354">
      <c r="N3354" s="6">
        <f>IF(B3354="","",IF(ISNUMBER(B3354),TEXT(B3354,"YYYY-MM"),LEFT(B3354,7)))</f>
        <v/>
      </c>
    </row>
    <row r="3355">
      <c r="N3355" s="6">
        <f>IF(B3355="","",IF(ISNUMBER(B3355),TEXT(B3355,"YYYY-MM"),LEFT(B3355,7)))</f>
        <v/>
      </c>
    </row>
    <row r="3356">
      <c r="N3356" s="6">
        <f>IF(B3356="","",IF(ISNUMBER(B3356),TEXT(B3356,"YYYY-MM"),LEFT(B3356,7)))</f>
        <v/>
      </c>
    </row>
    <row r="3357">
      <c r="N3357" s="6">
        <f>IF(B3357="","",IF(ISNUMBER(B3357),TEXT(B3357,"YYYY-MM"),LEFT(B3357,7)))</f>
        <v/>
      </c>
    </row>
    <row r="3358">
      <c r="N3358" s="6">
        <f>IF(B3358="","",IF(ISNUMBER(B3358),TEXT(B3358,"YYYY-MM"),LEFT(B3358,7)))</f>
        <v/>
      </c>
    </row>
    <row r="3359">
      <c r="N3359" s="6">
        <f>IF(B3359="","",IF(ISNUMBER(B3359),TEXT(B3359,"YYYY-MM"),LEFT(B3359,7)))</f>
        <v/>
      </c>
    </row>
    <row r="3360">
      <c r="N3360" s="6">
        <f>IF(B3360="","",IF(ISNUMBER(B3360),TEXT(B3360,"YYYY-MM"),LEFT(B3360,7)))</f>
        <v/>
      </c>
    </row>
    <row r="3361">
      <c r="N3361" s="6">
        <f>IF(B3361="","",IF(ISNUMBER(B3361),TEXT(B3361,"YYYY-MM"),LEFT(B3361,7)))</f>
        <v/>
      </c>
    </row>
    <row r="3362">
      <c r="N3362" s="6">
        <f>IF(B3362="","",IF(ISNUMBER(B3362),TEXT(B3362,"YYYY-MM"),LEFT(B3362,7)))</f>
        <v/>
      </c>
    </row>
    <row r="3363">
      <c r="N3363" s="6">
        <f>IF(B3363="","",IF(ISNUMBER(B3363),TEXT(B3363,"YYYY-MM"),LEFT(B3363,7)))</f>
        <v/>
      </c>
    </row>
    <row r="3364">
      <c r="N3364" s="6">
        <f>IF(B3364="","",IF(ISNUMBER(B3364),TEXT(B3364,"YYYY-MM"),LEFT(B3364,7)))</f>
        <v/>
      </c>
    </row>
    <row r="3365">
      <c r="N3365" s="6">
        <f>IF(B3365="","",IF(ISNUMBER(B3365),TEXT(B3365,"YYYY-MM"),LEFT(B3365,7)))</f>
        <v/>
      </c>
    </row>
    <row r="3366">
      <c r="N3366" s="6">
        <f>IF(B3366="","",IF(ISNUMBER(B3366),TEXT(B3366,"YYYY-MM"),LEFT(B3366,7)))</f>
        <v/>
      </c>
    </row>
    <row r="3367">
      <c r="N3367" s="6">
        <f>IF(B3367="","",IF(ISNUMBER(B3367),TEXT(B3367,"YYYY-MM"),LEFT(B3367,7)))</f>
        <v/>
      </c>
    </row>
    <row r="3368">
      <c r="N3368" s="6">
        <f>IF(B3368="","",IF(ISNUMBER(B3368),TEXT(B3368,"YYYY-MM"),LEFT(B3368,7)))</f>
        <v/>
      </c>
    </row>
    <row r="3369">
      <c r="N3369" s="6">
        <f>IF(B3369="","",IF(ISNUMBER(B3369),TEXT(B3369,"YYYY-MM"),LEFT(B3369,7)))</f>
        <v/>
      </c>
    </row>
    <row r="3370">
      <c r="N3370" s="6">
        <f>IF(B3370="","",IF(ISNUMBER(B3370),TEXT(B3370,"YYYY-MM"),LEFT(B3370,7)))</f>
        <v/>
      </c>
    </row>
    <row r="3371">
      <c r="N3371" s="6">
        <f>IF(B3371="","",IF(ISNUMBER(B3371),TEXT(B3371,"YYYY-MM"),LEFT(B3371,7)))</f>
        <v/>
      </c>
    </row>
    <row r="3372">
      <c r="N3372" s="6">
        <f>IF(B3372="","",IF(ISNUMBER(B3372),TEXT(B3372,"YYYY-MM"),LEFT(B3372,7)))</f>
        <v/>
      </c>
    </row>
    <row r="3373">
      <c r="N3373" s="6">
        <f>IF(B3373="","",IF(ISNUMBER(B3373),TEXT(B3373,"YYYY-MM"),LEFT(B3373,7)))</f>
        <v/>
      </c>
    </row>
    <row r="3374">
      <c r="N3374" s="6">
        <f>IF(B3374="","",IF(ISNUMBER(B3374),TEXT(B3374,"YYYY-MM"),LEFT(B3374,7)))</f>
        <v/>
      </c>
    </row>
    <row r="3375">
      <c r="N3375" s="6">
        <f>IF(B3375="","",IF(ISNUMBER(B3375),TEXT(B3375,"YYYY-MM"),LEFT(B3375,7)))</f>
        <v/>
      </c>
    </row>
    <row r="3376">
      <c r="N3376" s="6">
        <f>IF(B3376="","",IF(ISNUMBER(B3376),TEXT(B3376,"YYYY-MM"),LEFT(B3376,7)))</f>
        <v/>
      </c>
    </row>
    <row r="3377">
      <c r="N3377" s="6">
        <f>IF(B3377="","",IF(ISNUMBER(B3377),TEXT(B3377,"YYYY-MM"),LEFT(B3377,7)))</f>
        <v/>
      </c>
    </row>
    <row r="3378">
      <c r="N3378" s="6">
        <f>IF(B3378="","",IF(ISNUMBER(B3378),TEXT(B3378,"YYYY-MM"),LEFT(B3378,7)))</f>
        <v/>
      </c>
    </row>
    <row r="3379">
      <c r="N3379" s="6">
        <f>IF(B3379="","",IF(ISNUMBER(B3379),TEXT(B3379,"YYYY-MM"),LEFT(B3379,7)))</f>
        <v/>
      </c>
    </row>
    <row r="3380">
      <c r="N3380" s="6">
        <f>IF(B3380="","",IF(ISNUMBER(B3380),TEXT(B3380,"YYYY-MM"),LEFT(B3380,7)))</f>
        <v/>
      </c>
    </row>
    <row r="3381">
      <c r="N3381" s="6">
        <f>IF(B3381="","",IF(ISNUMBER(B3381),TEXT(B3381,"YYYY-MM"),LEFT(B3381,7)))</f>
        <v/>
      </c>
    </row>
    <row r="3382">
      <c r="N3382" s="6">
        <f>IF(B3382="","",IF(ISNUMBER(B3382),TEXT(B3382,"YYYY-MM"),LEFT(B3382,7)))</f>
        <v/>
      </c>
    </row>
    <row r="3383">
      <c r="N3383" s="6">
        <f>IF(B3383="","",IF(ISNUMBER(B3383),TEXT(B3383,"YYYY-MM"),LEFT(B3383,7)))</f>
        <v/>
      </c>
    </row>
    <row r="3384">
      <c r="N3384" s="6">
        <f>IF(B3384="","",IF(ISNUMBER(B3384),TEXT(B3384,"YYYY-MM"),LEFT(B3384,7)))</f>
        <v/>
      </c>
    </row>
    <row r="3385">
      <c r="N3385" s="6">
        <f>IF(B3385="","",IF(ISNUMBER(B3385),TEXT(B3385,"YYYY-MM"),LEFT(B3385,7)))</f>
        <v/>
      </c>
    </row>
    <row r="3386">
      <c r="N3386" s="6">
        <f>IF(B3386="","",IF(ISNUMBER(B3386),TEXT(B3386,"YYYY-MM"),LEFT(B3386,7)))</f>
        <v/>
      </c>
    </row>
    <row r="3387">
      <c r="N3387" s="6">
        <f>IF(B3387="","",IF(ISNUMBER(B3387),TEXT(B3387,"YYYY-MM"),LEFT(B3387,7)))</f>
        <v/>
      </c>
    </row>
    <row r="3388">
      <c r="N3388" s="6">
        <f>IF(B3388="","",IF(ISNUMBER(B3388),TEXT(B3388,"YYYY-MM"),LEFT(B3388,7)))</f>
        <v/>
      </c>
    </row>
    <row r="3389">
      <c r="N3389" s="6">
        <f>IF(B3389="","",IF(ISNUMBER(B3389),TEXT(B3389,"YYYY-MM"),LEFT(B3389,7)))</f>
        <v/>
      </c>
    </row>
    <row r="3390">
      <c r="N3390" s="6">
        <f>IF(B3390="","",IF(ISNUMBER(B3390),TEXT(B3390,"YYYY-MM"),LEFT(B3390,7)))</f>
        <v/>
      </c>
    </row>
    <row r="3391">
      <c r="N3391" s="6">
        <f>IF(B3391="","",IF(ISNUMBER(B3391),TEXT(B3391,"YYYY-MM"),LEFT(B3391,7)))</f>
        <v/>
      </c>
    </row>
    <row r="3392">
      <c r="N3392" s="6">
        <f>IF(B3392="","",IF(ISNUMBER(B3392),TEXT(B3392,"YYYY-MM"),LEFT(B3392,7)))</f>
        <v/>
      </c>
    </row>
    <row r="3393">
      <c r="N3393" s="6">
        <f>IF(B3393="","",IF(ISNUMBER(B3393),TEXT(B3393,"YYYY-MM"),LEFT(B3393,7)))</f>
        <v/>
      </c>
    </row>
    <row r="3394">
      <c r="N3394" s="6">
        <f>IF(B3394="","",IF(ISNUMBER(B3394),TEXT(B3394,"YYYY-MM"),LEFT(B3394,7)))</f>
        <v/>
      </c>
    </row>
    <row r="3395">
      <c r="N3395" s="6">
        <f>IF(B3395="","",IF(ISNUMBER(B3395),TEXT(B3395,"YYYY-MM"),LEFT(B3395,7)))</f>
        <v/>
      </c>
    </row>
    <row r="3396">
      <c r="N3396" s="6">
        <f>IF(B3396="","",IF(ISNUMBER(B3396),TEXT(B3396,"YYYY-MM"),LEFT(B3396,7)))</f>
        <v/>
      </c>
    </row>
    <row r="3397">
      <c r="N3397" s="6">
        <f>IF(B3397="","",IF(ISNUMBER(B3397),TEXT(B3397,"YYYY-MM"),LEFT(B3397,7)))</f>
        <v/>
      </c>
    </row>
    <row r="3398">
      <c r="N3398" s="6">
        <f>IF(B3398="","",IF(ISNUMBER(B3398),TEXT(B3398,"YYYY-MM"),LEFT(B3398,7)))</f>
        <v/>
      </c>
    </row>
    <row r="3399">
      <c r="N3399" s="6">
        <f>IF(B3399="","",IF(ISNUMBER(B3399),TEXT(B3399,"YYYY-MM"),LEFT(B3399,7)))</f>
        <v/>
      </c>
    </row>
    <row r="3400">
      <c r="N3400" s="6">
        <f>IF(B3400="","",IF(ISNUMBER(B3400),TEXT(B3400,"YYYY-MM"),LEFT(B3400,7)))</f>
        <v/>
      </c>
    </row>
    <row r="3401">
      <c r="N3401" s="6">
        <f>IF(B3401="","",IF(ISNUMBER(B3401),TEXT(B3401,"YYYY-MM"),LEFT(B3401,7)))</f>
        <v/>
      </c>
    </row>
    <row r="3402">
      <c r="N3402" s="6">
        <f>IF(B3402="","",IF(ISNUMBER(B3402),TEXT(B3402,"YYYY-MM"),LEFT(B3402,7)))</f>
        <v/>
      </c>
    </row>
    <row r="3403">
      <c r="N3403" s="6">
        <f>IF(B3403="","",IF(ISNUMBER(B3403),TEXT(B3403,"YYYY-MM"),LEFT(B3403,7)))</f>
        <v/>
      </c>
    </row>
    <row r="3404">
      <c r="N3404" s="6">
        <f>IF(B3404="","",IF(ISNUMBER(B3404),TEXT(B3404,"YYYY-MM"),LEFT(B3404,7)))</f>
        <v/>
      </c>
    </row>
    <row r="3405">
      <c r="N3405" s="6">
        <f>IF(B3405="","",IF(ISNUMBER(B3405),TEXT(B3405,"YYYY-MM"),LEFT(B3405,7)))</f>
        <v/>
      </c>
    </row>
    <row r="3406">
      <c r="N3406" s="6">
        <f>IF(B3406="","",IF(ISNUMBER(B3406),TEXT(B3406,"YYYY-MM"),LEFT(B3406,7)))</f>
        <v/>
      </c>
    </row>
    <row r="3407">
      <c r="N3407" s="6">
        <f>IF(B3407="","",IF(ISNUMBER(B3407),TEXT(B3407,"YYYY-MM"),LEFT(B3407,7)))</f>
        <v/>
      </c>
    </row>
    <row r="3408">
      <c r="N3408" s="6">
        <f>IF(B3408="","",IF(ISNUMBER(B3408),TEXT(B3408,"YYYY-MM"),LEFT(B3408,7)))</f>
        <v/>
      </c>
    </row>
    <row r="3409">
      <c r="N3409" s="6">
        <f>IF(B3409="","",IF(ISNUMBER(B3409),TEXT(B3409,"YYYY-MM"),LEFT(B3409,7)))</f>
        <v/>
      </c>
    </row>
    <row r="3410">
      <c r="N3410" s="6">
        <f>IF(B3410="","",IF(ISNUMBER(B3410),TEXT(B3410,"YYYY-MM"),LEFT(B3410,7)))</f>
        <v/>
      </c>
    </row>
    <row r="3411">
      <c r="N3411" s="6">
        <f>IF(B3411="","",IF(ISNUMBER(B3411),TEXT(B3411,"YYYY-MM"),LEFT(B3411,7)))</f>
        <v/>
      </c>
    </row>
    <row r="3412">
      <c r="N3412" s="6">
        <f>IF(B3412="","",IF(ISNUMBER(B3412),TEXT(B3412,"YYYY-MM"),LEFT(B3412,7)))</f>
        <v/>
      </c>
    </row>
    <row r="3413">
      <c r="N3413" s="6">
        <f>IF(B3413="","",IF(ISNUMBER(B3413),TEXT(B3413,"YYYY-MM"),LEFT(B3413,7)))</f>
        <v/>
      </c>
    </row>
    <row r="3414">
      <c r="N3414" s="6">
        <f>IF(B3414="","",IF(ISNUMBER(B3414),TEXT(B3414,"YYYY-MM"),LEFT(B3414,7)))</f>
        <v/>
      </c>
    </row>
    <row r="3415">
      <c r="N3415" s="6">
        <f>IF(B3415="","",IF(ISNUMBER(B3415),TEXT(B3415,"YYYY-MM"),LEFT(B3415,7)))</f>
        <v/>
      </c>
    </row>
    <row r="3416">
      <c r="N3416" s="6">
        <f>IF(B3416="","",IF(ISNUMBER(B3416),TEXT(B3416,"YYYY-MM"),LEFT(B3416,7)))</f>
        <v/>
      </c>
    </row>
    <row r="3417">
      <c r="N3417" s="6">
        <f>IF(B3417="","",IF(ISNUMBER(B3417),TEXT(B3417,"YYYY-MM"),LEFT(B3417,7)))</f>
        <v/>
      </c>
    </row>
    <row r="3418">
      <c r="N3418" s="6">
        <f>IF(B3418="","",IF(ISNUMBER(B3418),TEXT(B3418,"YYYY-MM"),LEFT(B3418,7)))</f>
        <v/>
      </c>
    </row>
    <row r="3419">
      <c r="N3419" s="6">
        <f>IF(B3419="","",IF(ISNUMBER(B3419),TEXT(B3419,"YYYY-MM"),LEFT(B3419,7)))</f>
        <v/>
      </c>
    </row>
    <row r="3420">
      <c r="N3420" s="6">
        <f>IF(B3420="","",IF(ISNUMBER(B3420),TEXT(B3420,"YYYY-MM"),LEFT(B3420,7)))</f>
        <v/>
      </c>
    </row>
    <row r="3421">
      <c r="N3421" s="6">
        <f>IF(B3421="","",IF(ISNUMBER(B3421),TEXT(B3421,"YYYY-MM"),LEFT(B3421,7)))</f>
        <v/>
      </c>
    </row>
    <row r="3422">
      <c r="N3422" s="6">
        <f>IF(B3422="","",IF(ISNUMBER(B3422),TEXT(B3422,"YYYY-MM"),LEFT(B3422,7)))</f>
        <v/>
      </c>
    </row>
    <row r="3423">
      <c r="N3423" s="6">
        <f>IF(B3423="","",IF(ISNUMBER(B3423),TEXT(B3423,"YYYY-MM"),LEFT(B3423,7)))</f>
        <v/>
      </c>
    </row>
    <row r="3424">
      <c r="N3424" s="6">
        <f>IF(B3424="","",IF(ISNUMBER(B3424),TEXT(B3424,"YYYY-MM"),LEFT(B3424,7)))</f>
        <v/>
      </c>
    </row>
    <row r="3425">
      <c r="N3425" s="6">
        <f>IF(B3425="","",IF(ISNUMBER(B3425),TEXT(B3425,"YYYY-MM"),LEFT(B3425,7)))</f>
        <v/>
      </c>
    </row>
    <row r="3426">
      <c r="N3426" s="6">
        <f>IF(B3426="","",IF(ISNUMBER(B3426),TEXT(B3426,"YYYY-MM"),LEFT(B3426,7)))</f>
        <v/>
      </c>
    </row>
    <row r="3427">
      <c r="N3427" s="6">
        <f>IF(B3427="","",IF(ISNUMBER(B3427),TEXT(B3427,"YYYY-MM"),LEFT(B3427,7)))</f>
        <v/>
      </c>
    </row>
    <row r="3428">
      <c r="N3428" s="6">
        <f>IF(B3428="","",IF(ISNUMBER(B3428),TEXT(B3428,"YYYY-MM"),LEFT(B3428,7)))</f>
        <v/>
      </c>
    </row>
    <row r="3429">
      <c r="N3429" s="6">
        <f>IF(B3429="","",IF(ISNUMBER(B3429),TEXT(B3429,"YYYY-MM"),LEFT(B3429,7)))</f>
        <v/>
      </c>
    </row>
    <row r="3430">
      <c r="N3430" s="6">
        <f>IF(B3430="","",IF(ISNUMBER(B3430),TEXT(B3430,"YYYY-MM"),LEFT(B3430,7)))</f>
        <v/>
      </c>
    </row>
    <row r="3431">
      <c r="N3431" s="6">
        <f>IF(B3431="","",IF(ISNUMBER(B3431),TEXT(B3431,"YYYY-MM"),LEFT(B3431,7)))</f>
        <v/>
      </c>
    </row>
    <row r="3432">
      <c r="N3432" s="6">
        <f>IF(B3432="","",IF(ISNUMBER(B3432),TEXT(B3432,"YYYY-MM"),LEFT(B3432,7)))</f>
        <v/>
      </c>
    </row>
    <row r="3433">
      <c r="N3433" s="6">
        <f>IF(B3433="","",IF(ISNUMBER(B3433),TEXT(B3433,"YYYY-MM"),LEFT(B3433,7)))</f>
        <v/>
      </c>
    </row>
    <row r="3434">
      <c r="N3434" s="6">
        <f>IF(B3434="","",IF(ISNUMBER(B3434),TEXT(B3434,"YYYY-MM"),LEFT(B3434,7)))</f>
        <v/>
      </c>
    </row>
    <row r="3435">
      <c r="N3435" s="6">
        <f>IF(B3435="","",IF(ISNUMBER(B3435),TEXT(B3435,"YYYY-MM"),LEFT(B3435,7)))</f>
        <v/>
      </c>
    </row>
    <row r="3436">
      <c r="N3436" s="6">
        <f>IF(B3436="","",IF(ISNUMBER(B3436),TEXT(B3436,"YYYY-MM"),LEFT(B3436,7)))</f>
        <v/>
      </c>
    </row>
    <row r="3437">
      <c r="N3437" s="6">
        <f>IF(B3437="","",IF(ISNUMBER(B3437),TEXT(B3437,"YYYY-MM"),LEFT(B3437,7)))</f>
        <v/>
      </c>
    </row>
    <row r="3438">
      <c r="N3438" s="6">
        <f>IF(B3438="","",IF(ISNUMBER(B3438),TEXT(B3438,"YYYY-MM"),LEFT(B3438,7)))</f>
        <v/>
      </c>
    </row>
    <row r="3439">
      <c r="N3439" s="6">
        <f>IF(B3439="","",IF(ISNUMBER(B3439),TEXT(B3439,"YYYY-MM"),LEFT(B3439,7)))</f>
        <v/>
      </c>
    </row>
    <row r="3440">
      <c r="N3440" s="6">
        <f>IF(B3440="","",IF(ISNUMBER(B3440),TEXT(B3440,"YYYY-MM"),LEFT(B3440,7)))</f>
        <v/>
      </c>
    </row>
    <row r="3441">
      <c r="N3441" s="6">
        <f>IF(B3441="","",IF(ISNUMBER(B3441),TEXT(B3441,"YYYY-MM"),LEFT(B3441,7)))</f>
        <v/>
      </c>
    </row>
    <row r="3442">
      <c r="N3442" s="6">
        <f>IF(B3442="","",IF(ISNUMBER(B3442),TEXT(B3442,"YYYY-MM"),LEFT(B3442,7)))</f>
        <v/>
      </c>
    </row>
    <row r="3443">
      <c r="N3443" s="6">
        <f>IF(B3443="","",IF(ISNUMBER(B3443),TEXT(B3443,"YYYY-MM"),LEFT(B3443,7)))</f>
        <v/>
      </c>
    </row>
    <row r="3444">
      <c r="N3444" s="6">
        <f>IF(B3444="","",IF(ISNUMBER(B3444),TEXT(B3444,"YYYY-MM"),LEFT(B3444,7)))</f>
        <v/>
      </c>
    </row>
    <row r="3445">
      <c r="N3445" s="6">
        <f>IF(B3445="","",IF(ISNUMBER(B3445),TEXT(B3445,"YYYY-MM"),LEFT(B3445,7)))</f>
        <v/>
      </c>
    </row>
    <row r="3446">
      <c r="N3446" s="6">
        <f>IF(B3446="","",IF(ISNUMBER(B3446),TEXT(B3446,"YYYY-MM"),LEFT(B3446,7)))</f>
        <v/>
      </c>
    </row>
    <row r="3447">
      <c r="N3447" s="6">
        <f>IF(B3447="","",IF(ISNUMBER(B3447),TEXT(B3447,"YYYY-MM"),LEFT(B3447,7)))</f>
        <v/>
      </c>
    </row>
    <row r="3448">
      <c r="N3448" s="6">
        <f>IF(B3448="","",IF(ISNUMBER(B3448),TEXT(B3448,"YYYY-MM"),LEFT(B3448,7)))</f>
        <v/>
      </c>
    </row>
    <row r="3449">
      <c r="N3449" s="6">
        <f>IF(B3449="","",IF(ISNUMBER(B3449),TEXT(B3449,"YYYY-MM"),LEFT(B3449,7)))</f>
        <v/>
      </c>
    </row>
    <row r="3450">
      <c r="N3450" s="6">
        <f>IF(B3450="","",IF(ISNUMBER(B3450),TEXT(B3450,"YYYY-MM"),LEFT(B3450,7)))</f>
        <v/>
      </c>
    </row>
    <row r="3451">
      <c r="N3451" s="6">
        <f>IF(B3451="","",IF(ISNUMBER(B3451),TEXT(B3451,"YYYY-MM"),LEFT(B3451,7)))</f>
        <v/>
      </c>
    </row>
    <row r="3452">
      <c r="N3452" s="6">
        <f>IF(B3452="","",IF(ISNUMBER(B3452),TEXT(B3452,"YYYY-MM"),LEFT(B3452,7)))</f>
        <v/>
      </c>
    </row>
    <row r="3453">
      <c r="N3453" s="6">
        <f>IF(B3453="","",IF(ISNUMBER(B3453),TEXT(B3453,"YYYY-MM"),LEFT(B3453,7)))</f>
        <v/>
      </c>
    </row>
    <row r="3454">
      <c r="N3454" s="6">
        <f>IF(B3454="","",IF(ISNUMBER(B3454),TEXT(B3454,"YYYY-MM"),LEFT(B3454,7)))</f>
        <v/>
      </c>
    </row>
    <row r="3455">
      <c r="N3455" s="6">
        <f>IF(B3455="","",IF(ISNUMBER(B3455),TEXT(B3455,"YYYY-MM"),LEFT(B3455,7)))</f>
        <v/>
      </c>
    </row>
    <row r="3456">
      <c r="N3456" s="6">
        <f>IF(B3456="","",IF(ISNUMBER(B3456),TEXT(B3456,"YYYY-MM"),LEFT(B3456,7)))</f>
        <v/>
      </c>
    </row>
    <row r="3457">
      <c r="N3457" s="6">
        <f>IF(B3457="","",IF(ISNUMBER(B3457),TEXT(B3457,"YYYY-MM"),LEFT(B3457,7)))</f>
        <v/>
      </c>
    </row>
    <row r="3458">
      <c r="N3458" s="6">
        <f>IF(B3458="","",IF(ISNUMBER(B3458),TEXT(B3458,"YYYY-MM"),LEFT(B3458,7)))</f>
        <v/>
      </c>
    </row>
    <row r="3459">
      <c r="N3459" s="6">
        <f>IF(B3459="","",IF(ISNUMBER(B3459),TEXT(B3459,"YYYY-MM"),LEFT(B3459,7)))</f>
        <v/>
      </c>
    </row>
    <row r="3460">
      <c r="N3460" s="6">
        <f>IF(B3460="","",IF(ISNUMBER(B3460),TEXT(B3460,"YYYY-MM"),LEFT(B3460,7)))</f>
        <v/>
      </c>
    </row>
    <row r="3461">
      <c r="N3461" s="6">
        <f>IF(B3461="","",IF(ISNUMBER(B3461),TEXT(B3461,"YYYY-MM"),LEFT(B3461,7)))</f>
        <v/>
      </c>
    </row>
    <row r="3462">
      <c r="N3462" s="6">
        <f>IF(B3462="","",IF(ISNUMBER(B3462),TEXT(B3462,"YYYY-MM"),LEFT(B3462,7)))</f>
        <v/>
      </c>
    </row>
    <row r="3463">
      <c r="N3463" s="6">
        <f>IF(B3463="","",IF(ISNUMBER(B3463),TEXT(B3463,"YYYY-MM"),LEFT(B3463,7)))</f>
        <v/>
      </c>
    </row>
    <row r="3464">
      <c r="N3464" s="6">
        <f>IF(B3464="","",IF(ISNUMBER(B3464),TEXT(B3464,"YYYY-MM"),LEFT(B3464,7)))</f>
        <v/>
      </c>
    </row>
    <row r="3465">
      <c r="N3465" s="6">
        <f>IF(B3465="","",IF(ISNUMBER(B3465),TEXT(B3465,"YYYY-MM"),LEFT(B3465,7)))</f>
        <v/>
      </c>
    </row>
    <row r="3466">
      <c r="N3466" s="6">
        <f>IF(B3466="","",IF(ISNUMBER(B3466),TEXT(B3466,"YYYY-MM"),LEFT(B3466,7)))</f>
        <v/>
      </c>
    </row>
    <row r="3467">
      <c r="N3467" s="6">
        <f>IF(B3467="","",IF(ISNUMBER(B3467),TEXT(B3467,"YYYY-MM"),LEFT(B3467,7)))</f>
        <v/>
      </c>
    </row>
    <row r="3468">
      <c r="N3468" s="6">
        <f>IF(B3468="","",IF(ISNUMBER(B3468),TEXT(B3468,"YYYY-MM"),LEFT(B3468,7)))</f>
        <v/>
      </c>
    </row>
    <row r="3469">
      <c r="N3469" s="6">
        <f>IF(B3469="","",IF(ISNUMBER(B3469),TEXT(B3469,"YYYY-MM"),LEFT(B3469,7)))</f>
        <v/>
      </c>
    </row>
    <row r="3470">
      <c r="N3470" s="6">
        <f>IF(B3470="","",IF(ISNUMBER(B3470),TEXT(B3470,"YYYY-MM"),LEFT(B3470,7)))</f>
        <v/>
      </c>
    </row>
    <row r="3471">
      <c r="N3471" s="6">
        <f>IF(B3471="","",IF(ISNUMBER(B3471),TEXT(B3471,"YYYY-MM"),LEFT(B3471,7)))</f>
        <v/>
      </c>
    </row>
    <row r="3472">
      <c r="N3472" s="6">
        <f>IF(B3472="","",IF(ISNUMBER(B3472),TEXT(B3472,"YYYY-MM"),LEFT(B3472,7)))</f>
        <v/>
      </c>
    </row>
    <row r="3473">
      <c r="N3473" s="6">
        <f>IF(B3473="","",IF(ISNUMBER(B3473),TEXT(B3473,"YYYY-MM"),LEFT(B3473,7)))</f>
        <v/>
      </c>
    </row>
    <row r="3474">
      <c r="N3474" s="6">
        <f>IF(B3474="","",IF(ISNUMBER(B3474),TEXT(B3474,"YYYY-MM"),LEFT(B3474,7)))</f>
        <v/>
      </c>
    </row>
    <row r="3475">
      <c r="N3475" s="6">
        <f>IF(B3475="","",IF(ISNUMBER(B3475),TEXT(B3475,"YYYY-MM"),LEFT(B3475,7)))</f>
        <v/>
      </c>
    </row>
    <row r="3476">
      <c r="N3476" s="6">
        <f>IF(B3476="","",IF(ISNUMBER(B3476),TEXT(B3476,"YYYY-MM"),LEFT(B3476,7)))</f>
        <v/>
      </c>
    </row>
    <row r="3477">
      <c r="N3477" s="6">
        <f>IF(B3477="","",IF(ISNUMBER(B3477),TEXT(B3477,"YYYY-MM"),LEFT(B3477,7)))</f>
        <v/>
      </c>
    </row>
    <row r="3478">
      <c r="N3478" s="6">
        <f>IF(B3478="","",IF(ISNUMBER(B3478),TEXT(B3478,"YYYY-MM"),LEFT(B3478,7)))</f>
        <v/>
      </c>
    </row>
    <row r="3479">
      <c r="N3479" s="6">
        <f>IF(B3479="","",IF(ISNUMBER(B3479),TEXT(B3479,"YYYY-MM"),LEFT(B3479,7)))</f>
        <v/>
      </c>
    </row>
    <row r="3480">
      <c r="N3480" s="6">
        <f>IF(B3480="","",IF(ISNUMBER(B3480),TEXT(B3480,"YYYY-MM"),LEFT(B3480,7)))</f>
        <v/>
      </c>
    </row>
    <row r="3481">
      <c r="N3481" s="6">
        <f>IF(B3481="","",IF(ISNUMBER(B3481),TEXT(B3481,"YYYY-MM"),LEFT(B3481,7)))</f>
        <v/>
      </c>
    </row>
    <row r="3482">
      <c r="N3482" s="6">
        <f>IF(B3482="","",IF(ISNUMBER(B3482),TEXT(B3482,"YYYY-MM"),LEFT(B3482,7)))</f>
        <v/>
      </c>
    </row>
    <row r="3483">
      <c r="N3483" s="6">
        <f>IF(B3483="","",IF(ISNUMBER(B3483),TEXT(B3483,"YYYY-MM"),LEFT(B3483,7)))</f>
        <v/>
      </c>
    </row>
    <row r="3484">
      <c r="N3484" s="6">
        <f>IF(B3484="","",IF(ISNUMBER(B3484),TEXT(B3484,"YYYY-MM"),LEFT(B3484,7)))</f>
        <v/>
      </c>
    </row>
    <row r="3485">
      <c r="N3485" s="6">
        <f>IF(B3485="","",IF(ISNUMBER(B3485),TEXT(B3485,"YYYY-MM"),LEFT(B3485,7)))</f>
        <v/>
      </c>
    </row>
    <row r="3486">
      <c r="N3486" s="6">
        <f>IF(B3486="","",IF(ISNUMBER(B3486),TEXT(B3486,"YYYY-MM"),LEFT(B3486,7)))</f>
        <v/>
      </c>
    </row>
    <row r="3487">
      <c r="N3487" s="6">
        <f>IF(B3487="","",IF(ISNUMBER(B3487),TEXT(B3487,"YYYY-MM"),LEFT(B3487,7)))</f>
        <v/>
      </c>
    </row>
    <row r="3488">
      <c r="N3488" s="6">
        <f>IF(B3488="","",IF(ISNUMBER(B3488),TEXT(B3488,"YYYY-MM"),LEFT(B3488,7)))</f>
        <v/>
      </c>
    </row>
    <row r="3489">
      <c r="N3489" s="6">
        <f>IF(B3489="","",IF(ISNUMBER(B3489),TEXT(B3489,"YYYY-MM"),LEFT(B3489,7)))</f>
        <v/>
      </c>
    </row>
    <row r="3490">
      <c r="N3490" s="6">
        <f>IF(B3490="","",IF(ISNUMBER(B3490),TEXT(B3490,"YYYY-MM"),LEFT(B3490,7)))</f>
        <v/>
      </c>
    </row>
    <row r="3491">
      <c r="N3491" s="6">
        <f>IF(B3491="","",IF(ISNUMBER(B3491),TEXT(B3491,"YYYY-MM"),LEFT(B3491,7)))</f>
        <v/>
      </c>
    </row>
    <row r="3492">
      <c r="N3492" s="6">
        <f>IF(B3492="","",IF(ISNUMBER(B3492),TEXT(B3492,"YYYY-MM"),LEFT(B3492,7)))</f>
        <v/>
      </c>
    </row>
    <row r="3493">
      <c r="N3493" s="6">
        <f>IF(B3493="","",IF(ISNUMBER(B3493),TEXT(B3493,"YYYY-MM"),LEFT(B3493,7)))</f>
        <v/>
      </c>
    </row>
    <row r="3494">
      <c r="N3494" s="6">
        <f>IF(B3494="","",IF(ISNUMBER(B3494),TEXT(B3494,"YYYY-MM"),LEFT(B3494,7)))</f>
        <v/>
      </c>
    </row>
    <row r="3495">
      <c r="N3495" s="6">
        <f>IF(B3495="","",IF(ISNUMBER(B3495),TEXT(B3495,"YYYY-MM"),LEFT(B3495,7)))</f>
        <v/>
      </c>
    </row>
    <row r="3496">
      <c r="N3496" s="6">
        <f>IF(B3496="","",IF(ISNUMBER(B3496),TEXT(B3496,"YYYY-MM"),LEFT(B3496,7)))</f>
        <v/>
      </c>
    </row>
    <row r="3497">
      <c r="N3497" s="6">
        <f>IF(B3497="","",IF(ISNUMBER(B3497),TEXT(B3497,"YYYY-MM"),LEFT(B3497,7)))</f>
        <v/>
      </c>
    </row>
    <row r="3498">
      <c r="N3498" s="6">
        <f>IF(B3498="","",IF(ISNUMBER(B3498),TEXT(B3498,"YYYY-MM"),LEFT(B3498,7)))</f>
        <v/>
      </c>
    </row>
    <row r="3499">
      <c r="N3499" s="6">
        <f>IF(B3499="","",IF(ISNUMBER(B3499),TEXT(B3499,"YYYY-MM"),LEFT(B3499,7)))</f>
        <v/>
      </c>
    </row>
    <row r="3500">
      <c r="N3500" s="6">
        <f>IF(B3500="","",IF(ISNUMBER(B3500),TEXT(B3500,"YYYY-MM"),LEFT(B3500,7)))</f>
        <v/>
      </c>
    </row>
    <row r="3501">
      <c r="N3501" s="6">
        <f>IF(B3501="","",IF(ISNUMBER(B3501),TEXT(B3501,"YYYY-MM"),LEFT(B3501,7)))</f>
        <v/>
      </c>
    </row>
    <row r="3502">
      <c r="N3502" s="6">
        <f>IF(B3502="","",IF(ISNUMBER(B3502),TEXT(B3502,"YYYY-MM"),LEFT(B3502,7)))</f>
        <v/>
      </c>
    </row>
    <row r="3503">
      <c r="N3503" s="6">
        <f>IF(B3503="","",IF(ISNUMBER(B3503),TEXT(B3503,"YYYY-MM"),LEFT(B3503,7)))</f>
        <v/>
      </c>
    </row>
    <row r="3504">
      <c r="N3504" s="6">
        <f>IF(B3504="","",IF(ISNUMBER(B3504),TEXT(B3504,"YYYY-MM"),LEFT(B3504,7)))</f>
        <v/>
      </c>
    </row>
    <row r="3505">
      <c r="N3505" s="6">
        <f>IF(B3505="","",IF(ISNUMBER(B3505),TEXT(B3505,"YYYY-MM"),LEFT(B3505,7)))</f>
        <v/>
      </c>
    </row>
    <row r="3506">
      <c r="N3506" s="6">
        <f>IF(B3506="","",IF(ISNUMBER(B3506),TEXT(B3506,"YYYY-MM"),LEFT(B3506,7)))</f>
        <v/>
      </c>
    </row>
    <row r="3507">
      <c r="N3507" s="6">
        <f>IF(B3507="","",IF(ISNUMBER(B3507),TEXT(B3507,"YYYY-MM"),LEFT(B3507,7)))</f>
        <v/>
      </c>
    </row>
    <row r="3508">
      <c r="N3508" s="6">
        <f>IF(B3508="","",IF(ISNUMBER(B3508),TEXT(B3508,"YYYY-MM"),LEFT(B3508,7)))</f>
        <v/>
      </c>
    </row>
    <row r="3509">
      <c r="N3509" s="6">
        <f>IF(B3509="","",IF(ISNUMBER(B3509),TEXT(B3509,"YYYY-MM"),LEFT(B3509,7)))</f>
        <v/>
      </c>
    </row>
    <row r="3510">
      <c r="N3510" s="6">
        <f>IF(B3510="","",IF(ISNUMBER(B3510),TEXT(B3510,"YYYY-MM"),LEFT(B3510,7)))</f>
        <v/>
      </c>
    </row>
    <row r="3511">
      <c r="N3511" s="6">
        <f>IF(B3511="","",IF(ISNUMBER(B3511),TEXT(B3511,"YYYY-MM"),LEFT(B3511,7)))</f>
        <v/>
      </c>
    </row>
    <row r="3512">
      <c r="N3512" s="6">
        <f>IF(B3512="","",IF(ISNUMBER(B3512),TEXT(B3512,"YYYY-MM"),LEFT(B3512,7)))</f>
        <v/>
      </c>
    </row>
    <row r="3513">
      <c r="N3513" s="6">
        <f>IF(B3513="","",IF(ISNUMBER(B3513),TEXT(B3513,"YYYY-MM"),LEFT(B3513,7)))</f>
        <v/>
      </c>
    </row>
    <row r="3514">
      <c r="N3514" s="6">
        <f>IF(B3514="","",IF(ISNUMBER(B3514),TEXT(B3514,"YYYY-MM"),LEFT(B3514,7)))</f>
        <v/>
      </c>
    </row>
    <row r="3515">
      <c r="N3515" s="6">
        <f>IF(B3515="","",IF(ISNUMBER(B3515),TEXT(B3515,"YYYY-MM"),LEFT(B3515,7)))</f>
        <v/>
      </c>
    </row>
    <row r="3516">
      <c r="N3516" s="6">
        <f>IF(B3516="","",IF(ISNUMBER(B3516),TEXT(B3516,"YYYY-MM"),LEFT(B3516,7)))</f>
        <v/>
      </c>
    </row>
    <row r="3517">
      <c r="N3517" s="6">
        <f>IF(B3517="","",IF(ISNUMBER(B3517),TEXT(B3517,"YYYY-MM"),LEFT(B3517,7)))</f>
        <v/>
      </c>
    </row>
    <row r="3518">
      <c r="N3518" s="6">
        <f>IF(B3518="","",IF(ISNUMBER(B3518),TEXT(B3518,"YYYY-MM"),LEFT(B3518,7)))</f>
        <v/>
      </c>
    </row>
    <row r="3519">
      <c r="N3519" s="6">
        <f>IF(B3519="","",IF(ISNUMBER(B3519),TEXT(B3519,"YYYY-MM"),LEFT(B3519,7)))</f>
        <v/>
      </c>
    </row>
    <row r="3520">
      <c r="N3520" s="6">
        <f>IF(B3520="","",IF(ISNUMBER(B3520),TEXT(B3520,"YYYY-MM"),LEFT(B3520,7)))</f>
        <v/>
      </c>
    </row>
    <row r="3521">
      <c r="N3521" s="6">
        <f>IF(B3521="","",IF(ISNUMBER(B3521),TEXT(B3521,"YYYY-MM"),LEFT(B3521,7)))</f>
        <v/>
      </c>
    </row>
    <row r="3522">
      <c r="N3522" s="6">
        <f>IF(B3522="","",IF(ISNUMBER(B3522),TEXT(B3522,"YYYY-MM"),LEFT(B3522,7)))</f>
        <v/>
      </c>
    </row>
    <row r="3523">
      <c r="N3523" s="6">
        <f>IF(B3523="","",IF(ISNUMBER(B3523),TEXT(B3523,"YYYY-MM"),LEFT(B3523,7)))</f>
        <v/>
      </c>
    </row>
    <row r="3524">
      <c r="N3524" s="6">
        <f>IF(B3524="","",IF(ISNUMBER(B3524),TEXT(B3524,"YYYY-MM"),LEFT(B3524,7)))</f>
        <v/>
      </c>
    </row>
    <row r="3525">
      <c r="N3525" s="6">
        <f>IF(B3525="","",IF(ISNUMBER(B3525),TEXT(B3525,"YYYY-MM"),LEFT(B3525,7)))</f>
        <v/>
      </c>
    </row>
    <row r="3526">
      <c r="N3526" s="6">
        <f>IF(B3526="","",IF(ISNUMBER(B3526),TEXT(B3526,"YYYY-MM"),LEFT(B3526,7)))</f>
        <v/>
      </c>
    </row>
    <row r="3527">
      <c r="N3527" s="6">
        <f>IF(B3527="","",IF(ISNUMBER(B3527),TEXT(B3527,"YYYY-MM"),LEFT(B3527,7)))</f>
        <v/>
      </c>
    </row>
    <row r="3528">
      <c r="N3528" s="6">
        <f>IF(B3528="","",IF(ISNUMBER(B3528),TEXT(B3528,"YYYY-MM"),LEFT(B3528,7)))</f>
        <v/>
      </c>
    </row>
    <row r="3529">
      <c r="N3529" s="6">
        <f>IF(B3529="","",IF(ISNUMBER(B3529),TEXT(B3529,"YYYY-MM"),LEFT(B3529,7)))</f>
        <v/>
      </c>
    </row>
    <row r="3530">
      <c r="N3530" s="6">
        <f>IF(B3530="","",IF(ISNUMBER(B3530),TEXT(B3530,"YYYY-MM"),LEFT(B3530,7)))</f>
        <v/>
      </c>
    </row>
    <row r="3531">
      <c r="N3531" s="6">
        <f>IF(B3531="","",IF(ISNUMBER(B3531),TEXT(B3531,"YYYY-MM"),LEFT(B3531,7)))</f>
        <v/>
      </c>
    </row>
    <row r="3532">
      <c r="N3532" s="6">
        <f>IF(B3532="","",IF(ISNUMBER(B3532),TEXT(B3532,"YYYY-MM"),LEFT(B3532,7)))</f>
        <v/>
      </c>
    </row>
    <row r="3533">
      <c r="N3533" s="6">
        <f>IF(B3533="","",IF(ISNUMBER(B3533),TEXT(B3533,"YYYY-MM"),LEFT(B3533,7)))</f>
        <v/>
      </c>
    </row>
    <row r="3534">
      <c r="N3534" s="6">
        <f>IF(B3534="","",IF(ISNUMBER(B3534),TEXT(B3534,"YYYY-MM"),LEFT(B3534,7)))</f>
        <v/>
      </c>
    </row>
    <row r="3535">
      <c r="N3535" s="6">
        <f>IF(B3535="","",IF(ISNUMBER(B3535),TEXT(B3535,"YYYY-MM"),LEFT(B3535,7)))</f>
        <v/>
      </c>
    </row>
    <row r="3536">
      <c r="N3536" s="6">
        <f>IF(B3536="","",IF(ISNUMBER(B3536),TEXT(B3536,"YYYY-MM"),LEFT(B3536,7)))</f>
        <v/>
      </c>
    </row>
    <row r="3537">
      <c r="N3537" s="6">
        <f>IF(B3537="","",IF(ISNUMBER(B3537),TEXT(B3537,"YYYY-MM"),LEFT(B3537,7)))</f>
        <v/>
      </c>
    </row>
    <row r="3538">
      <c r="N3538" s="6">
        <f>IF(B3538="","",IF(ISNUMBER(B3538),TEXT(B3538,"YYYY-MM"),LEFT(B3538,7)))</f>
        <v/>
      </c>
    </row>
    <row r="3539">
      <c r="N3539" s="6">
        <f>IF(B3539="","",IF(ISNUMBER(B3539),TEXT(B3539,"YYYY-MM"),LEFT(B3539,7)))</f>
        <v/>
      </c>
    </row>
    <row r="3540">
      <c r="N3540" s="6">
        <f>IF(B3540="","",IF(ISNUMBER(B3540),TEXT(B3540,"YYYY-MM"),LEFT(B3540,7)))</f>
        <v/>
      </c>
    </row>
    <row r="3541">
      <c r="N3541" s="6">
        <f>IF(B3541="","",IF(ISNUMBER(B3541),TEXT(B3541,"YYYY-MM"),LEFT(B3541,7)))</f>
        <v/>
      </c>
    </row>
    <row r="3542">
      <c r="N3542" s="6">
        <f>IF(B3542="","",IF(ISNUMBER(B3542),TEXT(B3542,"YYYY-MM"),LEFT(B3542,7)))</f>
        <v/>
      </c>
    </row>
    <row r="3543">
      <c r="N3543" s="6">
        <f>IF(B3543="","",IF(ISNUMBER(B3543),TEXT(B3543,"YYYY-MM"),LEFT(B3543,7)))</f>
        <v/>
      </c>
    </row>
    <row r="3544">
      <c r="N3544" s="6">
        <f>IF(B3544="","",IF(ISNUMBER(B3544),TEXT(B3544,"YYYY-MM"),LEFT(B3544,7)))</f>
        <v/>
      </c>
    </row>
    <row r="3545">
      <c r="N3545" s="6">
        <f>IF(B3545="","",IF(ISNUMBER(B3545),TEXT(B3545,"YYYY-MM"),LEFT(B3545,7)))</f>
        <v/>
      </c>
    </row>
    <row r="3546">
      <c r="N3546" s="6">
        <f>IF(B3546="","",IF(ISNUMBER(B3546),TEXT(B3546,"YYYY-MM"),LEFT(B3546,7)))</f>
        <v/>
      </c>
    </row>
    <row r="3547">
      <c r="N3547" s="6">
        <f>IF(B3547="","",IF(ISNUMBER(B3547),TEXT(B3547,"YYYY-MM"),LEFT(B3547,7)))</f>
        <v/>
      </c>
    </row>
    <row r="3548">
      <c r="N3548" s="6">
        <f>IF(B3548="","",IF(ISNUMBER(B3548),TEXT(B3548,"YYYY-MM"),LEFT(B3548,7)))</f>
        <v/>
      </c>
    </row>
    <row r="3549">
      <c r="N3549" s="6">
        <f>IF(B3549="","",IF(ISNUMBER(B3549),TEXT(B3549,"YYYY-MM"),LEFT(B3549,7)))</f>
        <v/>
      </c>
    </row>
    <row r="3550">
      <c r="N3550" s="6">
        <f>IF(B3550="","",IF(ISNUMBER(B3550),TEXT(B3550,"YYYY-MM"),LEFT(B3550,7)))</f>
        <v/>
      </c>
    </row>
    <row r="3551">
      <c r="N3551" s="6">
        <f>IF(B3551="","",IF(ISNUMBER(B3551),TEXT(B3551,"YYYY-MM"),LEFT(B3551,7)))</f>
        <v/>
      </c>
    </row>
    <row r="3552">
      <c r="N3552" s="6">
        <f>IF(B3552="","",IF(ISNUMBER(B3552),TEXT(B3552,"YYYY-MM"),LEFT(B3552,7)))</f>
        <v/>
      </c>
    </row>
    <row r="3553">
      <c r="N3553" s="6">
        <f>IF(B3553="","",IF(ISNUMBER(B3553),TEXT(B3553,"YYYY-MM"),LEFT(B3553,7)))</f>
        <v/>
      </c>
    </row>
    <row r="3554">
      <c r="N3554" s="6">
        <f>IF(B3554="","",IF(ISNUMBER(B3554),TEXT(B3554,"YYYY-MM"),LEFT(B3554,7)))</f>
        <v/>
      </c>
    </row>
    <row r="3555">
      <c r="N3555" s="6">
        <f>IF(B3555="","",IF(ISNUMBER(B3555),TEXT(B3555,"YYYY-MM"),LEFT(B3555,7)))</f>
        <v/>
      </c>
    </row>
    <row r="3556">
      <c r="N3556" s="6">
        <f>IF(B3556="","",IF(ISNUMBER(B3556),TEXT(B3556,"YYYY-MM"),LEFT(B3556,7)))</f>
        <v/>
      </c>
    </row>
    <row r="3557">
      <c r="N3557" s="6">
        <f>IF(B3557="","",IF(ISNUMBER(B3557),TEXT(B3557,"YYYY-MM"),LEFT(B3557,7)))</f>
        <v/>
      </c>
    </row>
    <row r="3558">
      <c r="N3558" s="6">
        <f>IF(B3558="","",IF(ISNUMBER(B3558),TEXT(B3558,"YYYY-MM"),LEFT(B3558,7)))</f>
        <v/>
      </c>
    </row>
    <row r="3559">
      <c r="N3559" s="6">
        <f>IF(B3559="","",IF(ISNUMBER(B3559),TEXT(B3559,"YYYY-MM"),LEFT(B3559,7)))</f>
        <v/>
      </c>
    </row>
    <row r="3560">
      <c r="N3560" s="6">
        <f>IF(B3560="","",IF(ISNUMBER(B3560),TEXT(B3560,"YYYY-MM"),LEFT(B3560,7)))</f>
        <v/>
      </c>
    </row>
    <row r="3561">
      <c r="N3561" s="6">
        <f>IF(B3561="","",IF(ISNUMBER(B3561),TEXT(B3561,"YYYY-MM"),LEFT(B3561,7)))</f>
        <v/>
      </c>
    </row>
    <row r="3562">
      <c r="N3562" s="6">
        <f>IF(B3562="","",IF(ISNUMBER(B3562),TEXT(B3562,"YYYY-MM"),LEFT(B3562,7)))</f>
        <v/>
      </c>
    </row>
    <row r="3563">
      <c r="N3563" s="6">
        <f>IF(B3563="","",IF(ISNUMBER(B3563),TEXT(B3563,"YYYY-MM"),LEFT(B3563,7)))</f>
        <v/>
      </c>
    </row>
    <row r="3564">
      <c r="N3564" s="6">
        <f>IF(B3564="","",IF(ISNUMBER(B3564),TEXT(B3564,"YYYY-MM"),LEFT(B3564,7)))</f>
        <v/>
      </c>
    </row>
    <row r="3565">
      <c r="N3565" s="6">
        <f>IF(B3565="","",IF(ISNUMBER(B3565),TEXT(B3565,"YYYY-MM"),LEFT(B3565,7)))</f>
        <v/>
      </c>
    </row>
    <row r="3566">
      <c r="N3566" s="6">
        <f>IF(B3566="","",IF(ISNUMBER(B3566),TEXT(B3566,"YYYY-MM"),LEFT(B3566,7)))</f>
        <v/>
      </c>
    </row>
    <row r="3567">
      <c r="N3567" s="6">
        <f>IF(B3567="","",IF(ISNUMBER(B3567),TEXT(B3567,"YYYY-MM"),LEFT(B3567,7)))</f>
        <v/>
      </c>
    </row>
    <row r="3568">
      <c r="N3568" s="6">
        <f>IF(B3568="","",IF(ISNUMBER(B3568),TEXT(B3568,"YYYY-MM"),LEFT(B3568,7)))</f>
        <v/>
      </c>
    </row>
    <row r="3569">
      <c r="N3569" s="6">
        <f>IF(B3569="","",IF(ISNUMBER(B3569),TEXT(B3569,"YYYY-MM"),LEFT(B3569,7)))</f>
        <v/>
      </c>
    </row>
    <row r="3570">
      <c r="N3570" s="6">
        <f>IF(B3570="","",IF(ISNUMBER(B3570),TEXT(B3570,"YYYY-MM"),LEFT(B3570,7)))</f>
        <v/>
      </c>
    </row>
    <row r="3571">
      <c r="N3571" s="6">
        <f>IF(B3571="","",IF(ISNUMBER(B3571),TEXT(B3571,"YYYY-MM"),LEFT(B3571,7)))</f>
        <v/>
      </c>
    </row>
    <row r="3572">
      <c r="N3572" s="6">
        <f>IF(B3572="","",IF(ISNUMBER(B3572),TEXT(B3572,"YYYY-MM"),LEFT(B3572,7)))</f>
        <v/>
      </c>
    </row>
    <row r="3573">
      <c r="N3573" s="6">
        <f>IF(B3573="","",IF(ISNUMBER(B3573),TEXT(B3573,"YYYY-MM"),LEFT(B3573,7)))</f>
        <v/>
      </c>
    </row>
    <row r="3574">
      <c r="N3574" s="6">
        <f>IF(B3574="","",IF(ISNUMBER(B3574),TEXT(B3574,"YYYY-MM"),LEFT(B3574,7)))</f>
        <v/>
      </c>
    </row>
    <row r="3575">
      <c r="N3575" s="6">
        <f>IF(B3575="","",IF(ISNUMBER(B3575),TEXT(B3575,"YYYY-MM"),LEFT(B3575,7)))</f>
        <v/>
      </c>
    </row>
    <row r="3576">
      <c r="N3576" s="6">
        <f>IF(B3576="","",IF(ISNUMBER(B3576),TEXT(B3576,"YYYY-MM"),LEFT(B3576,7)))</f>
        <v/>
      </c>
    </row>
    <row r="3577">
      <c r="N3577" s="6">
        <f>IF(B3577="","",IF(ISNUMBER(B3577),TEXT(B3577,"YYYY-MM"),LEFT(B3577,7)))</f>
        <v/>
      </c>
    </row>
    <row r="3578">
      <c r="N3578" s="6">
        <f>IF(B3578="","",IF(ISNUMBER(B3578),TEXT(B3578,"YYYY-MM"),LEFT(B3578,7)))</f>
        <v/>
      </c>
    </row>
    <row r="3579">
      <c r="N3579" s="6">
        <f>IF(B3579="","",IF(ISNUMBER(B3579),TEXT(B3579,"YYYY-MM"),LEFT(B3579,7)))</f>
        <v/>
      </c>
    </row>
    <row r="3580">
      <c r="N3580" s="6">
        <f>IF(B3580="","",IF(ISNUMBER(B3580),TEXT(B3580,"YYYY-MM"),LEFT(B3580,7)))</f>
        <v/>
      </c>
    </row>
    <row r="3581">
      <c r="N3581" s="6">
        <f>IF(B3581="","",IF(ISNUMBER(B3581),TEXT(B3581,"YYYY-MM"),LEFT(B3581,7)))</f>
        <v/>
      </c>
    </row>
    <row r="3582">
      <c r="N3582" s="6">
        <f>IF(B3582="","",IF(ISNUMBER(B3582),TEXT(B3582,"YYYY-MM"),LEFT(B3582,7)))</f>
        <v/>
      </c>
    </row>
    <row r="3583">
      <c r="N3583" s="6">
        <f>IF(B3583="","",IF(ISNUMBER(B3583),TEXT(B3583,"YYYY-MM"),LEFT(B3583,7)))</f>
        <v/>
      </c>
    </row>
    <row r="3584">
      <c r="N3584" s="6">
        <f>IF(B3584="","",IF(ISNUMBER(B3584),TEXT(B3584,"YYYY-MM"),LEFT(B3584,7)))</f>
        <v/>
      </c>
    </row>
    <row r="3585">
      <c r="N3585" s="6">
        <f>IF(B3585="","",IF(ISNUMBER(B3585),TEXT(B3585,"YYYY-MM"),LEFT(B3585,7)))</f>
        <v/>
      </c>
    </row>
    <row r="3586">
      <c r="N3586" s="6">
        <f>IF(B3586="","",IF(ISNUMBER(B3586),TEXT(B3586,"YYYY-MM"),LEFT(B3586,7)))</f>
        <v/>
      </c>
    </row>
    <row r="3587">
      <c r="N3587" s="6">
        <f>IF(B3587="","",IF(ISNUMBER(B3587),TEXT(B3587,"YYYY-MM"),LEFT(B3587,7)))</f>
        <v/>
      </c>
    </row>
    <row r="3588">
      <c r="N3588" s="6">
        <f>IF(B3588="","",IF(ISNUMBER(B3588),TEXT(B3588,"YYYY-MM"),LEFT(B3588,7)))</f>
        <v/>
      </c>
    </row>
    <row r="3589">
      <c r="N3589" s="6">
        <f>IF(B3589="","",IF(ISNUMBER(B3589),TEXT(B3589,"YYYY-MM"),LEFT(B3589,7)))</f>
        <v/>
      </c>
    </row>
    <row r="3590">
      <c r="N3590" s="6">
        <f>IF(B3590="","",IF(ISNUMBER(B3590),TEXT(B3590,"YYYY-MM"),LEFT(B3590,7)))</f>
        <v/>
      </c>
    </row>
    <row r="3591">
      <c r="N3591" s="6">
        <f>IF(B3591="","",IF(ISNUMBER(B3591),TEXT(B3591,"YYYY-MM"),LEFT(B3591,7)))</f>
        <v/>
      </c>
    </row>
    <row r="3592">
      <c r="N3592" s="6">
        <f>IF(B3592="","",IF(ISNUMBER(B3592),TEXT(B3592,"YYYY-MM"),LEFT(B3592,7)))</f>
        <v/>
      </c>
    </row>
    <row r="3593">
      <c r="N3593" s="6">
        <f>IF(B3593="","",IF(ISNUMBER(B3593),TEXT(B3593,"YYYY-MM"),LEFT(B3593,7)))</f>
        <v/>
      </c>
    </row>
    <row r="3594">
      <c r="N3594" s="6">
        <f>IF(B3594="","",IF(ISNUMBER(B3594),TEXT(B3594,"YYYY-MM"),LEFT(B3594,7)))</f>
        <v/>
      </c>
    </row>
    <row r="3595">
      <c r="N3595" s="6">
        <f>IF(B3595="","",IF(ISNUMBER(B3595),TEXT(B3595,"YYYY-MM"),LEFT(B3595,7)))</f>
        <v/>
      </c>
    </row>
    <row r="3596">
      <c r="N3596" s="6">
        <f>IF(B3596="","",IF(ISNUMBER(B3596),TEXT(B3596,"YYYY-MM"),LEFT(B3596,7)))</f>
        <v/>
      </c>
    </row>
    <row r="3597">
      <c r="N3597" s="6">
        <f>IF(B3597="","",IF(ISNUMBER(B3597),TEXT(B3597,"YYYY-MM"),LEFT(B3597,7)))</f>
        <v/>
      </c>
    </row>
    <row r="3598">
      <c r="N3598" s="6">
        <f>IF(B3598="","",IF(ISNUMBER(B3598),TEXT(B3598,"YYYY-MM"),LEFT(B3598,7)))</f>
        <v/>
      </c>
    </row>
    <row r="3599">
      <c r="N3599" s="6">
        <f>IF(B3599="","",IF(ISNUMBER(B3599),TEXT(B3599,"YYYY-MM"),LEFT(B3599,7)))</f>
        <v/>
      </c>
    </row>
    <row r="3600">
      <c r="N3600" s="6">
        <f>IF(B3600="","",IF(ISNUMBER(B3600),TEXT(B3600,"YYYY-MM"),LEFT(B3600,7)))</f>
        <v/>
      </c>
    </row>
    <row r="3601">
      <c r="N3601" s="6">
        <f>IF(B3601="","",IF(ISNUMBER(B3601),TEXT(B3601,"YYYY-MM"),LEFT(B3601,7)))</f>
        <v/>
      </c>
    </row>
    <row r="3602">
      <c r="N3602" s="6">
        <f>IF(B3602="","",IF(ISNUMBER(B3602),TEXT(B3602,"YYYY-MM"),LEFT(B3602,7)))</f>
        <v/>
      </c>
    </row>
    <row r="3603">
      <c r="N3603" s="6">
        <f>IF(B3603="","",IF(ISNUMBER(B3603),TEXT(B3603,"YYYY-MM"),LEFT(B3603,7)))</f>
        <v/>
      </c>
    </row>
    <row r="3604">
      <c r="N3604" s="6">
        <f>IF(B3604="","",IF(ISNUMBER(B3604),TEXT(B3604,"YYYY-MM"),LEFT(B3604,7)))</f>
        <v/>
      </c>
    </row>
    <row r="3605">
      <c r="N3605" s="6">
        <f>IF(B3605="","",IF(ISNUMBER(B3605),TEXT(B3605,"YYYY-MM"),LEFT(B3605,7)))</f>
        <v/>
      </c>
    </row>
    <row r="3606">
      <c r="N3606" s="6">
        <f>IF(B3606="","",IF(ISNUMBER(B3606),TEXT(B3606,"YYYY-MM"),LEFT(B3606,7)))</f>
        <v/>
      </c>
    </row>
    <row r="3607">
      <c r="N3607" s="6">
        <f>IF(B3607="","",IF(ISNUMBER(B3607),TEXT(B3607,"YYYY-MM"),LEFT(B3607,7)))</f>
        <v/>
      </c>
    </row>
    <row r="3608">
      <c r="N3608" s="6">
        <f>IF(B3608="","",IF(ISNUMBER(B3608),TEXT(B3608,"YYYY-MM"),LEFT(B3608,7)))</f>
        <v/>
      </c>
    </row>
    <row r="3609">
      <c r="N3609" s="6">
        <f>IF(B3609="","",IF(ISNUMBER(B3609),TEXT(B3609,"YYYY-MM"),LEFT(B3609,7)))</f>
        <v/>
      </c>
    </row>
    <row r="3610">
      <c r="N3610" s="6">
        <f>IF(B3610="","",IF(ISNUMBER(B3610),TEXT(B3610,"YYYY-MM"),LEFT(B3610,7)))</f>
        <v/>
      </c>
    </row>
    <row r="3611">
      <c r="N3611" s="6">
        <f>IF(B3611="","",IF(ISNUMBER(B3611),TEXT(B3611,"YYYY-MM"),LEFT(B3611,7)))</f>
        <v/>
      </c>
    </row>
    <row r="3612">
      <c r="N3612" s="6">
        <f>IF(B3612="","",IF(ISNUMBER(B3612),TEXT(B3612,"YYYY-MM"),LEFT(B3612,7)))</f>
        <v/>
      </c>
    </row>
    <row r="3613">
      <c r="N3613" s="6">
        <f>IF(B3613="","",IF(ISNUMBER(B3613),TEXT(B3613,"YYYY-MM"),LEFT(B3613,7)))</f>
        <v/>
      </c>
    </row>
    <row r="3614">
      <c r="N3614" s="6">
        <f>IF(B3614="","",IF(ISNUMBER(B3614),TEXT(B3614,"YYYY-MM"),LEFT(B3614,7)))</f>
        <v/>
      </c>
    </row>
    <row r="3615">
      <c r="N3615" s="6">
        <f>IF(B3615="","",IF(ISNUMBER(B3615),TEXT(B3615,"YYYY-MM"),LEFT(B3615,7)))</f>
        <v/>
      </c>
    </row>
    <row r="3616">
      <c r="N3616" s="6">
        <f>IF(B3616="","",IF(ISNUMBER(B3616),TEXT(B3616,"YYYY-MM"),LEFT(B3616,7)))</f>
        <v/>
      </c>
    </row>
    <row r="3617">
      <c r="N3617" s="6">
        <f>IF(B3617="","",IF(ISNUMBER(B3617),TEXT(B3617,"YYYY-MM"),LEFT(B3617,7)))</f>
        <v/>
      </c>
    </row>
    <row r="3618">
      <c r="N3618" s="6">
        <f>IF(B3618="","",IF(ISNUMBER(B3618),TEXT(B3618,"YYYY-MM"),LEFT(B3618,7)))</f>
        <v/>
      </c>
    </row>
    <row r="3619">
      <c r="N3619" s="6">
        <f>IF(B3619="","",IF(ISNUMBER(B3619),TEXT(B3619,"YYYY-MM"),LEFT(B3619,7)))</f>
        <v/>
      </c>
    </row>
    <row r="3620">
      <c r="N3620" s="6">
        <f>IF(B3620="","",IF(ISNUMBER(B3620),TEXT(B3620,"YYYY-MM"),LEFT(B3620,7)))</f>
        <v/>
      </c>
    </row>
    <row r="3621">
      <c r="N3621" s="6">
        <f>IF(B3621="","",IF(ISNUMBER(B3621),TEXT(B3621,"YYYY-MM"),LEFT(B3621,7)))</f>
        <v/>
      </c>
    </row>
    <row r="3622">
      <c r="N3622" s="6">
        <f>IF(B3622="","",IF(ISNUMBER(B3622),TEXT(B3622,"YYYY-MM"),LEFT(B3622,7)))</f>
        <v/>
      </c>
    </row>
    <row r="3623">
      <c r="N3623" s="6">
        <f>IF(B3623="","",IF(ISNUMBER(B3623),TEXT(B3623,"YYYY-MM"),LEFT(B3623,7)))</f>
        <v/>
      </c>
    </row>
    <row r="3624">
      <c r="N3624" s="6">
        <f>IF(B3624="","",IF(ISNUMBER(B3624),TEXT(B3624,"YYYY-MM"),LEFT(B3624,7)))</f>
        <v/>
      </c>
    </row>
    <row r="3625">
      <c r="N3625" s="6">
        <f>IF(B3625="","",IF(ISNUMBER(B3625),TEXT(B3625,"YYYY-MM"),LEFT(B3625,7)))</f>
        <v/>
      </c>
    </row>
    <row r="3626">
      <c r="N3626" s="6">
        <f>IF(B3626="","",IF(ISNUMBER(B3626),TEXT(B3626,"YYYY-MM"),LEFT(B3626,7)))</f>
        <v/>
      </c>
    </row>
    <row r="3627">
      <c r="N3627" s="6">
        <f>IF(B3627="","",IF(ISNUMBER(B3627),TEXT(B3627,"YYYY-MM"),LEFT(B3627,7)))</f>
        <v/>
      </c>
    </row>
    <row r="3628">
      <c r="N3628" s="6">
        <f>IF(B3628="","",IF(ISNUMBER(B3628),TEXT(B3628,"YYYY-MM"),LEFT(B3628,7)))</f>
        <v/>
      </c>
    </row>
    <row r="3629">
      <c r="N3629" s="6">
        <f>IF(B3629="","",IF(ISNUMBER(B3629),TEXT(B3629,"YYYY-MM"),LEFT(B3629,7)))</f>
        <v/>
      </c>
    </row>
    <row r="3630">
      <c r="N3630" s="6">
        <f>IF(B3630="","",IF(ISNUMBER(B3630),TEXT(B3630,"YYYY-MM"),LEFT(B3630,7)))</f>
        <v/>
      </c>
    </row>
    <row r="3631">
      <c r="N3631" s="6">
        <f>IF(B3631="","",IF(ISNUMBER(B3631),TEXT(B3631,"YYYY-MM"),LEFT(B3631,7)))</f>
        <v/>
      </c>
    </row>
    <row r="3632">
      <c r="N3632" s="6">
        <f>IF(B3632="","",IF(ISNUMBER(B3632),TEXT(B3632,"YYYY-MM"),LEFT(B3632,7)))</f>
        <v/>
      </c>
    </row>
    <row r="3633">
      <c r="N3633" s="6">
        <f>IF(B3633="","",IF(ISNUMBER(B3633),TEXT(B3633,"YYYY-MM"),LEFT(B3633,7)))</f>
        <v/>
      </c>
    </row>
    <row r="3634">
      <c r="N3634" s="6">
        <f>IF(B3634="","",IF(ISNUMBER(B3634),TEXT(B3634,"YYYY-MM"),LEFT(B3634,7)))</f>
        <v/>
      </c>
    </row>
    <row r="3635">
      <c r="N3635" s="6">
        <f>IF(B3635="","",IF(ISNUMBER(B3635),TEXT(B3635,"YYYY-MM"),LEFT(B3635,7)))</f>
        <v/>
      </c>
    </row>
    <row r="3636">
      <c r="N3636" s="6">
        <f>IF(B3636="","",IF(ISNUMBER(B3636),TEXT(B3636,"YYYY-MM"),LEFT(B3636,7)))</f>
        <v/>
      </c>
    </row>
    <row r="3637">
      <c r="N3637" s="6">
        <f>IF(B3637="","",IF(ISNUMBER(B3637),TEXT(B3637,"YYYY-MM"),LEFT(B3637,7)))</f>
        <v/>
      </c>
    </row>
    <row r="3638">
      <c r="N3638" s="6">
        <f>IF(B3638="","",IF(ISNUMBER(B3638),TEXT(B3638,"YYYY-MM"),LEFT(B3638,7)))</f>
        <v/>
      </c>
    </row>
    <row r="3639">
      <c r="N3639" s="6">
        <f>IF(B3639="","",IF(ISNUMBER(B3639),TEXT(B3639,"YYYY-MM"),LEFT(B3639,7)))</f>
        <v/>
      </c>
    </row>
    <row r="3640">
      <c r="N3640" s="6">
        <f>IF(B3640="","",IF(ISNUMBER(B3640),TEXT(B3640,"YYYY-MM"),LEFT(B3640,7)))</f>
        <v/>
      </c>
    </row>
    <row r="3641">
      <c r="N3641" s="6">
        <f>IF(B3641="","",IF(ISNUMBER(B3641),TEXT(B3641,"YYYY-MM"),LEFT(B3641,7)))</f>
        <v/>
      </c>
    </row>
    <row r="3642">
      <c r="N3642" s="6">
        <f>IF(B3642="","",IF(ISNUMBER(B3642),TEXT(B3642,"YYYY-MM"),LEFT(B3642,7)))</f>
        <v/>
      </c>
    </row>
    <row r="3643">
      <c r="N3643" s="6">
        <f>IF(B3643="","",IF(ISNUMBER(B3643),TEXT(B3643,"YYYY-MM"),LEFT(B3643,7)))</f>
        <v/>
      </c>
    </row>
    <row r="3644">
      <c r="N3644" s="6">
        <f>IF(B3644="","",IF(ISNUMBER(B3644),TEXT(B3644,"YYYY-MM"),LEFT(B3644,7)))</f>
        <v/>
      </c>
    </row>
    <row r="3645">
      <c r="N3645" s="6">
        <f>IF(B3645="","",IF(ISNUMBER(B3645),TEXT(B3645,"YYYY-MM"),LEFT(B3645,7)))</f>
        <v/>
      </c>
    </row>
    <row r="3646">
      <c r="N3646" s="6">
        <f>IF(B3646="","",IF(ISNUMBER(B3646),TEXT(B3646,"YYYY-MM"),LEFT(B3646,7)))</f>
        <v/>
      </c>
    </row>
    <row r="3647">
      <c r="N3647" s="6">
        <f>IF(B3647="","",IF(ISNUMBER(B3647),TEXT(B3647,"YYYY-MM"),LEFT(B3647,7)))</f>
        <v/>
      </c>
    </row>
    <row r="3648">
      <c r="N3648" s="6">
        <f>IF(B3648="","",IF(ISNUMBER(B3648),TEXT(B3648,"YYYY-MM"),LEFT(B3648,7)))</f>
        <v/>
      </c>
    </row>
    <row r="3649">
      <c r="N3649" s="6">
        <f>IF(B3649="","",IF(ISNUMBER(B3649),TEXT(B3649,"YYYY-MM"),LEFT(B3649,7)))</f>
        <v/>
      </c>
    </row>
    <row r="3650">
      <c r="N3650" s="6">
        <f>IF(B3650="","",IF(ISNUMBER(B3650),TEXT(B3650,"YYYY-MM"),LEFT(B3650,7)))</f>
        <v/>
      </c>
    </row>
    <row r="3651">
      <c r="N3651" s="6">
        <f>IF(B3651="","",IF(ISNUMBER(B3651),TEXT(B3651,"YYYY-MM"),LEFT(B3651,7)))</f>
        <v/>
      </c>
    </row>
    <row r="3652">
      <c r="N3652" s="6">
        <f>IF(B3652="","",IF(ISNUMBER(B3652),TEXT(B3652,"YYYY-MM"),LEFT(B3652,7)))</f>
        <v/>
      </c>
    </row>
    <row r="3653">
      <c r="N3653" s="6">
        <f>IF(B3653="","",IF(ISNUMBER(B3653),TEXT(B3653,"YYYY-MM"),LEFT(B3653,7)))</f>
        <v/>
      </c>
    </row>
    <row r="3654">
      <c r="N3654" s="6">
        <f>IF(B3654="","",IF(ISNUMBER(B3654),TEXT(B3654,"YYYY-MM"),LEFT(B3654,7)))</f>
        <v/>
      </c>
    </row>
    <row r="3655">
      <c r="N3655" s="6">
        <f>IF(B3655="","",IF(ISNUMBER(B3655),TEXT(B3655,"YYYY-MM"),LEFT(B3655,7)))</f>
        <v/>
      </c>
    </row>
    <row r="3656">
      <c r="N3656" s="6">
        <f>IF(B3656="","",IF(ISNUMBER(B3656),TEXT(B3656,"YYYY-MM"),LEFT(B3656,7)))</f>
        <v/>
      </c>
    </row>
    <row r="3657">
      <c r="N3657" s="6">
        <f>IF(B3657="","",IF(ISNUMBER(B3657),TEXT(B3657,"YYYY-MM"),LEFT(B3657,7)))</f>
        <v/>
      </c>
    </row>
    <row r="3658">
      <c r="N3658" s="6">
        <f>IF(B3658="","",IF(ISNUMBER(B3658),TEXT(B3658,"YYYY-MM"),LEFT(B3658,7)))</f>
        <v/>
      </c>
    </row>
    <row r="3659">
      <c r="N3659" s="6">
        <f>IF(B3659="","",IF(ISNUMBER(B3659),TEXT(B3659,"YYYY-MM"),LEFT(B3659,7)))</f>
        <v/>
      </c>
    </row>
    <row r="3660">
      <c r="N3660" s="6">
        <f>IF(B3660="","",IF(ISNUMBER(B3660),TEXT(B3660,"YYYY-MM"),LEFT(B3660,7)))</f>
        <v/>
      </c>
    </row>
    <row r="3661">
      <c r="N3661" s="6">
        <f>IF(B3661="","",IF(ISNUMBER(B3661),TEXT(B3661,"YYYY-MM"),LEFT(B3661,7)))</f>
        <v/>
      </c>
    </row>
    <row r="3662">
      <c r="N3662" s="6">
        <f>IF(B3662="","",IF(ISNUMBER(B3662),TEXT(B3662,"YYYY-MM"),LEFT(B3662,7)))</f>
        <v/>
      </c>
    </row>
    <row r="3663">
      <c r="N3663" s="6">
        <f>IF(B3663="","",IF(ISNUMBER(B3663),TEXT(B3663,"YYYY-MM"),LEFT(B3663,7)))</f>
        <v/>
      </c>
    </row>
    <row r="3664">
      <c r="N3664" s="6">
        <f>IF(B3664="","",IF(ISNUMBER(B3664),TEXT(B3664,"YYYY-MM"),LEFT(B3664,7)))</f>
        <v/>
      </c>
    </row>
    <row r="3665">
      <c r="N3665" s="6">
        <f>IF(B3665="","",IF(ISNUMBER(B3665),TEXT(B3665,"YYYY-MM"),LEFT(B3665,7)))</f>
        <v/>
      </c>
    </row>
    <row r="3666">
      <c r="N3666" s="6">
        <f>IF(B3666="","",IF(ISNUMBER(B3666),TEXT(B3666,"YYYY-MM"),LEFT(B3666,7)))</f>
        <v/>
      </c>
    </row>
    <row r="3667">
      <c r="N3667" s="6">
        <f>IF(B3667="","",IF(ISNUMBER(B3667),TEXT(B3667,"YYYY-MM"),LEFT(B3667,7)))</f>
        <v/>
      </c>
    </row>
    <row r="3668">
      <c r="N3668" s="6">
        <f>IF(B3668="","",IF(ISNUMBER(B3668),TEXT(B3668,"YYYY-MM"),LEFT(B3668,7)))</f>
        <v/>
      </c>
    </row>
    <row r="3669">
      <c r="N3669" s="6">
        <f>IF(B3669="","",IF(ISNUMBER(B3669),TEXT(B3669,"YYYY-MM"),LEFT(B3669,7)))</f>
        <v/>
      </c>
    </row>
    <row r="3670">
      <c r="N3670" s="6">
        <f>IF(B3670="","",IF(ISNUMBER(B3670),TEXT(B3670,"YYYY-MM"),LEFT(B3670,7)))</f>
        <v/>
      </c>
    </row>
    <row r="3671">
      <c r="N3671" s="6">
        <f>IF(B3671="","",IF(ISNUMBER(B3671),TEXT(B3671,"YYYY-MM"),LEFT(B3671,7)))</f>
        <v/>
      </c>
    </row>
    <row r="3672">
      <c r="N3672" s="6">
        <f>IF(B3672="","",IF(ISNUMBER(B3672),TEXT(B3672,"YYYY-MM"),LEFT(B3672,7)))</f>
        <v/>
      </c>
    </row>
    <row r="3673">
      <c r="N3673" s="6">
        <f>IF(B3673="","",IF(ISNUMBER(B3673),TEXT(B3673,"YYYY-MM"),LEFT(B3673,7)))</f>
        <v/>
      </c>
    </row>
    <row r="3674">
      <c r="N3674" s="6">
        <f>IF(B3674="","",IF(ISNUMBER(B3674),TEXT(B3674,"YYYY-MM"),LEFT(B3674,7)))</f>
        <v/>
      </c>
    </row>
    <row r="3675">
      <c r="N3675" s="6">
        <f>IF(B3675="","",IF(ISNUMBER(B3675),TEXT(B3675,"YYYY-MM"),LEFT(B3675,7)))</f>
        <v/>
      </c>
    </row>
    <row r="3676">
      <c r="N3676" s="6">
        <f>IF(B3676="","",IF(ISNUMBER(B3676),TEXT(B3676,"YYYY-MM"),LEFT(B3676,7)))</f>
        <v/>
      </c>
    </row>
    <row r="3677">
      <c r="N3677" s="6">
        <f>IF(B3677="","",IF(ISNUMBER(B3677),TEXT(B3677,"YYYY-MM"),LEFT(B3677,7)))</f>
        <v/>
      </c>
    </row>
    <row r="3678">
      <c r="N3678" s="6">
        <f>IF(B3678="","",IF(ISNUMBER(B3678),TEXT(B3678,"YYYY-MM"),LEFT(B3678,7)))</f>
        <v/>
      </c>
    </row>
    <row r="3679">
      <c r="N3679" s="6">
        <f>IF(B3679="","",IF(ISNUMBER(B3679),TEXT(B3679,"YYYY-MM"),LEFT(B3679,7)))</f>
        <v/>
      </c>
    </row>
    <row r="3680">
      <c r="N3680" s="6">
        <f>IF(B3680="","",IF(ISNUMBER(B3680),TEXT(B3680,"YYYY-MM"),LEFT(B3680,7)))</f>
        <v/>
      </c>
    </row>
    <row r="3681">
      <c r="N3681" s="6">
        <f>IF(B3681="","",IF(ISNUMBER(B3681),TEXT(B3681,"YYYY-MM"),LEFT(B3681,7)))</f>
        <v/>
      </c>
    </row>
    <row r="3682">
      <c r="N3682" s="6">
        <f>IF(B3682="","",IF(ISNUMBER(B3682),TEXT(B3682,"YYYY-MM"),LEFT(B3682,7)))</f>
        <v/>
      </c>
    </row>
    <row r="3683">
      <c r="N3683" s="6">
        <f>IF(B3683="","",IF(ISNUMBER(B3683),TEXT(B3683,"YYYY-MM"),LEFT(B3683,7)))</f>
        <v/>
      </c>
    </row>
    <row r="3684">
      <c r="N3684" s="6">
        <f>IF(B3684="","",IF(ISNUMBER(B3684),TEXT(B3684,"YYYY-MM"),LEFT(B3684,7)))</f>
        <v/>
      </c>
    </row>
    <row r="3685">
      <c r="N3685" s="6">
        <f>IF(B3685="","",IF(ISNUMBER(B3685),TEXT(B3685,"YYYY-MM"),LEFT(B3685,7)))</f>
        <v/>
      </c>
    </row>
    <row r="3686">
      <c r="N3686" s="6">
        <f>IF(B3686="","",IF(ISNUMBER(B3686),TEXT(B3686,"YYYY-MM"),LEFT(B3686,7)))</f>
        <v/>
      </c>
    </row>
    <row r="3687">
      <c r="N3687" s="6">
        <f>IF(B3687="","",IF(ISNUMBER(B3687),TEXT(B3687,"YYYY-MM"),LEFT(B3687,7)))</f>
        <v/>
      </c>
    </row>
    <row r="3688">
      <c r="N3688" s="6">
        <f>IF(B3688="","",IF(ISNUMBER(B3688),TEXT(B3688,"YYYY-MM"),LEFT(B3688,7)))</f>
        <v/>
      </c>
    </row>
    <row r="3689">
      <c r="N3689" s="6">
        <f>IF(B3689="","",IF(ISNUMBER(B3689),TEXT(B3689,"YYYY-MM"),LEFT(B3689,7)))</f>
        <v/>
      </c>
    </row>
    <row r="3690">
      <c r="N3690" s="6">
        <f>IF(B3690="","",IF(ISNUMBER(B3690),TEXT(B3690,"YYYY-MM"),LEFT(B3690,7)))</f>
        <v/>
      </c>
    </row>
    <row r="3691">
      <c r="N3691" s="6">
        <f>IF(B3691="","",IF(ISNUMBER(B3691),TEXT(B3691,"YYYY-MM"),LEFT(B3691,7)))</f>
        <v/>
      </c>
    </row>
    <row r="3692">
      <c r="N3692" s="6">
        <f>IF(B3692="","",IF(ISNUMBER(B3692),TEXT(B3692,"YYYY-MM"),LEFT(B3692,7)))</f>
        <v/>
      </c>
    </row>
    <row r="3693">
      <c r="N3693" s="6">
        <f>IF(B3693="","",IF(ISNUMBER(B3693),TEXT(B3693,"YYYY-MM"),LEFT(B3693,7)))</f>
        <v/>
      </c>
    </row>
    <row r="3694">
      <c r="N3694" s="6">
        <f>IF(B3694="","",IF(ISNUMBER(B3694),TEXT(B3694,"YYYY-MM"),LEFT(B3694,7)))</f>
        <v/>
      </c>
    </row>
    <row r="3695">
      <c r="N3695" s="6">
        <f>IF(B3695="","",IF(ISNUMBER(B3695),TEXT(B3695,"YYYY-MM"),LEFT(B3695,7)))</f>
        <v/>
      </c>
    </row>
    <row r="3696">
      <c r="N3696" s="6">
        <f>IF(B3696="","",IF(ISNUMBER(B3696),TEXT(B3696,"YYYY-MM"),LEFT(B3696,7)))</f>
        <v/>
      </c>
    </row>
    <row r="3697">
      <c r="N3697" s="6">
        <f>IF(B3697="","",IF(ISNUMBER(B3697),TEXT(B3697,"YYYY-MM"),LEFT(B3697,7)))</f>
        <v/>
      </c>
    </row>
    <row r="3698">
      <c r="N3698" s="6">
        <f>IF(B3698="","",IF(ISNUMBER(B3698),TEXT(B3698,"YYYY-MM"),LEFT(B3698,7)))</f>
        <v/>
      </c>
    </row>
    <row r="3699">
      <c r="N3699" s="6">
        <f>IF(B3699="","",IF(ISNUMBER(B3699),TEXT(B3699,"YYYY-MM"),LEFT(B3699,7)))</f>
        <v/>
      </c>
    </row>
    <row r="3700">
      <c r="N3700" s="6">
        <f>IF(B3700="","",IF(ISNUMBER(B3700),TEXT(B3700,"YYYY-MM"),LEFT(B3700,7)))</f>
        <v/>
      </c>
    </row>
    <row r="3701">
      <c r="N3701" s="6">
        <f>IF(B3701="","",IF(ISNUMBER(B3701),TEXT(B3701,"YYYY-MM"),LEFT(B3701,7)))</f>
        <v/>
      </c>
    </row>
    <row r="3702">
      <c r="N3702" s="6">
        <f>IF(B3702="","",IF(ISNUMBER(B3702),TEXT(B3702,"YYYY-MM"),LEFT(B3702,7)))</f>
        <v/>
      </c>
    </row>
    <row r="3703">
      <c r="N3703" s="6">
        <f>IF(B3703="","",IF(ISNUMBER(B3703),TEXT(B3703,"YYYY-MM"),LEFT(B3703,7)))</f>
        <v/>
      </c>
    </row>
    <row r="3704">
      <c r="N3704" s="6">
        <f>IF(B3704="","",IF(ISNUMBER(B3704),TEXT(B3704,"YYYY-MM"),LEFT(B3704,7)))</f>
        <v/>
      </c>
    </row>
    <row r="3705">
      <c r="N3705" s="6">
        <f>IF(B3705="","",IF(ISNUMBER(B3705),TEXT(B3705,"YYYY-MM"),LEFT(B3705,7)))</f>
        <v/>
      </c>
    </row>
    <row r="3706">
      <c r="N3706" s="6">
        <f>IF(B3706="","",IF(ISNUMBER(B3706),TEXT(B3706,"YYYY-MM"),LEFT(B3706,7)))</f>
        <v/>
      </c>
    </row>
    <row r="3707">
      <c r="N3707" s="6">
        <f>IF(B3707="","",IF(ISNUMBER(B3707),TEXT(B3707,"YYYY-MM"),LEFT(B3707,7)))</f>
        <v/>
      </c>
    </row>
    <row r="3708">
      <c r="N3708" s="6">
        <f>IF(B3708="","",IF(ISNUMBER(B3708),TEXT(B3708,"YYYY-MM"),LEFT(B3708,7)))</f>
        <v/>
      </c>
    </row>
    <row r="3709">
      <c r="N3709" s="6">
        <f>IF(B3709="","",IF(ISNUMBER(B3709),TEXT(B3709,"YYYY-MM"),LEFT(B3709,7)))</f>
        <v/>
      </c>
    </row>
    <row r="3710">
      <c r="N3710" s="6">
        <f>IF(B3710="","",IF(ISNUMBER(B3710),TEXT(B3710,"YYYY-MM"),LEFT(B3710,7)))</f>
        <v/>
      </c>
    </row>
    <row r="3711">
      <c r="N3711" s="6">
        <f>IF(B3711="","",IF(ISNUMBER(B3711),TEXT(B3711,"YYYY-MM"),LEFT(B3711,7)))</f>
        <v/>
      </c>
    </row>
    <row r="3712">
      <c r="N3712" s="6">
        <f>IF(B3712="","",IF(ISNUMBER(B3712),TEXT(B3712,"YYYY-MM"),LEFT(B3712,7)))</f>
        <v/>
      </c>
    </row>
    <row r="3713">
      <c r="N3713" s="6">
        <f>IF(B3713="","",IF(ISNUMBER(B3713),TEXT(B3713,"YYYY-MM"),LEFT(B3713,7)))</f>
        <v/>
      </c>
    </row>
    <row r="3714">
      <c r="N3714" s="6">
        <f>IF(B3714="","",IF(ISNUMBER(B3714),TEXT(B3714,"YYYY-MM"),LEFT(B3714,7)))</f>
        <v/>
      </c>
    </row>
    <row r="3715">
      <c r="N3715" s="6">
        <f>IF(B3715="","",IF(ISNUMBER(B3715),TEXT(B3715,"YYYY-MM"),LEFT(B3715,7)))</f>
        <v/>
      </c>
    </row>
    <row r="3716">
      <c r="N3716" s="6">
        <f>IF(B3716="","",IF(ISNUMBER(B3716),TEXT(B3716,"YYYY-MM"),LEFT(B3716,7)))</f>
        <v/>
      </c>
    </row>
    <row r="3717">
      <c r="N3717" s="6">
        <f>IF(B3717="","",IF(ISNUMBER(B3717),TEXT(B3717,"YYYY-MM"),LEFT(B3717,7)))</f>
        <v/>
      </c>
    </row>
    <row r="3718">
      <c r="N3718" s="6">
        <f>IF(B3718="","",IF(ISNUMBER(B3718),TEXT(B3718,"YYYY-MM"),LEFT(B3718,7)))</f>
        <v/>
      </c>
    </row>
    <row r="3719">
      <c r="N3719" s="6">
        <f>IF(B3719="","",IF(ISNUMBER(B3719),TEXT(B3719,"YYYY-MM"),LEFT(B3719,7)))</f>
        <v/>
      </c>
    </row>
    <row r="3720">
      <c r="N3720" s="6">
        <f>IF(B3720="","",IF(ISNUMBER(B3720),TEXT(B3720,"YYYY-MM"),LEFT(B3720,7)))</f>
        <v/>
      </c>
    </row>
    <row r="3721">
      <c r="N3721" s="6">
        <f>IF(B3721="","",IF(ISNUMBER(B3721),TEXT(B3721,"YYYY-MM"),LEFT(B3721,7)))</f>
        <v/>
      </c>
    </row>
    <row r="3722">
      <c r="N3722" s="6">
        <f>IF(B3722="","",IF(ISNUMBER(B3722),TEXT(B3722,"YYYY-MM"),LEFT(B3722,7)))</f>
        <v/>
      </c>
    </row>
    <row r="3723">
      <c r="N3723" s="6">
        <f>IF(B3723="","",IF(ISNUMBER(B3723),TEXT(B3723,"YYYY-MM"),LEFT(B3723,7)))</f>
        <v/>
      </c>
    </row>
    <row r="3724">
      <c r="N3724" s="6">
        <f>IF(B3724="","",IF(ISNUMBER(B3724),TEXT(B3724,"YYYY-MM"),LEFT(B3724,7)))</f>
        <v/>
      </c>
    </row>
    <row r="3725">
      <c r="N3725" s="6">
        <f>IF(B3725="","",IF(ISNUMBER(B3725),TEXT(B3725,"YYYY-MM"),LEFT(B3725,7)))</f>
        <v/>
      </c>
    </row>
    <row r="3726">
      <c r="N3726" s="6">
        <f>IF(B3726="","",IF(ISNUMBER(B3726),TEXT(B3726,"YYYY-MM"),LEFT(B3726,7)))</f>
        <v/>
      </c>
    </row>
    <row r="3727">
      <c r="N3727" s="6">
        <f>IF(B3727="","",IF(ISNUMBER(B3727),TEXT(B3727,"YYYY-MM"),LEFT(B3727,7)))</f>
        <v/>
      </c>
    </row>
    <row r="3728">
      <c r="N3728" s="6">
        <f>IF(B3728="","",IF(ISNUMBER(B3728),TEXT(B3728,"YYYY-MM"),LEFT(B3728,7)))</f>
        <v/>
      </c>
    </row>
    <row r="3729">
      <c r="N3729" s="6">
        <f>IF(B3729="","",IF(ISNUMBER(B3729),TEXT(B3729,"YYYY-MM"),LEFT(B3729,7)))</f>
        <v/>
      </c>
    </row>
    <row r="3730">
      <c r="N3730" s="6">
        <f>IF(B3730="","",IF(ISNUMBER(B3730),TEXT(B3730,"YYYY-MM"),LEFT(B3730,7)))</f>
        <v/>
      </c>
    </row>
    <row r="3731">
      <c r="N3731" s="6">
        <f>IF(B3731="","",IF(ISNUMBER(B3731),TEXT(B3731,"YYYY-MM"),LEFT(B3731,7)))</f>
        <v/>
      </c>
    </row>
    <row r="3732">
      <c r="N3732" s="6">
        <f>IF(B3732="","",IF(ISNUMBER(B3732),TEXT(B3732,"YYYY-MM"),LEFT(B3732,7)))</f>
        <v/>
      </c>
    </row>
    <row r="3733">
      <c r="N3733" s="6">
        <f>IF(B3733="","",IF(ISNUMBER(B3733),TEXT(B3733,"YYYY-MM"),LEFT(B3733,7)))</f>
        <v/>
      </c>
    </row>
    <row r="3734">
      <c r="N3734" s="6">
        <f>IF(B3734="","",IF(ISNUMBER(B3734),TEXT(B3734,"YYYY-MM"),LEFT(B3734,7)))</f>
        <v/>
      </c>
    </row>
    <row r="3735">
      <c r="N3735" s="6">
        <f>IF(B3735="","",IF(ISNUMBER(B3735),TEXT(B3735,"YYYY-MM"),LEFT(B3735,7)))</f>
        <v/>
      </c>
    </row>
    <row r="3736">
      <c r="N3736" s="6">
        <f>IF(B3736="","",IF(ISNUMBER(B3736),TEXT(B3736,"YYYY-MM"),LEFT(B3736,7)))</f>
        <v/>
      </c>
    </row>
    <row r="3737">
      <c r="N3737" s="6">
        <f>IF(B3737="","",IF(ISNUMBER(B3737),TEXT(B3737,"YYYY-MM"),LEFT(B3737,7)))</f>
        <v/>
      </c>
    </row>
    <row r="3738">
      <c r="N3738" s="6">
        <f>IF(B3738="","",IF(ISNUMBER(B3738),TEXT(B3738,"YYYY-MM"),LEFT(B3738,7)))</f>
        <v/>
      </c>
    </row>
    <row r="3739">
      <c r="N3739" s="6">
        <f>IF(B3739="","",IF(ISNUMBER(B3739),TEXT(B3739,"YYYY-MM"),LEFT(B3739,7)))</f>
        <v/>
      </c>
    </row>
    <row r="3740">
      <c r="N3740" s="6">
        <f>IF(B3740="","",IF(ISNUMBER(B3740),TEXT(B3740,"YYYY-MM"),LEFT(B3740,7)))</f>
        <v/>
      </c>
    </row>
    <row r="3741">
      <c r="N3741" s="6">
        <f>IF(B3741="","",IF(ISNUMBER(B3741),TEXT(B3741,"YYYY-MM"),LEFT(B3741,7)))</f>
        <v/>
      </c>
    </row>
    <row r="3742">
      <c r="N3742" s="6">
        <f>IF(B3742="","",IF(ISNUMBER(B3742),TEXT(B3742,"YYYY-MM"),LEFT(B3742,7)))</f>
        <v/>
      </c>
    </row>
    <row r="3743">
      <c r="N3743" s="6">
        <f>IF(B3743="","",IF(ISNUMBER(B3743),TEXT(B3743,"YYYY-MM"),LEFT(B3743,7)))</f>
        <v/>
      </c>
    </row>
    <row r="3744">
      <c r="N3744" s="6">
        <f>IF(B3744="","",IF(ISNUMBER(B3744),TEXT(B3744,"YYYY-MM"),LEFT(B3744,7)))</f>
        <v/>
      </c>
    </row>
    <row r="3745">
      <c r="N3745" s="6">
        <f>IF(B3745="","",IF(ISNUMBER(B3745),TEXT(B3745,"YYYY-MM"),LEFT(B3745,7)))</f>
        <v/>
      </c>
    </row>
    <row r="3746">
      <c r="N3746" s="6">
        <f>IF(B3746="","",IF(ISNUMBER(B3746),TEXT(B3746,"YYYY-MM"),LEFT(B3746,7)))</f>
        <v/>
      </c>
    </row>
    <row r="3747">
      <c r="N3747" s="6">
        <f>IF(B3747="","",IF(ISNUMBER(B3747),TEXT(B3747,"YYYY-MM"),LEFT(B3747,7)))</f>
        <v/>
      </c>
    </row>
    <row r="3748">
      <c r="N3748" s="6">
        <f>IF(B3748="","",IF(ISNUMBER(B3748),TEXT(B3748,"YYYY-MM"),LEFT(B3748,7)))</f>
        <v/>
      </c>
    </row>
    <row r="3749">
      <c r="N3749" s="6">
        <f>IF(B3749="","",IF(ISNUMBER(B3749),TEXT(B3749,"YYYY-MM"),LEFT(B3749,7)))</f>
        <v/>
      </c>
    </row>
    <row r="3750">
      <c r="N3750" s="6">
        <f>IF(B3750="","",IF(ISNUMBER(B3750),TEXT(B3750,"YYYY-MM"),LEFT(B3750,7)))</f>
        <v/>
      </c>
    </row>
    <row r="3751">
      <c r="N3751" s="6">
        <f>IF(B3751="","",IF(ISNUMBER(B3751),TEXT(B3751,"YYYY-MM"),LEFT(B3751,7)))</f>
        <v/>
      </c>
    </row>
    <row r="3752">
      <c r="N3752" s="6">
        <f>IF(B3752="","",IF(ISNUMBER(B3752),TEXT(B3752,"YYYY-MM"),LEFT(B3752,7)))</f>
        <v/>
      </c>
    </row>
    <row r="3753">
      <c r="N3753" s="6">
        <f>IF(B3753="","",IF(ISNUMBER(B3753),TEXT(B3753,"YYYY-MM"),LEFT(B3753,7)))</f>
        <v/>
      </c>
    </row>
    <row r="3754">
      <c r="N3754" s="6">
        <f>IF(B3754="","",IF(ISNUMBER(B3754),TEXT(B3754,"YYYY-MM"),LEFT(B3754,7)))</f>
        <v/>
      </c>
    </row>
    <row r="3755">
      <c r="N3755" s="6">
        <f>IF(B3755="","",IF(ISNUMBER(B3755),TEXT(B3755,"YYYY-MM"),LEFT(B3755,7)))</f>
        <v/>
      </c>
    </row>
    <row r="3756">
      <c r="N3756" s="6">
        <f>IF(B3756="","",IF(ISNUMBER(B3756),TEXT(B3756,"YYYY-MM"),LEFT(B3756,7)))</f>
        <v/>
      </c>
    </row>
    <row r="3757">
      <c r="N3757" s="6">
        <f>IF(B3757="","",IF(ISNUMBER(B3757),TEXT(B3757,"YYYY-MM"),LEFT(B3757,7)))</f>
        <v/>
      </c>
    </row>
    <row r="3758">
      <c r="N3758" s="6">
        <f>IF(B3758="","",IF(ISNUMBER(B3758),TEXT(B3758,"YYYY-MM"),LEFT(B3758,7)))</f>
        <v/>
      </c>
    </row>
    <row r="3759">
      <c r="N3759" s="6">
        <f>IF(B3759="","",IF(ISNUMBER(B3759),TEXT(B3759,"YYYY-MM"),LEFT(B3759,7)))</f>
        <v/>
      </c>
    </row>
    <row r="3760">
      <c r="N3760" s="6">
        <f>IF(B3760="","",IF(ISNUMBER(B3760),TEXT(B3760,"YYYY-MM"),LEFT(B3760,7)))</f>
        <v/>
      </c>
    </row>
    <row r="3761">
      <c r="N3761" s="6">
        <f>IF(B3761="","",IF(ISNUMBER(B3761),TEXT(B3761,"YYYY-MM"),LEFT(B3761,7)))</f>
        <v/>
      </c>
    </row>
    <row r="3762">
      <c r="N3762" s="6">
        <f>IF(B3762="","",IF(ISNUMBER(B3762),TEXT(B3762,"YYYY-MM"),LEFT(B3762,7)))</f>
        <v/>
      </c>
    </row>
    <row r="3763">
      <c r="N3763" s="6">
        <f>IF(B3763="","",IF(ISNUMBER(B3763),TEXT(B3763,"YYYY-MM"),LEFT(B3763,7)))</f>
        <v/>
      </c>
    </row>
    <row r="3764">
      <c r="N3764" s="6">
        <f>IF(B3764="","",IF(ISNUMBER(B3764),TEXT(B3764,"YYYY-MM"),LEFT(B3764,7)))</f>
        <v/>
      </c>
    </row>
    <row r="3765">
      <c r="N3765" s="6">
        <f>IF(B3765="","",IF(ISNUMBER(B3765),TEXT(B3765,"YYYY-MM"),LEFT(B3765,7)))</f>
        <v/>
      </c>
    </row>
    <row r="3766">
      <c r="N3766" s="6">
        <f>IF(B3766="","",IF(ISNUMBER(B3766),TEXT(B3766,"YYYY-MM"),LEFT(B3766,7)))</f>
        <v/>
      </c>
    </row>
    <row r="3767">
      <c r="N3767" s="6">
        <f>IF(B3767="","",IF(ISNUMBER(B3767),TEXT(B3767,"YYYY-MM"),LEFT(B3767,7)))</f>
        <v/>
      </c>
    </row>
    <row r="3768">
      <c r="N3768" s="6">
        <f>IF(B3768="","",IF(ISNUMBER(B3768),TEXT(B3768,"YYYY-MM"),LEFT(B3768,7)))</f>
        <v/>
      </c>
    </row>
    <row r="3769">
      <c r="N3769" s="6">
        <f>IF(B3769="","",IF(ISNUMBER(B3769),TEXT(B3769,"YYYY-MM"),LEFT(B3769,7)))</f>
        <v/>
      </c>
    </row>
    <row r="3770">
      <c r="N3770" s="6">
        <f>IF(B3770="","",IF(ISNUMBER(B3770),TEXT(B3770,"YYYY-MM"),LEFT(B3770,7)))</f>
        <v/>
      </c>
    </row>
    <row r="3771">
      <c r="N3771" s="6">
        <f>IF(B3771="","",IF(ISNUMBER(B3771),TEXT(B3771,"YYYY-MM"),LEFT(B3771,7)))</f>
        <v/>
      </c>
    </row>
    <row r="3772">
      <c r="N3772" s="6">
        <f>IF(B3772="","",IF(ISNUMBER(B3772),TEXT(B3772,"YYYY-MM"),LEFT(B3772,7)))</f>
        <v/>
      </c>
    </row>
    <row r="3773">
      <c r="N3773" s="6">
        <f>IF(B3773="","",IF(ISNUMBER(B3773),TEXT(B3773,"YYYY-MM"),LEFT(B3773,7)))</f>
        <v/>
      </c>
    </row>
    <row r="3774">
      <c r="N3774" s="6">
        <f>IF(B3774="","",IF(ISNUMBER(B3774),TEXT(B3774,"YYYY-MM"),LEFT(B3774,7)))</f>
        <v/>
      </c>
    </row>
    <row r="3775">
      <c r="N3775" s="6">
        <f>IF(B3775="","",IF(ISNUMBER(B3775),TEXT(B3775,"YYYY-MM"),LEFT(B3775,7)))</f>
        <v/>
      </c>
    </row>
    <row r="3776">
      <c r="N3776" s="6">
        <f>IF(B3776="","",IF(ISNUMBER(B3776),TEXT(B3776,"YYYY-MM"),LEFT(B3776,7)))</f>
        <v/>
      </c>
    </row>
    <row r="3777">
      <c r="N3777" s="6">
        <f>IF(B3777="","",IF(ISNUMBER(B3777),TEXT(B3777,"YYYY-MM"),LEFT(B3777,7)))</f>
        <v/>
      </c>
    </row>
    <row r="3778">
      <c r="N3778" s="6">
        <f>IF(B3778="","",IF(ISNUMBER(B3778),TEXT(B3778,"YYYY-MM"),LEFT(B3778,7)))</f>
        <v/>
      </c>
    </row>
    <row r="3779">
      <c r="N3779" s="6">
        <f>IF(B3779="","",IF(ISNUMBER(B3779),TEXT(B3779,"YYYY-MM"),LEFT(B3779,7)))</f>
        <v/>
      </c>
    </row>
    <row r="3780">
      <c r="N3780" s="6">
        <f>IF(B3780="","",IF(ISNUMBER(B3780),TEXT(B3780,"YYYY-MM"),LEFT(B3780,7)))</f>
        <v/>
      </c>
    </row>
    <row r="3781">
      <c r="N3781" s="6">
        <f>IF(B3781="","",IF(ISNUMBER(B3781),TEXT(B3781,"YYYY-MM"),LEFT(B3781,7)))</f>
        <v/>
      </c>
    </row>
    <row r="3782">
      <c r="N3782" s="6">
        <f>IF(B3782="","",IF(ISNUMBER(B3782),TEXT(B3782,"YYYY-MM"),LEFT(B3782,7)))</f>
        <v/>
      </c>
    </row>
    <row r="3783">
      <c r="N3783" s="6">
        <f>IF(B3783="","",IF(ISNUMBER(B3783),TEXT(B3783,"YYYY-MM"),LEFT(B3783,7)))</f>
        <v/>
      </c>
    </row>
    <row r="3784">
      <c r="N3784" s="6">
        <f>IF(B3784="","",IF(ISNUMBER(B3784),TEXT(B3784,"YYYY-MM"),LEFT(B3784,7)))</f>
        <v/>
      </c>
    </row>
    <row r="3785">
      <c r="N3785" s="6">
        <f>IF(B3785="","",IF(ISNUMBER(B3785),TEXT(B3785,"YYYY-MM"),LEFT(B3785,7)))</f>
        <v/>
      </c>
    </row>
    <row r="3786">
      <c r="N3786" s="6">
        <f>IF(B3786="","",IF(ISNUMBER(B3786),TEXT(B3786,"YYYY-MM"),LEFT(B3786,7)))</f>
        <v/>
      </c>
    </row>
    <row r="3787">
      <c r="N3787" s="6">
        <f>IF(B3787="","",IF(ISNUMBER(B3787),TEXT(B3787,"YYYY-MM"),LEFT(B3787,7)))</f>
        <v/>
      </c>
    </row>
    <row r="3788">
      <c r="N3788" s="6">
        <f>IF(B3788="","",IF(ISNUMBER(B3788),TEXT(B3788,"YYYY-MM"),LEFT(B3788,7)))</f>
        <v/>
      </c>
    </row>
    <row r="3789">
      <c r="N3789" s="6">
        <f>IF(B3789="","",IF(ISNUMBER(B3789),TEXT(B3789,"YYYY-MM"),LEFT(B3789,7)))</f>
        <v/>
      </c>
    </row>
    <row r="3790">
      <c r="N3790" s="6">
        <f>IF(B3790="","",IF(ISNUMBER(B3790),TEXT(B3790,"YYYY-MM"),LEFT(B3790,7)))</f>
        <v/>
      </c>
    </row>
    <row r="3791">
      <c r="N3791" s="6">
        <f>IF(B3791="","",IF(ISNUMBER(B3791),TEXT(B3791,"YYYY-MM"),LEFT(B3791,7)))</f>
        <v/>
      </c>
    </row>
    <row r="3792">
      <c r="N3792" s="6">
        <f>IF(B3792="","",IF(ISNUMBER(B3792),TEXT(B3792,"YYYY-MM"),LEFT(B3792,7)))</f>
        <v/>
      </c>
    </row>
    <row r="3793">
      <c r="N3793" s="6">
        <f>IF(B3793="","",IF(ISNUMBER(B3793),TEXT(B3793,"YYYY-MM"),LEFT(B3793,7)))</f>
        <v/>
      </c>
    </row>
    <row r="3794">
      <c r="N3794" s="6">
        <f>IF(B3794="","",IF(ISNUMBER(B3794),TEXT(B3794,"YYYY-MM"),LEFT(B3794,7)))</f>
        <v/>
      </c>
    </row>
    <row r="3795">
      <c r="N3795" s="6">
        <f>IF(B3795="","",IF(ISNUMBER(B3795),TEXT(B3795,"YYYY-MM"),LEFT(B3795,7)))</f>
        <v/>
      </c>
    </row>
    <row r="3796">
      <c r="N3796" s="6">
        <f>IF(B3796="","",IF(ISNUMBER(B3796),TEXT(B3796,"YYYY-MM"),LEFT(B3796,7)))</f>
        <v/>
      </c>
    </row>
    <row r="3797">
      <c r="N3797" s="6">
        <f>IF(B3797="","",IF(ISNUMBER(B3797),TEXT(B3797,"YYYY-MM"),LEFT(B3797,7)))</f>
        <v/>
      </c>
    </row>
    <row r="3798">
      <c r="N3798" s="6">
        <f>IF(B3798="","",IF(ISNUMBER(B3798),TEXT(B3798,"YYYY-MM"),LEFT(B3798,7)))</f>
        <v/>
      </c>
    </row>
    <row r="3799">
      <c r="N3799" s="6">
        <f>IF(B3799="","",IF(ISNUMBER(B3799),TEXT(B3799,"YYYY-MM"),LEFT(B3799,7)))</f>
        <v/>
      </c>
    </row>
    <row r="3800">
      <c r="N3800" s="6">
        <f>IF(B3800="","",IF(ISNUMBER(B3800),TEXT(B3800,"YYYY-MM"),LEFT(B3800,7)))</f>
        <v/>
      </c>
    </row>
    <row r="3801">
      <c r="N3801" s="6">
        <f>IF(B3801="","",IF(ISNUMBER(B3801),TEXT(B3801,"YYYY-MM"),LEFT(B3801,7)))</f>
        <v/>
      </c>
    </row>
    <row r="3802">
      <c r="N3802" s="6">
        <f>IF(B3802="","",IF(ISNUMBER(B3802),TEXT(B3802,"YYYY-MM"),LEFT(B3802,7)))</f>
        <v/>
      </c>
    </row>
    <row r="3803">
      <c r="N3803" s="6">
        <f>IF(B3803="","",IF(ISNUMBER(B3803),TEXT(B3803,"YYYY-MM"),LEFT(B3803,7)))</f>
        <v/>
      </c>
    </row>
    <row r="3804">
      <c r="N3804" s="6">
        <f>IF(B3804="","",IF(ISNUMBER(B3804),TEXT(B3804,"YYYY-MM"),LEFT(B3804,7)))</f>
        <v/>
      </c>
    </row>
    <row r="3805">
      <c r="N3805" s="6">
        <f>IF(B3805="","",IF(ISNUMBER(B3805),TEXT(B3805,"YYYY-MM"),LEFT(B3805,7)))</f>
        <v/>
      </c>
    </row>
    <row r="3806">
      <c r="N3806" s="6">
        <f>IF(B3806="","",IF(ISNUMBER(B3806),TEXT(B3806,"YYYY-MM"),LEFT(B3806,7)))</f>
        <v/>
      </c>
    </row>
    <row r="3807">
      <c r="N3807" s="6">
        <f>IF(B3807="","",IF(ISNUMBER(B3807),TEXT(B3807,"YYYY-MM"),LEFT(B3807,7)))</f>
        <v/>
      </c>
    </row>
    <row r="3808">
      <c r="N3808" s="6">
        <f>IF(B3808="","",IF(ISNUMBER(B3808),TEXT(B3808,"YYYY-MM"),LEFT(B3808,7)))</f>
        <v/>
      </c>
    </row>
    <row r="3809">
      <c r="N3809" s="6">
        <f>IF(B3809="","",IF(ISNUMBER(B3809),TEXT(B3809,"YYYY-MM"),LEFT(B3809,7)))</f>
        <v/>
      </c>
    </row>
    <row r="3810">
      <c r="N3810" s="6">
        <f>IF(B3810="","",IF(ISNUMBER(B3810),TEXT(B3810,"YYYY-MM"),LEFT(B3810,7)))</f>
        <v/>
      </c>
    </row>
    <row r="3811">
      <c r="N3811" s="6">
        <f>IF(B3811="","",IF(ISNUMBER(B3811),TEXT(B3811,"YYYY-MM"),LEFT(B3811,7)))</f>
        <v/>
      </c>
    </row>
    <row r="3812">
      <c r="N3812" s="6">
        <f>IF(B3812="","",IF(ISNUMBER(B3812),TEXT(B3812,"YYYY-MM"),LEFT(B3812,7)))</f>
        <v/>
      </c>
    </row>
    <row r="3813">
      <c r="N3813" s="6">
        <f>IF(B3813="","",IF(ISNUMBER(B3813),TEXT(B3813,"YYYY-MM"),LEFT(B3813,7)))</f>
        <v/>
      </c>
    </row>
    <row r="3814">
      <c r="N3814" s="6">
        <f>IF(B3814="","",IF(ISNUMBER(B3814),TEXT(B3814,"YYYY-MM"),LEFT(B3814,7)))</f>
        <v/>
      </c>
    </row>
    <row r="3815">
      <c r="N3815" s="6">
        <f>IF(B3815="","",IF(ISNUMBER(B3815),TEXT(B3815,"YYYY-MM"),LEFT(B3815,7)))</f>
        <v/>
      </c>
    </row>
    <row r="3816">
      <c r="N3816" s="6">
        <f>IF(B3816="","",IF(ISNUMBER(B3816),TEXT(B3816,"YYYY-MM"),LEFT(B3816,7)))</f>
        <v/>
      </c>
    </row>
    <row r="3817">
      <c r="N3817" s="6">
        <f>IF(B3817="","",IF(ISNUMBER(B3817),TEXT(B3817,"YYYY-MM"),LEFT(B3817,7)))</f>
        <v/>
      </c>
    </row>
    <row r="3818">
      <c r="N3818" s="6">
        <f>IF(B3818="","",IF(ISNUMBER(B3818),TEXT(B3818,"YYYY-MM"),LEFT(B3818,7)))</f>
        <v/>
      </c>
    </row>
    <row r="3819">
      <c r="N3819" s="6">
        <f>IF(B3819="","",IF(ISNUMBER(B3819),TEXT(B3819,"YYYY-MM"),LEFT(B3819,7)))</f>
        <v/>
      </c>
    </row>
    <row r="3820">
      <c r="N3820" s="6">
        <f>IF(B3820="","",IF(ISNUMBER(B3820),TEXT(B3820,"YYYY-MM"),LEFT(B3820,7)))</f>
        <v/>
      </c>
    </row>
    <row r="3821">
      <c r="N3821" s="6">
        <f>IF(B3821="","",IF(ISNUMBER(B3821),TEXT(B3821,"YYYY-MM"),LEFT(B3821,7)))</f>
        <v/>
      </c>
    </row>
    <row r="3822">
      <c r="N3822" s="6">
        <f>IF(B3822="","",IF(ISNUMBER(B3822),TEXT(B3822,"YYYY-MM"),LEFT(B3822,7)))</f>
        <v/>
      </c>
    </row>
    <row r="3823">
      <c r="N3823" s="6">
        <f>IF(B3823="","",IF(ISNUMBER(B3823),TEXT(B3823,"YYYY-MM"),LEFT(B3823,7)))</f>
        <v/>
      </c>
    </row>
    <row r="3824">
      <c r="N3824" s="6">
        <f>IF(B3824="","",IF(ISNUMBER(B3824),TEXT(B3824,"YYYY-MM"),LEFT(B3824,7)))</f>
        <v/>
      </c>
    </row>
    <row r="3825">
      <c r="N3825" s="6">
        <f>IF(B3825="","",IF(ISNUMBER(B3825),TEXT(B3825,"YYYY-MM"),LEFT(B3825,7)))</f>
        <v/>
      </c>
    </row>
    <row r="3826">
      <c r="N3826" s="6">
        <f>IF(B3826="","",IF(ISNUMBER(B3826),TEXT(B3826,"YYYY-MM"),LEFT(B3826,7)))</f>
        <v/>
      </c>
    </row>
    <row r="3827">
      <c r="N3827" s="6">
        <f>IF(B3827="","",IF(ISNUMBER(B3827),TEXT(B3827,"YYYY-MM"),LEFT(B3827,7)))</f>
        <v/>
      </c>
    </row>
    <row r="3828">
      <c r="N3828" s="6">
        <f>IF(B3828="","",IF(ISNUMBER(B3828),TEXT(B3828,"YYYY-MM"),LEFT(B3828,7)))</f>
        <v/>
      </c>
    </row>
    <row r="3829">
      <c r="N3829" s="6">
        <f>IF(B3829="","",IF(ISNUMBER(B3829),TEXT(B3829,"YYYY-MM"),LEFT(B3829,7)))</f>
        <v/>
      </c>
    </row>
    <row r="3830">
      <c r="N3830" s="6">
        <f>IF(B3830="","",IF(ISNUMBER(B3830),TEXT(B3830,"YYYY-MM"),LEFT(B3830,7)))</f>
        <v/>
      </c>
    </row>
    <row r="3831">
      <c r="N3831" s="6">
        <f>IF(B3831="","",IF(ISNUMBER(B3831),TEXT(B3831,"YYYY-MM"),LEFT(B3831,7)))</f>
        <v/>
      </c>
    </row>
    <row r="3832">
      <c r="N3832" s="6">
        <f>IF(B3832="","",IF(ISNUMBER(B3832),TEXT(B3832,"YYYY-MM"),LEFT(B3832,7)))</f>
        <v/>
      </c>
    </row>
    <row r="3833">
      <c r="N3833" s="6">
        <f>IF(B3833="","",IF(ISNUMBER(B3833),TEXT(B3833,"YYYY-MM"),LEFT(B3833,7)))</f>
        <v/>
      </c>
    </row>
    <row r="3834">
      <c r="N3834" s="6">
        <f>IF(B3834="","",IF(ISNUMBER(B3834),TEXT(B3834,"YYYY-MM"),LEFT(B3834,7)))</f>
        <v/>
      </c>
    </row>
    <row r="3835">
      <c r="N3835" s="6">
        <f>IF(B3835="","",IF(ISNUMBER(B3835),TEXT(B3835,"YYYY-MM"),LEFT(B3835,7)))</f>
        <v/>
      </c>
    </row>
    <row r="3836">
      <c r="N3836" s="6">
        <f>IF(B3836="","",IF(ISNUMBER(B3836),TEXT(B3836,"YYYY-MM"),LEFT(B3836,7)))</f>
        <v/>
      </c>
    </row>
    <row r="3837">
      <c r="N3837" s="6">
        <f>IF(B3837="","",IF(ISNUMBER(B3837),TEXT(B3837,"YYYY-MM"),LEFT(B3837,7)))</f>
        <v/>
      </c>
    </row>
    <row r="3838">
      <c r="N3838" s="6">
        <f>IF(B3838="","",IF(ISNUMBER(B3838),TEXT(B3838,"YYYY-MM"),LEFT(B3838,7)))</f>
        <v/>
      </c>
    </row>
    <row r="3839">
      <c r="N3839" s="6">
        <f>IF(B3839="","",IF(ISNUMBER(B3839),TEXT(B3839,"YYYY-MM"),LEFT(B3839,7)))</f>
        <v/>
      </c>
    </row>
    <row r="3840">
      <c r="N3840" s="6">
        <f>IF(B3840="","",IF(ISNUMBER(B3840),TEXT(B3840,"YYYY-MM"),LEFT(B3840,7)))</f>
        <v/>
      </c>
    </row>
    <row r="3841">
      <c r="N3841" s="6">
        <f>IF(B3841="","",IF(ISNUMBER(B3841),TEXT(B3841,"YYYY-MM"),LEFT(B3841,7)))</f>
        <v/>
      </c>
    </row>
    <row r="3842">
      <c r="N3842" s="6">
        <f>IF(B3842="","",IF(ISNUMBER(B3842),TEXT(B3842,"YYYY-MM"),LEFT(B3842,7)))</f>
        <v/>
      </c>
    </row>
    <row r="3843">
      <c r="N3843" s="6">
        <f>IF(B3843="","",IF(ISNUMBER(B3843),TEXT(B3843,"YYYY-MM"),LEFT(B3843,7)))</f>
        <v/>
      </c>
    </row>
    <row r="3844">
      <c r="N3844" s="6">
        <f>IF(B3844="","",IF(ISNUMBER(B3844),TEXT(B3844,"YYYY-MM"),LEFT(B3844,7)))</f>
        <v/>
      </c>
    </row>
    <row r="3845">
      <c r="N3845" s="6">
        <f>IF(B3845="","",IF(ISNUMBER(B3845),TEXT(B3845,"YYYY-MM"),LEFT(B3845,7)))</f>
        <v/>
      </c>
    </row>
    <row r="3846">
      <c r="N3846" s="6">
        <f>IF(B3846="","",IF(ISNUMBER(B3846),TEXT(B3846,"YYYY-MM"),LEFT(B3846,7)))</f>
        <v/>
      </c>
    </row>
    <row r="3847">
      <c r="N3847" s="6">
        <f>IF(B3847="","",IF(ISNUMBER(B3847),TEXT(B3847,"YYYY-MM"),LEFT(B3847,7)))</f>
        <v/>
      </c>
    </row>
    <row r="3848">
      <c r="N3848" s="6">
        <f>IF(B3848="","",IF(ISNUMBER(B3848),TEXT(B3848,"YYYY-MM"),LEFT(B3848,7)))</f>
        <v/>
      </c>
    </row>
    <row r="3849">
      <c r="N3849" s="6">
        <f>IF(B3849="","",IF(ISNUMBER(B3849),TEXT(B3849,"YYYY-MM"),LEFT(B3849,7)))</f>
        <v/>
      </c>
    </row>
    <row r="3850">
      <c r="N3850" s="6">
        <f>IF(B3850="","",IF(ISNUMBER(B3850),TEXT(B3850,"YYYY-MM"),LEFT(B3850,7)))</f>
        <v/>
      </c>
    </row>
    <row r="3851">
      <c r="N3851" s="6">
        <f>IF(B3851="","",IF(ISNUMBER(B3851),TEXT(B3851,"YYYY-MM"),LEFT(B3851,7)))</f>
        <v/>
      </c>
    </row>
    <row r="3852">
      <c r="N3852" s="6">
        <f>IF(B3852="","",IF(ISNUMBER(B3852),TEXT(B3852,"YYYY-MM"),LEFT(B3852,7)))</f>
        <v/>
      </c>
    </row>
    <row r="3853">
      <c r="N3853" s="6">
        <f>IF(B3853="","",IF(ISNUMBER(B3853),TEXT(B3853,"YYYY-MM"),LEFT(B3853,7)))</f>
        <v/>
      </c>
    </row>
    <row r="3854">
      <c r="N3854" s="6">
        <f>IF(B3854="","",IF(ISNUMBER(B3854),TEXT(B3854,"YYYY-MM"),LEFT(B3854,7)))</f>
        <v/>
      </c>
    </row>
    <row r="3855">
      <c r="N3855" s="6">
        <f>IF(B3855="","",IF(ISNUMBER(B3855),TEXT(B3855,"YYYY-MM"),LEFT(B3855,7)))</f>
        <v/>
      </c>
    </row>
    <row r="3856">
      <c r="N3856" s="6">
        <f>IF(B3856="","",IF(ISNUMBER(B3856),TEXT(B3856,"YYYY-MM"),LEFT(B3856,7)))</f>
        <v/>
      </c>
    </row>
    <row r="3857">
      <c r="N3857" s="6">
        <f>IF(B3857="","",IF(ISNUMBER(B3857),TEXT(B3857,"YYYY-MM"),LEFT(B3857,7)))</f>
        <v/>
      </c>
    </row>
    <row r="3858">
      <c r="N3858" s="6">
        <f>IF(B3858="","",IF(ISNUMBER(B3858),TEXT(B3858,"YYYY-MM"),LEFT(B3858,7)))</f>
        <v/>
      </c>
    </row>
    <row r="3859">
      <c r="N3859" s="6">
        <f>IF(B3859="","",IF(ISNUMBER(B3859),TEXT(B3859,"YYYY-MM"),LEFT(B3859,7)))</f>
        <v/>
      </c>
    </row>
    <row r="3860">
      <c r="N3860" s="6">
        <f>IF(B3860="","",IF(ISNUMBER(B3860),TEXT(B3860,"YYYY-MM"),LEFT(B3860,7)))</f>
        <v/>
      </c>
    </row>
    <row r="3861">
      <c r="N3861" s="6">
        <f>IF(B3861="","",IF(ISNUMBER(B3861),TEXT(B3861,"YYYY-MM"),LEFT(B3861,7)))</f>
        <v/>
      </c>
    </row>
    <row r="3862">
      <c r="N3862" s="6">
        <f>IF(B3862="","",IF(ISNUMBER(B3862),TEXT(B3862,"YYYY-MM"),LEFT(B3862,7)))</f>
        <v/>
      </c>
    </row>
    <row r="3863">
      <c r="N3863" s="6">
        <f>IF(B3863="","",IF(ISNUMBER(B3863),TEXT(B3863,"YYYY-MM"),LEFT(B3863,7)))</f>
        <v/>
      </c>
    </row>
    <row r="3864">
      <c r="N3864" s="6">
        <f>IF(B3864="","",IF(ISNUMBER(B3864),TEXT(B3864,"YYYY-MM"),LEFT(B3864,7)))</f>
        <v/>
      </c>
    </row>
    <row r="3865">
      <c r="N3865" s="6">
        <f>IF(B3865="","",IF(ISNUMBER(B3865),TEXT(B3865,"YYYY-MM"),LEFT(B3865,7)))</f>
        <v/>
      </c>
    </row>
    <row r="3866">
      <c r="N3866" s="6">
        <f>IF(B3866="","",IF(ISNUMBER(B3866),TEXT(B3866,"YYYY-MM"),LEFT(B3866,7)))</f>
        <v/>
      </c>
    </row>
    <row r="3867">
      <c r="N3867" s="6">
        <f>IF(B3867="","",IF(ISNUMBER(B3867),TEXT(B3867,"YYYY-MM"),LEFT(B3867,7)))</f>
        <v/>
      </c>
    </row>
    <row r="3868">
      <c r="N3868" s="6">
        <f>IF(B3868="","",IF(ISNUMBER(B3868),TEXT(B3868,"YYYY-MM"),LEFT(B3868,7)))</f>
        <v/>
      </c>
    </row>
    <row r="3869">
      <c r="N3869" s="6">
        <f>IF(B3869="","",IF(ISNUMBER(B3869),TEXT(B3869,"YYYY-MM"),LEFT(B3869,7)))</f>
        <v/>
      </c>
    </row>
    <row r="3870">
      <c r="N3870" s="6">
        <f>IF(B3870="","",IF(ISNUMBER(B3870),TEXT(B3870,"YYYY-MM"),LEFT(B3870,7)))</f>
        <v/>
      </c>
    </row>
    <row r="3871">
      <c r="N3871" s="6">
        <f>IF(B3871="","",IF(ISNUMBER(B3871),TEXT(B3871,"YYYY-MM"),LEFT(B3871,7)))</f>
        <v/>
      </c>
    </row>
    <row r="3872">
      <c r="N3872" s="6">
        <f>IF(B3872="","",IF(ISNUMBER(B3872),TEXT(B3872,"YYYY-MM"),LEFT(B3872,7)))</f>
        <v/>
      </c>
    </row>
    <row r="3873">
      <c r="N3873" s="6">
        <f>IF(B3873="","",IF(ISNUMBER(B3873),TEXT(B3873,"YYYY-MM"),LEFT(B3873,7)))</f>
        <v/>
      </c>
    </row>
    <row r="3874">
      <c r="N3874" s="6">
        <f>IF(B3874="","",IF(ISNUMBER(B3874),TEXT(B3874,"YYYY-MM"),LEFT(B3874,7)))</f>
        <v/>
      </c>
    </row>
    <row r="3875">
      <c r="N3875" s="6">
        <f>IF(B3875="","",IF(ISNUMBER(B3875),TEXT(B3875,"YYYY-MM"),LEFT(B3875,7)))</f>
        <v/>
      </c>
    </row>
    <row r="3876">
      <c r="N3876" s="6">
        <f>IF(B3876="","",IF(ISNUMBER(B3876),TEXT(B3876,"YYYY-MM"),LEFT(B3876,7)))</f>
        <v/>
      </c>
    </row>
    <row r="3877">
      <c r="N3877" s="6">
        <f>IF(B3877="","",IF(ISNUMBER(B3877),TEXT(B3877,"YYYY-MM"),LEFT(B3877,7)))</f>
        <v/>
      </c>
    </row>
    <row r="3878">
      <c r="N3878" s="6">
        <f>IF(B3878="","",IF(ISNUMBER(B3878),TEXT(B3878,"YYYY-MM"),LEFT(B3878,7)))</f>
        <v/>
      </c>
    </row>
    <row r="3879">
      <c r="N3879" s="6">
        <f>IF(B3879="","",IF(ISNUMBER(B3879),TEXT(B3879,"YYYY-MM"),LEFT(B3879,7)))</f>
        <v/>
      </c>
    </row>
    <row r="3880">
      <c r="N3880" s="6">
        <f>IF(B3880="","",IF(ISNUMBER(B3880),TEXT(B3880,"YYYY-MM"),LEFT(B3880,7)))</f>
        <v/>
      </c>
    </row>
    <row r="3881">
      <c r="N3881" s="6">
        <f>IF(B3881="","",IF(ISNUMBER(B3881),TEXT(B3881,"YYYY-MM"),LEFT(B3881,7)))</f>
        <v/>
      </c>
    </row>
    <row r="3882">
      <c r="N3882" s="6">
        <f>IF(B3882="","",IF(ISNUMBER(B3882),TEXT(B3882,"YYYY-MM"),LEFT(B3882,7)))</f>
        <v/>
      </c>
    </row>
    <row r="3883">
      <c r="N3883" s="6">
        <f>IF(B3883="","",IF(ISNUMBER(B3883),TEXT(B3883,"YYYY-MM"),LEFT(B3883,7)))</f>
        <v/>
      </c>
    </row>
    <row r="3884">
      <c r="N3884" s="6">
        <f>IF(B3884="","",IF(ISNUMBER(B3884),TEXT(B3884,"YYYY-MM"),LEFT(B3884,7)))</f>
        <v/>
      </c>
    </row>
    <row r="3885">
      <c r="N3885" s="6">
        <f>IF(B3885="","",IF(ISNUMBER(B3885),TEXT(B3885,"YYYY-MM"),LEFT(B3885,7)))</f>
        <v/>
      </c>
    </row>
    <row r="3886">
      <c r="N3886" s="6">
        <f>IF(B3886="","",IF(ISNUMBER(B3886),TEXT(B3886,"YYYY-MM"),LEFT(B3886,7)))</f>
        <v/>
      </c>
    </row>
    <row r="3887">
      <c r="N3887" s="6">
        <f>IF(B3887="","",IF(ISNUMBER(B3887),TEXT(B3887,"YYYY-MM"),LEFT(B3887,7)))</f>
        <v/>
      </c>
    </row>
    <row r="3888">
      <c r="N3888" s="6">
        <f>IF(B3888="","",IF(ISNUMBER(B3888),TEXT(B3888,"YYYY-MM"),LEFT(B3888,7)))</f>
        <v/>
      </c>
    </row>
    <row r="3889">
      <c r="N3889" s="6">
        <f>IF(B3889="","",IF(ISNUMBER(B3889),TEXT(B3889,"YYYY-MM"),LEFT(B3889,7)))</f>
        <v/>
      </c>
    </row>
    <row r="3890">
      <c r="N3890" s="6">
        <f>IF(B3890="","",IF(ISNUMBER(B3890),TEXT(B3890,"YYYY-MM"),LEFT(B3890,7)))</f>
        <v/>
      </c>
    </row>
    <row r="3891">
      <c r="N3891" s="6">
        <f>IF(B3891="","",IF(ISNUMBER(B3891),TEXT(B3891,"YYYY-MM"),LEFT(B3891,7)))</f>
        <v/>
      </c>
    </row>
    <row r="3892">
      <c r="N3892" s="6">
        <f>IF(B3892="","",IF(ISNUMBER(B3892),TEXT(B3892,"YYYY-MM"),LEFT(B3892,7)))</f>
        <v/>
      </c>
    </row>
    <row r="3893">
      <c r="N3893" s="6">
        <f>IF(B3893="","",IF(ISNUMBER(B3893),TEXT(B3893,"YYYY-MM"),LEFT(B3893,7)))</f>
        <v/>
      </c>
    </row>
    <row r="3894">
      <c r="N3894" s="6">
        <f>IF(B3894="","",IF(ISNUMBER(B3894),TEXT(B3894,"YYYY-MM"),LEFT(B3894,7)))</f>
        <v/>
      </c>
    </row>
    <row r="3895">
      <c r="N3895" s="6">
        <f>IF(B3895="","",IF(ISNUMBER(B3895),TEXT(B3895,"YYYY-MM"),LEFT(B3895,7)))</f>
        <v/>
      </c>
    </row>
    <row r="3896">
      <c r="N3896" s="6">
        <f>IF(B3896="","",IF(ISNUMBER(B3896),TEXT(B3896,"YYYY-MM"),LEFT(B3896,7)))</f>
        <v/>
      </c>
    </row>
    <row r="3897">
      <c r="N3897" s="6">
        <f>IF(B3897="","",IF(ISNUMBER(B3897),TEXT(B3897,"YYYY-MM"),LEFT(B3897,7)))</f>
        <v/>
      </c>
    </row>
    <row r="3898">
      <c r="N3898" s="6">
        <f>IF(B3898="","",IF(ISNUMBER(B3898),TEXT(B3898,"YYYY-MM"),LEFT(B3898,7)))</f>
        <v/>
      </c>
    </row>
    <row r="3899">
      <c r="N3899" s="6">
        <f>IF(B3899="","",IF(ISNUMBER(B3899),TEXT(B3899,"YYYY-MM"),LEFT(B3899,7)))</f>
        <v/>
      </c>
    </row>
    <row r="3900">
      <c r="N3900" s="6">
        <f>IF(B3900="","",IF(ISNUMBER(B3900),TEXT(B3900,"YYYY-MM"),LEFT(B3900,7)))</f>
        <v/>
      </c>
    </row>
    <row r="3901">
      <c r="N3901" s="6">
        <f>IF(B3901="","",IF(ISNUMBER(B3901),TEXT(B3901,"YYYY-MM"),LEFT(B3901,7)))</f>
        <v/>
      </c>
    </row>
    <row r="3902">
      <c r="N3902" s="6">
        <f>IF(B3902="","",IF(ISNUMBER(B3902),TEXT(B3902,"YYYY-MM"),LEFT(B3902,7)))</f>
        <v/>
      </c>
    </row>
    <row r="3903">
      <c r="N3903" s="6">
        <f>IF(B3903="","",IF(ISNUMBER(B3903),TEXT(B3903,"YYYY-MM"),LEFT(B3903,7)))</f>
        <v/>
      </c>
    </row>
    <row r="3904">
      <c r="N3904" s="6">
        <f>IF(B3904="","",IF(ISNUMBER(B3904),TEXT(B3904,"YYYY-MM"),LEFT(B3904,7)))</f>
        <v/>
      </c>
    </row>
    <row r="3905">
      <c r="N3905" s="6">
        <f>IF(B3905="","",IF(ISNUMBER(B3905),TEXT(B3905,"YYYY-MM"),LEFT(B3905,7)))</f>
        <v/>
      </c>
    </row>
    <row r="3906">
      <c r="N3906" s="6">
        <f>IF(B3906="","",IF(ISNUMBER(B3906),TEXT(B3906,"YYYY-MM"),LEFT(B3906,7)))</f>
        <v/>
      </c>
    </row>
    <row r="3907">
      <c r="N3907" s="6">
        <f>IF(B3907="","",IF(ISNUMBER(B3907),TEXT(B3907,"YYYY-MM"),LEFT(B3907,7)))</f>
        <v/>
      </c>
    </row>
    <row r="3908">
      <c r="N3908" s="6">
        <f>IF(B3908="","",IF(ISNUMBER(B3908),TEXT(B3908,"YYYY-MM"),LEFT(B3908,7)))</f>
        <v/>
      </c>
    </row>
    <row r="3909">
      <c r="N3909" s="6">
        <f>IF(B3909="","",IF(ISNUMBER(B3909),TEXT(B3909,"YYYY-MM"),LEFT(B3909,7)))</f>
        <v/>
      </c>
    </row>
    <row r="3910">
      <c r="N3910" s="6">
        <f>IF(B3910="","",IF(ISNUMBER(B3910),TEXT(B3910,"YYYY-MM"),LEFT(B3910,7)))</f>
        <v/>
      </c>
    </row>
    <row r="3911">
      <c r="N3911" s="6">
        <f>IF(B3911="","",IF(ISNUMBER(B3911),TEXT(B3911,"YYYY-MM"),LEFT(B3911,7)))</f>
        <v/>
      </c>
    </row>
    <row r="3912">
      <c r="N3912" s="6">
        <f>IF(B3912="","",IF(ISNUMBER(B3912),TEXT(B3912,"YYYY-MM"),LEFT(B3912,7)))</f>
        <v/>
      </c>
    </row>
    <row r="3913">
      <c r="N3913" s="6">
        <f>IF(B3913="","",IF(ISNUMBER(B3913),TEXT(B3913,"YYYY-MM"),LEFT(B3913,7)))</f>
        <v/>
      </c>
    </row>
    <row r="3914">
      <c r="N3914" s="6">
        <f>IF(B3914="","",IF(ISNUMBER(B3914),TEXT(B3914,"YYYY-MM"),LEFT(B3914,7)))</f>
        <v/>
      </c>
    </row>
    <row r="3915">
      <c r="N3915" s="6">
        <f>IF(B3915="","",IF(ISNUMBER(B3915),TEXT(B3915,"YYYY-MM"),LEFT(B3915,7)))</f>
        <v/>
      </c>
    </row>
    <row r="3916">
      <c r="N3916" s="6">
        <f>IF(B3916="","",IF(ISNUMBER(B3916),TEXT(B3916,"YYYY-MM"),LEFT(B3916,7)))</f>
        <v/>
      </c>
    </row>
    <row r="3917">
      <c r="N3917" s="6">
        <f>IF(B3917="","",IF(ISNUMBER(B3917),TEXT(B3917,"YYYY-MM"),LEFT(B3917,7)))</f>
        <v/>
      </c>
    </row>
    <row r="3918">
      <c r="N3918" s="6">
        <f>IF(B3918="","",IF(ISNUMBER(B3918),TEXT(B3918,"YYYY-MM"),LEFT(B3918,7)))</f>
        <v/>
      </c>
    </row>
    <row r="3919">
      <c r="N3919" s="6">
        <f>IF(B3919="","",IF(ISNUMBER(B3919),TEXT(B3919,"YYYY-MM"),LEFT(B3919,7)))</f>
        <v/>
      </c>
    </row>
    <row r="3920">
      <c r="N3920" s="6">
        <f>IF(B3920="","",IF(ISNUMBER(B3920),TEXT(B3920,"YYYY-MM"),LEFT(B3920,7)))</f>
        <v/>
      </c>
    </row>
    <row r="3921">
      <c r="N3921" s="6">
        <f>IF(B3921="","",IF(ISNUMBER(B3921),TEXT(B3921,"YYYY-MM"),LEFT(B3921,7)))</f>
        <v/>
      </c>
    </row>
    <row r="3922">
      <c r="N3922" s="6">
        <f>IF(B3922="","",IF(ISNUMBER(B3922),TEXT(B3922,"YYYY-MM"),LEFT(B3922,7)))</f>
        <v/>
      </c>
    </row>
    <row r="3923">
      <c r="N3923" s="6">
        <f>IF(B3923="","",IF(ISNUMBER(B3923),TEXT(B3923,"YYYY-MM"),LEFT(B3923,7)))</f>
        <v/>
      </c>
    </row>
    <row r="3924">
      <c r="N3924" s="6">
        <f>IF(B3924="","",IF(ISNUMBER(B3924),TEXT(B3924,"YYYY-MM"),LEFT(B3924,7)))</f>
        <v/>
      </c>
    </row>
    <row r="3925">
      <c r="N3925" s="6">
        <f>IF(B3925="","",IF(ISNUMBER(B3925),TEXT(B3925,"YYYY-MM"),LEFT(B3925,7)))</f>
        <v/>
      </c>
    </row>
    <row r="3926">
      <c r="N3926" s="6">
        <f>IF(B3926="","",IF(ISNUMBER(B3926),TEXT(B3926,"YYYY-MM"),LEFT(B3926,7)))</f>
        <v/>
      </c>
    </row>
    <row r="3927">
      <c r="N3927" s="6">
        <f>IF(B3927="","",IF(ISNUMBER(B3927),TEXT(B3927,"YYYY-MM"),LEFT(B3927,7)))</f>
        <v/>
      </c>
    </row>
    <row r="3928">
      <c r="N3928" s="6">
        <f>IF(B3928="","",IF(ISNUMBER(B3928),TEXT(B3928,"YYYY-MM"),LEFT(B3928,7)))</f>
        <v/>
      </c>
    </row>
    <row r="3929">
      <c r="N3929" s="6">
        <f>IF(B3929="","",IF(ISNUMBER(B3929),TEXT(B3929,"YYYY-MM"),LEFT(B3929,7)))</f>
        <v/>
      </c>
    </row>
    <row r="3930">
      <c r="N3930" s="6">
        <f>IF(B3930="","",IF(ISNUMBER(B3930),TEXT(B3930,"YYYY-MM"),LEFT(B3930,7)))</f>
        <v/>
      </c>
    </row>
    <row r="3931">
      <c r="N3931" s="6">
        <f>IF(B3931="","",IF(ISNUMBER(B3931),TEXT(B3931,"YYYY-MM"),LEFT(B3931,7)))</f>
        <v/>
      </c>
    </row>
    <row r="3932">
      <c r="N3932" s="6">
        <f>IF(B3932="","",IF(ISNUMBER(B3932),TEXT(B3932,"YYYY-MM"),LEFT(B3932,7)))</f>
        <v/>
      </c>
    </row>
    <row r="3933">
      <c r="N3933" s="6">
        <f>IF(B3933="","",IF(ISNUMBER(B3933),TEXT(B3933,"YYYY-MM"),LEFT(B3933,7)))</f>
        <v/>
      </c>
    </row>
    <row r="3934">
      <c r="N3934" s="6">
        <f>IF(B3934="","",IF(ISNUMBER(B3934),TEXT(B3934,"YYYY-MM"),LEFT(B3934,7)))</f>
        <v/>
      </c>
    </row>
    <row r="3935">
      <c r="N3935" s="6">
        <f>IF(B3935="","",IF(ISNUMBER(B3935),TEXT(B3935,"YYYY-MM"),LEFT(B3935,7)))</f>
        <v/>
      </c>
    </row>
    <row r="3936">
      <c r="N3936" s="6">
        <f>IF(B3936="","",IF(ISNUMBER(B3936),TEXT(B3936,"YYYY-MM"),LEFT(B3936,7)))</f>
        <v/>
      </c>
    </row>
    <row r="3937">
      <c r="N3937" s="6">
        <f>IF(B3937="","",IF(ISNUMBER(B3937),TEXT(B3937,"YYYY-MM"),LEFT(B3937,7)))</f>
        <v/>
      </c>
    </row>
    <row r="3938">
      <c r="N3938" s="6">
        <f>IF(B3938="","",IF(ISNUMBER(B3938),TEXT(B3938,"YYYY-MM"),LEFT(B3938,7)))</f>
        <v/>
      </c>
    </row>
    <row r="3939">
      <c r="N3939" s="6">
        <f>IF(B3939="","",IF(ISNUMBER(B3939),TEXT(B3939,"YYYY-MM"),LEFT(B3939,7)))</f>
        <v/>
      </c>
    </row>
    <row r="3940">
      <c r="N3940" s="6">
        <f>IF(B3940="","",IF(ISNUMBER(B3940),TEXT(B3940,"YYYY-MM"),LEFT(B3940,7)))</f>
        <v/>
      </c>
    </row>
    <row r="3941">
      <c r="N3941" s="6">
        <f>IF(B3941="","",IF(ISNUMBER(B3941),TEXT(B3941,"YYYY-MM"),LEFT(B3941,7)))</f>
        <v/>
      </c>
    </row>
    <row r="3942">
      <c r="N3942" s="6">
        <f>IF(B3942="","",IF(ISNUMBER(B3942),TEXT(B3942,"YYYY-MM"),LEFT(B3942,7)))</f>
        <v/>
      </c>
    </row>
    <row r="3943">
      <c r="N3943" s="6">
        <f>IF(B3943="","",IF(ISNUMBER(B3943),TEXT(B3943,"YYYY-MM"),LEFT(B3943,7)))</f>
        <v/>
      </c>
    </row>
    <row r="3944">
      <c r="N3944" s="6">
        <f>IF(B3944="","",IF(ISNUMBER(B3944),TEXT(B3944,"YYYY-MM"),LEFT(B3944,7)))</f>
        <v/>
      </c>
    </row>
    <row r="3945">
      <c r="N3945" s="6">
        <f>IF(B3945="","",IF(ISNUMBER(B3945),TEXT(B3945,"YYYY-MM"),LEFT(B3945,7)))</f>
        <v/>
      </c>
    </row>
    <row r="3946">
      <c r="N3946" s="6">
        <f>IF(B3946="","",IF(ISNUMBER(B3946),TEXT(B3946,"YYYY-MM"),LEFT(B3946,7)))</f>
        <v/>
      </c>
    </row>
    <row r="3947">
      <c r="N3947" s="6">
        <f>IF(B3947="","",IF(ISNUMBER(B3947),TEXT(B3947,"YYYY-MM"),LEFT(B3947,7)))</f>
        <v/>
      </c>
    </row>
    <row r="3948">
      <c r="N3948" s="6">
        <f>IF(B3948="","",IF(ISNUMBER(B3948),TEXT(B3948,"YYYY-MM"),LEFT(B3948,7)))</f>
        <v/>
      </c>
    </row>
    <row r="3949">
      <c r="N3949" s="6">
        <f>IF(B3949="","",IF(ISNUMBER(B3949),TEXT(B3949,"YYYY-MM"),LEFT(B3949,7)))</f>
        <v/>
      </c>
    </row>
    <row r="3950">
      <c r="N3950" s="6">
        <f>IF(B3950="","",IF(ISNUMBER(B3950),TEXT(B3950,"YYYY-MM"),LEFT(B3950,7)))</f>
        <v/>
      </c>
    </row>
    <row r="3951">
      <c r="N3951" s="6">
        <f>IF(B3951="","",IF(ISNUMBER(B3951),TEXT(B3951,"YYYY-MM"),LEFT(B3951,7)))</f>
        <v/>
      </c>
    </row>
    <row r="3952">
      <c r="N3952" s="6">
        <f>IF(B3952="","",IF(ISNUMBER(B3952),TEXT(B3952,"YYYY-MM"),LEFT(B3952,7)))</f>
        <v/>
      </c>
    </row>
    <row r="3953">
      <c r="N3953" s="6">
        <f>IF(B3953="","",IF(ISNUMBER(B3953),TEXT(B3953,"YYYY-MM"),LEFT(B3953,7)))</f>
        <v/>
      </c>
    </row>
    <row r="3954">
      <c r="N3954" s="6">
        <f>IF(B3954="","",IF(ISNUMBER(B3954),TEXT(B3954,"YYYY-MM"),LEFT(B3954,7)))</f>
        <v/>
      </c>
    </row>
    <row r="3955">
      <c r="N3955" s="6">
        <f>IF(B3955="","",IF(ISNUMBER(B3955),TEXT(B3955,"YYYY-MM"),LEFT(B3955,7)))</f>
        <v/>
      </c>
    </row>
    <row r="3956">
      <c r="N3956" s="6">
        <f>IF(B3956="","",IF(ISNUMBER(B3956),TEXT(B3956,"YYYY-MM"),LEFT(B3956,7)))</f>
        <v/>
      </c>
    </row>
    <row r="3957">
      <c r="N3957" s="6">
        <f>IF(B3957="","",IF(ISNUMBER(B3957),TEXT(B3957,"YYYY-MM"),LEFT(B3957,7)))</f>
        <v/>
      </c>
    </row>
    <row r="3958">
      <c r="N3958" s="6">
        <f>IF(B3958="","",IF(ISNUMBER(B3958),TEXT(B3958,"YYYY-MM"),LEFT(B3958,7)))</f>
        <v/>
      </c>
    </row>
    <row r="3959">
      <c r="N3959" s="6">
        <f>IF(B3959="","",IF(ISNUMBER(B3959),TEXT(B3959,"YYYY-MM"),LEFT(B3959,7)))</f>
        <v/>
      </c>
    </row>
    <row r="3960">
      <c r="N3960" s="6">
        <f>IF(B3960="","",IF(ISNUMBER(B3960),TEXT(B3960,"YYYY-MM"),LEFT(B3960,7)))</f>
        <v/>
      </c>
    </row>
    <row r="3961">
      <c r="N3961" s="6">
        <f>IF(B3961="","",IF(ISNUMBER(B3961),TEXT(B3961,"YYYY-MM"),LEFT(B3961,7)))</f>
        <v/>
      </c>
    </row>
    <row r="3962">
      <c r="N3962" s="6">
        <f>IF(B3962="","",IF(ISNUMBER(B3962),TEXT(B3962,"YYYY-MM"),LEFT(B3962,7)))</f>
        <v/>
      </c>
    </row>
    <row r="3963">
      <c r="N3963" s="6">
        <f>IF(B3963="","",IF(ISNUMBER(B3963),TEXT(B3963,"YYYY-MM"),LEFT(B3963,7)))</f>
        <v/>
      </c>
    </row>
    <row r="3964">
      <c r="N3964" s="6">
        <f>IF(B3964="","",IF(ISNUMBER(B3964),TEXT(B3964,"YYYY-MM"),LEFT(B3964,7)))</f>
        <v/>
      </c>
    </row>
    <row r="3965">
      <c r="N3965" s="6">
        <f>IF(B3965="","",IF(ISNUMBER(B3965),TEXT(B3965,"YYYY-MM"),LEFT(B3965,7)))</f>
        <v/>
      </c>
    </row>
    <row r="3966">
      <c r="N3966" s="6">
        <f>IF(B3966="","",IF(ISNUMBER(B3966),TEXT(B3966,"YYYY-MM"),LEFT(B3966,7)))</f>
        <v/>
      </c>
    </row>
    <row r="3967">
      <c r="N3967" s="6">
        <f>IF(B3967="","",IF(ISNUMBER(B3967),TEXT(B3967,"YYYY-MM"),LEFT(B3967,7)))</f>
        <v/>
      </c>
    </row>
    <row r="3968">
      <c r="N3968" s="6">
        <f>IF(B3968="","",IF(ISNUMBER(B3968),TEXT(B3968,"YYYY-MM"),LEFT(B3968,7)))</f>
        <v/>
      </c>
    </row>
    <row r="3969">
      <c r="N3969" s="6">
        <f>IF(B3969="","",IF(ISNUMBER(B3969),TEXT(B3969,"YYYY-MM"),LEFT(B3969,7)))</f>
        <v/>
      </c>
    </row>
    <row r="3970">
      <c r="N3970" s="6">
        <f>IF(B3970="","",IF(ISNUMBER(B3970),TEXT(B3970,"YYYY-MM"),LEFT(B3970,7)))</f>
        <v/>
      </c>
    </row>
    <row r="3971">
      <c r="N3971" s="6">
        <f>IF(B3971="","",IF(ISNUMBER(B3971),TEXT(B3971,"YYYY-MM"),LEFT(B3971,7)))</f>
        <v/>
      </c>
    </row>
    <row r="3972">
      <c r="N3972" s="6">
        <f>IF(B3972="","",IF(ISNUMBER(B3972),TEXT(B3972,"YYYY-MM"),LEFT(B3972,7)))</f>
        <v/>
      </c>
    </row>
    <row r="3973">
      <c r="N3973" s="6">
        <f>IF(B3973="","",IF(ISNUMBER(B3973),TEXT(B3973,"YYYY-MM"),LEFT(B3973,7)))</f>
        <v/>
      </c>
    </row>
    <row r="3974">
      <c r="N3974" s="6">
        <f>IF(B3974="","",IF(ISNUMBER(B3974),TEXT(B3974,"YYYY-MM"),LEFT(B3974,7)))</f>
        <v/>
      </c>
    </row>
    <row r="3975">
      <c r="N3975" s="6">
        <f>IF(B3975="","",IF(ISNUMBER(B3975),TEXT(B3975,"YYYY-MM"),LEFT(B3975,7)))</f>
        <v/>
      </c>
    </row>
    <row r="3976">
      <c r="N3976" s="6">
        <f>IF(B3976="","",IF(ISNUMBER(B3976),TEXT(B3976,"YYYY-MM"),LEFT(B3976,7)))</f>
        <v/>
      </c>
    </row>
    <row r="3977">
      <c r="N3977" s="6">
        <f>IF(B3977="","",IF(ISNUMBER(B3977),TEXT(B3977,"YYYY-MM"),LEFT(B3977,7)))</f>
        <v/>
      </c>
    </row>
    <row r="3978">
      <c r="N3978" s="6">
        <f>IF(B3978="","",IF(ISNUMBER(B3978),TEXT(B3978,"YYYY-MM"),LEFT(B3978,7)))</f>
        <v/>
      </c>
    </row>
    <row r="3979">
      <c r="N3979" s="6">
        <f>IF(B3979="","",IF(ISNUMBER(B3979),TEXT(B3979,"YYYY-MM"),LEFT(B3979,7)))</f>
        <v/>
      </c>
    </row>
    <row r="3980">
      <c r="N3980" s="6">
        <f>IF(B3980="","",IF(ISNUMBER(B3980),TEXT(B3980,"YYYY-MM"),LEFT(B3980,7)))</f>
        <v/>
      </c>
    </row>
    <row r="3981">
      <c r="N3981" s="6">
        <f>IF(B3981="","",IF(ISNUMBER(B3981),TEXT(B3981,"YYYY-MM"),LEFT(B3981,7)))</f>
        <v/>
      </c>
    </row>
    <row r="3982">
      <c r="N3982" s="6">
        <f>IF(B3982="","",IF(ISNUMBER(B3982),TEXT(B3982,"YYYY-MM"),LEFT(B3982,7)))</f>
        <v/>
      </c>
    </row>
    <row r="3983">
      <c r="N3983" s="6">
        <f>IF(B3983="","",IF(ISNUMBER(B3983),TEXT(B3983,"YYYY-MM"),LEFT(B3983,7)))</f>
        <v/>
      </c>
    </row>
    <row r="3984">
      <c r="N3984" s="6">
        <f>IF(B3984="","",IF(ISNUMBER(B3984),TEXT(B3984,"YYYY-MM"),LEFT(B3984,7)))</f>
        <v/>
      </c>
    </row>
    <row r="3985">
      <c r="N3985" s="6">
        <f>IF(B3985="","",IF(ISNUMBER(B3985),TEXT(B3985,"YYYY-MM"),LEFT(B3985,7)))</f>
        <v/>
      </c>
    </row>
    <row r="3986">
      <c r="N3986" s="6">
        <f>IF(B3986="","",IF(ISNUMBER(B3986),TEXT(B3986,"YYYY-MM"),LEFT(B3986,7)))</f>
        <v/>
      </c>
    </row>
    <row r="3987">
      <c r="N3987" s="6">
        <f>IF(B3987="","",IF(ISNUMBER(B3987),TEXT(B3987,"YYYY-MM"),LEFT(B3987,7)))</f>
        <v/>
      </c>
    </row>
    <row r="3988">
      <c r="N3988" s="6">
        <f>IF(B3988="","",IF(ISNUMBER(B3988),TEXT(B3988,"YYYY-MM"),LEFT(B3988,7)))</f>
        <v/>
      </c>
    </row>
    <row r="3989">
      <c r="N3989" s="6">
        <f>IF(B3989="","",IF(ISNUMBER(B3989),TEXT(B3989,"YYYY-MM"),LEFT(B3989,7)))</f>
        <v/>
      </c>
    </row>
    <row r="3990">
      <c r="N3990" s="6">
        <f>IF(B3990="","",IF(ISNUMBER(B3990),TEXT(B3990,"YYYY-MM"),LEFT(B3990,7)))</f>
        <v/>
      </c>
    </row>
    <row r="3991">
      <c r="N3991" s="6">
        <f>IF(B3991="","",IF(ISNUMBER(B3991),TEXT(B3991,"YYYY-MM"),LEFT(B3991,7)))</f>
        <v/>
      </c>
    </row>
    <row r="3992">
      <c r="N3992" s="6">
        <f>IF(B3992="","",IF(ISNUMBER(B3992),TEXT(B3992,"YYYY-MM"),LEFT(B3992,7)))</f>
        <v/>
      </c>
    </row>
    <row r="3993">
      <c r="N3993" s="6">
        <f>IF(B3993="","",IF(ISNUMBER(B3993),TEXT(B3993,"YYYY-MM"),LEFT(B3993,7)))</f>
        <v/>
      </c>
    </row>
    <row r="3994">
      <c r="N3994" s="6">
        <f>IF(B3994="","",IF(ISNUMBER(B3994),TEXT(B3994,"YYYY-MM"),LEFT(B3994,7)))</f>
        <v/>
      </c>
    </row>
    <row r="3995">
      <c r="N3995" s="6">
        <f>IF(B3995="","",IF(ISNUMBER(B3995),TEXT(B3995,"YYYY-MM"),LEFT(B3995,7)))</f>
        <v/>
      </c>
    </row>
    <row r="3996">
      <c r="N3996" s="6">
        <f>IF(B3996="","",IF(ISNUMBER(B3996),TEXT(B3996,"YYYY-MM"),LEFT(B3996,7)))</f>
        <v/>
      </c>
    </row>
    <row r="3997">
      <c r="N3997" s="6">
        <f>IF(B3997="","",IF(ISNUMBER(B3997),TEXT(B3997,"YYYY-MM"),LEFT(B3997,7)))</f>
        <v/>
      </c>
    </row>
    <row r="3998">
      <c r="N3998" s="6">
        <f>IF(B3998="","",IF(ISNUMBER(B3998),TEXT(B3998,"YYYY-MM"),LEFT(B3998,7)))</f>
        <v/>
      </c>
    </row>
    <row r="3999">
      <c r="N3999" s="6">
        <f>IF(B3999="","",IF(ISNUMBER(B3999),TEXT(B3999,"YYYY-MM"),LEFT(B3999,7)))</f>
        <v/>
      </c>
    </row>
    <row r="4000">
      <c r="N4000" s="6">
        <f>IF(B4000="","",IF(ISNUMBER(B4000),TEXT(B4000,"YYYY-MM"),LEFT(B4000,7)))</f>
        <v/>
      </c>
    </row>
    <row r="4001">
      <c r="N4001" s="6">
        <f>IF(B4001="","",IF(ISNUMBER(B4001),TEXT(B4001,"YYYY-MM"),LEFT(B4001,7)))</f>
        <v/>
      </c>
    </row>
    <row r="4002">
      <c r="N4002" s="6">
        <f>IF(B4002="","",IF(ISNUMBER(B4002),TEXT(B4002,"YYYY-MM"),LEFT(B4002,7)))</f>
        <v/>
      </c>
    </row>
    <row r="4003">
      <c r="N4003" s="6">
        <f>IF(B4003="","",IF(ISNUMBER(B4003),TEXT(B4003,"YYYY-MM"),LEFT(B4003,7)))</f>
        <v/>
      </c>
    </row>
    <row r="4004">
      <c r="N4004" s="6">
        <f>IF(B4004="","",IF(ISNUMBER(B4004),TEXT(B4004,"YYYY-MM"),LEFT(B4004,7)))</f>
        <v/>
      </c>
    </row>
    <row r="4005">
      <c r="N4005" s="6">
        <f>IF(B4005="","",IF(ISNUMBER(B4005),TEXT(B4005,"YYYY-MM"),LEFT(B4005,7)))</f>
        <v/>
      </c>
    </row>
    <row r="4006">
      <c r="N4006" s="6">
        <f>IF(B4006="","",IF(ISNUMBER(B4006),TEXT(B4006,"YYYY-MM"),LEFT(B4006,7)))</f>
        <v/>
      </c>
    </row>
    <row r="4007">
      <c r="N4007" s="6">
        <f>IF(B4007="","",IF(ISNUMBER(B4007),TEXT(B4007,"YYYY-MM"),LEFT(B4007,7)))</f>
        <v/>
      </c>
    </row>
    <row r="4008">
      <c r="N4008" s="6">
        <f>IF(B4008="","",IF(ISNUMBER(B4008),TEXT(B4008,"YYYY-MM"),LEFT(B4008,7)))</f>
        <v/>
      </c>
    </row>
    <row r="4009">
      <c r="N4009" s="6">
        <f>IF(B4009="","",IF(ISNUMBER(B4009),TEXT(B4009,"YYYY-MM"),LEFT(B4009,7)))</f>
        <v/>
      </c>
    </row>
    <row r="4010">
      <c r="N4010" s="6">
        <f>IF(B4010="","",IF(ISNUMBER(B4010),TEXT(B4010,"YYYY-MM"),LEFT(B4010,7)))</f>
        <v/>
      </c>
    </row>
    <row r="4011">
      <c r="N4011" s="6">
        <f>IF(B4011="","",IF(ISNUMBER(B4011),TEXT(B4011,"YYYY-MM"),LEFT(B4011,7)))</f>
        <v/>
      </c>
    </row>
    <row r="4012">
      <c r="N4012" s="6">
        <f>IF(B4012="","",IF(ISNUMBER(B4012),TEXT(B4012,"YYYY-MM"),LEFT(B4012,7)))</f>
        <v/>
      </c>
    </row>
    <row r="4013">
      <c r="N4013" s="6">
        <f>IF(B4013="","",IF(ISNUMBER(B4013),TEXT(B4013,"YYYY-MM"),LEFT(B4013,7)))</f>
        <v/>
      </c>
    </row>
    <row r="4014">
      <c r="N4014" s="6">
        <f>IF(B4014="","",IF(ISNUMBER(B4014),TEXT(B4014,"YYYY-MM"),LEFT(B4014,7)))</f>
        <v/>
      </c>
    </row>
    <row r="4015">
      <c r="N4015" s="6">
        <f>IF(B4015="","",IF(ISNUMBER(B4015),TEXT(B4015,"YYYY-MM"),LEFT(B4015,7)))</f>
        <v/>
      </c>
    </row>
    <row r="4016">
      <c r="N4016" s="6">
        <f>IF(B4016="","",IF(ISNUMBER(B4016),TEXT(B4016,"YYYY-MM"),LEFT(B4016,7)))</f>
        <v/>
      </c>
    </row>
    <row r="4017">
      <c r="N4017" s="6">
        <f>IF(B4017="","",IF(ISNUMBER(B4017),TEXT(B4017,"YYYY-MM"),LEFT(B4017,7)))</f>
        <v/>
      </c>
    </row>
    <row r="4018">
      <c r="N4018" s="6">
        <f>IF(B4018="","",IF(ISNUMBER(B4018),TEXT(B4018,"YYYY-MM"),LEFT(B4018,7)))</f>
        <v/>
      </c>
    </row>
    <row r="4019">
      <c r="N4019" s="6">
        <f>IF(B4019="","",IF(ISNUMBER(B4019),TEXT(B4019,"YYYY-MM"),LEFT(B4019,7)))</f>
        <v/>
      </c>
    </row>
    <row r="4020">
      <c r="N4020" s="6">
        <f>IF(B4020="","",IF(ISNUMBER(B4020),TEXT(B4020,"YYYY-MM"),LEFT(B4020,7)))</f>
        <v/>
      </c>
    </row>
    <row r="4021">
      <c r="N4021" s="6">
        <f>IF(B4021="","",IF(ISNUMBER(B4021),TEXT(B4021,"YYYY-MM"),LEFT(B4021,7)))</f>
        <v/>
      </c>
    </row>
    <row r="4022">
      <c r="N4022" s="6">
        <f>IF(B4022="","",IF(ISNUMBER(B4022),TEXT(B4022,"YYYY-MM"),LEFT(B4022,7)))</f>
        <v/>
      </c>
    </row>
    <row r="4023">
      <c r="N4023" s="6">
        <f>IF(B4023="","",IF(ISNUMBER(B4023),TEXT(B4023,"YYYY-MM"),LEFT(B4023,7)))</f>
        <v/>
      </c>
    </row>
    <row r="4024">
      <c r="N4024" s="6">
        <f>IF(B4024="","",IF(ISNUMBER(B4024),TEXT(B4024,"YYYY-MM"),LEFT(B4024,7)))</f>
        <v/>
      </c>
    </row>
    <row r="4025">
      <c r="N4025" s="6">
        <f>IF(B4025="","",IF(ISNUMBER(B4025),TEXT(B4025,"YYYY-MM"),LEFT(B4025,7)))</f>
        <v/>
      </c>
    </row>
    <row r="4026">
      <c r="N4026" s="6">
        <f>IF(B4026="","",IF(ISNUMBER(B4026),TEXT(B4026,"YYYY-MM"),LEFT(B4026,7)))</f>
        <v/>
      </c>
    </row>
    <row r="4027">
      <c r="N4027" s="6">
        <f>IF(B4027="","",IF(ISNUMBER(B4027),TEXT(B4027,"YYYY-MM"),LEFT(B4027,7)))</f>
        <v/>
      </c>
    </row>
    <row r="4028">
      <c r="N4028" s="6">
        <f>IF(B4028="","",IF(ISNUMBER(B4028),TEXT(B4028,"YYYY-MM"),LEFT(B4028,7)))</f>
        <v/>
      </c>
    </row>
    <row r="4029">
      <c r="N4029" s="6">
        <f>IF(B4029="","",IF(ISNUMBER(B4029),TEXT(B4029,"YYYY-MM"),LEFT(B4029,7)))</f>
        <v/>
      </c>
    </row>
    <row r="4030">
      <c r="N4030" s="6">
        <f>IF(B4030="","",IF(ISNUMBER(B4030),TEXT(B4030,"YYYY-MM"),LEFT(B4030,7)))</f>
        <v/>
      </c>
    </row>
    <row r="4031">
      <c r="N4031" s="6">
        <f>IF(B4031="","",IF(ISNUMBER(B4031),TEXT(B4031,"YYYY-MM"),LEFT(B4031,7)))</f>
        <v/>
      </c>
    </row>
    <row r="4032">
      <c r="N4032" s="6">
        <f>IF(B4032="","",IF(ISNUMBER(B4032),TEXT(B4032,"YYYY-MM"),LEFT(B4032,7)))</f>
        <v/>
      </c>
    </row>
    <row r="4033">
      <c r="N4033" s="6">
        <f>IF(B4033="","",IF(ISNUMBER(B4033),TEXT(B4033,"YYYY-MM"),LEFT(B4033,7)))</f>
        <v/>
      </c>
    </row>
    <row r="4034">
      <c r="N4034" s="6">
        <f>IF(B4034="","",IF(ISNUMBER(B4034),TEXT(B4034,"YYYY-MM"),LEFT(B4034,7)))</f>
        <v/>
      </c>
    </row>
    <row r="4035">
      <c r="N4035" s="6">
        <f>IF(B4035="","",IF(ISNUMBER(B4035),TEXT(B4035,"YYYY-MM"),LEFT(B4035,7)))</f>
        <v/>
      </c>
    </row>
    <row r="4036">
      <c r="N4036" s="6">
        <f>IF(B4036="","",IF(ISNUMBER(B4036),TEXT(B4036,"YYYY-MM"),LEFT(B4036,7)))</f>
        <v/>
      </c>
    </row>
    <row r="4037">
      <c r="N4037" s="6">
        <f>IF(B4037="","",IF(ISNUMBER(B4037),TEXT(B4037,"YYYY-MM"),LEFT(B4037,7)))</f>
        <v/>
      </c>
    </row>
    <row r="4038">
      <c r="N4038" s="6">
        <f>IF(B4038="","",IF(ISNUMBER(B4038),TEXT(B4038,"YYYY-MM"),LEFT(B4038,7)))</f>
        <v/>
      </c>
    </row>
    <row r="4039">
      <c r="N4039" s="6">
        <f>IF(B4039="","",IF(ISNUMBER(B4039),TEXT(B4039,"YYYY-MM"),LEFT(B4039,7)))</f>
        <v/>
      </c>
    </row>
    <row r="4040">
      <c r="N4040" s="6">
        <f>IF(B4040="","",IF(ISNUMBER(B4040),TEXT(B4040,"YYYY-MM"),LEFT(B4040,7)))</f>
        <v/>
      </c>
    </row>
    <row r="4041">
      <c r="N4041" s="6">
        <f>IF(B4041="","",IF(ISNUMBER(B4041),TEXT(B4041,"YYYY-MM"),LEFT(B4041,7)))</f>
        <v/>
      </c>
    </row>
    <row r="4042">
      <c r="N4042" s="6">
        <f>IF(B4042="","",IF(ISNUMBER(B4042),TEXT(B4042,"YYYY-MM"),LEFT(B4042,7)))</f>
        <v/>
      </c>
    </row>
    <row r="4043">
      <c r="N4043" s="6">
        <f>IF(B4043="","",IF(ISNUMBER(B4043),TEXT(B4043,"YYYY-MM"),LEFT(B4043,7)))</f>
        <v/>
      </c>
    </row>
    <row r="4044">
      <c r="N4044" s="6">
        <f>IF(B4044="","",IF(ISNUMBER(B4044),TEXT(B4044,"YYYY-MM"),LEFT(B4044,7)))</f>
        <v/>
      </c>
    </row>
    <row r="4045">
      <c r="N4045" s="6">
        <f>IF(B4045="","",IF(ISNUMBER(B4045),TEXT(B4045,"YYYY-MM"),LEFT(B4045,7)))</f>
        <v/>
      </c>
    </row>
    <row r="4046">
      <c r="N4046" s="6">
        <f>IF(B4046="","",IF(ISNUMBER(B4046),TEXT(B4046,"YYYY-MM"),LEFT(B4046,7)))</f>
        <v/>
      </c>
    </row>
    <row r="4047">
      <c r="N4047" s="6">
        <f>IF(B4047="","",IF(ISNUMBER(B4047),TEXT(B4047,"YYYY-MM"),LEFT(B4047,7)))</f>
        <v/>
      </c>
    </row>
    <row r="4048">
      <c r="N4048" s="6">
        <f>IF(B4048="","",IF(ISNUMBER(B4048),TEXT(B4048,"YYYY-MM"),LEFT(B4048,7)))</f>
        <v/>
      </c>
    </row>
    <row r="4049">
      <c r="N4049" s="6">
        <f>IF(B4049="","",IF(ISNUMBER(B4049),TEXT(B4049,"YYYY-MM"),LEFT(B4049,7)))</f>
        <v/>
      </c>
    </row>
    <row r="4050">
      <c r="N4050" s="6">
        <f>IF(B4050="","",IF(ISNUMBER(B4050),TEXT(B4050,"YYYY-MM"),LEFT(B4050,7)))</f>
        <v/>
      </c>
    </row>
    <row r="4051">
      <c r="N4051" s="6">
        <f>IF(B4051="","",IF(ISNUMBER(B4051),TEXT(B4051,"YYYY-MM"),LEFT(B4051,7)))</f>
        <v/>
      </c>
    </row>
    <row r="4052">
      <c r="N4052" s="6">
        <f>IF(B4052="","",IF(ISNUMBER(B4052),TEXT(B4052,"YYYY-MM"),LEFT(B4052,7)))</f>
        <v/>
      </c>
    </row>
    <row r="4053">
      <c r="N4053" s="6">
        <f>IF(B4053="","",IF(ISNUMBER(B4053),TEXT(B4053,"YYYY-MM"),LEFT(B4053,7)))</f>
        <v/>
      </c>
    </row>
    <row r="4054">
      <c r="N4054" s="6">
        <f>IF(B4054="","",IF(ISNUMBER(B4054),TEXT(B4054,"YYYY-MM"),LEFT(B4054,7)))</f>
        <v/>
      </c>
    </row>
    <row r="4055">
      <c r="N4055" s="6">
        <f>IF(B4055="","",IF(ISNUMBER(B4055),TEXT(B4055,"YYYY-MM"),LEFT(B4055,7)))</f>
        <v/>
      </c>
    </row>
    <row r="4056">
      <c r="N4056" s="6">
        <f>IF(B4056="","",IF(ISNUMBER(B4056),TEXT(B4056,"YYYY-MM"),LEFT(B4056,7)))</f>
        <v/>
      </c>
    </row>
    <row r="4057">
      <c r="N4057" s="6">
        <f>IF(B4057="","",IF(ISNUMBER(B4057),TEXT(B4057,"YYYY-MM"),LEFT(B4057,7)))</f>
        <v/>
      </c>
    </row>
    <row r="4058">
      <c r="N4058" s="6">
        <f>IF(B4058="","",IF(ISNUMBER(B4058),TEXT(B4058,"YYYY-MM"),LEFT(B4058,7)))</f>
        <v/>
      </c>
    </row>
    <row r="4059">
      <c r="N4059" s="6">
        <f>IF(B4059="","",IF(ISNUMBER(B4059),TEXT(B4059,"YYYY-MM"),LEFT(B4059,7)))</f>
        <v/>
      </c>
    </row>
    <row r="4060">
      <c r="N4060" s="6">
        <f>IF(B4060="","",IF(ISNUMBER(B4060),TEXT(B4060,"YYYY-MM"),LEFT(B4060,7)))</f>
        <v/>
      </c>
    </row>
    <row r="4061">
      <c r="N4061" s="6">
        <f>IF(B4061="","",IF(ISNUMBER(B4061),TEXT(B4061,"YYYY-MM"),LEFT(B4061,7)))</f>
        <v/>
      </c>
    </row>
    <row r="4062">
      <c r="N4062" s="6">
        <f>IF(B4062="","",IF(ISNUMBER(B4062),TEXT(B4062,"YYYY-MM"),LEFT(B4062,7)))</f>
        <v/>
      </c>
    </row>
    <row r="4063">
      <c r="N4063" s="6">
        <f>IF(B4063="","",IF(ISNUMBER(B4063),TEXT(B4063,"YYYY-MM"),LEFT(B4063,7)))</f>
        <v/>
      </c>
    </row>
    <row r="4064">
      <c r="N4064" s="6">
        <f>IF(B4064="","",IF(ISNUMBER(B4064),TEXT(B4064,"YYYY-MM"),LEFT(B4064,7)))</f>
        <v/>
      </c>
    </row>
    <row r="4065">
      <c r="N4065" s="6">
        <f>IF(B4065="","",IF(ISNUMBER(B4065),TEXT(B4065,"YYYY-MM"),LEFT(B4065,7)))</f>
        <v/>
      </c>
    </row>
    <row r="4066">
      <c r="N4066" s="6">
        <f>IF(B4066="","",IF(ISNUMBER(B4066),TEXT(B4066,"YYYY-MM"),LEFT(B4066,7)))</f>
        <v/>
      </c>
    </row>
    <row r="4067">
      <c r="N4067" s="6">
        <f>IF(B4067="","",IF(ISNUMBER(B4067),TEXT(B4067,"YYYY-MM"),LEFT(B4067,7)))</f>
        <v/>
      </c>
    </row>
    <row r="4068">
      <c r="N4068" s="6">
        <f>IF(B4068="","",IF(ISNUMBER(B4068),TEXT(B4068,"YYYY-MM"),LEFT(B4068,7)))</f>
        <v/>
      </c>
    </row>
    <row r="4069">
      <c r="N4069" s="6">
        <f>IF(B4069="","",IF(ISNUMBER(B4069),TEXT(B4069,"YYYY-MM"),LEFT(B4069,7)))</f>
        <v/>
      </c>
    </row>
    <row r="4070">
      <c r="N4070" s="6">
        <f>IF(B4070="","",IF(ISNUMBER(B4070),TEXT(B4070,"YYYY-MM"),LEFT(B4070,7)))</f>
        <v/>
      </c>
    </row>
    <row r="4071">
      <c r="N4071" s="6">
        <f>IF(B4071="","",IF(ISNUMBER(B4071),TEXT(B4071,"YYYY-MM"),LEFT(B4071,7)))</f>
        <v/>
      </c>
    </row>
    <row r="4072">
      <c r="N4072" s="6">
        <f>IF(B4072="","",IF(ISNUMBER(B4072),TEXT(B4072,"YYYY-MM"),LEFT(B4072,7)))</f>
        <v/>
      </c>
    </row>
    <row r="4073">
      <c r="N4073" s="6">
        <f>IF(B4073="","",IF(ISNUMBER(B4073),TEXT(B4073,"YYYY-MM"),LEFT(B4073,7)))</f>
        <v/>
      </c>
    </row>
    <row r="4074">
      <c r="N4074" s="6">
        <f>IF(B4074="","",IF(ISNUMBER(B4074),TEXT(B4074,"YYYY-MM"),LEFT(B4074,7)))</f>
        <v/>
      </c>
    </row>
    <row r="4075">
      <c r="N4075" s="6">
        <f>IF(B4075="","",IF(ISNUMBER(B4075),TEXT(B4075,"YYYY-MM"),LEFT(B4075,7)))</f>
        <v/>
      </c>
    </row>
    <row r="4076">
      <c r="N4076" s="6">
        <f>IF(B4076="","",IF(ISNUMBER(B4076),TEXT(B4076,"YYYY-MM"),LEFT(B4076,7)))</f>
        <v/>
      </c>
    </row>
    <row r="4077">
      <c r="N4077" s="6">
        <f>IF(B4077="","",IF(ISNUMBER(B4077),TEXT(B4077,"YYYY-MM"),LEFT(B4077,7)))</f>
        <v/>
      </c>
    </row>
    <row r="4078">
      <c r="N4078" s="6">
        <f>IF(B4078="","",IF(ISNUMBER(B4078),TEXT(B4078,"YYYY-MM"),LEFT(B4078,7)))</f>
        <v/>
      </c>
    </row>
    <row r="4079">
      <c r="N4079" s="6">
        <f>IF(B4079="","",IF(ISNUMBER(B4079),TEXT(B4079,"YYYY-MM"),LEFT(B4079,7)))</f>
        <v/>
      </c>
    </row>
    <row r="4080">
      <c r="N4080" s="6">
        <f>IF(B4080="","",IF(ISNUMBER(B4080),TEXT(B4080,"YYYY-MM"),LEFT(B4080,7)))</f>
        <v/>
      </c>
    </row>
    <row r="4081">
      <c r="N4081" s="6">
        <f>IF(B4081="","",IF(ISNUMBER(B4081),TEXT(B4081,"YYYY-MM"),LEFT(B4081,7)))</f>
        <v/>
      </c>
    </row>
    <row r="4082">
      <c r="N4082" s="6">
        <f>IF(B4082="","",IF(ISNUMBER(B4082),TEXT(B4082,"YYYY-MM"),LEFT(B4082,7)))</f>
        <v/>
      </c>
    </row>
    <row r="4083">
      <c r="N4083" s="6">
        <f>IF(B4083="","",IF(ISNUMBER(B4083),TEXT(B4083,"YYYY-MM"),LEFT(B4083,7)))</f>
        <v/>
      </c>
    </row>
    <row r="4084">
      <c r="N4084" s="6">
        <f>IF(B4084="","",IF(ISNUMBER(B4084),TEXT(B4084,"YYYY-MM"),LEFT(B4084,7)))</f>
        <v/>
      </c>
    </row>
    <row r="4085">
      <c r="N4085" s="6">
        <f>IF(B4085="","",IF(ISNUMBER(B4085),TEXT(B4085,"YYYY-MM"),LEFT(B4085,7)))</f>
        <v/>
      </c>
    </row>
    <row r="4086">
      <c r="N4086" s="6">
        <f>IF(B4086="","",IF(ISNUMBER(B4086),TEXT(B4086,"YYYY-MM"),LEFT(B4086,7)))</f>
        <v/>
      </c>
    </row>
    <row r="4087">
      <c r="N4087" s="6">
        <f>IF(B4087="","",IF(ISNUMBER(B4087),TEXT(B4087,"YYYY-MM"),LEFT(B4087,7)))</f>
        <v/>
      </c>
    </row>
    <row r="4088">
      <c r="N4088" s="6">
        <f>IF(B4088="","",IF(ISNUMBER(B4088),TEXT(B4088,"YYYY-MM"),LEFT(B4088,7)))</f>
        <v/>
      </c>
    </row>
    <row r="4089">
      <c r="N4089" s="6">
        <f>IF(B4089="","",IF(ISNUMBER(B4089),TEXT(B4089,"YYYY-MM"),LEFT(B4089,7)))</f>
        <v/>
      </c>
    </row>
    <row r="4090">
      <c r="N4090" s="6">
        <f>IF(B4090="","",IF(ISNUMBER(B4090),TEXT(B4090,"YYYY-MM"),LEFT(B4090,7)))</f>
        <v/>
      </c>
    </row>
    <row r="4091">
      <c r="N4091" s="6">
        <f>IF(B4091="","",IF(ISNUMBER(B4091),TEXT(B4091,"YYYY-MM"),LEFT(B4091,7)))</f>
        <v/>
      </c>
    </row>
    <row r="4092">
      <c r="N4092" s="6">
        <f>IF(B4092="","",IF(ISNUMBER(B4092),TEXT(B4092,"YYYY-MM"),LEFT(B4092,7)))</f>
        <v/>
      </c>
    </row>
    <row r="4093">
      <c r="N4093" s="6">
        <f>IF(B4093="","",IF(ISNUMBER(B4093),TEXT(B4093,"YYYY-MM"),LEFT(B4093,7)))</f>
        <v/>
      </c>
    </row>
    <row r="4094">
      <c r="N4094" s="6">
        <f>IF(B4094="","",IF(ISNUMBER(B4094),TEXT(B4094,"YYYY-MM"),LEFT(B4094,7)))</f>
        <v/>
      </c>
    </row>
    <row r="4095">
      <c r="N4095" s="6">
        <f>IF(B4095="","",IF(ISNUMBER(B4095),TEXT(B4095,"YYYY-MM"),LEFT(B4095,7)))</f>
        <v/>
      </c>
    </row>
    <row r="4096">
      <c r="N4096" s="6">
        <f>IF(B4096="","",IF(ISNUMBER(B4096),TEXT(B4096,"YYYY-MM"),LEFT(B4096,7)))</f>
        <v/>
      </c>
    </row>
    <row r="4097">
      <c r="N4097" s="6">
        <f>IF(B4097="","",IF(ISNUMBER(B4097),TEXT(B4097,"YYYY-MM"),LEFT(B4097,7)))</f>
        <v/>
      </c>
    </row>
    <row r="4098">
      <c r="N4098" s="6">
        <f>IF(B4098="","",IF(ISNUMBER(B4098),TEXT(B4098,"YYYY-MM"),LEFT(B4098,7)))</f>
        <v/>
      </c>
    </row>
    <row r="4099">
      <c r="N4099" s="6">
        <f>IF(B4099="","",IF(ISNUMBER(B4099),TEXT(B4099,"YYYY-MM"),LEFT(B4099,7)))</f>
        <v/>
      </c>
    </row>
    <row r="4100">
      <c r="N4100" s="6">
        <f>IF(B4100="","",IF(ISNUMBER(B4100),TEXT(B4100,"YYYY-MM"),LEFT(B4100,7)))</f>
        <v/>
      </c>
    </row>
    <row r="4101">
      <c r="N4101" s="6">
        <f>IF(B4101="","",IF(ISNUMBER(B4101),TEXT(B4101,"YYYY-MM"),LEFT(B4101,7)))</f>
        <v/>
      </c>
    </row>
    <row r="4102">
      <c r="N4102" s="6">
        <f>IF(B4102="","",IF(ISNUMBER(B4102),TEXT(B4102,"YYYY-MM"),LEFT(B4102,7)))</f>
        <v/>
      </c>
    </row>
    <row r="4103">
      <c r="N4103" s="6">
        <f>IF(B4103="","",IF(ISNUMBER(B4103),TEXT(B4103,"YYYY-MM"),LEFT(B4103,7)))</f>
        <v/>
      </c>
    </row>
    <row r="4104">
      <c r="N4104" s="6">
        <f>IF(B4104="","",IF(ISNUMBER(B4104),TEXT(B4104,"YYYY-MM"),LEFT(B4104,7)))</f>
        <v/>
      </c>
    </row>
    <row r="4105">
      <c r="N4105" s="6">
        <f>IF(B4105="","",IF(ISNUMBER(B4105),TEXT(B4105,"YYYY-MM"),LEFT(B4105,7)))</f>
        <v/>
      </c>
    </row>
    <row r="4106">
      <c r="N4106" s="6">
        <f>IF(B4106="","",IF(ISNUMBER(B4106),TEXT(B4106,"YYYY-MM"),LEFT(B4106,7)))</f>
        <v/>
      </c>
    </row>
    <row r="4107">
      <c r="N4107" s="6">
        <f>IF(B4107="","",IF(ISNUMBER(B4107),TEXT(B4107,"YYYY-MM"),LEFT(B4107,7)))</f>
        <v/>
      </c>
    </row>
    <row r="4108">
      <c r="N4108" s="6">
        <f>IF(B4108="","",IF(ISNUMBER(B4108),TEXT(B4108,"YYYY-MM"),LEFT(B4108,7)))</f>
        <v/>
      </c>
    </row>
    <row r="4109">
      <c r="N4109" s="6">
        <f>IF(B4109="","",IF(ISNUMBER(B4109),TEXT(B4109,"YYYY-MM"),LEFT(B4109,7)))</f>
        <v/>
      </c>
    </row>
    <row r="4110">
      <c r="N4110" s="6">
        <f>IF(B4110="","",IF(ISNUMBER(B4110),TEXT(B4110,"YYYY-MM"),LEFT(B4110,7)))</f>
        <v/>
      </c>
    </row>
    <row r="4111">
      <c r="N4111" s="6">
        <f>IF(B4111="","",IF(ISNUMBER(B4111),TEXT(B4111,"YYYY-MM"),LEFT(B4111,7)))</f>
        <v/>
      </c>
    </row>
    <row r="4112">
      <c r="N4112" s="6">
        <f>IF(B4112="","",IF(ISNUMBER(B4112),TEXT(B4112,"YYYY-MM"),LEFT(B4112,7)))</f>
        <v/>
      </c>
    </row>
    <row r="4113">
      <c r="N4113" s="6">
        <f>IF(B4113="","",IF(ISNUMBER(B4113),TEXT(B4113,"YYYY-MM"),LEFT(B4113,7)))</f>
        <v/>
      </c>
    </row>
    <row r="4114">
      <c r="N4114" s="6">
        <f>IF(B4114="","",IF(ISNUMBER(B4114),TEXT(B4114,"YYYY-MM"),LEFT(B4114,7)))</f>
        <v/>
      </c>
    </row>
    <row r="4115">
      <c r="N4115" s="6">
        <f>IF(B4115="","",IF(ISNUMBER(B4115),TEXT(B4115,"YYYY-MM"),LEFT(B4115,7)))</f>
        <v/>
      </c>
    </row>
    <row r="4116">
      <c r="N4116" s="6">
        <f>IF(B4116="","",IF(ISNUMBER(B4116),TEXT(B4116,"YYYY-MM"),LEFT(B4116,7)))</f>
        <v/>
      </c>
    </row>
    <row r="4117">
      <c r="N4117" s="6">
        <f>IF(B4117="","",IF(ISNUMBER(B4117),TEXT(B4117,"YYYY-MM"),LEFT(B4117,7)))</f>
        <v/>
      </c>
    </row>
    <row r="4118">
      <c r="N4118" s="6">
        <f>IF(B4118="","",IF(ISNUMBER(B4118),TEXT(B4118,"YYYY-MM"),LEFT(B4118,7)))</f>
        <v/>
      </c>
    </row>
    <row r="4119">
      <c r="N4119" s="6">
        <f>IF(B4119="","",IF(ISNUMBER(B4119),TEXT(B4119,"YYYY-MM"),LEFT(B4119,7)))</f>
        <v/>
      </c>
    </row>
    <row r="4120">
      <c r="N4120" s="6">
        <f>IF(B4120="","",IF(ISNUMBER(B4120),TEXT(B4120,"YYYY-MM"),LEFT(B4120,7)))</f>
        <v/>
      </c>
    </row>
    <row r="4121">
      <c r="N4121" s="6">
        <f>IF(B4121="","",IF(ISNUMBER(B4121),TEXT(B4121,"YYYY-MM"),LEFT(B4121,7)))</f>
        <v/>
      </c>
    </row>
    <row r="4122">
      <c r="N4122" s="6">
        <f>IF(B4122="","",IF(ISNUMBER(B4122),TEXT(B4122,"YYYY-MM"),LEFT(B4122,7)))</f>
        <v/>
      </c>
    </row>
    <row r="4123">
      <c r="N4123" s="6">
        <f>IF(B4123="","",IF(ISNUMBER(B4123),TEXT(B4123,"YYYY-MM"),LEFT(B4123,7)))</f>
        <v/>
      </c>
    </row>
    <row r="4124">
      <c r="N4124" s="6">
        <f>IF(B4124="","",IF(ISNUMBER(B4124),TEXT(B4124,"YYYY-MM"),LEFT(B4124,7)))</f>
        <v/>
      </c>
    </row>
    <row r="4125">
      <c r="N4125" s="6">
        <f>IF(B4125="","",IF(ISNUMBER(B4125),TEXT(B4125,"YYYY-MM"),LEFT(B4125,7)))</f>
        <v/>
      </c>
    </row>
    <row r="4126">
      <c r="N4126" s="6">
        <f>IF(B4126="","",IF(ISNUMBER(B4126),TEXT(B4126,"YYYY-MM"),LEFT(B4126,7)))</f>
        <v/>
      </c>
    </row>
    <row r="4127">
      <c r="N4127" s="6">
        <f>IF(B4127="","",IF(ISNUMBER(B4127),TEXT(B4127,"YYYY-MM"),LEFT(B4127,7)))</f>
        <v/>
      </c>
    </row>
    <row r="4128">
      <c r="N4128" s="6">
        <f>IF(B4128="","",IF(ISNUMBER(B4128),TEXT(B4128,"YYYY-MM"),LEFT(B4128,7)))</f>
        <v/>
      </c>
    </row>
    <row r="4129">
      <c r="N4129" s="6">
        <f>IF(B4129="","",IF(ISNUMBER(B4129),TEXT(B4129,"YYYY-MM"),LEFT(B4129,7)))</f>
        <v/>
      </c>
    </row>
    <row r="4130">
      <c r="N4130" s="6">
        <f>IF(B4130="","",IF(ISNUMBER(B4130),TEXT(B4130,"YYYY-MM"),LEFT(B4130,7)))</f>
        <v/>
      </c>
    </row>
    <row r="4131">
      <c r="N4131" s="6">
        <f>IF(B4131="","",IF(ISNUMBER(B4131),TEXT(B4131,"YYYY-MM"),LEFT(B4131,7)))</f>
        <v/>
      </c>
    </row>
    <row r="4132">
      <c r="N4132" s="6">
        <f>IF(B4132="","",IF(ISNUMBER(B4132),TEXT(B4132,"YYYY-MM"),LEFT(B4132,7)))</f>
        <v/>
      </c>
    </row>
    <row r="4133">
      <c r="N4133" s="6">
        <f>IF(B4133="","",IF(ISNUMBER(B4133),TEXT(B4133,"YYYY-MM"),LEFT(B4133,7)))</f>
        <v/>
      </c>
    </row>
    <row r="4134">
      <c r="N4134" s="6">
        <f>IF(B4134="","",IF(ISNUMBER(B4134),TEXT(B4134,"YYYY-MM"),LEFT(B4134,7)))</f>
        <v/>
      </c>
    </row>
    <row r="4135">
      <c r="N4135" s="6">
        <f>IF(B4135="","",IF(ISNUMBER(B4135),TEXT(B4135,"YYYY-MM"),LEFT(B4135,7)))</f>
        <v/>
      </c>
    </row>
    <row r="4136">
      <c r="N4136" s="6">
        <f>IF(B4136="","",IF(ISNUMBER(B4136),TEXT(B4136,"YYYY-MM"),LEFT(B4136,7)))</f>
        <v/>
      </c>
    </row>
    <row r="4137">
      <c r="N4137" s="6">
        <f>IF(B4137="","",IF(ISNUMBER(B4137),TEXT(B4137,"YYYY-MM"),LEFT(B4137,7)))</f>
        <v/>
      </c>
    </row>
    <row r="4138">
      <c r="N4138" s="6">
        <f>IF(B4138="","",IF(ISNUMBER(B4138),TEXT(B4138,"YYYY-MM"),LEFT(B4138,7)))</f>
        <v/>
      </c>
    </row>
    <row r="4139">
      <c r="N4139" s="6">
        <f>IF(B4139="","",IF(ISNUMBER(B4139),TEXT(B4139,"YYYY-MM"),LEFT(B4139,7)))</f>
        <v/>
      </c>
    </row>
    <row r="4140">
      <c r="N4140" s="6">
        <f>IF(B4140="","",IF(ISNUMBER(B4140),TEXT(B4140,"YYYY-MM"),LEFT(B4140,7)))</f>
        <v/>
      </c>
    </row>
    <row r="4141">
      <c r="N4141" s="6">
        <f>IF(B4141="","",IF(ISNUMBER(B4141),TEXT(B4141,"YYYY-MM"),LEFT(B4141,7)))</f>
        <v/>
      </c>
    </row>
    <row r="4142">
      <c r="N4142" s="6">
        <f>IF(B4142="","",IF(ISNUMBER(B4142),TEXT(B4142,"YYYY-MM"),LEFT(B4142,7)))</f>
        <v/>
      </c>
    </row>
    <row r="4143">
      <c r="N4143" s="6">
        <f>IF(B4143="","",IF(ISNUMBER(B4143),TEXT(B4143,"YYYY-MM"),LEFT(B4143,7)))</f>
        <v/>
      </c>
    </row>
    <row r="4144">
      <c r="N4144" s="6">
        <f>IF(B4144="","",IF(ISNUMBER(B4144),TEXT(B4144,"YYYY-MM"),LEFT(B4144,7)))</f>
        <v/>
      </c>
    </row>
    <row r="4145">
      <c r="N4145" s="6">
        <f>IF(B4145="","",IF(ISNUMBER(B4145),TEXT(B4145,"YYYY-MM"),LEFT(B4145,7)))</f>
        <v/>
      </c>
    </row>
    <row r="4146">
      <c r="N4146" s="6">
        <f>IF(B4146="","",IF(ISNUMBER(B4146),TEXT(B4146,"YYYY-MM"),LEFT(B4146,7)))</f>
        <v/>
      </c>
    </row>
    <row r="4147">
      <c r="N4147" s="6">
        <f>IF(B4147="","",IF(ISNUMBER(B4147),TEXT(B4147,"YYYY-MM"),LEFT(B4147,7)))</f>
        <v/>
      </c>
    </row>
    <row r="4148">
      <c r="N4148" s="6">
        <f>IF(B4148="","",IF(ISNUMBER(B4148),TEXT(B4148,"YYYY-MM"),LEFT(B4148,7)))</f>
        <v/>
      </c>
    </row>
    <row r="4149">
      <c r="N4149" s="6">
        <f>IF(B4149="","",IF(ISNUMBER(B4149),TEXT(B4149,"YYYY-MM"),LEFT(B4149,7)))</f>
        <v/>
      </c>
    </row>
    <row r="4150">
      <c r="N4150" s="6">
        <f>IF(B4150="","",IF(ISNUMBER(B4150),TEXT(B4150,"YYYY-MM"),LEFT(B4150,7)))</f>
        <v/>
      </c>
    </row>
    <row r="4151">
      <c r="N4151" s="6">
        <f>IF(B4151="","",IF(ISNUMBER(B4151),TEXT(B4151,"YYYY-MM"),LEFT(B4151,7)))</f>
        <v/>
      </c>
    </row>
    <row r="4152">
      <c r="N4152" s="6">
        <f>IF(B4152="","",IF(ISNUMBER(B4152),TEXT(B4152,"YYYY-MM"),LEFT(B4152,7)))</f>
        <v/>
      </c>
    </row>
    <row r="4153">
      <c r="N4153" s="6">
        <f>IF(B4153="","",IF(ISNUMBER(B4153),TEXT(B4153,"YYYY-MM"),LEFT(B4153,7)))</f>
        <v/>
      </c>
    </row>
    <row r="4154">
      <c r="N4154" s="6">
        <f>IF(B4154="","",IF(ISNUMBER(B4154),TEXT(B4154,"YYYY-MM"),LEFT(B4154,7)))</f>
        <v/>
      </c>
    </row>
    <row r="4155">
      <c r="N4155" s="6">
        <f>IF(B4155="","",IF(ISNUMBER(B4155),TEXT(B4155,"YYYY-MM"),LEFT(B4155,7)))</f>
        <v/>
      </c>
    </row>
    <row r="4156">
      <c r="N4156" s="6">
        <f>IF(B4156="","",IF(ISNUMBER(B4156),TEXT(B4156,"YYYY-MM"),LEFT(B4156,7)))</f>
        <v/>
      </c>
    </row>
    <row r="4157">
      <c r="N4157" s="6">
        <f>IF(B4157="","",IF(ISNUMBER(B4157),TEXT(B4157,"YYYY-MM"),LEFT(B4157,7)))</f>
        <v/>
      </c>
    </row>
    <row r="4158">
      <c r="N4158" s="6">
        <f>IF(B4158="","",IF(ISNUMBER(B4158),TEXT(B4158,"YYYY-MM"),LEFT(B4158,7)))</f>
        <v/>
      </c>
    </row>
    <row r="4159">
      <c r="N4159" s="6">
        <f>IF(B4159="","",IF(ISNUMBER(B4159),TEXT(B4159,"YYYY-MM"),LEFT(B4159,7)))</f>
        <v/>
      </c>
    </row>
    <row r="4160">
      <c r="N4160" s="6">
        <f>IF(B4160="","",IF(ISNUMBER(B4160),TEXT(B4160,"YYYY-MM"),LEFT(B4160,7)))</f>
        <v/>
      </c>
    </row>
    <row r="4161">
      <c r="N4161" s="6">
        <f>IF(B4161="","",IF(ISNUMBER(B4161),TEXT(B4161,"YYYY-MM"),LEFT(B4161,7)))</f>
        <v/>
      </c>
    </row>
    <row r="4162">
      <c r="N4162" s="6">
        <f>IF(B4162="","",IF(ISNUMBER(B4162),TEXT(B4162,"YYYY-MM"),LEFT(B4162,7)))</f>
        <v/>
      </c>
    </row>
    <row r="4163">
      <c r="N4163" s="6">
        <f>IF(B4163="","",IF(ISNUMBER(B4163),TEXT(B4163,"YYYY-MM"),LEFT(B4163,7)))</f>
        <v/>
      </c>
    </row>
    <row r="4164">
      <c r="N4164" s="6">
        <f>IF(B4164="","",IF(ISNUMBER(B4164),TEXT(B4164,"YYYY-MM"),LEFT(B4164,7)))</f>
        <v/>
      </c>
    </row>
    <row r="4165">
      <c r="N4165" s="6">
        <f>IF(B4165="","",IF(ISNUMBER(B4165),TEXT(B4165,"YYYY-MM"),LEFT(B4165,7)))</f>
        <v/>
      </c>
    </row>
    <row r="4166">
      <c r="N4166" s="6">
        <f>IF(B4166="","",IF(ISNUMBER(B4166),TEXT(B4166,"YYYY-MM"),LEFT(B4166,7)))</f>
        <v/>
      </c>
    </row>
    <row r="4167">
      <c r="N4167" s="6">
        <f>IF(B4167="","",IF(ISNUMBER(B4167),TEXT(B4167,"YYYY-MM"),LEFT(B4167,7)))</f>
        <v/>
      </c>
    </row>
    <row r="4168">
      <c r="N4168" s="6">
        <f>IF(B4168="","",IF(ISNUMBER(B4168),TEXT(B4168,"YYYY-MM"),LEFT(B4168,7)))</f>
        <v/>
      </c>
    </row>
    <row r="4169">
      <c r="N4169" s="6">
        <f>IF(B4169="","",IF(ISNUMBER(B4169),TEXT(B4169,"YYYY-MM"),LEFT(B4169,7)))</f>
        <v/>
      </c>
    </row>
    <row r="4170">
      <c r="N4170" s="6">
        <f>IF(B4170="","",IF(ISNUMBER(B4170),TEXT(B4170,"YYYY-MM"),LEFT(B4170,7)))</f>
        <v/>
      </c>
    </row>
    <row r="4171">
      <c r="N4171" s="6">
        <f>IF(B4171="","",IF(ISNUMBER(B4171),TEXT(B4171,"YYYY-MM"),LEFT(B4171,7)))</f>
        <v/>
      </c>
    </row>
    <row r="4172">
      <c r="N4172" s="6">
        <f>IF(B4172="","",IF(ISNUMBER(B4172),TEXT(B4172,"YYYY-MM"),LEFT(B4172,7)))</f>
        <v/>
      </c>
    </row>
    <row r="4173">
      <c r="N4173" s="6">
        <f>IF(B4173="","",IF(ISNUMBER(B4173),TEXT(B4173,"YYYY-MM"),LEFT(B4173,7)))</f>
        <v/>
      </c>
    </row>
    <row r="4174">
      <c r="N4174" s="6">
        <f>IF(B4174="","",IF(ISNUMBER(B4174),TEXT(B4174,"YYYY-MM"),LEFT(B4174,7)))</f>
        <v/>
      </c>
    </row>
    <row r="4175">
      <c r="N4175" s="6">
        <f>IF(B4175="","",IF(ISNUMBER(B4175),TEXT(B4175,"YYYY-MM"),LEFT(B4175,7)))</f>
        <v/>
      </c>
    </row>
    <row r="4176">
      <c r="N4176" s="6">
        <f>IF(B4176="","",IF(ISNUMBER(B4176),TEXT(B4176,"YYYY-MM"),LEFT(B4176,7)))</f>
        <v/>
      </c>
    </row>
    <row r="4177">
      <c r="N4177" s="6">
        <f>IF(B4177="","",IF(ISNUMBER(B4177),TEXT(B4177,"YYYY-MM"),LEFT(B4177,7)))</f>
        <v/>
      </c>
    </row>
    <row r="4178">
      <c r="N4178" s="6">
        <f>IF(B4178="","",IF(ISNUMBER(B4178),TEXT(B4178,"YYYY-MM"),LEFT(B4178,7)))</f>
        <v/>
      </c>
    </row>
    <row r="4179">
      <c r="N4179" s="6">
        <f>IF(B4179="","",IF(ISNUMBER(B4179),TEXT(B4179,"YYYY-MM"),LEFT(B4179,7)))</f>
        <v/>
      </c>
    </row>
    <row r="4180">
      <c r="N4180" s="6">
        <f>IF(B4180="","",IF(ISNUMBER(B4180),TEXT(B4180,"YYYY-MM"),LEFT(B4180,7)))</f>
        <v/>
      </c>
    </row>
    <row r="4181">
      <c r="N4181" s="6">
        <f>IF(B4181="","",IF(ISNUMBER(B4181),TEXT(B4181,"YYYY-MM"),LEFT(B4181,7)))</f>
        <v/>
      </c>
    </row>
    <row r="4182">
      <c r="N4182" s="6">
        <f>IF(B4182="","",IF(ISNUMBER(B4182),TEXT(B4182,"YYYY-MM"),LEFT(B4182,7)))</f>
        <v/>
      </c>
    </row>
    <row r="4183">
      <c r="N4183" s="6">
        <f>IF(B4183="","",IF(ISNUMBER(B4183),TEXT(B4183,"YYYY-MM"),LEFT(B4183,7)))</f>
        <v/>
      </c>
    </row>
    <row r="4184">
      <c r="N4184" s="6">
        <f>IF(B4184="","",IF(ISNUMBER(B4184),TEXT(B4184,"YYYY-MM"),LEFT(B4184,7)))</f>
        <v/>
      </c>
    </row>
    <row r="4185">
      <c r="N4185" s="6">
        <f>IF(B4185="","",IF(ISNUMBER(B4185),TEXT(B4185,"YYYY-MM"),LEFT(B4185,7)))</f>
        <v/>
      </c>
    </row>
    <row r="4186">
      <c r="N4186" s="6">
        <f>IF(B4186="","",IF(ISNUMBER(B4186),TEXT(B4186,"YYYY-MM"),LEFT(B4186,7)))</f>
        <v/>
      </c>
    </row>
    <row r="4187">
      <c r="N4187" s="6">
        <f>IF(B4187="","",IF(ISNUMBER(B4187),TEXT(B4187,"YYYY-MM"),LEFT(B4187,7)))</f>
        <v/>
      </c>
    </row>
    <row r="4188">
      <c r="N4188" s="6">
        <f>IF(B4188="","",IF(ISNUMBER(B4188),TEXT(B4188,"YYYY-MM"),LEFT(B4188,7)))</f>
        <v/>
      </c>
    </row>
    <row r="4189">
      <c r="N4189" s="6">
        <f>IF(B4189="","",IF(ISNUMBER(B4189),TEXT(B4189,"YYYY-MM"),LEFT(B4189,7)))</f>
        <v/>
      </c>
    </row>
    <row r="4190">
      <c r="N4190" s="6">
        <f>IF(B4190="","",IF(ISNUMBER(B4190),TEXT(B4190,"YYYY-MM"),LEFT(B4190,7)))</f>
        <v/>
      </c>
    </row>
    <row r="4191">
      <c r="N4191" s="6">
        <f>IF(B4191="","",IF(ISNUMBER(B4191),TEXT(B4191,"YYYY-MM"),LEFT(B4191,7)))</f>
        <v/>
      </c>
    </row>
    <row r="4192">
      <c r="N4192" s="6">
        <f>IF(B4192="","",IF(ISNUMBER(B4192),TEXT(B4192,"YYYY-MM"),LEFT(B4192,7)))</f>
        <v/>
      </c>
    </row>
    <row r="4193">
      <c r="N4193" s="6">
        <f>IF(B4193="","",IF(ISNUMBER(B4193),TEXT(B4193,"YYYY-MM"),LEFT(B4193,7)))</f>
        <v/>
      </c>
    </row>
    <row r="4194">
      <c r="N4194" s="6">
        <f>IF(B4194="","",IF(ISNUMBER(B4194),TEXT(B4194,"YYYY-MM"),LEFT(B4194,7)))</f>
        <v/>
      </c>
    </row>
    <row r="4195">
      <c r="N4195" s="6">
        <f>IF(B4195="","",IF(ISNUMBER(B4195),TEXT(B4195,"YYYY-MM"),LEFT(B4195,7)))</f>
        <v/>
      </c>
    </row>
    <row r="4196">
      <c r="N4196" s="6">
        <f>IF(B4196="","",IF(ISNUMBER(B4196),TEXT(B4196,"YYYY-MM"),LEFT(B4196,7)))</f>
        <v/>
      </c>
    </row>
    <row r="4197">
      <c r="N4197" s="6">
        <f>IF(B4197="","",IF(ISNUMBER(B4197),TEXT(B4197,"YYYY-MM"),LEFT(B4197,7)))</f>
        <v/>
      </c>
    </row>
    <row r="4198">
      <c r="N4198" s="6">
        <f>IF(B4198="","",IF(ISNUMBER(B4198),TEXT(B4198,"YYYY-MM"),LEFT(B4198,7)))</f>
        <v/>
      </c>
    </row>
    <row r="4199">
      <c r="N4199" s="6">
        <f>IF(B4199="","",IF(ISNUMBER(B4199),TEXT(B4199,"YYYY-MM"),LEFT(B4199,7)))</f>
        <v/>
      </c>
    </row>
    <row r="4200">
      <c r="N4200" s="6">
        <f>IF(B4200="","",IF(ISNUMBER(B4200),TEXT(B4200,"YYYY-MM"),LEFT(B4200,7)))</f>
        <v/>
      </c>
    </row>
    <row r="4201">
      <c r="N4201" s="6">
        <f>IF(B4201="","",IF(ISNUMBER(B4201),TEXT(B4201,"YYYY-MM"),LEFT(B4201,7)))</f>
        <v/>
      </c>
    </row>
    <row r="4202">
      <c r="N4202" s="6">
        <f>IF(B4202="","",IF(ISNUMBER(B4202),TEXT(B4202,"YYYY-MM"),LEFT(B4202,7)))</f>
        <v/>
      </c>
    </row>
    <row r="4203">
      <c r="N4203" s="6">
        <f>IF(B4203="","",IF(ISNUMBER(B4203),TEXT(B4203,"YYYY-MM"),LEFT(B4203,7)))</f>
        <v/>
      </c>
    </row>
    <row r="4204">
      <c r="N4204" s="6">
        <f>IF(B4204="","",IF(ISNUMBER(B4204),TEXT(B4204,"YYYY-MM"),LEFT(B4204,7)))</f>
        <v/>
      </c>
    </row>
    <row r="4205">
      <c r="N4205" s="6">
        <f>IF(B4205="","",IF(ISNUMBER(B4205),TEXT(B4205,"YYYY-MM"),LEFT(B4205,7)))</f>
        <v/>
      </c>
    </row>
    <row r="4206">
      <c r="N4206" s="6">
        <f>IF(B4206="","",IF(ISNUMBER(B4206),TEXT(B4206,"YYYY-MM"),LEFT(B4206,7)))</f>
        <v/>
      </c>
    </row>
    <row r="4207">
      <c r="N4207" s="6">
        <f>IF(B4207="","",IF(ISNUMBER(B4207),TEXT(B4207,"YYYY-MM"),LEFT(B4207,7)))</f>
        <v/>
      </c>
    </row>
    <row r="4208">
      <c r="N4208" s="6">
        <f>IF(B4208="","",IF(ISNUMBER(B4208),TEXT(B4208,"YYYY-MM"),LEFT(B4208,7)))</f>
        <v/>
      </c>
    </row>
    <row r="4209">
      <c r="N4209" s="6">
        <f>IF(B4209="","",IF(ISNUMBER(B4209),TEXT(B4209,"YYYY-MM"),LEFT(B4209,7)))</f>
        <v/>
      </c>
    </row>
    <row r="4210">
      <c r="N4210" s="6">
        <f>IF(B4210="","",IF(ISNUMBER(B4210),TEXT(B4210,"YYYY-MM"),LEFT(B4210,7)))</f>
        <v/>
      </c>
    </row>
    <row r="4211">
      <c r="N4211" s="6">
        <f>IF(B4211="","",IF(ISNUMBER(B4211),TEXT(B4211,"YYYY-MM"),LEFT(B4211,7)))</f>
        <v/>
      </c>
    </row>
    <row r="4212">
      <c r="N4212" s="6">
        <f>IF(B4212="","",IF(ISNUMBER(B4212),TEXT(B4212,"YYYY-MM"),LEFT(B4212,7)))</f>
        <v/>
      </c>
    </row>
    <row r="4213">
      <c r="N4213" s="6">
        <f>IF(B4213="","",IF(ISNUMBER(B4213),TEXT(B4213,"YYYY-MM"),LEFT(B4213,7)))</f>
        <v/>
      </c>
    </row>
    <row r="4214">
      <c r="N4214" s="6">
        <f>IF(B4214="","",IF(ISNUMBER(B4214),TEXT(B4214,"YYYY-MM"),LEFT(B4214,7)))</f>
        <v/>
      </c>
    </row>
    <row r="4215">
      <c r="N4215" s="6">
        <f>IF(B4215="","",IF(ISNUMBER(B4215),TEXT(B4215,"YYYY-MM"),LEFT(B4215,7)))</f>
        <v/>
      </c>
    </row>
    <row r="4216">
      <c r="N4216" s="6">
        <f>IF(B4216="","",IF(ISNUMBER(B4216),TEXT(B4216,"YYYY-MM"),LEFT(B4216,7)))</f>
        <v/>
      </c>
    </row>
    <row r="4217">
      <c r="N4217" s="6">
        <f>IF(B4217="","",IF(ISNUMBER(B4217),TEXT(B4217,"YYYY-MM"),LEFT(B4217,7)))</f>
        <v/>
      </c>
    </row>
    <row r="4218">
      <c r="N4218" s="6">
        <f>IF(B4218="","",IF(ISNUMBER(B4218),TEXT(B4218,"YYYY-MM"),LEFT(B4218,7)))</f>
        <v/>
      </c>
    </row>
    <row r="4219">
      <c r="N4219" s="6">
        <f>IF(B4219="","",IF(ISNUMBER(B4219),TEXT(B4219,"YYYY-MM"),LEFT(B4219,7)))</f>
        <v/>
      </c>
    </row>
    <row r="4220">
      <c r="N4220" s="6">
        <f>IF(B4220="","",IF(ISNUMBER(B4220),TEXT(B4220,"YYYY-MM"),LEFT(B4220,7)))</f>
        <v/>
      </c>
    </row>
    <row r="4221">
      <c r="N4221" s="6">
        <f>IF(B4221="","",IF(ISNUMBER(B4221),TEXT(B4221,"YYYY-MM"),LEFT(B4221,7)))</f>
        <v/>
      </c>
    </row>
    <row r="4222">
      <c r="N4222" s="6">
        <f>IF(B4222="","",IF(ISNUMBER(B4222),TEXT(B4222,"YYYY-MM"),LEFT(B4222,7)))</f>
        <v/>
      </c>
    </row>
    <row r="4223">
      <c r="N4223" s="6">
        <f>IF(B4223="","",IF(ISNUMBER(B4223),TEXT(B4223,"YYYY-MM"),LEFT(B4223,7)))</f>
        <v/>
      </c>
    </row>
    <row r="4224">
      <c r="N4224" s="6">
        <f>IF(B4224="","",IF(ISNUMBER(B4224),TEXT(B4224,"YYYY-MM"),LEFT(B4224,7)))</f>
        <v/>
      </c>
    </row>
    <row r="4225">
      <c r="N4225" s="6">
        <f>IF(B4225="","",IF(ISNUMBER(B4225),TEXT(B4225,"YYYY-MM"),LEFT(B4225,7)))</f>
        <v/>
      </c>
    </row>
    <row r="4226">
      <c r="N4226" s="6">
        <f>IF(B4226="","",IF(ISNUMBER(B4226),TEXT(B4226,"YYYY-MM"),LEFT(B4226,7)))</f>
        <v/>
      </c>
    </row>
    <row r="4227">
      <c r="N4227" s="6">
        <f>IF(B4227="","",IF(ISNUMBER(B4227),TEXT(B4227,"YYYY-MM"),LEFT(B4227,7)))</f>
        <v/>
      </c>
    </row>
    <row r="4228">
      <c r="N4228" s="6">
        <f>IF(B4228="","",IF(ISNUMBER(B4228),TEXT(B4228,"YYYY-MM"),LEFT(B4228,7)))</f>
        <v/>
      </c>
    </row>
    <row r="4229">
      <c r="N4229" s="6">
        <f>IF(B4229="","",IF(ISNUMBER(B4229),TEXT(B4229,"YYYY-MM"),LEFT(B4229,7)))</f>
        <v/>
      </c>
    </row>
    <row r="4230">
      <c r="N4230" s="6">
        <f>IF(B4230="","",IF(ISNUMBER(B4230),TEXT(B4230,"YYYY-MM"),LEFT(B4230,7)))</f>
        <v/>
      </c>
    </row>
    <row r="4231">
      <c r="N4231" s="6">
        <f>IF(B4231="","",IF(ISNUMBER(B4231),TEXT(B4231,"YYYY-MM"),LEFT(B4231,7)))</f>
        <v/>
      </c>
    </row>
    <row r="4232">
      <c r="N4232" s="6">
        <f>IF(B4232="","",IF(ISNUMBER(B4232),TEXT(B4232,"YYYY-MM"),LEFT(B4232,7)))</f>
        <v/>
      </c>
    </row>
    <row r="4233">
      <c r="N4233" s="6">
        <f>IF(B4233="","",IF(ISNUMBER(B4233),TEXT(B4233,"YYYY-MM"),LEFT(B4233,7)))</f>
        <v/>
      </c>
    </row>
    <row r="4234">
      <c r="N4234" s="6">
        <f>IF(B4234="","",IF(ISNUMBER(B4234),TEXT(B4234,"YYYY-MM"),LEFT(B4234,7)))</f>
        <v/>
      </c>
    </row>
    <row r="4235">
      <c r="N4235" s="6">
        <f>IF(B4235="","",IF(ISNUMBER(B4235),TEXT(B4235,"YYYY-MM"),LEFT(B4235,7)))</f>
        <v/>
      </c>
    </row>
    <row r="4236">
      <c r="N4236" s="6">
        <f>IF(B4236="","",IF(ISNUMBER(B4236),TEXT(B4236,"YYYY-MM"),LEFT(B4236,7)))</f>
        <v/>
      </c>
    </row>
    <row r="4237">
      <c r="N4237" s="6">
        <f>IF(B4237="","",IF(ISNUMBER(B4237),TEXT(B4237,"YYYY-MM"),LEFT(B4237,7)))</f>
        <v/>
      </c>
    </row>
    <row r="4238">
      <c r="N4238" s="6">
        <f>IF(B4238="","",IF(ISNUMBER(B4238),TEXT(B4238,"YYYY-MM"),LEFT(B4238,7)))</f>
        <v/>
      </c>
    </row>
    <row r="4239">
      <c r="N4239" s="6">
        <f>IF(B4239="","",IF(ISNUMBER(B4239),TEXT(B4239,"YYYY-MM"),LEFT(B4239,7)))</f>
        <v/>
      </c>
    </row>
    <row r="4240">
      <c r="N4240" s="6">
        <f>IF(B4240="","",IF(ISNUMBER(B4240),TEXT(B4240,"YYYY-MM"),LEFT(B4240,7)))</f>
        <v/>
      </c>
    </row>
    <row r="4241">
      <c r="N4241" s="6">
        <f>IF(B4241="","",IF(ISNUMBER(B4241),TEXT(B4241,"YYYY-MM"),LEFT(B4241,7)))</f>
        <v/>
      </c>
    </row>
    <row r="4242">
      <c r="N4242" s="6">
        <f>IF(B4242="","",IF(ISNUMBER(B4242),TEXT(B4242,"YYYY-MM"),LEFT(B4242,7)))</f>
        <v/>
      </c>
    </row>
    <row r="4243">
      <c r="N4243" s="6">
        <f>IF(B4243="","",IF(ISNUMBER(B4243),TEXT(B4243,"YYYY-MM"),LEFT(B4243,7)))</f>
        <v/>
      </c>
    </row>
    <row r="4244">
      <c r="N4244" s="6">
        <f>IF(B4244="","",IF(ISNUMBER(B4244),TEXT(B4244,"YYYY-MM"),LEFT(B4244,7)))</f>
        <v/>
      </c>
    </row>
    <row r="4245">
      <c r="N4245" s="6">
        <f>IF(B4245="","",IF(ISNUMBER(B4245),TEXT(B4245,"YYYY-MM"),LEFT(B4245,7)))</f>
        <v/>
      </c>
    </row>
    <row r="4246">
      <c r="N4246" s="6">
        <f>IF(B4246="","",IF(ISNUMBER(B4246),TEXT(B4246,"YYYY-MM"),LEFT(B4246,7)))</f>
        <v/>
      </c>
    </row>
    <row r="4247">
      <c r="N4247" s="6">
        <f>IF(B4247="","",IF(ISNUMBER(B4247),TEXT(B4247,"YYYY-MM"),LEFT(B4247,7)))</f>
        <v/>
      </c>
    </row>
    <row r="4248">
      <c r="N4248" s="6">
        <f>IF(B4248="","",IF(ISNUMBER(B4248),TEXT(B4248,"YYYY-MM"),LEFT(B4248,7)))</f>
        <v/>
      </c>
    </row>
    <row r="4249">
      <c r="N4249" s="6">
        <f>IF(B4249="","",IF(ISNUMBER(B4249),TEXT(B4249,"YYYY-MM"),LEFT(B4249,7)))</f>
        <v/>
      </c>
    </row>
    <row r="4250">
      <c r="N4250" s="6">
        <f>IF(B4250="","",IF(ISNUMBER(B4250),TEXT(B4250,"YYYY-MM"),LEFT(B4250,7)))</f>
        <v/>
      </c>
    </row>
    <row r="4251">
      <c r="N4251" s="6">
        <f>IF(B4251="","",IF(ISNUMBER(B4251),TEXT(B4251,"YYYY-MM"),LEFT(B4251,7)))</f>
        <v/>
      </c>
    </row>
    <row r="4252">
      <c r="N4252" s="6">
        <f>IF(B4252="","",IF(ISNUMBER(B4252),TEXT(B4252,"YYYY-MM"),LEFT(B4252,7)))</f>
        <v/>
      </c>
    </row>
    <row r="4253">
      <c r="N4253" s="6">
        <f>IF(B4253="","",IF(ISNUMBER(B4253),TEXT(B4253,"YYYY-MM"),LEFT(B4253,7)))</f>
        <v/>
      </c>
    </row>
    <row r="4254">
      <c r="N4254" s="6">
        <f>IF(B4254="","",IF(ISNUMBER(B4254),TEXT(B4254,"YYYY-MM"),LEFT(B4254,7)))</f>
        <v/>
      </c>
    </row>
    <row r="4255">
      <c r="N4255" s="6">
        <f>IF(B4255="","",IF(ISNUMBER(B4255),TEXT(B4255,"YYYY-MM"),LEFT(B4255,7)))</f>
        <v/>
      </c>
    </row>
    <row r="4256">
      <c r="N4256" s="6">
        <f>IF(B4256="","",IF(ISNUMBER(B4256),TEXT(B4256,"YYYY-MM"),LEFT(B4256,7)))</f>
        <v/>
      </c>
    </row>
    <row r="4257">
      <c r="N4257" s="6">
        <f>IF(B4257="","",IF(ISNUMBER(B4257),TEXT(B4257,"YYYY-MM"),LEFT(B4257,7)))</f>
        <v/>
      </c>
    </row>
    <row r="4258">
      <c r="N4258" s="6">
        <f>IF(B4258="","",IF(ISNUMBER(B4258),TEXT(B4258,"YYYY-MM"),LEFT(B4258,7)))</f>
        <v/>
      </c>
    </row>
    <row r="4259">
      <c r="N4259" s="6">
        <f>IF(B4259="","",IF(ISNUMBER(B4259),TEXT(B4259,"YYYY-MM"),LEFT(B4259,7)))</f>
        <v/>
      </c>
    </row>
    <row r="4260">
      <c r="N4260" s="6">
        <f>IF(B4260="","",IF(ISNUMBER(B4260),TEXT(B4260,"YYYY-MM"),LEFT(B4260,7)))</f>
        <v/>
      </c>
    </row>
    <row r="4261">
      <c r="N4261" s="6">
        <f>IF(B4261="","",IF(ISNUMBER(B4261),TEXT(B4261,"YYYY-MM"),LEFT(B4261,7)))</f>
        <v/>
      </c>
    </row>
    <row r="4262">
      <c r="N4262" s="6">
        <f>IF(B4262="","",IF(ISNUMBER(B4262),TEXT(B4262,"YYYY-MM"),LEFT(B4262,7)))</f>
        <v/>
      </c>
    </row>
    <row r="4263">
      <c r="N4263" s="6">
        <f>IF(B4263="","",IF(ISNUMBER(B4263),TEXT(B4263,"YYYY-MM"),LEFT(B4263,7)))</f>
        <v/>
      </c>
    </row>
    <row r="4264">
      <c r="N4264" s="6">
        <f>IF(B4264="","",IF(ISNUMBER(B4264),TEXT(B4264,"YYYY-MM"),LEFT(B4264,7)))</f>
        <v/>
      </c>
    </row>
    <row r="4265">
      <c r="N4265" s="6">
        <f>IF(B4265="","",IF(ISNUMBER(B4265),TEXT(B4265,"YYYY-MM"),LEFT(B4265,7)))</f>
        <v/>
      </c>
    </row>
    <row r="4266">
      <c r="N4266" s="6">
        <f>IF(B4266="","",IF(ISNUMBER(B4266),TEXT(B4266,"YYYY-MM"),LEFT(B4266,7)))</f>
        <v/>
      </c>
    </row>
    <row r="4267">
      <c r="N4267" s="6">
        <f>IF(B4267="","",IF(ISNUMBER(B4267),TEXT(B4267,"YYYY-MM"),LEFT(B4267,7)))</f>
        <v/>
      </c>
    </row>
    <row r="4268">
      <c r="N4268" s="6">
        <f>IF(B4268="","",IF(ISNUMBER(B4268),TEXT(B4268,"YYYY-MM"),LEFT(B4268,7)))</f>
        <v/>
      </c>
    </row>
    <row r="4269">
      <c r="N4269" s="6">
        <f>IF(B4269="","",IF(ISNUMBER(B4269),TEXT(B4269,"YYYY-MM"),LEFT(B4269,7)))</f>
        <v/>
      </c>
    </row>
    <row r="4270">
      <c r="N4270" s="6">
        <f>IF(B4270="","",IF(ISNUMBER(B4270),TEXT(B4270,"YYYY-MM"),LEFT(B4270,7)))</f>
        <v/>
      </c>
    </row>
    <row r="4271">
      <c r="N4271" s="6">
        <f>IF(B4271="","",IF(ISNUMBER(B4271),TEXT(B4271,"YYYY-MM"),LEFT(B4271,7)))</f>
        <v/>
      </c>
    </row>
    <row r="4272">
      <c r="N4272" s="6">
        <f>IF(B4272="","",IF(ISNUMBER(B4272),TEXT(B4272,"YYYY-MM"),LEFT(B4272,7)))</f>
        <v/>
      </c>
    </row>
    <row r="4273">
      <c r="N4273" s="6">
        <f>IF(B4273="","",IF(ISNUMBER(B4273),TEXT(B4273,"YYYY-MM"),LEFT(B4273,7)))</f>
        <v/>
      </c>
    </row>
    <row r="4274">
      <c r="N4274" s="6">
        <f>IF(B4274="","",IF(ISNUMBER(B4274),TEXT(B4274,"YYYY-MM"),LEFT(B4274,7)))</f>
        <v/>
      </c>
    </row>
    <row r="4275">
      <c r="N4275" s="6">
        <f>IF(B4275="","",IF(ISNUMBER(B4275),TEXT(B4275,"YYYY-MM"),LEFT(B4275,7)))</f>
        <v/>
      </c>
    </row>
    <row r="4276">
      <c r="N4276" s="6">
        <f>IF(B4276="","",IF(ISNUMBER(B4276),TEXT(B4276,"YYYY-MM"),LEFT(B4276,7)))</f>
        <v/>
      </c>
    </row>
    <row r="4277">
      <c r="N4277" s="6">
        <f>IF(B4277="","",IF(ISNUMBER(B4277),TEXT(B4277,"YYYY-MM"),LEFT(B4277,7)))</f>
        <v/>
      </c>
    </row>
    <row r="4278">
      <c r="N4278" s="6">
        <f>IF(B4278="","",IF(ISNUMBER(B4278),TEXT(B4278,"YYYY-MM"),LEFT(B4278,7)))</f>
        <v/>
      </c>
    </row>
    <row r="4279">
      <c r="N4279" s="6">
        <f>IF(B4279="","",IF(ISNUMBER(B4279),TEXT(B4279,"YYYY-MM"),LEFT(B4279,7)))</f>
        <v/>
      </c>
    </row>
    <row r="4280">
      <c r="N4280" s="6">
        <f>IF(B4280="","",IF(ISNUMBER(B4280),TEXT(B4280,"YYYY-MM"),LEFT(B4280,7)))</f>
        <v/>
      </c>
    </row>
    <row r="4281">
      <c r="N4281" s="6">
        <f>IF(B4281="","",IF(ISNUMBER(B4281),TEXT(B4281,"YYYY-MM"),LEFT(B4281,7)))</f>
        <v/>
      </c>
    </row>
    <row r="4282">
      <c r="N4282" s="6">
        <f>IF(B4282="","",IF(ISNUMBER(B4282),TEXT(B4282,"YYYY-MM"),LEFT(B4282,7)))</f>
        <v/>
      </c>
    </row>
    <row r="4283">
      <c r="N4283" s="6">
        <f>IF(B4283="","",IF(ISNUMBER(B4283),TEXT(B4283,"YYYY-MM"),LEFT(B4283,7)))</f>
        <v/>
      </c>
    </row>
    <row r="4284">
      <c r="N4284" s="6">
        <f>IF(B4284="","",IF(ISNUMBER(B4284),TEXT(B4284,"YYYY-MM"),LEFT(B4284,7)))</f>
        <v/>
      </c>
    </row>
    <row r="4285">
      <c r="N4285" s="6">
        <f>IF(B4285="","",IF(ISNUMBER(B4285),TEXT(B4285,"YYYY-MM"),LEFT(B4285,7)))</f>
        <v/>
      </c>
    </row>
    <row r="4286">
      <c r="N4286" s="6">
        <f>IF(B4286="","",IF(ISNUMBER(B4286),TEXT(B4286,"YYYY-MM"),LEFT(B4286,7)))</f>
        <v/>
      </c>
    </row>
    <row r="4287">
      <c r="N4287" s="6">
        <f>IF(B4287="","",IF(ISNUMBER(B4287),TEXT(B4287,"YYYY-MM"),LEFT(B4287,7)))</f>
        <v/>
      </c>
    </row>
    <row r="4288">
      <c r="N4288" s="6">
        <f>IF(B4288="","",IF(ISNUMBER(B4288),TEXT(B4288,"YYYY-MM"),LEFT(B4288,7)))</f>
        <v/>
      </c>
    </row>
    <row r="4289">
      <c r="N4289" s="6">
        <f>IF(B4289="","",IF(ISNUMBER(B4289),TEXT(B4289,"YYYY-MM"),LEFT(B4289,7)))</f>
        <v/>
      </c>
    </row>
    <row r="4290">
      <c r="N4290" s="6">
        <f>IF(B4290="","",IF(ISNUMBER(B4290),TEXT(B4290,"YYYY-MM"),LEFT(B4290,7)))</f>
        <v/>
      </c>
    </row>
    <row r="4291">
      <c r="N4291" s="6">
        <f>IF(B4291="","",IF(ISNUMBER(B4291),TEXT(B4291,"YYYY-MM"),LEFT(B4291,7)))</f>
        <v/>
      </c>
    </row>
    <row r="4292">
      <c r="N4292" s="6">
        <f>IF(B4292="","",IF(ISNUMBER(B4292),TEXT(B4292,"YYYY-MM"),LEFT(B4292,7)))</f>
        <v/>
      </c>
    </row>
    <row r="4293">
      <c r="N4293" s="6">
        <f>IF(B4293="","",IF(ISNUMBER(B4293),TEXT(B4293,"YYYY-MM"),LEFT(B4293,7)))</f>
        <v/>
      </c>
    </row>
    <row r="4294">
      <c r="N4294" s="6">
        <f>IF(B4294="","",IF(ISNUMBER(B4294),TEXT(B4294,"YYYY-MM"),LEFT(B4294,7)))</f>
        <v/>
      </c>
    </row>
    <row r="4295">
      <c r="N4295" s="6">
        <f>IF(B4295="","",IF(ISNUMBER(B4295),TEXT(B4295,"YYYY-MM"),LEFT(B4295,7)))</f>
        <v/>
      </c>
    </row>
    <row r="4296">
      <c r="N4296" s="6">
        <f>IF(B4296="","",IF(ISNUMBER(B4296),TEXT(B4296,"YYYY-MM"),LEFT(B4296,7)))</f>
        <v/>
      </c>
    </row>
    <row r="4297">
      <c r="N4297" s="6">
        <f>IF(B4297="","",IF(ISNUMBER(B4297),TEXT(B4297,"YYYY-MM"),LEFT(B4297,7)))</f>
        <v/>
      </c>
    </row>
    <row r="4298">
      <c r="N4298" s="6">
        <f>IF(B4298="","",IF(ISNUMBER(B4298),TEXT(B4298,"YYYY-MM"),LEFT(B4298,7)))</f>
        <v/>
      </c>
    </row>
    <row r="4299">
      <c r="N4299" s="6">
        <f>IF(B4299="","",IF(ISNUMBER(B4299),TEXT(B4299,"YYYY-MM"),LEFT(B4299,7)))</f>
        <v/>
      </c>
    </row>
    <row r="4300">
      <c r="N4300" s="6">
        <f>IF(B4300="","",IF(ISNUMBER(B4300),TEXT(B4300,"YYYY-MM"),LEFT(B4300,7)))</f>
        <v/>
      </c>
    </row>
    <row r="4301">
      <c r="N4301" s="6">
        <f>IF(B4301="","",IF(ISNUMBER(B4301),TEXT(B4301,"YYYY-MM"),LEFT(B4301,7)))</f>
        <v/>
      </c>
    </row>
    <row r="4302">
      <c r="N4302" s="6">
        <f>IF(B4302="","",IF(ISNUMBER(B4302),TEXT(B4302,"YYYY-MM"),LEFT(B4302,7)))</f>
        <v/>
      </c>
    </row>
    <row r="4303">
      <c r="N4303" s="6">
        <f>IF(B4303="","",IF(ISNUMBER(B4303),TEXT(B4303,"YYYY-MM"),LEFT(B4303,7)))</f>
        <v/>
      </c>
    </row>
    <row r="4304">
      <c r="N4304" s="6">
        <f>IF(B4304="","",IF(ISNUMBER(B4304),TEXT(B4304,"YYYY-MM"),LEFT(B4304,7)))</f>
        <v/>
      </c>
    </row>
    <row r="4305">
      <c r="N4305" s="6">
        <f>IF(B4305="","",IF(ISNUMBER(B4305),TEXT(B4305,"YYYY-MM"),LEFT(B4305,7)))</f>
        <v/>
      </c>
    </row>
    <row r="4306">
      <c r="N4306" s="6">
        <f>IF(B4306="","",IF(ISNUMBER(B4306),TEXT(B4306,"YYYY-MM"),LEFT(B4306,7)))</f>
        <v/>
      </c>
    </row>
    <row r="4307">
      <c r="N4307" s="6">
        <f>IF(B4307="","",IF(ISNUMBER(B4307),TEXT(B4307,"YYYY-MM"),LEFT(B4307,7)))</f>
        <v/>
      </c>
    </row>
    <row r="4308">
      <c r="N4308" s="6">
        <f>IF(B4308="","",IF(ISNUMBER(B4308),TEXT(B4308,"YYYY-MM"),LEFT(B4308,7)))</f>
        <v/>
      </c>
    </row>
    <row r="4309">
      <c r="N4309" s="6">
        <f>IF(B4309="","",IF(ISNUMBER(B4309),TEXT(B4309,"YYYY-MM"),LEFT(B4309,7)))</f>
        <v/>
      </c>
    </row>
    <row r="4310">
      <c r="N4310" s="6">
        <f>IF(B4310="","",IF(ISNUMBER(B4310),TEXT(B4310,"YYYY-MM"),LEFT(B4310,7)))</f>
        <v/>
      </c>
    </row>
    <row r="4311">
      <c r="N4311" s="6">
        <f>IF(B4311="","",IF(ISNUMBER(B4311),TEXT(B4311,"YYYY-MM"),LEFT(B4311,7)))</f>
        <v/>
      </c>
    </row>
    <row r="4312">
      <c r="N4312" s="6">
        <f>IF(B4312="","",IF(ISNUMBER(B4312),TEXT(B4312,"YYYY-MM"),LEFT(B4312,7)))</f>
        <v/>
      </c>
    </row>
    <row r="4313">
      <c r="N4313" s="6">
        <f>IF(B4313="","",IF(ISNUMBER(B4313),TEXT(B4313,"YYYY-MM"),LEFT(B4313,7)))</f>
        <v/>
      </c>
    </row>
    <row r="4314">
      <c r="N4314" s="6">
        <f>IF(B4314="","",IF(ISNUMBER(B4314),TEXT(B4314,"YYYY-MM"),LEFT(B4314,7)))</f>
        <v/>
      </c>
    </row>
    <row r="4315">
      <c r="N4315" s="6">
        <f>IF(B4315="","",IF(ISNUMBER(B4315),TEXT(B4315,"YYYY-MM"),LEFT(B4315,7)))</f>
        <v/>
      </c>
    </row>
    <row r="4316">
      <c r="N4316" s="6">
        <f>IF(B4316="","",IF(ISNUMBER(B4316),TEXT(B4316,"YYYY-MM"),LEFT(B4316,7)))</f>
        <v/>
      </c>
    </row>
    <row r="4317">
      <c r="N4317" s="6">
        <f>IF(B4317="","",IF(ISNUMBER(B4317),TEXT(B4317,"YYYY-MM"),LEFT(B4317,7)))</f>
        <v/>
      </c>
    </row>
    <row r="4318">
      <c r="N4318" s="6">
        <f>IF(B4318="","",IF(ISNUMBER(B4318),TEXT(B4318,"YYYY-MM"),LEFT(B4318,7)))</f>
        <v/>
      </c>
    </row>
    <row r="4319">
      <c r="N4319" s="6">
        <f>IF(B4319="","",IF(ISNUMBER(B4319),TEXT(B4319,"YYYY-MM"),LEFT(B4319,7)))</f>
        <v/>
      </c>
    </row>
    <row r="4320">
      <c r="N4320" s="6">
        <f>IF(B4320="","",IF(ISNUMBER(B4320),TEXT(B4320,"YYYY-MM"),LEFT(B4320,7)))</f>
        <v/>
      </c>
    </row>
    <row r="4321">
      <c r="N4321" s="6">
        <f>IF(B4321="","",IF(ISNUMBER(B4321),TEXT(B4321,"YYYY-MM"),LEFT(B4321,7)))</f>
        <v/>
      </c>
    </row>
    <row r="4322">
      <c r="N4322" s="6">
        <f>IF(B4322="","",IF(ISNUMBER(B4322),TEXT(B4322,"YYYY-MM"),LEFT(B4322,7)))</f>
        <v/>
      </c>
    </row>
    <row r="4323">
      <c r="N4323" s="6">
        <f>IF(B4323="","",IF(ISNUMBER(B4323),TEXT(B4323,"YYYY-MM"),LEFT(B4323,7)))</f>
        <v/>
      </c>
    </row>
    <row r="4324">
      <c r="N4324" s="6">
        <f>IF(B4324="","",IF(ISNUMBER(B4324),TEXT(B4324,"YYYY-MM"),LEFT(B4324,7)))</f>
        <v/>
      </c>
    </row>
    <row r="4325">
      <c r="N4325" s="6">
        <f>IF(B4325="","",IF(ISNUMBER(B4325),TEXT(B4325,"YYYY-MM"),LEFT(B4325,7)))</f>
        <v/>
      </c>
    </row>
    <row r="4326">
      <c r="N4326" s="6">
        <f>IF(B4326="","",IF(ISNUMBER(B4326),TEXT(B4326,"YYYY-MM"),LEFT(B4326,7)))</f>
        <v/>
      </c>
    </row>
    <row r="4327">
      <c r="N4327" s="6">
        <f>IF(B4327="","",IF(ISNUMBER(B4327),TEXT(B4327,"YYYY-MM"),LEFT(B4327,7)))</f>
        <v/>
      </c>
    </row>
    <row r="4328">
      <c r="N4328" s="6">
        <f>IF(B4328="","",IF(ISNUMBER(B4328),TEXT(B4328,"YYYY-MM"),LEFT(B4328,7)))</f>
        <v/>
      </c>
    </row>
    <row r="4329">
      <c r="N4329" s="6">
        <f>IF(B4329="","",IF(ISNUMBER(B4329),TEXT(B4329,"YYYY-MM"),LEFT(B4329,7)))</f>
        <v/>
      </c>
    </row>
    <row r="4330">
      <c r="N4330" s="6">
        <f>IF(B4330="","",IF(ISNUMBER(B4330),TEXT(B4330,"YYYY-MM"),LEFT(B4330,7)))</f>
        <v/>
      </c>
    </row>
    <row r="4331">
      <c r="N4331" s="6">
        <f>IF(B4331="","",IF(ISNUMBER(B4331),TEXT(B4331,"YYYY-MM"),LEFT(B4331,7)))</f>
        <v/>
      </c>
    </row>
    <row r="4332">
      <c r="N4332" s="6">
        <f>IF(B4332="","",IF(ISNUMBER(B4332),TEXT(B4332,"YYYY-MM"),LEFT(B4332,7)))</f>
        <v/>
      </c>
    </row>
    <row r="4333">
      <c r="N4333" s="6">
        <f>IF(B4333="","",IF(ISNUMBER(B4333),TEXT(B4333,"YYYY-MM"),LEFT(B4333,7)))</f>
        <v/>
      </c>
    </row>
    <row r="4334">
      <c r="N4334" s="6">
        <f>IF(B4334="","",IF(ISNUMBER(B4334),TEXT(B4334,"YYYY-MM"),LEFT(B4334,7)))</f>
        <v/>
      </c>
    </row>
    <row r="4335">
      <c r="N4335" s="6">
        <f>IF(B4335="","",IF(ISNUMBER(B4335),TEXT(B4335,"YYYY-MM"),LEFT(B4335,7)))</f>
        <v/>
      </c>
    </row>
    <row r="4336">
      <c r="N4336" s="6">
        <f>IF(B4336="","",IF(ISNUMBER(B4336),TEXT(B4336,"YYYY-MM"),LEFT(B4336,7)))</f>
        <v/>
      </c>
    </row>
    <row r="4337">
      <c r="N4337" s="6">
        <f>IF(B4337="","",IF(ISNUMBER(B4337),TEXT(B4337,"YYYY-MM"),LEFT(B4337,7)))</f>
        <v/>
      </c>
    </row>
    <row r="4338">
      <c r="N4338" s="6">
        <f>IF(B4338="","",IF(ISNUMBER(B4338),TEXT(B4338,"YYYY-MM"),LEFT(B4338,7)))</f>
        <v/>
      </c>
    </row>
    <row r="4339">
      <c r="N4339" s="6">
        <f>IF(B4339="","",IF(ISNUMBER(B4339),TEXT(B4339,"YYYY-MM"),LEFT(B4339,7)))</f>
        <v/>
      </c>
    </row>
    <row r="4340">
      <c r="N4340" s="6">
        <f>IF(B4340="","",IF(ISNUMBER(B4340),TEXT(B4340,"YYYY-MM"),LEFT(B4340,7)))</f>
        <v/>
      </c>
    </row>
    <row r="4341">
      <c r="N4341" s="6">
        <f>IF(B4341="","",IF(ISNUMBER(B4341),TEXT(B4341,"YYYY-MM"),LEFT(B4341,7)))</f>
        <v/>
      </c>
    </row>
    <row r="4342">
      <c r="N4342" s="6">
        <f>IF(B4342="","",IF(ISNUMBER(B4342),TEXT(B4342,"YYYY-MM"),LEFT(B4342,7)))</f>
        <v/>
      </c>
    </row>
    <row r="4343">
      <c r="N4343" s="6">
        <f>IF(B4343="","",IF(ISNUMBER(B4343),TEXT(B4343,"YYYY-MM"),LEFT(B4343,7)))</f>
        <v/>
      </c>
    </row>
    <row r="4344">
      <c r="N4344" s="6">
        <f>IF(B4344="","",IF(ISNUMBER(B4344),TEXT(B4344,"YYYY-MM"),LEFT(B4344,7)))</f>
        <v/>
      </c>
    </row>
    <row r="4345">
      <c r="N4345" s="6">
        <f>IF(B4345="","",IF(ISNUMBER(B4345),TEXT(B4345,"YYYY-MM"),LEFT(B4345,7)))</f>
        <v/>
      </c>
    </row>
    <row r="4346">
      <c r="N4346" s="6">
        <f>IF(B4346="","",IF(ISNUMBER(B4346),TEXT(B4346,"YYYY-MM"),LEFT(B4346,7)))</f>
        <v/>
      </c>
    </row>
    <row r="4347">
      <c r="N4347" s="6">
        <f>IF(B4347="","",IF(ISNUMBER(B4347),TEXT(B4347,"YYYY-MM"),LEFT(B4347,7)))</f>
        <v/>
      </c>
    </row>
    <row r="4348">
      <c r="N4348" s="6">
        <f>IF(B4348="","",IF(ISNUMBER(B4348),TEXT(B4348,"YYYY-MM"),LEFT(B4348,7)))</f>
        <v/>
      </c>
    </row>
    <row r="4349">
      <c r="N4349" s="6">
        <f>IF(B4349="","",IF(ISNUMBER(B4349),TEXT(B4349,"YYYY-MM"),LEFT(B4349,7)))</f>
        <v/>
      </c>
    </row>
    <row r="4350">
      <c r="N4350" s="6">
        <f>IF(B4350="","",IF(ISNUMBER(B4350),TEXT(B4350,"YYYY-MM"),LEFT(B4350,7)))</f>
        <v/>
      </c>
    </row>
    <row r="4351">
      <c r="N4351" s="6">
        <f>IF(B4351="","",IF(ISNUMBER(B4351),TEXT(B4351,"YYYY-MM"),LEFT(B4351,7)))</f>
        <v/>
      </c>
    </row>
    <row r="4352">
      <c r="N4352" s="6">
        <f>IF(B4352="","",IF(ISNUMBER(B4352),TEXT(B4352,"YYYY-MM"),LEFT(B4352,7)))</f>
        <v/>
      </c>
    </row>
    <row r="4353">
      <c r="N4353" s="6">
        <f>IF(B4353="","",IF(ISNUMBER(B4353),TEXT(B4353,"YYYY-MM"),LEFT(B4353,7)))</f>
        <v/>
      </c>
    </row>
    <row r="4354">
      <c r="N4354" s="6">
        <f>IF(B4354="","",IF(ISNUMBER(B4354),TEXT(B4354,"YYYY-MM"),LEFT(B4354,7)))</f>
        <v/>
      </c>
    </row>
    <row r="4355">
      <c r="N4355" s="6">
        <f>IF(B4355="","",IF(ISNUMBER(B4355),TEXT(B4355,"YYYY-MM"),LEFT(B4355,7)))</f>
        <v/>
      </c>
    </row>
    <row r="4356">
      <c r="N4356" s="6">
        <f>IF(B4356="","",IF(ISNUMBER(B4356),TEXT(B4356,"YYYY-MM"),LEFT(B4356,7)))</f>
        <v/>
      </c>
    </row>
    <row r="4357">
      <c r="N4357" s="6">
        <f>IF(B4357="","",IF(ISNUMBER(B4357),TEXT(B4357,"YYYY-MM"),LEFT(B4357,7)))</f>
        <v/>
      </c>
    </row>
    <row r="4358">
      <c r="N4358" s="6">
        <f>IF(B4358="","",IF(ISNUMBER(B4358),TEXT(B4358,"YYYY-MM"),LEFT(B4358,7)))</f>
        <v/>
      </c>
    </row>
    <row r="4359">
      <c r="N4359" s="6">
        <f>IF(B4359="","",IF(ISNUMBER(B4359),TEXT(B4359,"YYYY-MM"),LEFT(B4359,7)))</f>
        <v/>
      </c>
    </row>
    <row r="4360">
      <c r="N4360" s="6">
        <f>IF(B4360="","",IF(ISNUMBER(B4360),TEXT(B4360,"YYYY-MM"),LEFT(B4360,7)))</f>
        <v/>
      </c>
    </row>
    <row r="4361">
      <c r="N4361" s="6">
        <f>IF(B4361="","",IF(ISNUMBER(B4361),TEXT(B4361,"YYYY-MM"),LEFT(B4361,7)))</f>
        <v/>
      </c>
    </row>
    <row r="4362">
      <c r="N4362" s="6">
        <f>IF(B4362="","",IF(ISNUMBER(B4362),TEXT(B4362,"YYYY-MM"),LEFT(B4362,7)))</f>
        <v/>
      </c>
    </row>
    <row r="4363">
      <c r="N4363" s="6">
        <f>IF(B4363="","",IF(ISNUMBER(B4363),TEXT(B4363,"YYYY-MM"),LEFT(B4363,7)))</f>
        <v/>
      </c>
    </row>
    <row r="4364">
      <c r="N4364" s="6">
        <f>IF(B4364="","",IF(ISNUMBER(B4364),TEXT(B4364,"YYYY-MM"),LEFT(B4364,7)))</f>
        <v/>
      </c>
    </row>
    <row r="4365">
      <c r="N4365" s="6">
        <f>IF(B4365="","",IF(ISNUMBER(B4365),TEXT(B4365,"YYYY-MM"),LEFT(B4365,7)))</f>
        <v/>
      </c>
    </row>
    <row r="4366">
      <c r="N4366" s="6">
        <f>IF(B4366="","",IF(ISNUMBER(B4366),TEXT(B4366,"YYYY-MM"),LEFT(B4366,7)))</f>
        <v/>
      </c>
    </row>
    <row r="4367">
      <c r="N4367" s="6">
        <f>IF(B4367="","",IF(ISNUMBER(B4367),TEXT(B4367,"YYYY-MM"),LEFT(B4367,7)))</f>
        <v/>
      </c>
    </row>
    <row r="4368">
      <c r="N4368" s="6">
        <f>IF(B4368="","",IF(ISNUMBER(B4368),TEXT(B4368,"YYYY-MM"),LEFT(B4368,7)))</f>
        <v/>
      </c>
    </row>
    <row r="4369">
      <c r="N4369" s="6">
        <f>IF(B4369="","",IF(ISNUMBER(B4369),TEXT(B4369,"YYYY-MM"),LEFT(B4369,7)))</f>
        <v/>
      </c>
    </row>
    <row r="4370">
      <c r="N4370" s="6">
        <f>IF(B4370="","",IF(ISNUMBER(B4370),TEXT(B4370,"YYYY-MM"),LEFT(B4370,7)))</f>
        <v/>
      </c>
    </row>
    <row r="4371">
      <c r="N4371" s="6">
        <f>IF(B4371="","",IF(ISNUMBER(B4371),TEXT(B4371,"YYYY-MM"),LEFT(B4371,7)))</f>
        <v/>
      </c>
    </row>
    <row r="4372">
      <c r="N4372" s="6">
        <f>IF(B4372="","",IF(ISNUMBER(B4372),TEXT(B4372,"YYYY-MM"),LEFT(B4372,7)))</f>
        <v/>
      </c>
    </row>
    <row r="4373">
      <c r="N4373" s="6">
        <f>IF(B4373="","",IF(ISNUMBER(B4373),TEXT(B4373,"YYYY-MM"),LEFT(B4373,7)))</f>
        <v/>
      </c>
    </row>
    <row r="4374">
      <c r="N4374" s="6">
        <f>IF(B4374="","",IF(ISNUMBER(B4374),TEXT(B4374,"YYYY-MM"),LEFT(B4374,7)))</f>
        <v/>
      </c>
    </row>
    <row r="4375">
      <c r="N4375" s="6">
        <f>IF(B4375="","",IF(ISNUMBER(B4375),TEXT(B4375,"YYYY-MM"),LEFT(B4375,7)))</f>
        <v/>
      </c>
    </row>
    <row r="4376">
      <c r="N4376" s="6">
        <f>IF(B4376="","",IF(ISNUMBER(B4376),TEXT(B4376,"YYYY-MM"),LEFT(B4376,7)))</f>
        <v/>
      </c>
    </row>
    <row r="4377">
      <c r="N4377" s="6">
        <f>IF(B4377="","",IF(ISNUMBER(B4377),TEXT(B4377,"YYYY-MM"),LEFT(B4377,7)))</f>
        <v/>
      </c>
    </row>
    <row r="4378">
      <c r="N4378" s="6">
        <f>IF(B4378="","",IF(ISNUMBER(B4378),TEXT(B4378,"YYYY-MM"),LEFT(B4378,7)))</f>
        <v/>
      </c>
    </row>
    <row r="4379">
      <c r="N4379" s="6">
        <f>IF(B4379="","",IF(ISNUMBER(B4379),TEXT(B4379,"YYYY-MM"),LEFT(B4379,7)))</f>
        <v/>
      </c>
    </row>
    <row r="4380">
      <c r="N4380" s="6">
        <f>IF(B4380="","",IF(ISNUMBER(B4380),TEXT(B4380,"YYYY-MM"),LEFT(B4380,7)))</f>
        <v/>
      </c>
    </row>
    <row r="4381">
      <c r="N4381" s="6">
        <f>IF(B4381="","",IF(ISNUMBER(B4381),TEXT(B4381,"YYYY-MM"),LEFT(B4381,7)))</f>
        <v/>
      </c>
    </row>
    <row r="4382">
      <c r="N4382" s="6">
        <f>IF(B4382="","",IF(ISNUMBER(B4382),TEXT(B4382,"YYYY-MM"),LEFT(B4382,7)))</f>
        <v/>
      </c>
    </row>
    <row r="4383">
      <c r="N4383" s="6">
        <f>IF(B4383="","",IF(ISNUMBER(B4383),TEXT(B4383,"YYYY-MM"),LEFT(B4383,7)))</f>
        <v/>
      </c>
    </row>
    <row r="4384">
      <c r="N4384" s="6">
        <f>IF(B4384="","",IF(ISNUMBER(B4384),TEXT(B4384,"YYYY-MM"),LEFT(B4384,7)))</f>
        <v/>
      </c>
    </row>
    <row r="4385">
      <c r="N4385" s="6">
        <f>IF(B4385="","",IF(ISNUMBER(B4385),TEXT(B4385,"YYYY-MM"),LEFT(B4385,7)))</f>
        <v/>
      </c>
    </row>
    <row r="4386">
      <c r="N4386" s="6">
        <f>IF(B4386="","",IF(ISNUMBER(B4386),TEXT(B4386,"YYYY-MM"),LEFT(B4386,7)))</f>
        <v/>
      </c>
    </row>
    <row r="4387">
      <c r="N4387" s="6">
        <f>IF(B4387="","",IF(ISNUMBER(B4387),TEXT(B4387,"YYYY-MM"),LEFT(B4387,7)))</f>
        <v/>
      </c>
    </row>
    <row r="4388">
      <c r="N4388" s="6">
        <f>IF(B4388="","",IF(ISNUMBER(B4388),TEXT(B4388,"YYYY-MM"),LEFT(B4388,7)))</f>
        <v/>
      </c>
    </row>
    <row r="4389">
      <c r="N4389" s="6">
        <f>IF(B4389="","",IF(ISNUMBER(B4389),TEXT(B4389,"YYYY-MM"),LEFT(B4389,7)))</f>
        <v/>
      </c>
    </row>
    <row r="4390">
      <c r="N4390" s="6">
        <f>IF(B4390="","",IF(ISNUMBER(B4390),TEXT(B4390,"YYYY-MM"),LEFT(B4390,7)))</f>
        <v/>
      </c>
    </row>
    <row r="4391">
      <c r="N4391" s="6">
        <f>IF(B4391="","",IF(ISNUMBER(B4391),TEXT(B4391,"YYYY-MM"),LEFT(B4391,7)))</f>
        <v/>
      </c>
    </row>
    <row r="4392">
      <c r="N4392" s="6">
        <f>IF(B4392="","",IF(ISNUMBER(B4392),TEXT(B4392,"YYYY-MM"),LEFT(B4392,7)))</f>
        <v/>
      </c>
    </row>
    <row r="4393">
      <c r="N4393" s="6">
        <f>IF(B4393="","",IF(ISNUMBER(B4393),TEXT(B4393,"YYYY-MM"),LEFT(B4393,7)))</f>
        <v/>
      </c>
    </row>
    <row r="4394">
      <c r="N4394" s="6">
        <f>IF(B4394="","",IF(ISNUMBER(B4394),TEXT(B4394,"YYYY-MM"),LEFT(B4394,7)))</f>
        <v/>
      </c>
    </row>
    <row r="4395">
      <c r="N4395" s="6">
        <f>IF(B4395="","",IF(ISNUMBER(B4395),TEXT(B4395,"YYYY-MM"),LEFT(B4395,7)))</f>
        <v/>
      </c>
    </row>
    <row r="4396">
      <c r="N4396" s="6">
        <f>IF(B4396="","",IF(ISNUMBER(B4396),TEXT(B4396,"YYYY-MM"),LEFT(B4396,7)))</f>
        <v/>
      </c>
    </row>
    <row r="4397">
      <c r="N4397" s="6">
        <f>IF(B4397="","",IF(ISNUMBER(B4397),TEXT(B4397,"YYYY-MM"),LEFT(B4397,7)))</f>
        <v/>
      </c>
    </row>
    <row r="4398">
      <c r="N4398" s="6">
        <f>IF(B4398="","",IF(ISNUMBER(B4398),TEXT(B4398,"YYYY-MM"),LEFT(B4398,7)))</f>
        <v/>
      </c>
    </row>
    <row r="4399">
      <c r="N4399" s="6">
        <f>IF(B4399="","",IF(ISNUMBER(B4399),TEXT(B4399,"YYYY-MM"),LEFT(B4399,7)))</f>
        <v/>
      </c>
    </row>
    <row r="4400">
      <c r="N4400" s="6">
        <f>IF(B4400="","",IF(ISNUMBER(B4400),TEXT(B4400,"YYYY-MM"),LEFT(B4400,7)))</f>
        <v/>
      </c>
    </row>
    <row r="4401">
      <c r="N4401" s="6">
        <f>IF(B4401="","",IF(ISNUMBER(B4401),TEXT(B4401,"YYYY-MM"),LEFT(B4401,7)))</f>
        <v/>
      </c>
    </row>
    <row r="4402">
      <c r="N4402" s="6">
        <f>IF(B4402="","",IF(ISNUMBER(B4402),TEXT(B4402,"YYYY-MM"),LEFT(B4402,7)))</f>
        <v/>
      </c>
    </row>
    <row r="4403">
      <c r="N4403" s="6">
        <f>IF(B4403="","",IF(ISNUMBER(B4403),TEXT(B4403,"YYYY-MM"),LEFT(B4403,7)))</f>
        <v/>
      </c>
    </row>
    <row r="4404">
      <c r="N4404" s="6">
        <f>IF(B4404="","",IF(ISNUMBER(B4404),TEXT(B4404,"YYYY-MM"),LEFT(B4404,7)))</f>
        <v/>
      </c>
    </row>
    <row r="4405">
      <c r="N4405" s="6">
        <f>IF(B4405="","",IF(ISNUMBER(B4405),TEXT(B4405,"YYYY-MM"),LEFT(B4405,7)))</f>
        <v/>
      </c>
    </row>
    <row r="4406">
      <c r="N4406" s="6">
        <f>IF(B4406="","",IF(ISNUMBER(B4406),TEXT(B4406,"YYYY-MM"),LEFT(B4406,7)))</f>
        <v/>
      </c>
    </row>
    <row r="4407">
      <c r="N4407" s="6">
        <f>IF(B4407="","",IF(ISNUMBER(B4407),TEXT(B4407,"YYYY-MM"),LEFT(B4407,7)))</f>
        <v/>
      </c>
    </row>
    <row r="4408">
      <c r="N4408" s="6">
        <f>IF(B4408="","",IF(ISNUMBER(B4408),TEXT(B4408,"YYYY-MM"),LEFT(B4408,7)))</f>
        <v/>
      </c>
    </row>
    <row r="4409">
      <c r="N4409" s="6">
        <f>IF(B4409="","",IF(ISNUMBER(B4409),TEXT(B4409,"YYYY-MM"),LEFT(B4409,7)))</f>
        <v/>
      </c>
    </row>
    <row r="4410">
      <c r="N4410" s="6">
        <f>IF(B4410="","",IF(ISNUMBER(B4410),TEXT(B4410,"YYYY-MM"),LEFT(B4410,7)))</f>
        <v/>
      </c>
    </row>
    <row r="4411">
      <c r="N4411" s="6">
        <f>IF(B4411="","",IF(ISNUMBER(B4411),TEXT(B4411,"YYYY-MM"),LEFT(B4411,7)))</f>
        <v/>
      </c>
    </row>
    <row r="4412">
      <c r="N4412" s="6">
        <f>IF(B4412="","",IF(ISNUMBER(B4412),TEXT(B4412,"YYYY-MM"),LEFT(B4412,7)))</f>
        <v/>
      </c>
    </row>
    <row r="4413">
      <c r="N4413" s="6">
        <f>IF(B4413="","",IF(ISNUMBER(B4413),TEXT(B4413,"YYYY-MM"),LEFT(B4413,7)))</f>
        <v/>
      </c>
    </row>
    <row r="4414">
      <c r="N4414" s="6">
        <f>IF(B4414="","",IF(ISNUMBER(B4414),TEXT(B4414,"YYYY-MM"),LEFT(B4414,7)))</f>
        <v/>
      </c>
    </row>
    <row r="4415">
      <c r="N4415" s="6">
        <f>IF(B4415="","",IF(ISNUMBER(B4415),TEXT(B4415,"YYYY-MM"),LEFT(B4415,7)))</f>
        <v/>
      </c>
    </row>
    <row r="4416">
      <c r="N4416" s="6">
        <f>IF(B4416="","",IF(ISNUMBER(B4416),TEXT(B4416,"YYYY-MM"),LEFT(B4416,7)))</f>
        <v/>
      </c>
    </row>
    <row r="4417">
      <c r="N4417" s="6">
        <f>IF(B4417="","",IF(ISNUMBER(B4417),TEXT(B4417,"YYYY-MM"),LEFT(B4417,7)))</f>
        <v/>
      </c>
    </row>
    <row r="4418">
      <c r="N4418" s="6">
        <f>IF(B4418="","",IF(ISNUMBER(B4418),TEXT(B4418,"YYYY-MM"),LEFT(B4418,7)))</f>
        <v/>
      </c>
    </row>
    <row r="4419">
      <c r="N4419" s="6">
        <f>IF(B4419="","",IF(ISNUMBER(B4419),TEXT(B4419,"YYYY-MM"),LEFT(B4419,7)))</f>
        <v/>
      </c>
    </row>
    <row r="4420">
      <c r="N4420" s="6">
        <f>IF(B4420="","",IF(ISNUMBER(B4420),TEXT(B4420,"YYYY-MM"),LEFT(B4420,7)))</f>
        <v/>
      </c>
    </row>
    <row r="4421">
      <c r="N4421" s="6">
        <f>IF(B4421="","",IF(ISNUMBER(B4421),TEXT(B4421,"YYYY-MM"),LEFT(B4421,7)))</f>
        <v/>
      </c>
    </row>
    <row r="4422">
      <c r="N4422" s="6">
        <f>IF(B4422="","",IF(ISNUMBER(B4422),TEXT(B4422,"YYYY-MM"),LEFT(B4422,7)))</f>
        <v/>
      </c>
    </row>
    <row r="4423">
      <c r="N4423" s="6">
        <f>IF(B4423="","",IF(ISNUMBER(B4423),TEXT(B4423,"YYYY-MM"),LEFT(B4423,7)))</f>
        <v/>
      </c>
    </row>
    <row r="4424">
      <c r="N4424" s="6">
        <f>IF(B4424="","",IF(ISNUMBER(B4424),TEXT(B4424,"YYYY-MM"),LEFT(B4424,7)))</f>
        <v/>
      </c>
    </row>
    <row r="4425">
      <c r="N4425" s="6">
        <f>IF(B4425="","",IF(ISNUMBER(B4425),TEXT(B4425,"YYYY-MM"),LEFT(B4425,7)))</f>
        <v/>
      </c>
    </row>
    <row r="4426">
      <c r="N4426" s="6">
        <f>IF(B4426="","",IF(ISNUMBER(B4426),TEXT(B4426,"YYYY-MM"),LEFT(B4426,7)))</f>
        <v/>
      </c>
    </row>
    <row r="4427">
      <c r="N4427" s="6">
        <f>IF(B4427="","",IF(ISNUMBER(B4427),TEXT(B4427,"YYYY-MM"),LEFT(B4427,7)))</f>
        <v/>
      </c>
    </row>
    <row r="4428">
      <c r="N4428" s="6">
        <f>IF(B4428="","",IF(ISNUMBER(B4428),TEXT(B4428,"YYYY-MM"),LEFT(B4428,7)))</f>
        <v/>
      </c>
    </row>
    <row r="4429">
      <c r="N4429" s="6">
        <f>IF(B4429="","",IF(ISNUMBER(B4429),TEXT(B4429,"YYYY-MM"),LEFT(B4429,7)))</f>
        <v/>
      </c>
    </row>
    <row r="4430">
      <c r="N4430" s="6">
        <f>IF(B4430="","",IF(ISNUMBER(B4430),TEXT(B4430,"YYYY-MM"),LEFT(B4430,7)))</f>
        <v/>
      </c>
    </row>
    <row r="4431">
      <c r="N4431" s="6">
        <f>IF(B4431="","",IF(ISNUMBER(B4431),TEXT(B4431,"YYYY-MM"),LEFT(B4431,7)))</f>
        <v/>
      </c>
    </row>
    <row r="4432">
      <c r="N4432" s="6">
        <f>IF(B4432="","",IF(ISNUMBER(B4432),TEXT(B4432,"YYYY-MM"),LEFT(B4432,7)))</f>
        <v/>
      </c>
    </row>
    <row r="4433">
      <c r="N4433" s="6">
        <f>IF(B4433="","",IF(ISNUMBER(B4433),TEXT(B4433,"YYYY-MM"),LEFT(B4433,7)))</f>
        <v/>
      </c>
    </row>
    <row r="4434">
      <c r="N4434" s="6">
        <f>IF(B4434="","",IF(ISNUMBER(B4434),TEXT(B4434,"YYYY-MM"),LEFT(B4434,7)))</f>
        <v/>
      </c>
    </row>
    <row r="4435">
      <c r="N4435" s="6">
        <f>IF(B4435="","",IF(ISNUMBER(B4435),TEXT(B4435,"YYYY-MM"),LEFT(B4435,7)))</f>
        <v/>
      </c>
    </row>
    <row r="4436">
      <c r="N4436" s="6">
        <f>IF(B4436="","",IF(ISNUMBER(B4436),TEXT(B4436,"YYYY-MM"),LEFT(B4436,7)))</f>
        <v/>
      </c>
    </row>
    <row r="4437">
      <c r="N4437" s="6">
        <f>IF(B4437="","",IF(ISNUMBER(B4437),TEXT(B4437,"YYYY-MM"),LEFT(B4437,7)))</f>
        <v/>
      </c>
    </row>
    <row r="4438">
      <c r="N4438" s="6">
        <f>IF(B4438="","",IF(ISNUMBER(B4438),TEXT(B4438,"YYYY-MM"),LEFT(B4438,7)))</f>
        <v/>
      </c>
    </row>
    <row r="4439">
      <c r="N4439" s="6">
        <f>IF(B4439="","",IF(ISNUMBER(B4439),TEXT(B4439,"YYYY-MM"),LEFT(B4439,7)))</f>
        <v/>
      </c>
    </row>
    <row r="4440">
      <c r="N4440" s="6">
        <f>IF(B4440="","",IF(ISNUMBER(B4440),TEXT(B4440,"YYYY-MM"),LEFT(B4440,7)))</f>
        <v/>
      </c>
    </row>
    <row r="4441">
      <c r="N4441" s="6">
        <f>IF(B4441="","",IF(ISNUMBER(B4441),TEXT(B4441,"YYYY-MM"),LEFT(B4441,7)))</f>
        <v/>
      </c>
    </row>
    <row r="4442">
      <c r="N4442" s="6">
        <f>IF(B4442="","",IF(ISNUMBER(B4442),TEXT(B4442,"YYYY-MM"),LEFT(B4442,7)))</f>
        <v/>
      </c>
    </row>
    <row r="4443">
      <c r="N4443" s="6">
        <f>IF(B4443="","",IF(ISNUMBER(B4443),TEXT(B4443,"YYYY-MM"),LEFT(B4443,7)))</f>
        <v/>
      </c>
    </row>
    <row r="4444">
      <c r="N4444" s="6">
        <f>IF(B4444="","",IF(ISNUMBER(B4444),TEXT(B4444,"YYYY-MM"),LEFT(B4444,7)))</f>
        <v/>
      </c>
    </row>
    <row r="4445">
      <c r="N4445" s="6">
        <f>IF(B4445="","",IF(ISNUMBER(B4445),TEXT(B4445,"YYYY-MM"),LEFT(B4445,7)))</f>
        <v/>
      </c>
    </row>
    <row r="4446">
      <c r="N4446" s="6">
        <f>IF(B4446="","",IF(ISNUMBER(B4446),TEXT(B4446,"YYYY-MM"),LEFT(B4446,7)))</f>
        <v/>
      </c>
    </row>
    <row r="4447">
      <c r="N4447" s="6">
        <f>IF(B4447="","",IF(ISNUMBER(B4447),TEXT(B4447,"YYYY-MM"),LEFT(B4447,7)))</f>
        <v/>
      </c>
    </row>
    <row r="4448">
      <c r="N4448" s="6">
        <f>IF(B4448="","",IF(ISNUMBER(B4448),TEXT(B4448,"YYYY-MM"),LEFT(B4448,7)))</f>
        <v/>
      </c>
    </row>
    <row r="4449">
      <c r="N4449" s="6">
        <f>IF(B4449="","",IF(ISNUMBER(B4449),TEXT(B4449,"YYYY-MM"),LEFT(B4449,7)))</f>
        <v/>
      </c>
    </row>
    <row r="4450">
      <c r="N4450" s="6">
        <f>IF(B4450="","",IF(ISNUMBER(B4450),TEXT(B4450,"YYYY-MM"),LEFT(B4450,7)))</f>
        <v/>
      </c>
    </row>
    <row r="4451">
      <c r="N4451" s="6">
        <f>IF(B4451="","",IF(ISNUMBER(B4451),TEXT(B4451,"YYYY-MM"),LEFT(B4451,7)))</f>
        <v/>
      </c>
    </row>
    <row r="4452">
      <c r="N4452" s="6">
        <f>IF(B4452="","",IF(ISNUMBER(B4452),TEXT(B4452,"YYYY-MM"),LEFT(B4452,7)))</f>
        <v/>
      </c>
    </row>
    <row r="4453">
      <c r="N4453" s="6">
        <f>IF(B4453="","",IF(ISNUMBER(B4453),TEXT(B4453,"YYYY-MM"),LEFT(B4453,7)))</f>
        <v/>
      </c>
    </row>
    <row r="4454">
      <c r="N4454" s="6">
        <f>IF(B4454="","",IF(ISNUMBER(B4454),TEXT(B4454,"YYYY-MM"),LEFT(B4454,7)))</f>
        <v/>
      </c>
    </row>
    <row r="4455">
      <c r="N4455" s="6">
        <f>IF(B4455="","",IF(ISNUMBER(B4455),TEXT(B4455,"YYYY-MM"),LEFT(B4455,7)))</f>
        <v/>
      </c>
    </row>
    <row r="4456">
      <c r="N4456" s="6">
        <f>IF(B4456="","",IF(ISNUMBER(B4456),TEXT(B4456,"YYYY-MM"),LEFT(B4456,7)))</f>
        <v/>
      </c>
    </row>
    <row r="4457">
      <c r="N4457" s="6">
        <f>IF(B4457="","",IF(ISNUMBER(B4457),TEXT(B4457,"YYYY-MM"),LEFT(B4457,7)))</f>
        <v/>
      </c>
    </row>
    <row r="4458">
      <c r="N4458" s="6">
        <f>IF(B4458="","",IF(ISNUMBER(B4458),TEXT(B4458,"YYYY-MM"),LEFT(B4458,7)))</f>
        <v/>
      </c>
    </row>
    <row r="4459">
      <c r="N4459" s="6">
        <f>IF(B4459="","",IF(ISNUMBER(B4459),TEXT(B4459,"YYYY-MM"),LEFT(B4459,7)))</f>
        <v/>
      </c>
    </row>
    <row r="4460">
      <c r="N4460" s="6">
        <f>IF(B4460="","",IF(ISNUMBER(B4460),TEXT(B4460,"YYYY-MM"),LEFT(B4460,7)))</f>
        <v/>
      </c>
    </row>
    <row r="4461">
      <c r="N4461" s="6">
        <f>IF(B4461="","",IF(ISNUMBER(B4461),TEXT(B4461,"YYYY-MM"),LEFT(B4461,7)))</f>
        <v/>
      </c>
    </row>
    <row r="4462">
      <c r="N4462" s="6">
        <f>IF(B4462="","",IF(ISNUMBER(B4462),TEXT(B4462,"YYYY-MM"),LEFT(B4462,7)))</f>
        <v/>
      </c>
    </row>
    <row r="4463">
      <c r="N4463" s="6">
        <f>IF(B4463="","",IF(ISNUMBER(B4463),TEXT(B4463,"YYYY-MM"),LEFT(B4463,7)))</f>
        <v/>
      </c>
    </row>
    <row r="4464">
      <c r="N4464" s="6">
        <f>IF(B4464="","",IF(ISNUMBER(B4464),TEXT(B4464,"YYYY-MM"),LEFT(B4464,7)))</f>
        <v/>
      </c>
    </row>
    <row r="4465">
      <c r="N4465" s="6">
        <f>IF(B4465="","",IF(ISNUMBER(B4465),TEXT(B4465,"YYYY-MM"),LEFT(B4465,7)))</f>
        <v/>
      </c>
    </row>
    <row r="4466">
      <c r="N4466" s="6">
        <f>IF(B4466="","",IF(ISNUMBER(B4466),TEXT(B4466,"YYYY-MM"),LEFT(B4466,7)))</f>
        <v/>
      </c>
    </row>
    <row r="4467">
      <c r="N4467" s="6">
        <f>IF(B4467="","",IF(ISNUMBER(B4467),TEXT(B4467,"YYYY-MM"),LEFT(B4467,7)))</f>
        <v/>
      </c>
    </row>
    <row r="4468">
      <c r="N4468" s="6">
        <f>IF(B4468="","",IF(ISNUMBER(B4468),TEXT(B4468,"YYYY-MM"),LEFT(B4468,7)))</f>
        <v/>
      </c>
    </row>
    <row r="4469">
      <c r="N4469" s="6">
        <f>IF(B4469="","",IF(ISNUMBER(B4469),TEXT(B4469,"YYYY-MM"),LEFT(B4469,7)))</f>
        <v/>
      </c>
    </row>
    <row r="4470">
      <c r="N4470" s="6">
        <f>IF(B4470="","",IF(ISNUMBER(B4470),TEXT(B4470,"YYYY-MM"),LEFT(B4470,7)))</f>
        <v/>
      </c>
    </row>
    <row r="4471">
      <c r="N4471" s="6">
        <f>IF(B4471="","",IF(ISNUMBER(B4471),TEXT(B4471,"YYYY-MM"),LEFT(B4471,7)))</f>
        <v/>
      </c>
    </row>
    <row r="4472">
      <c r="N4472" s="6">
        <f>IF(B4472="","",IF(ISNUMBER(B4472),TEXT(B4472,"YYYY-MM"),LEFT(B4472,7)))</f>
        <v/>
      </c>
    </row>
    <row r="4473">
      <c r="N4473" s="6">
        <f>IF(B4473="","",IF(ISNUMBER(B4473),TEXT(B4473,"YYYY-MM"),LEFT(B4473,7)))</f>
        <v/>
      </c>
    </row>
    <row r="4474">
      <c r="N4474" s="6">
        <f>IF(B4474="","",IF(ISNUMBER(B4474),TEXT(B4474,"YYYY-MM"),LEFT(B4474,7)))</f>
        <v/>
      </c>
    </row>
    <row r="4475">
      <c r="N4475" s="6">
        <f>IF(B4475="","",IF(ISNUMBER(B4475),TEXT(B4475,"YYYY-MM"),LEFT(B4475,7)))</f>
        <v/>
      </c>
    </row>
    <row r="4476">
      <c r="N4476" s="6">
        <f>IF(B4476="","",IF(ISNUMBER(B4476),TEXT(B4476,"YYYY-MM"),LEFT(B4476,7)))</f>
        <v/>
      </c>
    </row>
    <row r="4477">
      <c r="N4477" s="6">
        <f>IF(B4477="","",IF(ISNUMBER(B4477),TEXT(B4477,"YYYY-MM"),LEFT(B4477,7)))</f>
        <v/>
      </c>
    </row>
    <row r="4478">
      <c r="N4478" s="6">
        <f>IF(B4478="","",IF(ISNUMBER(B4478),TEXT(B4478,"YYYY-MM"),LEFT(B4478,7)))</f>
        <v/>
      </c>
    </row>
    <row r="4479">
      <c r="N4479" s="6">
        <f>IF(B4479="","",IF(ISNUMBER(B4479),TEXT(B4479,"YYYY-MM"),LEFT(B4479,7)))</f>
        <v/>
      </c>
    </row>
    <row r="4480">
      <c r="N4480" s="6">
        <f>IF(B4480="","",IF(ISNUMBER(B4480),TEXT(B4480,"YYYY-MM"),LEFT(B4480,7)))</f>
        <v/>
      </c>
    </row>
    <row r="4481">
      <c r="N4481" s="6">
        <f>IF(B4481="","",IF(ISNUMBER(B4481),TEXT(B4481,"YYYY-MM"),LEFT(B4481,7)))</f>
        <v/>
      </c>
    </row>
    <row r="4482">
      <c r="N4482" s="6">
        <f>IF(B4482="","",IF(ISNUMBER(B4482),TEXT(B4482,"YYYY-MM"),LEFT(B4482,7)))</f>
        <v/>
      </c>
    </row>
    <row r="4483">
      <c r="N4483" s="6">
        <f>IF(B4483="","",IF(ISNUMBER(B4483),TEXT(B4483,"YYYY-MM"),LEFT(B4483,7)))</f>
        <v/>
      </c>
    </row>
    <row r="4484">
      <c r="N4484" s="6">
        <f>IF(B4484="","",IF(ISNUMBER(B4484),TEXT(B4484,"YYYY-MM"),LEFT(B4484,7)))</f>
        <v/>
      </c>
    </row>
    <row r="4485">
      <c r="N4485" s="6">
        <f>IF(B4485="","",IF(ISNUMBER(B4485),TEXT(B4485,"YYYY-MM"),LEFT(B4485,7)))</f>
        <v/>
      </c>
    </row>
    <row r="4486">
      <c r="N4486" s="6">
        <f>IF(B4486="","",IF(ISNUMBER(B4486),TEXT(B4486,"YYYY-MM"),LEFT(B4486,7)))</f>
        <v/>
      </c>
    </row>
    <row r="4487">
      <c r="N4487" s="6">
        <f>IF(B4487="","",IF(ISNUMBER(B4487),TEXT(B4487,"YYYY-MM"),LEFT(B4487,7)))</f>
        <v/>
      </c>
    </row>
    <row r="4488">
      <c r="N4488" s="6">
        <f>IF(B4488="","",IF(ISNUMBER(B4488),TEXT(B4488,"YYYY-MM"),LEFT(B4488,7)))</f>
        <v/>
      </c>
    </row>
    <row r="4489">
      <c r="N4489" s="6">
        <f>IF(B4489="","",IF(ISNUMBER(B4489),TEXT(B4489,"YYYY-MM"),LEFT(B4489,7)))</f>
        <v/>
      </c>
    </row>
    <row r="4490">
      <c r="N4490" s="6">
        <f>IF(B4490="","",IF(ISNUMBER(B4490),TEXT(B4490,"YYYY-MM"),LEFT(B4490,7)))</f>
        <v/>
      </c>
    </row>
    <row r="4491">
      <c r="N4491" s="6">
        <f>IF(B4491="","",IF(ISNUMBER(B4491),TEXT(B4491,"YYYY-MM"),LEFT(B4491,7)))</f>
        <v/>
      </c>
    </row>
    <row r="4492">
      <c r="N4492" s="6">
        <f>IF(B4492="","",IF(ISNUMBER(B4492),TEXT(B4492,"YYYY-MM"),LEFT(B4492,7)))</f>
        <v/>
      </c>
    </row>
    <row r="4493">
      <c r="N4493" s="6">
        <f>IF(B4493="","",IF(ISNUMBER(B4493),TEXT(B4493,"YYYY-MM"),LEFT(B4493,7)))</f>
        <v/>
      </c>
    </row>
    <row r="4494">
      <c r="N4494" s="6">
        <f>IF(B4494="","",IF(ISNUMBER(B4494),TEXT(B4494,"YYYY-MM"),LEFT(B4494,7)))</f>
        <v/>
      </c>
    </row>
    <row r="4495">
      <c r="N4495" s="6">
        <f>IF(B4495="","",IF(ISNUMBER(B4495),TEXT(B4495,"YYYY-MM"),LEFT(B4495,7)))</f>
        <v/>
      </c>
    </row>
    <row r="4496">
      <c r="N4496" s="6">
        <f>IF(B4496="","",IF(ISNUMBER(B4496),TEXT(B4496,"YYYY-MM"),LEFT(B4496,7)))</f>
        <v/>
      </c>
    </row>
    <row r="4497">
      <c r="N4497" s="6">
        <f>IF(B4497="","",IF(ISNUMBER(B4497),TEXT(B4497,"YYYY-MM"),LEFT(B4497,7)))</f>
        <v/>
      </c>
    </row>
    <row r="4498">
      <c r="N4498" s="6">
        <f>IF(B4498="","",IF(ISNUMBER(B4498),TEXT(B4498,"YYYY-MM"),LEFT(B4498,7)))</f>
        <v/>
      </c>
    </row>
    <row r="4499">
      <c r="N4499" s="6">
        <f>IF(B4499="","",IF(ISNUMBER(B4499),TEXT(B4499,"YYYY-MM"),LEFT(B4499,7)))</f>
        <v/>
      </c>
    </row>
    <row r="4500">
      <c r="N4500" s="6">
        <f>IF(B4500="","",IF(ISNUMBER(B4500),TEXT(B4500,"YYYY-MM"),LEFT(B4500,7)))</f>
        <v/>
      </c>
    </row>
    <row r="4501">
      <c r="N4501" s="6">
        <f>IF(B4501="","",IF(ISNUMBER(B4501),TEXT(B4501,"YYYY-MM"),LEFT(B4501,7)))</f>
        <v/>
      </c>
    </row>
    <row r="4502">
      <c r="N4502" s="6">
        <f>IF(B4502="","",IF(ISNUMBER(B4502),TEXT(B4502,"YYYY-MM"),LEFT(B4502,7)))</f>
        <v/>
      </c>
    </row>
    <row r="4503">
      <c r="N4503" s="6">
        <f>IF(B4503="","",IF(ISNUMBER(B4503),TEXT(B4503,"YYYY-MM"),LEFT(B4503,7)))</f>
        <v/>
      </c>
    </row>
    <row r="4504">
      <c r="N4504" s="6">
        <f>IF(B4504="","",IF(ISNUMBER(B4504),TEXT(B4504,"YYYY-MM"),LEFT(B4504,7)))</f>
        <v/>
      </c>
    </row>
    <row r="4505">
      <c r="N4505" s="6">
        <f>IF(B4505="","",IF(ISNUMBER(B4505),TEXT(B4505,"YYYY-MM"),LEFT(B4505,7)))</f>
        <v/>
      </c>
    </row>
    <row r="4506">
      <c r="N4506" s="6">
        <f>IF(B4506="","",IF(ISNUMBER(B4506),TEXT(B4506,"YYYY-MM"),LEFT(B4506,7)))</f>
        <v/>
      </c>
    </row>
    <row r="4507">
      <c r="N4507" s="6">
        <f>IF(B4507="","",IF(ISNUMBER(B4507),TEXT(B4507,"YYYY-MM"),LEFT(B4507,7)))</f>
        <v/>
      </c>
    </row>
    <row r="4508">
      <c r="N4508" s="6">
        <f>IF(B4508="","",IF(ISNUMBER(B4508),TEXT(B4508,"YYYY-MM"),LEFT(B4508,7)))</f>
        <v/>
      </c>
    </row>
    <row r="4509">
      <c r="N4509" s="6">
        <f>IF(B4509="","",IF(ISNUMBER(B4509),TEXT(B4509,"YYYY-MM"),LEFT(B4509,7)))</f>
        <v/>
      </c>
    </row>
    <row r="4510">
      <c r="N4510" s="6">
        <f>IF(B4510="","",IF(ISNUMBER(B4510),TEXT(B4510,"YYYY-MM"),LEFT(B4510,7)))</f>
        <v/>
      </c>
    </row>
    <row r="4511">
      <c r="N4511" s="6">
        <f>IF(B4511="","",IF(ISNUMBER(B4511),TEXT(B4511,"YYYY-MM"),LEFT(B4511,7)))</f>
        <v/>
      </c>
    </row>
    <row r="4512">
      <c r="N4512" s="6">
        <f>IF(B4512="","",IF(ISNUMBER(B4512),TEXT(B4512,"YYYY-MM"),LEFT(B4512,7)))</f>
        <v/>
      </c>
    </row>
    <row r="4513">
      <c r="N4513" s="6">
        <f>IF(B4513="","",IF(ISNUMBER(B4513),TEXT(B4513,"YYYY-MM"),LEFT(B4513,7)))</f>
        <v/>
      </c>
    </row>
    <row r="4514">
      <c r="N4514" s="6">
        <f>IF(B4514="","",IF(ISNUMBER(B4514),TEXT(B4514,"YYYY-MM"),LEFT(B4514,7)))</f>
        <v/>
      </c>
    </row>
    <row r="4515">
      <c r="N4515" s="6">
        <f>IF(B4515="","",IF(ISNUMBER(B4515),TEXT(B4515,"YYYY-MM"),LEFT(B4515,7)))</f>
        <v/>
      </c>
    </row>
    <row r="4516">
      <c r="N4516" s="6">
        <f>IF(B4516="","",IF(ISNUMBER(B4516),TEXT(B4516,"YYYY-MM"),LEFT(B4516,7)))</f>
        <v/>
      </c>
    </row>
    <row r="4517">
      <c r="N4517" s="6">
        <f>IF(B4517="","",IF(ISNUMBER(B4517),TEXT(B4517,"YYYY-MM"),LEFT(B4517,7)))</f>
        <v/>
      </c>
    </row>
    <row r="4518">
      <c r="N4518" s="6">
        <f>IF(B4518="","",IF(ISNUMBER(B4518),TEXT(B4518,"YYYY-MM"),LEFT(B4518,7)))</f>
        <v/>
      </c>
    </row>
    <row r="4519">
      <c r="N4519" s="6">
        <f>IF(B4519="","",IF(ISNUMBER(B4519),TEXT(B4519,"YYYY-MM"),LEFT(B4519,7)))</f>
        <v/>
      </c>
    </row>
    <row r="4520">
      <c r="N4520" s="6">
        <f>IF(B4520="","",IF(ISNUMBER(B4520),TEXT(B4520,"YYYY-MM"),LEFT(B4520,7)))</f>
        <v/>
      </c>
    </row>
    <row r="4521">
      <c r="N4521" s="6">
        <f>IF(B4521="","",IF(ISNUMBER(B4521),TEXT(B4521,"YYYY-MM"),LEFT(B4521,7)))</f>
        <v/>
      </c>
    </row>
    <row r="4522">
      <c r="N4522" s="6">
        <f>IF(B4522="","",IF(ISNUMBER(B4522),TEXT(B4522,"YYYY-MM"),LEFT(B4522,7)))</f>
        <v/>
      </c>
    </row>
    <row r="4523">
      <c r="N4523" s="6">
        <f>IF(B4523="","",IF(ISNUMBER(B4523),TEXT(B4523,"YYYY-MM"),LEFT(B4523,7)))</f>
        <v/>
      </c>
    </row>
    <row r="4524">
      <c r="N4524" s="6">
        <f>IF(B4524="","",IF(ISNUMBER(B4524),TEXT(B4524,"YYYY-MM"),LEFT(B4524,7)))</f>
        <v/>
      </c>
    </row>
    <row r="4525">
      <c r="N4525" s="6">
        <f>IF(B4525="","",IF(ISNUMBER(B4525),TEXT(B4525,"YYYY-MM"),LEFT(B4525,7)))</f>
        <v/>
      </c>
    </row>
    <row r="4526">
      <c r="N4526" s="6">
        <f>IF(B4526="","",IF(ISNUMBER(B4526),TEXT(B4526,"YYYY-MM"),LEFT(B4526,7)))</f>
        <v/>
      </c>
    </row>
    <row r="4527">
      <c r="N4527" s="6">
        <f>IF(B4527="","",IF(ISNUMBER(B4527),TEXT(B4527,"YYYY-MM"),LEFT(B4527,7)))</f>
        <v/>
      </c>
    </row>
    <row r="4528">
      <c r="N4528" s="6">
        <f>IF(B4528="","",IF(ISNUMBER(B4528),TEXT(B4528,"YYYY-MM"),LEFT(B4528,7)))</f>
        <v/>
      </c>
    </row>
    <row r="4529">
      <c r="N4529" s="6">
        <f>IF(B4529="","",IF(ISNUMBER(B4529),TEXT(B4529,"YYYY-MM"),LEFT(B4529,7)))</f>
        <v/>
      </c>
    </row>
    <row r="4530">
      <c r="N4530" s="6">
        <f>IF(B4530="","",IF(ISNUMBER(B4530),TEXT(B4530,"YYYY-MM"),LEFT(B4530,7)))</f>
        <v/>
      </c>
    </row>
    <row r="4531">
      <c r="N4531" s="6">
        <f>IF(B4531="","",IF(ISNUMBER(B4531),TEXT(B4531,"YYYY-MM"),LEFT(B4531,7)))</f>
        <v/>
      </c>
    </row>
    <row r="4532">
      <c r="N4532" s="6">
        <f>IF(B4532="","",IF(ISNUMBER(B4532),TEXT(B4532,"YYYY-MM"),LEFT(B4532,7)))</f>
        <v/>
      </c>
    </row>
    <row r="4533">
      <c r="N4533" s="6">
        <f>IF(B4533="","",IF(ISNUMBER(B4533),TEXT(B4533,"YYYY-MM"),LEFT(B4533,7)))</f>
        <v/>
      </c>
    </row>
    <row r="4534">
      <c r="N4534" s="6">
        <f>IF(B4534="","",IF(ISNUMBER(B4534),TEXT(B4534,"YYYY-MM"),LEFT(B4534,7)))</f>
        <v/>
      </c>
    </row>
    <row r="4535">
      <c r="N4535" s="6">
        <f>IF(B4535="","",IF(ISNUMBER(B4535),TEXT(B4535,"YYYY-MM"),LEFT(B4535,7)))</f>
        <v/>
      </c>
    </row>
    <row r="4536">
      <c r="N4536" s="6">
        <f>IF(B4536="","",IF(ISNUMBER(B4536),TEXT(B4536,"YYYY-MM"),LEFT(B4536,7)))</f>
        <v/>
      </c>
    </row>
    <row r="4537">
      <c r="N4537" s="6">
        <f>IF(B4537="","",IF(ISNUMBER(B4537),TEXT(B4537,"YYYY-MM"),LEFT(B4537,7)))</f>
        <v/>
      </c>
    </row>
    <row r="4538">
      <c r="N4538" s="6">
        <f>IF(B4538="","",IF(ISNUMBER(B4538),TEXT(B4538,"YYYY-MM"),LEFT(B4538,7)))</f>
        <v/>
      </c>
    </row>
    <row r="4539">
      <c r="N4539" s="6">
        <f>IF(B4539="","",IF(ISNUMBER(B4539),TEXT(B4539,"YYYY-MM"),LEFT(B4539,7)))</f>
        <v/>
      </c>
    </row>
    <row r="4540">
      <c r="N4540" s="6">
        <f>IF(B4540="","",IF(ISNUMBER(B4540),TEXT(B4540,"YYYY-MM"),LEFT(B4540,7)))</f>
        <v/>
      </c>
    </row>
    <row r="4541">
      <c r="N4541" s="6">
        <f>IF(B4541="","",IF(ISNUMBER(B4541),TEXT(B4541,"YYYY-MM"),LEFT(B4541,7)))</f>
        <v/>
      </c>
    </row>
    <row r="4542">
      <c r="N4542" s="6">
        <f>IF(B4542="","",IF(ISNUMBER(B4542),TEXT(B4542,"YYYY-MM"),LEFT(B4542,7)))</f>
        <v/>
      </c>
    </row>
    <row r="4543">
      <c r="N4543" s="6">
        <f>IF(B4543="","",IF(ISNUMBER(B4543),TEXT(B4543,"YYYY-MM"),LEFT(B4543,7)))</f>
        <v/>
      </c>
    </row>
    <row r="4544">
      <c r="N4544" s="6">
        <f>IF(B4544="","",IF(ISNUMBER(B4544),TEXT(B4544,"YYYY-MM"),LEFT(B4544,7)))</f>
        <v/>
      </c>
    </row>
    <row r="4545">
      <c r="N4545" s="6">
        <f>IF(B4545="","",IF(ISNUMBER(B4545),TEXT(B4545,"YYYY-MM"),LEFT(B4545,7)))</f>
        <v/>
      </c>
    </row>
    <row r="4546">
      <c r="N4546" s="6">
        <f>IF(B4546="","",IF(ISNUMBER(B4546),TEXT(B4546,"YYYY-MM"),LEFT(B4546,7)))</f>
        <v/>
      </c>
    </row>
    <row r="4547">
      <c r="N4547" s="6">
        <f>IF(B4547="","",IF(ISNUMBER(B4547),TEXT(B4547,"YYYY-MM"),LEFT(B4547,7)))</f>
        <v/>
      </c>
    </row>
    <row r="4548">
      <c r="N4548" s="6">
        <f>IF(B4548="","",IF(ISNUMBER(B4548),TEXT(B4548,"YYYY-MM"),LEFT(B4548,7)))</f>
        <v/>
      </c>
    </row>
    <row r="4549">
      <c r="N4549" s="6">
        <f>IF(B4549="","",IF(ISNUMBER(B4549),TEXT(B4549,"YYYY-MM"),LEFT(B4549,7)))</f>
        <v/>
      </c>
    </row>
    <row r="4550">
      <c r="N4550" s="6">
        <f>IF(B4550="","",IF(ISNUMBER(B4550),TEXT(B4550,"YYYY-MM"),LEFT(B4550,7)))</f>
        <v/>
      </c>
    </row>
    <row r="4551">
      <c r="N4551" s="6">
        <f>IF(B4551="","",IF(ISNUMBER(B4551),TEXT(B4551,"YYYY-MM"),LEFT(B4551,7)))</f>
        <v/>
      </c>
    </row>
    <row r="4552">
      <c r="N4552" s="6">
        <f>IF(B4552="","",IF(ISNUMBER(B4552),TEXT(B4552,"YYYY-MM"),LEFT(B4552,7)))</f>
        <v/>
      </c>
    </row>
    <row r="4553">
      <c r="N4553" s="6">
        <f>IF(B4553="","",IF(ISNUMBER(B4553),TEXT(B4553,"YYYY-MM"),LEFT(B4553,7)))</f>
        <v/>
      </c>
    </row>
    <row r="4554">
      <c r="N4554" s="6">
        <f>IF(B4554="","",IF(ISNUMBER(B4554),TEXT(B4554,"YYYY-MM"),LEFT(B4554,7)))</f>
        <v/>
      </c>
    </row>
    <row r="4555">
      <c r="N4555" s="6">
        <f>IF(B4555="","",IF(ISNUMBER(B4555),TEXT(B4555,"YYYY-MM"),LEFT(B4555,7)))</f>
        <v/>
      </c>
    </row>
    <row r="4556">
      <c r="N4556" s="6">
        <f>IF(B4556="","",IF(ISNUMBER(B4556),TEXT(B4556,"YYYY-MM"),LEFT(B4556,7)))</f>
        <v/>
      </c>
    </row>
    <row r="4557">
      <c r="N4557" s="6">
        <f>IF(B4557="","",IF(ISNUMBER(B4557),TEXT(B4557,"YYYY-MM"),LEFT(B4557,7)))</f>
        <v/>
      </c>
    </row>
    <row r="4558">
      <c r="N4558" s="6">
        <f>IF(B4558="","",IF(ISNUMBER(B4558),TEXT(B4558,"YYYY-MM"),LEFT(B4558,7)))</f>
        <v/>
      </c>
    </row>
    <row r="4559">
      <c r="N4559" s="6">
        <f>IF(B4559="","",IF(ISNUMBER(B4559),TEXT(B4559,"YYYY-MM"),LEFT(B4559,7)))</f>
        <v/>
      </c>
    </row>
    <row r="4560">
      <c r="N4560" s="6">
        <f>IF(B4560="","",IF(ISNUMBER(B4560),TEXT(B4560,"YYYY-MM"),LEFT(B4560,7)))</f>
        <v/>
      </c>
    </row>
    <row r="4561">
      <c r="N4561" s="6">
        <f>IF(B4561="","",IF(ISNUMBER(B4561),TEXT(B4561,"YYYY-MM"),LEFT(B4561,7)))</f>
        <v/>
      </c>
    </row>
    <row r="4562">
      <c r="N4562" s="6">
        <f>IF(B4562="","",IF(ISNUMBER(B4562),TEXT(B4562,"YYYY-MM"),LEFT(B4562,7)))</f>
        <v/>
      </c>
    </row>
    <row r="4563">
      <c r="N4563" s="6">
        <f>IF(B4563="","",IF(ISNUMBER(B4563),TEXT(B4563,"YYYY-MM"),LEFT(B4563,7)))</f>
        <v/>
      </c>
    </row>
    <row r="4564">
      <c r="N4564" s="6">
        <f>IF(B4564="","",IF(ISNUMBER(B4564),TEXT(B4564,"YYYY-MM"),LEFT(B4564,7)))</f>
        <v/>
      </c>
    </row>
    <row r="4565">
      <c r="N4565" s="6">
        <f>IF(B4565="","",IF(ISNUMBER(B4565),TEXT(B4565,"YYYY-MM"),LEFT(B4565,7)))</f>
        <v/>
      </c>
    </row>
    <row r="4566">
      <c r="N4566" s="6">
        <f>IF(B4566="","",IF(ISNUMBER(B4566),TEXT(B4566,"YYYY-MM"),LEFT(B4566,7)))</f>
        <v/>
      </c>
    </row>
    <row r="4567">
      <c r="N4567" s="6">
        <f>IF(B4567="","",IF(ISNUMBER(B4567),TEXT(B4567,"YYYY-MM"),LEFT(B4567,7)))</f>
        <v/>
      </c>
    </row>
    <row r="4568">
      <c r="N4568" s="6">
        <f>IF(B4568="","",IF(ISNUMBER(B4568),TEXT(B4568,"YYYY-MM"),LEFT(B4568,7)))</f>
        <v/>
      </c>
    </row>
    <row r="4569">
      <c r="N4569" s="6">
        <f>IF(B4569="","",IF(ISNUMBER(B4569),TEXT(B4569,"YYYY-MM"),LEFT(B4569,7)))</f>
        <v/>
      </c>
    </row>
    <row r="4570">
      <c r="N4570" s="6">
        <f>IF(B4570="","",IF(ISNUMBER(B4570),TEXT(B4570,"YYYY-MM"),LEFT(B4570,7)))</f>
        <v/>
      </c>
    </row>
    <row r="4571">
      <c r="N4571" s="6">
        <f>IF(B4571="","",IF(ISNUMBER(B4571),TEXT(B4571,"YYYY-MM"),LEFT(B4571,7)))</f>
        <v/>
      </c>
    </row>
    <row r="4572">
      <c r="N4572" s="6">
        <f>IF(B4572="","",IF(ISNUMBER(B4572),TEXT(B4572,"YYYY-MM"),LEFT(B4572,7)))</f>
        <v/>
      </c>
    </row>
    <row r="4573">
      <c r="N4573" s="6">
        <f>IF(B4573="","",IF(ISNUMBER(B4573),TEXT(B4573,"YYYY-MM"),LEFT(B4573,7)))</f>
        <v/>
      </c>
    </row>
    <row r="4574">
      <c r="N4574" s="6">
        <f>IF(B4574="","",IF(ISNUMBER(B4574),TEXT(B4574,"YYYY-MM"),LEFT(B4574,7)))</f>
        <v/>
      </c>
    </row>
    <row r="4575">
      <c r="N4575" s="6">
        <f>IF(B4575="","",IF(ISNUMBER(B4575),TEXT(B4575,"YYYY-MM"),LEFT(B4575,7)))</f>
        <v/>
      </c>
    </row>
    <row r="4576">
      <c r="N4576" s="6">
        <f>IF(B4576="","",IF(ISNUMBER(B4576),TEXT(B4576,"YYYY-MM"),LEFT(B4576,7)))</f>
        <v/>
      </c>
    </row>
    <row r="4577">
      <c r="N4577" s="6">
        <f>IF(B4577="","",IF(ISNUMBER(B4577),TEXT(B4577,"YYYY-MM"),LEFT(B4577,7)))</f>
        <v/>
      </c>
    </row>
    <row r="4578">
      <c r="N4578" s="6">
        <f>IF(B4578="","",IF(ISNUMBER(B4578),TEXT(B4578,"YYYY-MM"),LEFT(B4578,7)))</f>
        <v/>
      </c>
    </row>
    <row r="4579">
      <c r="N4579" s="6">
        <f>IF(B4579="","",IF(ISNUMBER(B4579),TEXT(B4579,"YYYY-MM"),LEFT(B4579,7)))</f>
        <v/>
      </c>
    </row>
    <row r="4580">
      <c r="N4580" s="6">
        <f>IF(B4580="","",IF(ISNUMBER(B4580),TEXT(B4580,"YYYY-MM"),LEFT(B4580,7)))</f>
        <v/>
      </c>
    </row>
    <row r="4581">
      <c r="N4581" s="6">
        <f>IF(B4581="","",IF(ISNUMBER(B4581),TEXT(B4581,"YYYY-MM"),LEFT(B4581,7)))</f>
        <v/>
      </c>
    </row>
    <row r="4582">
      <c r="N4582" s="6">
        <f>IF(B4582="","",IF(ISNUMBER(B4582),TEXT(B4582,"YYYY-MM"),LEFT(B4582,7)))</f>
        <v/>
      </c>
    </row>
    <row r="4583">
      <c r="N4583" s="6">
        <f>IF(B4583="","",IF(ISNUMBER(B4583),TEXT(B4583,"YYYY-MM"),LEFT(B4583,7)))</f>
        <v/>
      </c>
    </row>
    <row r="4584">
      <c r="N4584" s="6">
        <f>IF(B4584="","",IF(ISNUMBER(B4584),TEXT(B4584,"YYYY-MM"),LEFT(B4584,7)))</f>
        <v/>
      </c>
    </row>
    <row r="4585">
      <c r="N4585" s="6">
        <f>IF(B4585="","",IF(ISNUMBER(B4585),TEXT(B4585,"YYYY-MM"),LEFT(B4585,7)))</f>
        <v/>
      </c>
    </row>
    <row r="4586">
      <c r="N4586" s="6">
        <f>IF(B4586="","",IF(ISNUMBER(B4586),TEXT(B4586,"YYYY-MM"),LEFT(B4586,7)))</f>
        <v/>
      </c>
    </row>
    <row r="4587">
      <c r="N4587" s="6">
        <f>IF(B4587="","",IF(ISNUMBER(B4587),TEXT(B4587,"YYYY-MM"),LEFT(B4587,7)))</f>
        <v/>
      </c>
    </row>
    <row r="4588">
      <c r="N4588" s="6">
        <f>IF(B4588="","",IF(ISNUMBER(B4588),TEXT(B4588,"YYYY-MM"),LEFT(B4588,7)))</f>
        <v/>
      </c>
    </row>
    <row r="4589">
      <c r="N4589" s="6">
        <f>IF(B4589="","",IF(ISNUMBER(B4589),TEXT(B4589,"YYYY-MM"),LEFT(B4589,7)))</f>
        <v/>
      </c>
    </row>
    <row r="4590">
      <c r="N4590" s="6">
        <f>IF(B4590="","",IF(ISNUMBER(B4590),TEXT(B4590,"YYYY-MM"),LEFT(B4590,7)))</f>
        <v/>
      </c>
    </row>
    <row r="4591">
      <c r="N4591" s="6">
        <f>IF(B4591="","",IF(ISNUMBER(B4591),TEXT(B4591,"YYYY-MM"),LEFT(B4591,7)))</f>
        <v/>
      </c>
    </row>
    <row r="4592">
      <c r="N4592" s="6">
        <f>IF(B4592="","",IF(ISNUMBER(B4592),TEXT(B4592,"YYYY-MM"),LEFT(B4592,7)))</f>
        <v/>
      </c>
    </row>
    <row r="4593">
      <c r="N4593" s="6">
        <f>IF(B4593="","",IF(ISNUMBER(B4593),TEXT(B4593,"YYYY-MM"),LEFT(B4593,7)))</f>
        <v/>
      </c>
    </row>
    <row r="4594">
      <c r="N4594" s="6">
        <f>IF(B4594="","",IF(ISNUMBER(B4594),TEXT(B4594,"YYYY-MM"),LEFT(B4594,7)))</f>
        <v/>
      </c>
    </row>
    <row r="4595">
      <c r="N4595" s="6">
        <f>IF(B4595="","",IF(ISNUMBER(B4595),TEXT(B4595,"YYYY-MM"),LEFT(B4595,7)))</f>
        <v/>
      </c>
    </row>
    <row r="4596">
      <c r="N4596" s="6">
        <f>IF(B4596="","",IF(ISNUMBER(B4596),TEXT(B4596,"YYYY-MM"),LEFT(B4596,7)))</f>
        <v/>
      </c>
    </row>
    <row r="4597">
      <c r="N4597" s="6">
        <f>IF(B4597="","",IF(ISNUMBER(B4597),TEXT(B4597,"YYYY-MM"),LEFT(B4597,7)))</f>
        <v/>
      </c>
    </row>
    <row r="4598">
      <c r="N4598" s="6">
        <f>IF(B4598="","",IF(ISNUMBER(B4598),TEXT(B4598,"YYYY-MM"),LEFT(B4598,7)))</f>
        <v/>
      </c>
    </row>
    <row r="4599">
      <c r="N4599" s="6">
        <f>IF(B4599="","",IF(ISNUMBER(B4599),TEXT(B4599,"YYYY-MM"),LEFT(B4599,7)))</f>
        <v/>
      </c>
    </row>
    <row r="4600">
      <c r="N4600" s="6">
        <f>IF(B4600="","",IF(ISNUMBER(B4600),TEXT(B4600,"YYYY-MM"),LEFT(B4600,7)))</f>
        <v/>
      </c>
    </row>
    <row r="4601">
      <c r="N4601" s="6">
        <f>IF(B4601="","",IF(ISNUMBER(B4601),TEXT(B4601,"YYYY-MM"),LEFT(B4601,7)))</f>
        <v/>
      </c>
    </row>
    <row r="4602">
      <c r="N4602" s="6">
        <f>IF(B4602="","",IF(ISNUMBER(B4602),TEXT(B4602,"YYYY-MM"),LEFT(B4602,7)))</f>
        <v/>
      </c>
    </row>
    <row r="4603">
      <c r="N4603" s="6">
        <f>IF(B4603="","",IF(ISNUMBER(B4603),TEXT(B4603,"YYYY-MM"),LEFT(B4603,7)))</f>
        <v/>
      </c>
    </row>
    <row r="4604">
      <c r="N4604" s="6">
        <f>IF(B4604="","",IF(ISNUMBER(B4604),TEXT(B4604,"YYYY-MM"),LEFT(B4604,7)))</f>
        <v/>
      </c>
    </row>
    <row r="4605">
      <c r="N4605" s="6">
        <f>IF(B4605="","",IF(ISNUMBER(B4605),TEXT(B4605,"YYYY-MM"),LEFT(B4605,7)))</f>
        <v/>
      </c>
    </row>
    <row r="4606">
      <c r="N4606" s="6">
        <f>IF(B4606="","",IF(ISNUMBER(B4606),TEXT(B4606,"YYYY-MM"),LEFT(B4606,7)))</f>
        <v/>
      </c>
    </row>
    <row r="4607">
      <c r="N4607" s="6">
        <f>IF(B4607="","",IF(ISNUMBER(B4607),TEXT(B4607,"YYYY-MM"),LEFT(B4607,7)))</f>
        <v/>
      </c>
    </row>
    <row r="4608">
      <c r="N4608" s="6">
        <f>IF(B4608="","",IF(ISNUMBER(B4608),TEXT(B4608,"YYYY-MM"),LEFT(B4608,7)))</f>
        <v/>
      </c>
    </row>
    <row r="4609">
      <c r="N4609" s="6">
        <f>IF(B4609="","",IF(ISNUMBER(B4609),TEXT(B4609,"YYYY-MM"),LEFT(B4609,7)))</f>
        <v/>
      </c>
    </row>
    <row r="4610">
      <c r="N4610" s="6">
        <f>IF(B4610="","",IF(ISNUMBER(B4610),TEXT(B4610,"YYYY-MM"),LEFT(B4610,7)))</f>
        <v/>
      </c>
    </row>
    <row r="4611">
      <c r="N4611" s="6">
        <f>IF(B4611="","",IF(ISNUMBER(B4611),TEXT(B4611,"YYYY-MM"),LEFT(B4611,7)))</f>
        <v/>
      </c>
    </row>
    <row r="4612">
      <c r="N4612" s="6">
        <f>IF(B4612="","",IF(ISNUMBER(B4612),TEXT(B4612,"YYYY-MM"),LEFT(B4612,7)))</f>
        <v/>
      </c>
    </row>
    <row r="4613">
      <c r="N4613" s="6">
        <f>IF(B4613="","",IF(ISNUMBER(B4613),TEXT(B4613,"YYYY-MM"),LEFT(B4613,7)))</f>
        <v/>
      </c>
    </row>
    <row r="4614">
      <c r="N4614" s="6">
        <f>IF(B4614="","",IF(ISNUMBER(B4614),TEXT(B4614,"YYYY-MM"),LEFT(B4614,7)))</f>
        <v/>
      </c>
    </row>
    <row r="4615">
      <c r="N4615" s="6">
        <f>IF(B4615="","",IF(ISNUMBER(B4615),TEXT(B4615,"YYYY-MM"),LEFT(B4615,7)))</f>
        <v/>
      </c>
    </row>
    <row r="4616">
      <c r="N4616" s="6">
        <f>IF(B4616="","",IF(ISNUMBER(B4616),TEXT(B4616,"YYYY-MM"),LEFT(B4616,7)))</f>
        <v/>
      </c>
    </row>
    <row r="4617">
      <c r="N4617" s="6">
        <f>IF(B4617="","",IF(ISNUMBER(B4617),TEXT(B4617,"YYYY-MM"),LEFT(B4617,7)))</f>
        <v/>
      </c>
    </row>
    <row r="4618">
      <c r="N4618" s="6">
        <f>IF(B4618="","",IF(ISNUMBER(B4618),TEXT(B4618,"YYYY-MM"),LEFT(B4618,7)))</f>
        <v/>
      </c>
    </row>
    <row r="4619">
      <c r="N4619" s="6">
        <f>IF(B4619="","",IF(ISNUMBER(B4619),TEXT(B4619,"YYYY-MM"),LEFT(B4619,7)))</f>
        <v/>
      </c>
    </row>
    <row r="4620">
      <c r="N4620" s="6">
        <f>IF(B4620="","",IF(ISNUMBER(B4620),TEXT(B4620,"YYYY-MM"),LEFT(B4620,7)))</f>
        <v/>
      </c>
    </row>
    <row r="4621">
      <c r="N4621" s="6">
        <f>IF(B4621="","",IF(ISNUMBER(B4621),TEXT(B4621,"YYYY-MM"),LEFT(B4621,7)))</f>
        <v/>
      </c>
    </row>
    <row r="4622">
      <c r="N4622" s="6">
        <f>IF(B4622="","",IF(ISNUMBER(B4622),TEXT(B4622,"YYYY-MM"),LEFT(B4622,7)))</f>
        <v/>
      </c>
    </row>
    <row r="4623">
      <c r="N4623" s="6">
        <f>IF(B4623="","",IF(ISNUMBER(B4623),TEXT(B4623,"YYYY-MM"),LEFT(B4623,7)))</f>
        <v/>
      </c>
    </row>
    <row r="4624">
      <c r="N4624" s="6">
        <f>IF(B4624="","",IF(ISNUMBER(B4624),TEXT(B4624,"YYYY-MM"),LEFT(B4624,7)))</f>
        <v/>
      </c>
    </row>
    <row r="4625">
      <c r="N4625" s="6">
        <f>IF(B4625="","",IF(ISNUMBER(B4625),TEXT(B4625,"YYYY-MM"),LEFT(B4625,7)))</f>
        <v/>
      </c>
    </row>
    <row r="4626">
      <c r="N4626" s="6">
        <f>IF(B4626="","",IF(ISNUMBER(B4626),TEXT(B4626,"YYYY-MM"),LEFT(B4626,7)))</f>
        <v/>
      </c>
    </row>
    <row r="4627">
      <c r="N4627" s="6">
        <f>IF(B4627="","",IF(ISNUMBER(B4627),TEXT(B4627,"YYYY-MM"),LEFT(B4627,7)))</f>
        <v/>
      </c>
    </row>
    <row r="4628">
      <c r="N4628" s="6">
        <f>IF(B4628="","",IF(ISNUMBER(B4628),TEXT(B4628,"YYYY-MM"),LEFT(B4628,7)))</f>
        <v/>
      </c>
    </row>
    <row r="4629">
      <c r="N4629" s="6">
        <f>IF(B4629="","",IF(ISNUMBER(B4629),TEXT(B4629,"YYYY-MM"),LEFT(B4629,7)))</f>
        <v/>
      </c>
    </row>
    <row r="4630">
      <c r="N4630" s="6">
        <f>IF(B4630="","",IF(ISNUMBER(B4630),TEXT(B4630,"YYYY-MM"),LEFT(B4630,7)))</f>
        <v/>
      </c>
    </row>
    <row r="4631">
      <c r="N4631" s="6">
        <f>IF(B4631="","",IF(ISNUMBER(B4631),TEXT(B4631,"YYYY-MM"),LEFT(B4631,7)))</f>
        <v/>
      </c>
    </row>
    <row r="4632">
      <c r="N4632" s="6">
        <f>IF(B4632="","",IF(ISNUMBER(B4632),TEXT(B4632,"YYYY-MM"),LEFT(B4632,7)))</f>
        <v/>
      </c>
    </row>
    <row r="4633">
      <c r="N4633" s="6">
        <f>IF(B4633="","",IF(ISNUMBER(B4633),TEXT(B4633,"YYYY-MM"),LEFT(B4633,7)))</f>
        <v/>
      </c>
    </row>
    <row r="4634">
      <c r="N4634" s="6">
        <f>IF(B4634="","",IF(ISNUMBER(B4634),TEXT(B4634,"YYYY-MM"),LEFT(B4634,7)))</f>
        <v/>
      </c>
    </row>
    <row r="4635">
      <c r="N4635" s="6">
        <f>IF(B4635="","",IF(ISNUMBER(B4635),TEXT(B4635,"YYYY-MM"),LEFT(B4635,7)))</f>
        <v/>
      </c>
    </row>
    <row r="4636">
      <c r="N4636" s="6">
        <f>IF(B4636="","",IF(ISNUMBER(B4636),TEXT(B4636,"YYYY-MM"),LEFT(B4636,7)))</f>
        <v/>
      </c>
    </row>
    <row r="4637">
      <c r="N4637" s="6">
        <f>IF(B4637="","",IF(ISNUMBER(B4637),TEXT(B4637,"YYYY-MM"),LEFT(B4637,7)))</f>
        <v/>
      </c>
    </row>
    <row r="4638">
      <c r="N4638" s="6">
        <f>IF(B4638="","",IF(ISNUMBER(B4638),TEXT(B4638,"YYYY-MM"),LEFT(B4638,7)))</f>
        <v/>
      </c>
    </row>
    <row r="4639">
      <c r="N4639" s="6">
        <f>IF(B4639="","",IF(ISNUMBER(B4639),TEXT(B4639,"YYYY-MM"),LEFT(B4639,7)))</f>
        <v/>
      </c>
    </row>
    <row r="4640">
      <c r="N4640" s="6">
        <f>IF(B4640="","",IF(ISNUMBER(B4640),TEXT(B4640,"YYYY-MM"),LEFT(B4640,7)))</f>
        <v/>
      </c>
    </row>
    <row r="4641">
      <c r="N4641" s="6">
        <f>IF(B4641="","",IF(ISNUMBER(B4641),TEXT(B4641,"YYYY-MM"),LEFT(B4641,7)))</f>
        <v/>
      </c>
    </row>
    <row r="4642">
      <c r="N4642" s="6">
        <f>IF(B4642="","",IF(ISNUMBER(B4642),TEXT(B4642,"YYYY-MM"),LEFT(B4642,7)))</f>
        <v/>
      </c>
    </row>
    <row r="4643">
      <c r="N4643" s="6">
        <f>IF(B4643="","",IF(ISNUMBER(B4643),TEXT(B4643,"YYYY-MM"),LEFT(B4643,7)))</f>
        <v/>
      </c>
    </row>
    <row r="4644">
      <c r="N4644" s="6">
        <f>IF(B4644="","",IF(ISNUMBER(B4644),TEXT(B4644,"YYYY-MM"),LEFT(B4644,7)))</f>
        <v/>
      </c>
    </row>
    <row r="4645">
      <c r="N4645" s="6">
        <f>IF(B4645="","",IF(ISNUMBER(B4645),TEXT(B4645,"YYYY-MM"),LEFT(B4645,7)))</f>
        <v/>
      </c>
    </row>
    <row r="4646">
      <c r="N4646" s="6">
        <f>IF(B4646="","",IF(ISNUMBER(B4646),TEXT(B4646,"YYYY-MM"),LEFT(B4646,7)))</f>
        <v/>
      </c>
    </row>
    <row r="4647">
      <c r="N4647" s="6">
        <f>IF(B4647="","",IF(ISNUMBER(B4647),TEXT(B4647,"YYYY-MM"),LEFT(B4647,7)))</f>
        <v/>
      </c>
    </row>
    <row r="4648">
      <c r="N4648" s="6">
        <f>IF(B4648="","",IF(ISNUMBER(B4648),TEXT(B4648,"YYYY-MM"),LEFT(B4648,7)))</f>
        <v/>
      </c>
    </row>
    <row r="4649">
      <c r="N4649" s="6">
        <f>IF(B4649="","",IF(ISNUMBER(B4649),TEXT(B4649,"YYYY-MM"),LEFT(B4649,7)))</f>
        <v/>
      </c>
    </row>
    <row r="4650">
      <c r="N4650" s="6">
        <f>IF(B4650="","",IF(ISNUMBER(B4650),TEXT(B4650,"YYYY-MM"),LEFT(B4650,7)))</f>
        <v/>
      </c>
    </row>
    <row r="4651">
      <c r="N4651" s="6">
        <f>IF(B4651="","",IF(ISNUMBER(B4651),TEXT(B4651,"YYYY-MM"),LEFT(B4651,7)))</f>
        <v/>
      </c>
    </row>
    <row r="4652">
      <c r="N4652" s="6">
        <f>IF(B4652="","",IF(ISNUMBER(B4652),TEXT(B4652,"YYYY-MM"),LEFT(B4652,7)))</f>
        <v/>
      </c>
    </row>
    <row r="4653">
      <c r="N4653" s="6">
        <f>IF(B4653="","",IF(ISNUMBER(B4653),TEXT(B4653,"YYYY-MM"),LEFT(B4653,7)))</f>
        <v/>
      </c>
    </row>
    <row r="4654">
      <c r="N4654" s="6">
        <f>IF(B4654="","",IF(ISNUMBER(B4654),TEXT(B4654,"YYYY-MM"),LEFT(B4654,7)))</f>
        <v/>
      </c>
    </row>
    <row r="4655">
      <c r="N4655" s="6">
        <f>IF(B4655="","",IF(ISNUMBER(B4655),TEXT(B4655,"YYYY-MM"),LEFT(B4655,7)))</f>
        <v/>
      </c>
    </row>
    <row r="4656">
      <c r="N4656" s="6">
        <f>IF(B4656="","",IF(ISNUMBER(B4656),TEXT(B4656,"YYYY-MM"),LEFT(B4656,7)))</f>
        <v/>
      </c>
    </row>
    <row r="4657">
      <c r="N4657" s="6">
        <f>IF(B4657="","",IF(ISNUMBER(B4657),TEXT(B4657,"YYYY-MM"),LEFT(B4657,7)))</f>
        <v/>
      </c>
    </row>
    <row r="4658">
      <c r="N4658" s="6">
        <f>IF(B4658="","",IF(ISNUMBER(B4658),TEXT(B4658,"YYYY-MM"),LEFT(B4658,7)))</f>
        <v/>
      </c>
    </row>
    <row r="4659">
      <c r="N4659" s="6">
        <f>IF(B4659="","",IF(ISNUMBER(B4659),TEXT(B4659,"YYYY-MM"),LEFT(B4659,7)))</f>
        <v/>
      </c>
    </row>
    <row r="4660">
      <c r="N4660" s="6">
        <f>IF(B4660="","",IF(ISNUMBER(B4660),TEXT(B4660,"YYYY-MM"),LEFT(B4660,7)))</f>
        <v/>
      </c>
    </row>
    <row r="4661">
      <c r="N4661" s="6">
        <f>IF(B4661="","",IF(ISNUMBER(B4661),TEXT(B4661,"YYYY-MM"),LEFT(B4661,7)))</f>
        <v/>
      </c>
    </row>
    <row r="4662">
      <c r="N4662" s="6">
        <f>IF(B4662="","",IF(ISNUMBER(B4662),TEXT(B4662,"YYYY-MM"),LEFT(B4662,7)))</f>
        <v/>
      </c>
    </row>
    <row r="4663">
      <c r="N4663" s="6">
        <f>IF(B4663="","",IF(ISNUMBER(B4663),TEXT(B4663,"YYYY-MM"),LEFT(B4663,7)))</f>
        <v/>
      </c>
    </row>
    <row r="4664">
      <c r="N4664" s="6">
        <f>IF(B4664="","",IF(ISNUMBER(B4664),TEXT(B4664,"YYYY-MM"),LEFT(B4664,7)))</f>
        <v/>
      </c>
    </row>
    <row r="4665">
      <c r="N4665" s="6">
        <f>IF(B4665="","",IF(ISNUMBER(B4665),TEXT(B4665,"YYYY-MM"),LEFT(B4665,7)))</f>
        <v/>
      </c>
    </row>
    <row r="4666">
      <c r="N4666" s="6">
        <f>IF(B4666="","",IF(ISNUMBER(B4666),TEXT(B4666,"YYYY-MM"),LEFT(B4666,7)))</f>
        <v/>
      </c>
    </row>
    <row r="4667">
      <c r="N4667" s="6">
        <f>IF(B4667="","",IF(ISNUMBER(B4667),TEXT(B4667,"YYYY-MM"),LEFT(B4667,7)))</f>
        <v/>
      </c>
    </row>
    <row r="4668">
      <c r="N4668" s="6">
        <f>IF(B4668="","",IF(ISNUMBER(B4668),TEXT(B4668,"YYYY-MM"),LEFT(B4668,7)))</f>
        <v/>
      </c>
    </row>
    <row r="4669">
      <c r="N4669" s="6">
        <f>IF(B4669="","",IF(ISNUMBER(B4669),TEXT(B4669,"YYYY-MM"),LEFT(B4669,7)))</f>
        <v/>
      </c>
    </row>
    <row r="4670">
      <c r="N4670" s="6">
        <f>IF(B4670="","",IF(ISNUMBER(B4670),TEXT(B4670,"YYYY-MM"),LEFT(B4670,7)))</f>
        <v/>
      </c>
    </row>
    <row r="4671">
      <c r="N4671" s="6">
        <f>IF(B4671="","",IF(ISNUMBER(B4671),TEXT(B4671,"YYYY-MM"),LEFT(B4671,7)))</f>
        <v/>
      </c>
    </row>
    <row r="4672">
      <c r="N4672" s="6">
        <f>IF(B4672="","",IF(ISNUMBER(B4672),TEXT(B4672,"YYYY-MM"),LEFT(B4672,7)))</f>
        <v/>
      </c>
    </row>
    <row r="4673">
      <c r="N4673" s="6">
        <f>IF(B4673="","",IF(ISNUMBER(B4673),TEXT(B4673,"YYYY-MM"),LEFT(B4673,7)))</f>
        <v/>
      </c>
    </row>
    <row r="4674">
      <c r="N4674" s="6">
        <f>IF(B4674="","",IF(ISNUMBER(B4674),TEXT(B4674,"YYYY-MM"),LEFT(B4674,7)))</f>
        <v/>
      </c>
    </row>
    <row r="4675">
      <c r="N4675" s="6">
        <f>IF(B4675="","",IF(ISNUMBER(B4675),TEXT(B4675,"YYYY-MM"),LEFT(B4675,7)))</f>
        <v/>
      </c>
    </row>
    <row r="4676">
      <c r="N4676" s="6">
        <f>IF(B4676="","",IF(ISNUMBER(B4676),TEXT(B4676,"YYYY-MM"),LEFT(B4676,7)))</f>
        <v/>
      </c>
    </row>
    <row r="4677">
      <c r="N4677" s="6">
        <f>IF(B4677="","",IF(ISNUMBER(B4677),TEXT(B4677,"YYYY-MM"),LEFT(B4677,7)))</f>
        <v/>
      </c>
    </row>
    <row r="4678">
      <c r="N4678" s="6">
        <f>IF(B4678="","",IF(ISNUMBER(B4678),TEXT(B4678,"YYYY-MM"),LEFT(B4678,7)))</f>
        <v/>
      </c>
    </row>
    <row r="4679">
      <c r="N4679" s="6">
        <f>IF(B4679="","",IF(ISNUMBER(B4679),TEXT(B4679,"YYYY-MM"),LEFT(B4679,7)))</f>
        <v/>
      </c>
    </row>
    <row r="4680">
      <c r="N4680" s="6">
        <f>IF(B4680="","",IF(ISNUMBER(B4680),TEXT(B4680,"YYYY-MM"),LEFT(B4680,7)))</f>
        <v/>
      </c>
    </row>
    <row r="4681">
      <c r="N4681" s="6">
        <f>IF(B4681="","",IF(ISNUMBER(B4681),TEXT(B4681,"YYYY-MM"),LEFT(B4681,7)))</f>
        <v/>
      </c>
    </row>
    <row r="4682">
      <c r="N4682" s="6">
        <f>IF(B4682="","",IF(ISNUMBER(B4682),TEXT(B4682,"YYYY-MM"),LEFT(B4682,7)))</f>
        <v/>
      </c>
    </row>
    <row r="4683">
      <c r="N4683" s="6">
        <f>IF(B4683="","",IF(ISNUMBER(B4683),TEXT(B4683,"YYYY-MM"),LEFT(B4683,7)))</f>
        <v/>
      </c>
    </row>
    <row r="4684">
      <c r="N4684" s="6">
        <f>IF(B4684="","",IF(ISNUMBER(B4684),TEXT(B4684,"YYYY-MM"),LEFT(B4684,7)))</f>
        <v/>
      </c>
    </row>
    <row r="4685">
      <c r="N4685" s="6">
        <f>IF(B4685="","",IF(ISNUMBER(B4685),TEXT(B4685,"YYYY-MM"),LEFT(B4685,7)))</f>
        <v/>
      </c>
    </row>
    <row r="4686">
      <c r="N4686" s="6">
        <f>IF(B4686="","",IF(ISNUMBER(B4686),TEXT(B4686,"YYYY-MM"),LEFT(B4686,7)))</f>
        <v/>
      </c>
    </row>
    <row r="4687">
      <c r="N4687" s="6">
        <f>IF(B4687="","",IF(ISNUMBER(B4687),TEXT(B4687,"YYYY-MM"),LEFT(B4687,7)))</f>
        <v/>
      </c>
    </row>
    <row r="4688">
      <c r="N4688" s="6">
        <f>IF(B4688="","",IF(ISNUMBER(B4688),TEXT(B4688,"YYYY-MM"),LEFT(B4688,7)))</f>
        <v/>
      </c>
    </row>
    <row r="4689">
      <c r="N4689" s="6">
        <f>IF(B4689="","",IF(ISNUMBER(B4689),TEXT(B4689,"YYYY-MM"),LEFT(B4689,7)))</f>
        <v/>
      </c>
    </row>
    <row r="4690">
      <c r="N4690" s="6">
        <f>IF(B4690="","",IF(ISNUMBER(B4690),TEXT(B4690,"YYYY-MM"),LEFT(B4690,7)))</f>
        <v/>
      </c>
    </row>
    <row r="4691">
      <c r="N4691" s="6">
        <f>IF(B4691="","",IF(ISNUMBER(B4691),TEXT(B4691,"YYYY-MM"),LEFT(B4691,7)))</f>
        <v/>
      </c>
    </row>
    <row r="4692">
      <c r="N4692" s="6">
        <f>IF(B4692="","",IF(ISNUMBER(B4692),TEXT(B4692,"YYYY-MM"),LEFT(B4692,7)))</f>
        <v/>
      </c>
    </row>
    <row r="4693">
      <c r="N4693" s="6">
        <f>IF(B4693="","",IF(ISNUMBER(B4693),TEXT(B4693,"YYYY-MM"),LEFT(B4693,7)))</f>
        <v/>
      </c>
    </row>
    <row r="4694">
      <c r="N4694" s="6">
        <f>IF(B4694="","",IF(ISNUMBER(B4694),TEXT(B4694,"YYYY-MM"),LEFT(B4694,7)))</f>
        <v/>
      </c>
    </row>
    <row r="4695">
      <c r="N4695" s="6">
        <f>IF(B4695="","",IF(ISNUMBER(B4695),TEXT(B4695,"YYYY-MM"),LEFT(B4695,7)))</f>
        <v/>
      </c>
    </row>
    <row r="4696">
      <c r="N4696" s="6">
        <f>IF(B4696="","",IF(ISNUMBER(B4696),TEXT(B4696,"YYYY-MM"),LEFT(B4696,7)))</f>
        <v/>
      </c>
    </row>
    <row r="4697">
      <c r="N4697" s="6">
        <f>IF(B4697="","",IF(ISNUMBER(B4697),TEXT(B4697,"YYYY-MM"),LEFT(B4697,7)))</f>
        <v/>
      </c>
    </row>
    <row r="4698">
      <c r="N4698" s="6">
        <f>IF(B4698="","",IF(ISNUMBER(B4698),TEXT(B4698,"YYYY-MM"),LEFT(B4698,7)))</f>
        <v/>
      </c>
    </row>
    <row r="4699">
      <c r="N4699" s="6">
        <f>IF(B4699="","",IF(ISNUMBER(B4699),TEXT(B4699,"YYYY-MM"),LEFT(B4699,7)))</f>
        <v/>
      </c>
    </row>
    <row r="4700">
      <c r="N4700" s="6">
        <f>IF(B4700="","",IF(ISNUMBER(B4700),TEXT(B4700,"YYYY-MM"),LEFT(B4700,7)))</f>
        <v/>
      </c>
    </row>
    <row r="4701">
      <c r="N4701" s="6">
        <f>IF(B4701="","",IF(ISNUMBER(B4701),TEXT(B4701,"YYYY-MM"),LEFT(B4701,7)))</f>
        <v/>
      </c>
    </row>
    <row r="4702">
      <c r="N4702" s="6">
        <f>IF(B4702="","",IF(ISNUMBER(B4702),TEXT(B4702,"YYYY-MM"),LEFT(B4702,7)))</f>
        <v/>
      </c>
    </row>
    <row r="4703">
      <c r="N4703" s="6">
        <f>IF(B4703="","",IF(ISNUMBER(B4703),TEXT(B4703,"YYYY-MM"),LEFT(B4703,7)))</f>
        <v/>
      </c>
    </row>
    <row r="4704">
      <c r="N4704" s="6">
        <f>IF(B4704="","",IF(ISNUMBER(B4704),TEXT(B4704,"YYYY-MM"),LEFT(B4704,7)))</f>
        <v/>
      </c>
    </row>
    <row r="4705">
      <c r="N4705" s="6">
        <f>IF(B4705="","",IF(ISNUMBER(B4705),TEXT(B4705,"YYYY-MM"),LEFT(B4705,7)))</f>
        <v/>
      </c>
    </row>
    <row r="4706">
      <c r="N4706" s="6">
        <f>IF(B4706="","",IF(ISNUMBER(B4706),TEXT(B4706,"YYYY-MM"),LEFT(B4706,7)))</f>
        <v/>
      </c>
    </row>
    <row r="4707">
      <c r="N4707" s="6">
        <f>IF(B4707="","",IF(ISNUMBER(B4707),TEXT(B4707,"YYYY-MM"),LEFT(B4707,7)))</f>
        <v/>
      </c>
    </row>
    <row r="4708">
      <c r="N4708" s="6">
        <f>IF(B4708="","",IF(ISNUMBER(B4708),TEXT(B4708,"YYYY-MM"),LEFT(B4708,7)))</f>
        <v/>
      </c>
    </row>
    <row r="4709">
      <c r="N4709" s="6">
        <f>IF(B4709="","",IF(ISNUMBER(B4709),TEXT(B4709,"YYYY-MM"),LEFT(B4709,7)))</f>
        <v/>
      </c>
    </row>
    <row r="4710">
      <c r="N4710" s="6">
        <f>IF(B4710="","",IF(ISNUMBER(B4710),TEXT(B4710,"YYYY-MM"),LEFT(B4710,7)))</f>
        <v/>
      </c>
    </row>
    <row r="4711">
      <c r="N4711" s="6">
        <f>IF(B4711="","",IF(ISNUMBER(B4711),TEXT(B4711,"YYYY-MM"),LEFT(B4711,7)))</f>
        <v/>
      </c>
    </row>
    <row r="4712">
      <c r="N4712" s="6">
        <f>IF(B4712="","",IF(ISNUMBER(B4712),TEXT(B4712,"YYYY-MM"),LEFT(B4712,7)))</f>
        <v/>
      </c>
    </row>
    <row r="4713">
      <c r="N4713" s="6">
        <f>IF(B4713="","",IF(ISNUMBER(B4713),TEXT(B4713,"YYYY-MM"),LEFT(B4713,7)))</f>
        <v/>
      </c>
    </row>
    <row r="4714">
      <c r="N4714" s="6">
        <f>IF(B4714="","",IF(ISNUMBER(B4714),TEXT(B4714,"YYYY-MM"),LEFT(B4714,7)))</f>
        <v/>
      </c>
    </row>
    <row r="4715">
      <c r="N4715" s="6">
        <f>IF(B4715="","",IF(ISNUMBER(B4715),TEXT(B4715,"YYYY-MM"),LEFT(B4715,7)))</f>
        <v/>
      </c>
    </row>
    <row r="4716">
      <c r="N4716" s="6">
        <f>IF(B4716="","",IF(ISNUMBER(B4716),TEXT(B4716,"YYYY-MM"),LEFT(B4716,7)))</f>
        <v/>
      </c>
    </row>
    <row r="4717">
      <c r="N4717" s="6">
        <f>IF(B4717="","",IF(ISNUMBER(B4717),TEXT(B4717,"YYYY-MM"),LEFT(B4717,7)))</f>
        <v/>
      </c>
    </row>
    <row r="4718">
      <c r="N4718" s="6">
        <f>IF(B4718="","",IF(ISNUMBER(B4718),TEXT(B4718,"YYYY-MM"),LEFT(B4718,7)))</f>
        <v/>
      </c>
    </row>
    <row r="4719">
      <c r="N4719" s="6">
        <f>IF(B4719="","",IF(ISNUMBER(B4719),TEXT(B4719,"YYYY-MM"),LEFT(B4719,7)))</f>
        <v/>
      </c>
    </row>
    <row r="4720">
      <c r="N4720" s="6">
        <f>IF(B4720="","",IF(ISNUMBER(B4720),TEXT(B4720,"YYYY-MM"),LEFT(B4720,7)))</f>
        <v/>
      </c>
    </row>
    <row r="4721">
      <c r="N4721" s="6">
        <f>IF(B4721="","",IF(ISNUMBER(B4721),TEXT(B4721,"YYYY-MM"),LEFT(B4721,7)))</f>
        <v/>
      </c>
    </row>
    <row r="4722">
      <c r="N4722" s="6">
        <f>IF(B4722="","",IF(ISNUMBER(B4722),TEXT(B4722,"YYYY-MM"),LEFT(B4722,7)))</f>
        <v/>
      </c>
    </row>
    <row r="4723">
      <c r="N4723" s="6">
        <f>IF(B4723="","",IF(ISNUMBER(B4723),TEXT(B4723,"YYYY-MM"),LEFT(B4723,7)))</f>
        <v/>
      </c>
    </row>
    <row r="4724">
      <c r="N4724" s="6">
        <f>IF(B4724="","",IF(ISNUMBER(B4724),TEXT(B4724,"YYYY-MM"),LEFT(B4724,7)))</f>
        <v/>
      </c>
    </row>
    <row r="4725">
      <c r="N4725" s="6">
        <f>IF(B4725="","",IF(ISNUMBER(B4725),TEXT(B4725,"YYYY-MM"),LEFT(B4725,7)))</f>
        <v/>
      </c>
    </row>
    <row r="4726">
      <c r="N4726" s="6">
        <f>IF(B4726="","",IF(ISNUMBER(B4726),TEXT(B4726,"YYYY-MM"),LEFT(B4726,7)))</f>
        <v/>
      </c>
    </row>
    <row r="4727">
      <c r="N4727" s="6">
        <f>IF(B4727="","",IF(ISNUMBER(B4727),TEXT(B4727,"YYYY-MM"),LEFT(B4727,7)))</f>
        <v/>
      </c>
    </row>
    <row r="4728">
      <c r="N4728" s="6">
        <f>IF(B4728="","",IF(ISNUMBER(B4728),TEXT(B4728,"YYYY-MM"),LEFT(B4728,7)))</f>
        <v/>
      </c>
    </row>
    <row r="4729">
      <c r="N4729" s="6">
        <f>IF(B4729="","",IF(ISNUMBER(B4729),TEXT(B4729,"YYYY-MM"),LEFT(B4729,7)))</f>
        <v/>
      </c>
    </row>
    <row r="4730">
      <c r="N4730" s="6">
        <f>IF(B4730="","",IF(ISNUMBER(B4730),TEXT(B4730,"YYYY-MM"),LEFT(B4730,7)))</f>
        <v/>
      </c>
    </row>
    <row r="4731">
      <c r="N4731" s="6">
        <f>IF(B4731="","",IF(ISNUMBER(B4731),TEXT(B4731,"YYYY-MM"),LEFT(B4731,7)))</f>
        <v/>
      </c>
    </row>
    <row r="4732">
      <c r="N4732" s="6">
        <f>IF(B4732="","",IF(ISNUMBER(B4732),TEXT(B4732,"YYYY-MM"),LEFT(B4732,7)))</f>
        <v/>
      </c>
    </row>
    <row r="4733">
      <c r="N4733" s="6">
        <f>IF(B4733="","",IF(ISNUMBER(B4733),TEXT(B4733,"YYYY-MM"),LEFT(B4733,7)))</f>
        <v/>
      </c>
    </row>
    <row r="4734">
      <c r="N4734" s="6">
        <f>IF(B4734="","",IF(ISNUMBER(B4734),TEXT(B4734,"YYYY-MM"),LEFT(B4734,7)))</f>
        <v/>
      </c>
    </row>
    <row r="4735">
      <c r="N4735" s="6">
        <f>IF(B4735="","",IF(ISNUMBER(B4735),TEXT(B4735,"YYYY-MM"),LEFT(B4735,7)))</f>
        <v/>
      </c>
    </row>
    <row r="4736">
      <c r="N4736" s="6">
        <f>IF(B4736="","",IF(ISNUMBER(B4736),TEXT(B4736,"YYYY-MM"),LEFT(B4736,7)))</f>
        <v/>
      </c>
    </row>
    <row r="4737">
      <c r="N4737" s="6">
        <f>IF(B4737="","",IF(ISNUMBER(B4737),TEXT(B4737,"YYYY-MM"),LEFT(B4737,7)))</f>
        <v/>
      </c>
    </row>
    <row r="4738">
      <c r="N4738" s="6">
        <f>IF(B4738="","",IF(ISNUMBER(B4738),TEXT(B4738,"YYYY-MM"),LEFT(B4738,7)))</f>
        <v/>
      </c>
    </row>
    <row r="4739">
      <c r="N4739" s="6">
        <f>IF(B4739="","",IF(ISNUMBER(B4739),TEXT(B4739,"YYYY-MM"),LEFT(B4739,7)))</f>
        <v/>
      </c>
    </row>
    <row r="4740">
      <c r="N4740" s="6">
        <f>IF(B4740="","",IF(ISNUMBER(B4740),TEXT(B4740,"YYYY-MM"),LEFT(B4740,7)))</f>
        <v/>
      </c>
    </row>
    <row r="4741">
      <c r="N4741" s="6">
        <f>IF(B4741="","",IF(ISNUMBER(B4741),TEXT(B4741,"YYYY-MM"),LEFT(B4741,7)))</f>
        <v/>
      </c>
    </row>
    <row r="4742">
      <c r="N4742" s="6">
        <f>IF(B4742="","",IF(ISNUMBER(B4742),TEXT(B4742,"YYYY-MM"),LEFT(B4742,7)))</f>
        <v/>
      </c>
    </row>
    <row r="4743">
      <c r="N4743" s="6">
        <f>IF(B4743="","",IF(ISNUMBER(B4743),TEXT(B4743,"YYYY-MM"),LEFT(B4743,7)))</f>
        <v/>
      </c>
    </row>
    <row r="4744">
      <c r="N4744" s="6">
        <f>IF(B4744="","",IF(ISNUMBER(B4744),TEXT(B4744,"YYYY-MM"),LEFT(B4744,7)))</f>
        <v/>
      </c>
    </row>
    <row r="4745">
      <c r="N4745" s="6">
        <f>IF(B4745="","",IF(ISNUMBER(B4745),TEXT(B4745,"YYYY-MM"),LEFT(B4745,7)))</f>
        <v/>
      </c>
    </row>
    <row r="4746">
      <c r="N4746" s="6">
        <f>IF(B4746="","",IF(ISNUMBER(B4746),TEXT(B4746,"YYYY-MM"),LEFT(B4746,7)))</f>
        <v/>
      </c>
    </row>
    <row r="4747">
      <c r="N4747" s="6">
        <f>IF(B4747="","",IF(ISNUMBER(B4747),TEXT(B4747,"YYYY-MM"),LEFT(B4747,7)))</f>
        <v/>
      </c>
    </row>
    <row r="4748">
      <c r="N4748" s="6">
        <f>IF(B4748="","",IF(ISNUMBER(B4748),TEXT(B4748,"YYYY-MM"),LEFT(B4748,7)))</f>
        <v/>
      </c>
    </row>
    <row r="4749">
      <c r="N4749" s="6">
        <f>IF(B4749="","",IF(ISNUMBER(B4749),TEXT(B4749,"YYYY-MM"),LEFT(B4749,7)))</f>
        <v/>
      </c>
    </row>
    <row r="4750">
      <c r="N4750" s="6">
        <f>IF(B4750="","",IF(ISNUMBER(B4750),TEXT(B4750,"YYYY-MM"),LEFT(B4750,7)))</f>
        <v/>
      </c>
    </row>
    <row r="4751">
      <c r="N4751" s="6">
        <f>IF(B4751="","",IF(ISNUMBER(B4751),TEXT(B4751,"YYYY-MM"),LEFT(B4751,7)))</f>
        <v/>
      </c>
    </row>
    <row r="4752">
      <c r="N4752" s="6">
        <f>IF(B4752="","",IF(ISNUMBER(B4752),TEXT(B4752,"YYYY-MM"),LEFT(B4752,7)))</f>
        <v/>
      </c>
    </row>
    <row r="4753">
      <c r="N4753" s="6">
        <f>IF(B4753="","",IF(ISNUMBER(B4753),TEXT(B4753,"YYYY-MM"),LEFT(B4753,7)))</f>
        <v/>
      </c>
    </row>
    <row r="4754">
      <c r="N4754" s="6">
        <f>IF(B4754="","",IF(ISNUMBER(B4754),TEXT(B4754,"YYYY-MM"),LEFT(B4754,7)))</f>
        <v/>
      </c>
    </row>
    <row r="4755">
      <c r="N4755" s="6">
        <f>IF(B4755="","",IF(ISNUMBER(B4755),TEXT(B4755,"YYYY-MM"),LEFT(B4755,7)))</f>
        <v/>
      </c>
    </row>
    <row r="4756">
      <c r="N4756" s="6">
        <f>IF(B4756="","",IF(ISNUMBER(B4756),TEXT(B4756,"YYYY-MM"),LEFT(B4756,7)))</f>
        <v/>
      </c>
    </row>
    <row r="4757">
      <c r="N4757" s="6">
        <f>IF(B4757="","",IF(ISNUMBER(B4757),TEXT(B4757,"YYYY-MM"),LEFT(B4757,7)))</f>
        <v/>
      </c>
    </row>
    <row r="4758">
      <c r="N4758" s="6">
        <f>IF(B4758="","",IF(ISNUMBER(B4758),TEXT(B4758,"YYYY-MM"),LEFT(B4758,7)))</f>
        <v/>
      </c>
    </row>
    <row r="4759">
      <c r="N4759" s="6">
        <f>IF(B4759="","",IF(ISNUMBER(B4759),TEXT(B4759,"YYYY-MM"),LEFT(B4759,7)))</f>
        <v/>
      </c>
    </row>
    <row r="4760">
      <c r="N4760" s="6">
        <f>IF(B4760="","",IF(ISNUMBER(B4760),TEXT(B4760,"YYYY-MM"),LEFT(B4760,7)))</f>
        <v/>
      </c>
    </row>
    <row r="4761">
      <c r="N4761" s="6">
        <f>IF(B4761="","",IF(ISNUMBER(B4761),TEXT(B4761,"YYYY-MM"),LEFT(B4761,7)))</f>
        <v/>
      </c>
    </row>
    <row r="4762">
      <c r="N4762" s="6">
        <f>IF(B4762="","",IF(ISNUMBER(B4762),TEXT(B4762,"YYYY-MM"),LEFT(B4762,7)))</f>
        <v/>
      </c>
    </row>
    <row r="4763">
      <c r="N4763" s="6">
        <f>IF(B4763="","",IF(ISNUMBER(B4763),TEXT(B4763,"YYYY-MM"),LEFT(B4763,7)))</f>
        <v/>
      </c>
    </row>
    <row r="4764">
      <c r="N4764" s="6">
        <f>IF(B4764="","",IF(ISNUMBER(B4764),TEXT(B4764,"YYYY-MM"),LEFT(B4764,7)))</f>
        <v/>
      </c>
    </row>
    <row r="4765">
      <c r="N4765" s="6">
        <f>IF(B4765="","",IF(ISNUMBER(B4765),TEXT(B4765,"YYYY-MM"),LEFT(B4765,7)))</f>
        <v/>
      </c>
    </row>
    <row r="4766">
      <c r="N4766" s="6">
        <f>IF(B4766="","",IF(ISNUMBER(B4766),TEXT(B4766,"YYYY-MM"),LEFT(B4766,7)))</f>
        <v/>
      </c>
    </row>
    <row r="4767">
      <c r="N4767" s="6">
        <f>IF(B4767="","",IF(ISNUMBER(B4767),TEXT(B4767,"YYYY-MM"),LEFT(B4767,7)))</f>
        <v/>
      </c>
    </row>
    <row r="4768">
      <c r="N4768" s="6">
        <f>IF(B4768="","",IF(ISNUMBER(B4768),TEXT(B4768,"YYYY-MM"),LEFT(B4768,7)))</f>
        <v/>
      </c>
    </row>
    <row r="4769">
      <c r="N4769" s="6">
        <f>IF(B4769="","",IF(ISNUMBER(B4769),TEXT(B4769,"YYYY-MM"),LEFT(B4769,7)))</f>
        <v/>
      </c>
    </row>
    <row r="4770">
      <c r="N4770" s="6">
        <f>IF(B4770="","",IF(ISNUMBER(B4770),TEXT(B4770,"YYYY-MM"),LEFT(B4770,7)))</f>
        <v/>
      </c>
    </row>
    <row r="4771">
      <c r="N4771" s="6">
        <f>IF(B4771="","",IF(ISNUMBER(B4771),TEXT(B4771,"YYYY-MM"),LEFT(B4771,7)))</f>
        <v/>
      </c>
    </row>
    <row r="4772">
      <c r="N4772" s="6">
        <f>IF(B4772="","",IF(ISNUMBER(B4772),TEXT(B4772,"YYYY-MM"),LEFT(B4772,7)))</f>
        <v/>
      </c>
    </row>
    <row r="4773">
      <c r="N4773" s="6">
        <f>IF(B4773="","",IF(ISNUMBER(B4773),TEXT(B4773,"YYYY-MM"),LEFT(B4773,7)))</f>
        <v/>
      </c>
    </row>
    <row r="4774">
      <c r="N4774" s="6">
        <f>IF(B4774="","",IF(ISNUMBER(B4774),TEXT(B4774,"YYYY-MM"),LEFT(B4774,7)))</f>
        <v/>
      </c>
    </row>
    <row r="4775">
      <c r="N4775" s="6">
        <f>IF(B4775="","",IF(ISNUMBER(B4775),TEXT(B4775,"YYYY-MM"),LEFT(B4775,7)))</f>
        <v/>
      </c>
    </row>
    <row r="4776">
      <c r="N4776" s="6">
        <f>IF(B4776="","",IF(ISNUMBER(B4776),TEXT(B4776,"YYYY-MM"),LEFT(B4776,7)))</f>
        <v/>
      </c>
    </row>
    <row r="4777">
      <c r="N4777" s="6">
        <f>IF(B4777="","",IF(ISNUMBER(B4777),TEXT(B4777,"YYYY-MM"),LEFT(B4777,7)))</f>
        <v/>
      </c>
    </row>
    <row r="4778">
      <c r="N4778" s="6">
        <f>IF(B4778="","",IF(ISNUMBER(B4778),TEXT(B4778,"YYYY-MM"),LEFT(B4778,7)))</f>
        <v/>
      </c>
    </row>
    <row r="4779">
      <c r="N4779" s="6">
        <f>IF(B4779="","",IF(ISNUMBER(B4779),TEXT(B4779,"YYYY-MM"),LEFT(B4779,7)))</f>
        <v/>
      </c>
    </row>
    <row r="4780">
      <c r="N4780" s="6">
        <f>IF(B4780="","",IF(ISNUMBER(B4780),TEXT(B4780,"YYYY-MM"),LEFT(B4780,7)))</f>
        <v/>
      </c>
    </row>
    <row r="4781">
      <c r="N4781" s="6">
        <f>IF(B4781="","",IF(ISNUMBER(B4781),TEXT(B4781,"YYYY-MM"),LEFT(B4781,7)))</f>
        <v/>
      </c>
    </row>
    <row r="4782">
      <c r="N4782" s="6">
        <f>IF(B4782="","",IF(ISNUMBER(B4782),TEXT(B4782,"YYYY-MM"),LEFT(B4782,7)))</f>
        <v/>
      </c>
    </row>
    <row r="4783">
      <c r="N4783" s="6">
        <f>IF(B4783="","",IF(ISNUMBER(B4783),TEXT(B4783,"YYYY-MM"),LEFT(B4783,7)))</f>
        <v/>
      </c>
    </row>
    <row r="4784">
      <c r="N4784" s="6">
        <f>IF(B4784="","",IF(ISNUMBER(B4784),TEXT(B4784,"YYYY-MM"),LEFT(B4784,7)))</f>
        <v/>
      </c>
    </row>
    <row r="4785">
      <c r="N4785" s="6">
        <f>IF(B4785="","",IF(ISNUMBER(B4785),TEXT(B4785,"YYYY-MM"),LEFT(B4785,7)))</f>
        <v/>
      </c>
    </row>
    <row r="4786">
      <c r="N4786" s="6">
        <f>IF(B4786="","",IF(ISNUMBER(B4786),TEXT(B4786,"YYYY-MM"),LEFT(B4786,7)))</f>
        <v/>
      </c>
    </row>
    <row r="4787">
      <c r="N4787" s="6">
        <f>IF(B4787="","",IF(ISNUMBER(B4787),TEXT(B4787,"YYYY-MM"),LEFT(B4787,7)))</f>
        <v/>
      </c>
    </row>
    <row r="4788">
      <c r="N4788" s="6">
        <f>IF(B4788="","",IF(ISNUMBER(B4788),TEXT(B4788,"YYYY-MM"),LEFT(B4788,7)))</f>
        <v/>
      </c>
    </row>
    <row r="4789">
      <c r="N4789" s="6">
        <f>IF(B4789="","",IF(ISNUMBER(B4789),TEXT(B4789,"YYYY-MM"),LEFT(B4789,7)))</f>
        <v/>
      </c>
    </row>
    <row r="4790">
      <c r="N4790" s="6">
        <f>IF(B4790="","",IF(ISNUMBER(B4790),TEXT(B4790,"YYYY-MM"),LEFT(B4790,7)))</f>
        <v/>
      </c>
    </row>
    <row r="4791">
      <c r="N4791" s="6">
        <f>IF(B4791="","",IF(ISNUMBER(B4791),TEXT(B4791,"YYYY-MM"),LEFT(B4791,7)))</f>
        <v/>
      </c>
    </row>
    <row r="4792">
      <c r="N4792" s="6">
        <f>IF(B4792="","",IF(ISNUMBER(B4792),TEXT(B4792,"YYYY-MM"),LEFT(B4792,7)))</f>
        <v/>
      </c>
    </row>
    <row r="4793">
      <c r="N4793" s="6">
        <f>IF(B4793="","",IF(ISNUMBER(B4793),TEXT(B4793,"YYYY-MM"),LEFT(B4793,7)))</f>
        <v/>
      </c>
    </row>
    <row r="4794">
      <c r="N4794" s="6">
        <f>IF(B4794="","",IF(ISNUMBER(B4794),TEXT(B4794,"YYYY-MM"),LEFT(B4794,7)))</f>
        <v/>
      </c>
    </row>
    <row r="4795">
      <c r="N4795" s="6">
        <f>IF(B4795="","",IF(ISNUMBER(B4795),TEXT(B4795,"YYYY-MM"),LEFT(B4795,7)))</f>
        <v/>
      </c>
    </row>
    <row r="4796">
      <c r="N4796" s="6">
        <f>IF(B4796="","",IF(ISNUMBER(B4796),TEXT(B4796,"YYYY-MM"),LEFT(B4796,7)))</f>
        <v/>
      </c>
    </row>
    <row r="4797">
      <c r="N4797" s="6">
        <f>IF(B4797="","",IF(ISNUMBER(B4797),TEXT(B4797,"YYYY-MM"),LEFT(B4797,7)))</f>
        <v/>
      </c>
    </row>
    <row r="4798">
      <c r="N4798" s="6">
        <f>IF(B4798="","",IF(ISNUMBER(B4798),TEXT(B4798,"YYYY-MM"),LEFT(B4798,7)))</f>
        <v/>
      </c>
    </row>
    <row r="4799">
      <c r="N4799" s="6">
        <f>IF(B4799="","",IF(ISNUMBER(B4799),TEXT(B4799,"YYYY-MM"),LEFT(B4799,7)))</f>
        <v/>
      </c>
    </row>
    <row r="4800">
      <c r="N4800" s="6">
        <f>IF(B4800="","",IF(ISNUMBER(B4800),TEXT(B4800,"YYYY-MM"),LEFT(B4800,7)))</f>
        <v/>
      </c>
    </row>
    <row r="4801">
      <c r="N4801" s="6">
        <f>IF(B4801="","",IF(ISNUMBER(B4801),TEXT(B4801,"YYYY-MM"),LEFT(B4801,7)))</f>
        <v/>
      </c>
    </row>
    <row r="4802">
      <c r="N4802" s="6">
        <f>IF(B4802="","",IF(ISNUMBER(B4802),TEXT(B4802,"YYYY-MM"),LEFT(B4802,7)))</f>
        <v/>
      </c>
    </row>
    <row r="4803">
      <c r="N4803" s="6">
        <f>IF(B4803="","",IF(ISNUMBER(B4803),TEXT(B4803,"YYYY-MM"),LEFT(B4803,7)))</f>
        <v/>
      </c>
    </row>
    <row r="4804">
      <c r="N4804" s="6">
        <f>IF(B4804="","",IF(ISNUMBER(B4804),TEXT(B4804,"YYYY-MM"),LEFT(B4804,7)))</f>
        <v/>
      </c>
    </row>
    <row r="4805">
      <c r="N4805" s="6">
        <f>IF(B4805="","",IF(ISNUMBER(B4805),TEXT(B4805,"YYYY-MM"),LEFT(B4805,7)))</f>
        <v/>
      </c>
    </row>
    <row r="4806">
      <c r="N4806" s="6">
        <f>IF(B4806="","",IF(ISNUMBER(B4806),TEXT(B4806,"YYYY-MM"),LEFT(B4806,7)))</f>
        <v/>
      </c>
    </row>
    <row r="4807">
      <c r="N4807" s="6">
        <f>IF(B4807="","",IF(ISNUMBER(B4807),TEXT(B4807,"YYYY-MM"),LEFT(B4807,7)))</f>
        <v/>
      </c>
    </row>
    <row r="4808">
      <c r="N4808" s="6">
        <f>IF(B4808="","",IF(ISNUMBER(B4808),TEXT(B4808,"YYYY-MM"),LEFT(B4808,7)))</f>
        <v/>
      </c>
    </row>
    <row r="4809">
      <c r="N4809" s="6">
        <f>IF(B4809="","",IF(ISNUMBER(B4809),TEXT(B4809,"YYYY-MM"),LEFT(B4809,7)))</f>
        <v/>
      </c>
    </row>
    <row r="4810">
      <c r="N4810" s="6">
        <f>IF(B4810="","",IF(ISNUMBER(B4810),TEXT(B4810,"YYYY-MM"),LEFT(B4810,7)))</f>
        <v/>
      </c>
    </row>
    <row r="4811">
      <c r="N4811" s="6">
        <f>IF(B4811="","",IF(ISNUMBER(B4811),TEXT(B4811,"YYYY-MM"),LEFT(B4811,7)))</f>
        <v/>
      </c>
    </row>
    <row r="4812">
      <c r="N4812" s="6">
        <f>IF(B4812="","",IF(ISNUMBER(B4812),TEXT(B4812,"YYYY-MM"),LEFT(B4812,7)))</f>
        <v/>
      </c>
    </row>
    <row r="4813">
      <c r="N4813" s="6">
        <f>IF(B4813="","",IF(ISNUMBER(B4813),TEXT(B4813,"YYYY-MM"),LEFT(B4813,7)))</f>
        <v/>
      </c>
    </row>
    <row r="4814">
      <c r="N4814" s="6">
        <f>IF(B4814="","",IF(ISNUMBER(B4814),TEXT(B4814,"YYYY-MM"),LEFT(B4814,7)))</f>
        <v/>
      </c>
    </row>
    <row r="4815">
      <c r="N4815" s="6">
        <f>IF(B4815="","",IF(ISNUMBER(B4815),TEXT(B4815,"YYYY-MM"),LEFT(B4815,7)))</f>
        <v/>
      </c>
    </row>
    <row r="4816">
      <c r="N4816" s="6">
        <f>IF(B4816="","",IF(ISNUMBER(B4816),TEXT(B4816,"YYYY-MM"),LEFT(B4816,7)))</f>
        <v/>
      </c>
    </row>
    <row r="4817">
      <c r="N4817" s="6">
        <f>IF(B4817="","",IF(ISNUMBER(B4817),TEXT(B4817,"YYYY-MM"),LEFT(B4817,7)))</f>
        <v/>
      </c>
    </row>
    <row r="4818">
      <c r="N4818" s="6">
        <f>IF(B4818="","",IF(ISNUMBER(B4818),TEXT(B4818,"YYYY-MM"),LEFT(B4818,7)))</f>
        <v/>
      </c>
    </row>
    <row r="4819">
      <c r="N4819" s="6">
        <f>IF(B4819="","",IF(ISNUMBER(B4819),TEXT(B4819,"YYYY-MM"),LEFT(B4819,7)))</f>
        <v/>
      </c>
    </row>
    <row r="4820">
      <c r="N4820" s="6">
        <f>IF(B4820="","",IF(ISNUMBER(B4820),TEXT(B4820,"YYYY-MM"),LEFT(B4820,7)))</f>
        <v/>
      </c>
    </row>
    <row r="4821">
      <c r="N4821" s="6">
        <f>IF(B4821="","",IF(ISNUMBER(B4821),TEXT(B4821,"YYYY-MM"),LEFT(B4821,7)))</f>
        <v/>
      </c>
    </row>
    <row r="4822">
      <c r="N4822" s="6">
        <f>IF(B4822="","",IF(ISNUMBER(B4822),TEXT(B4822,"YYYY-MM"),LEFT(B4822,7)))</f>
        <v/>
      </c>
    </row>
    <row r="4823">
      <c r="N4823" s="6">
        <f>IF(B4823="","",IF(ISNUMBER(B4823),TEXT(B4823,"YYYY-MM"),LEFT(B4823,7)))</f>
        <v/>
      </c>
    </row>
    <row r="4824">
      <c r="N4824" s="6">
        <f>IF(B4824="","",IF(ISNUMBER(B4824),TEXT(B4824,"YYYY-MM"),LEFT(B4824,7)))</f>
        <v/>
      </c>
    </row>
    <row r="4825">
      <c r="N4825" s="6">
        <f>IF(B4825="","",IF(ISNUMBER(B4825),TEXT(B4825,"YYYY-MM"),LEFT(B4825,7)))</f>
        <v/>
      </c>
    </row>
    <row r="4826">
      <c r="N4826" s="6">
        <f>IF(B4826="","",IF(ISNUMBER(B4826),TEXT(B4826,"YYYY-MM"),LEFT(B4826,7)))</f>
        <v/>
      </c>
    </row>
    <row r="4827">
      <c r="N4827" s="6">
        <f>IF(B4827="","",IF(ISNUMBER(B4827),TEXT(B4827,"YYYY-MM"),LEFT(B4827,7)))</f>
        <v/>
      </c>
    </row>
    <row r="4828">
      <c r="N4828" s="6">
        <f>IF(B4828="","",IF(ISNUMBER(B4828),TEXT(B4828,"YYYY-MM"),LEFT(B4828,7)))</f>
        <v/>
      </c>
    </row>
    <row r="4829">
      <c r="N4829" s="6">
        <f>IF(B4829="","",IF(ISNUMBER(B4829),TEXT(B4829,"YYYY-MM"),LEFT(B4829,7)))</f>
        <v/>
      </c>
    </row>
    <row r="4830">
      <c r="N4830" s="6">
        <f>IF(B4830="","",IF(ISNUMBER(B4830),TEXT(B4830,"YYYY-MM"),LEFT(B4830,7)))</f>
        <v/>
      </c>
    </row>
    <row r="4831">
      <c r="N4831" s="6">
        <f>IF(B4831="","",IF(ISNUMBER(B4831),TEXT(B4831,"YYYY-MM"),LEFT(B4831,7)))</f>
        <v/>
      </c>
    </row>
    <row r="4832">
      <c r="N4832" s="6">
        <f>IF(B4832="","",IF(ISNUMBER(B4832),TEXT(B4832,"YYYY-MM"),LEFT(B4832,7)))</f>
        <v/>
      </c>
    </row>
    <row r="4833">
      <c r="N4833" s="6">
        <f>IF(B4833="","",IF(ISNUMBER(B4833),TEXT(B4833,"YYYY-MM"),LEFT(B4833,7)))</f>
        <v/>
      </c>
    </row>
    <row r="4834">
      <c r="N4834" s="6">
        <f>IF(B4834="","",IF(ISNUMBER(B4834),TEXT(B4834,"YYYY-MM"),LEFT(B4834,7)))</f>
        <v/>
      </c>
    </row>
    <row r="4835">
      <c r="N4835" s="6">
        <f>IF(B4835="","",IF(ISNUMBER(B4835),TEXT(B4835,"YYYY-MM"),LEFT(B4835,7)))</f>
        <v/>
      </c>
    </row>
    <row r="4836">
      <c r="N4836" s="6">
        <f>IF(B4836="","",IF(ISNUMBER(B4836),TEXT(B4836,"YYYY-MM"),LEFT(B4836,7)))</f>
        <v/>
      </c>
    </row>
    <row r="4837">
      <c r="N4837" s="6">
        <f>IF(B4837="","",IF(ISNUMBER(B4837),TEXT(B4837,"YYYY-MM"),LEFT(B4837,7)))</f>
        <v/>
      </c>
    </row>
    <row r="4838">
      <c r="N4838" s="6">
        <f>IF(B4838="","",IF(ISNUMBER(B4838),TEXT(B4838,"YYYY-MM"),LEFT(B4838,7)))</f>
        <v/>
      </c>
    </row>
    <row r="4839">
      <c r="N4839" s="6">
        <f>IF(B4839="","",IF(ISNUMBER(B4839),TEXT(B4839,"YYYY-MM"),LEFT(B4839,7)))</f>
        <v/>
      </c>
    </row>
    <row r="4840">
      <c r="N4840" s="6">
        <f>IF(B4840="","",IF(ISNUMBER(B4840),TEXT(B4840,"YYYY-MM"),LEFT(B4840,7)))</f>
        <v/>
      </c>
    </row>
    <row r="4841">
      <c r="N4841" s="6">
        <f>IF(B4841="","",IF(ISNUMBER(B4841),TEXT(B4841,"YYYY-MM"),LEFT(B4841,7)))</f>
        <v/>
      </c>
    </row>
    <row r="4842">
      <c r="N4842" s="6">
        <f>IF(B4842="","",IF(ISNUMBER(B4842),TEXT(B4842,"YYYY-MM"),LEFT(B4842,7)))</f>
        <v/>
      </c>
    </row>
    <row r="4843">
      <c r="N4843" s="6">
        <f>IF(B4843="","",IF(ISNUMBER(B4843),TEXT(B4843,"YYYY-MM"),LEFT(B4843,7)))</f>
        <v/>
      </c>
    </row>
    <row r="4844">
      <c r="N4844" s="6">
        <f>IF(B4844="","",IF(ISNUMBER(B4844),TEXT(B4844,"YYYY-MM"),LEFT(B4844,7)))</f>
        <v/>
      </c>
    </row>
    <row r="4845">
      <c r="N4845" s="6">
        <f>IF(B4845="","",IF(ISNUMBER(B4845),TEXT(B4845,"YYYY-MM"),LEFT(B4845,7)))</f>
        <v/>
      </c>
    </row>
    <row r="4846">
      <c r="N4846" s="6">
        <f>IF(B4846="","",IF(ISNUMBER(B4846),TEXT(B4846,"YYYY-MM"),LEFT(B4846,7)))</f>
        <v/>
      </c>
    </row>
    <row r="4847">
      <c r="N4847" s="6">
        <f>IF(B4847="","",IF(ISNUMBER(B4847),TEXT(B4847,"YYYY-MM"),LEFT(B4847,7)))</f>
        <v/>
      </c>
    </row>
    <row r="4848">
      <c r="N4848" s="6">
        <f>IF(B4848="","",IF(ISNUMBER(B4848),TEXT(B4848,"YYYY-MM"),LEFT(B4848,7)))</f>
        <v/>
      </c>
    </row>
    <row r="4849">
      <c r="N4849" s="6">
        <f>IF(B4849="","",IF(ISNUMBER(B4849),TEXT(B4849,"YYYY-MM"),LEFT(B4849,7)))</f>
        <v/>
      </c>
    </row>
    <row r="4850">
      <c r="N4850" s="6">
        <f>IF(B4850="","",IF(ISNUMBER(B4850),TEXT(B4850,"YYYY-MM"),LEFT(B4850,7)))</f>
        <v/>
      </c>
    </row>
    <row r="4851">
      <c r="N4851" s="6">
        <f>IF(B4851="","",IF(ISNUMBER(B4851),TEXT(B4851,"YYYY-MM"),LEFT(B4851,7)))</f>
        <v/>
      </c>
    </row>
    <row r="4852">
      <c r="N4852" s="6">
        <f>IF(B4852="","",IF(ISNUMBER(B4852),TEXT(B4852,"YYYY-MM"),LEFT(B4852,7)))</f>
        <v/>
      </c>
    </row>
    <row r="4853">
      <c r="N4853" s="6">
        <f>IF(B4853="","",IF(ISNUMBER(B4853),TEXT(B4853,"YYYY-MM"),LEFT(B4853,7)))</f>
        <v/>
      </c>
    </row>
    <row r="4854">
      <c r="N4854" s="6">
        <f>IF(B4854="","",IF(ISNUMBER(B4854),TEXT(B4854,"YYYY-MM"),LEFT(B4854,7)))</f>
        <v/>
      </c>
    </row>
    <row r="4855">
      <c r="N4855" s="6">
        <f>IF(B4855="","",IF(ISNUMBER(B4855),TEXT(B4855,"YYYY-MM"),LEFT(B4855,7)))</f>
        <v/>
      </c>
    </row>
    <row r="4856">
      <c r="N4856" s="6">
        <f>IF(B4856="","",IF(ISNUMBER(B4856),TEXT(B4856,"YYYY-MM"),LEFT(B4856,7)))</f>
        <v/>
      </c>
    </row>
    <row r="4857">
      <c r="N4857" s="6">
        <f>IF(B4857="","",IF(ISNUMBER(B4857),TEXT(B4857,"YYYY-MM"),LEFT(B4857,7)))</f>
        <v/>
      </c>
    </row>
    <row r="4858">
      <c r="N4858" s="6">
        <f>IF(B4858="","",IF(ISNUMBER(B4858),TEXT(B4858,"YYYY-MM"),LEFT(B4858,7)))</f>
        <v/>
      </c>
    </row>
    <row r="4859">
      <c r="N4859" s="6">
        <f>IF(B4859="","",IF(ISNUMBER(B4859),TEXT(B4859,"YYYY-MM"),LEFT(B4859,7)))</f>
        <v/>
      </c>
    </row>
    <row r="4860">
      <c r="N4860" s="6">
        <f>IF(B4860="","",IF(ISNUMBER(B4860),TEXT(B4860,"YYYY-MM"),LEFT(B4860,7)))</f>
        <v/>
      </c>
    </row>
    <row r="4861">
      <c r="N4861" s="6">
        <f>IF(B4861="","",IF(ISNUMBER(B4861),TEXT(B4861,"YYYY-MM"),LEFT(B4861,7)))</f>
        <v/>
      </c>
    </row>
    <row r="4862">
      <c r="N4862" s="6">
        <f>IF(B4862="","",IF(ISNUMBER(B4862),TEXT(B4862,"YYYY-MM"),LEFT(B4862,7)))</f>
        <v/>
      </c>
    </row>
    <row r="4863">
      <c r="N4863" s="6">
        <f>IF(B4863="","",IF(ISNUMBER(B4863),TEXT(B4863,"YYYY-MM"),LEFT(B4863,7)))</f>
        <v/>
      </c>
    </row>
    <row r="4864">
      <c r="N4864" s="6">
        <f>IF(B4864="","",IF(ISNUMBER(B4864),TEXT(B4864,"YYYY-MM"),LEFT(B4864,7)))</f>
        <v/>
      </c>
    </row>
    <row r="4865">
      <c r="N4865" s="6">
        <f>IF(B4865="","",IF(ISNUMBER(B4865),TEXT(B4865,"YYYY-MM"),LEFT(B4865,7)))</f>
        <v/>
      </c>
    </row>
    <row r="4866">
      <c r="N4866" s="6">
        <f>IF(B4866="","",IF(ISNUMBER(B4866),TEXT(B4866,"YYYY-MM"),LEFT(B4866,7)))</f>
        <v/>
      </c>
    </row>
    <row r="4867">
      <c r="N4867" s="6">
        <f>IF(B4867="","",IF(ISNUMBER(B4867),TEXT(B4867,"YYYY-MM"),LEFT(B4867,7)))</f>
        <v/>
      </c>
    </row>
    <row r="4868">
      <c r="N4868" s="6">
        <f>IF(B4868="","",IF(ISNUMBER(B4868),TEXT(B4868,"YYYY-MM"),LEFT(B4868,7)))</f>
        <v/>
      </c>
    </row>
    <row r="4869">
      <c r="N4869" s="6">
        <f>IF(B4869="","",IF(ISNUMBER(B4869),TEXT(B4869,"YYYY-MM"),LEFT(B4869,7)))</f>
        <v/>
      </c>
    </row>
    <row r="4870">
      <c r="N4870" s="6">
        <f>IF(B4870="","",IF(ISNUMBER(B4870),TEXT(B4870,"YYYY-MM"),LEFT(B4870,7)))</f>
        <v/>
      </c>
    </row>
    <row r="4871">
      <c r="N4871" s="6">
        <f>IF(B4871="","",IF(ISNUMBER(B4871),TEXT(B4871,"YYYY-MM"),LEFT(B4871,7)))</f>
        <v/>
      </c>
    </row>
    <row r="4872">
      <c r="N4872" s="6">
        <f>IF(B4872="","",IF(ISNUMBER(B4872),TEXT(B4872,"YYYY-MM"),LEFT(B4872,7)))</f>
        <v/>
      </c>
    </row>
    <row r="4873">
      <c r="N4873" s="6">
        <f>IF(B4873="","",IF(ISNUMBER(B4873),TEXT(B4873,"YYYY-MM"),LEFT(B4873,7)))</f>
        <v/>
      </c>
    </row>
    <row r="4874">
      <c r="N4874" s="6">
        <f>IF(B4874="","",IF(ISNUMBER(B4874),TEXT(B4874,"YYYY-MM"),LEFT(B4874,7)))</f>
        <v/>
      </c>
    </row>
    <row r="4875">
      <c r="N4875" s="6">
        <f>IF(B4875="","",IF(ISNUMBER(B4875),TEXT(B4875,"YYYY-MM"),LEFT(B4875,7)))</f>
        <v/>
      </c>
    </row>
    <row r="4876">
      <c r="N4876" s="6">
        <f>IF(B4876="","",IF(ISNUMBER(B4876),TEXT(B4876,"YYYY-MM"),LEFT(B4876,7)))</f>
        <v/>
      </c>
    </row>
    <row r="4877">
      <c r="N4877" s="6">
        <f>IF(B4877="","",IF(ISNUMBER(B4877),TEXT(B4877,"YYYY-MM"),LEFT(B4877,7)))</f>
        <v/>
      </c>
    </row>
    <row r="4878">
      <c r="N4878" s="6">
        <f>IF(B4878="","",IF(ISNUMBER(B4878),TEXT(B4878,"YYYY-MM"),LEFT(B4878,7)))</f>
        <v/>
      </c>
    </row>
    <row r="4879">
      <c r="N4879" s="6">
        <f>IF(B4879="","",IF(ISNUMBER(B4879),TEXT(B4879,"YYYY-MM"),LEFT(B4879,7)))</f>
        <v/>
      </c>
    </row>
    <row r="4880">
      <c r="N4880" s="6">
        <f>IF(B4880="","",IF(ISNUMBER(B4880),TEXT(B4880,"YYYY-MM"),LEFT(B4880,7)))</f>
        <v/>
      </c>
    </row>
    <row r="4881">
      <c r="N4881" s="6">
        <f>IF(B4881="","",IF(ISNUMBER(B4881),TEXT(B4881,"YYYY-MM"),LEFT(B4881,7)))</f>
        <v/>
      </c>
    </row>
    <row r="4882">
      <c r="N4882" s="6">
        <f>IF(B4882="","",IF(ISNUMBER(B4882),TEXT(B4882,"YYYY-MM"),LEFT(B4882,7)))</f>
        <v/>
      </c>
    </row>
    <row r="4883">
      <c r="N4883" s="6">
        <f>IF(B4883="","",IF(ISNUMBER(B4883),TEXT(B4883,"YYYY-MM"),LEFT(B4883,7)))</f>
        <v/>
      </c>
    </row>
    <row r="4884">
      <c r="N4884" s="6">
        <f>IF(B4884="","",IF(ISNUMBER(B4884),TEXT(B4884,"YYYY-MM"),LEFT(B4884,7)))</f>
        <v/>
      </c>
    </row>
    <row r="4885">
      <c r="N4885" s="6">
        <f>IF(B4885="","",IF(ISNUMBER(B4885),TEXT(B4885,"YYYY-MM"),LEFT(B4885,7)))</f>
        <v/>
      </c>
    </row>
    <row r="4886">
      <c r="N4886" s="6">
        <f>IF(B4886="","",IF(ISNUMBER(B4886),TEXT(B4886,"YYYY-MM"),LEFT(B4886,7)))</f>
        <v/>
      </c>
    </row>
    <row r="4887">
      <c r="N4887" s="6">
        <f>IF(B4887="","",IF(ISNUMBER(B4887),TEXT(B4887,"YYYY-MM"),LEFT(B4887,7)))</f>
        <v/>
      </c>
    </row>
    <row r="4888">
      <c r="N4888" s="6">
        <f>IF(B4888="","",IF(ISNUMBER(B4888),TEXT(B4888,"YYYY-MM"),LEFT(B4888,7)))</f>
        <v/>
      </c>
    </row>
    <row r="4889">
      <c r="N4889" s="6">
        <f>IF(B4889="","",IF(ISNUMBER(B4889),TEXT(B4889,"YYYY-MM"),LEFT(B4889,7)))</f>
        <v/>
      </c>
    </row>
    <row r="4890">
      <c r="N4890" s="6">
        <f>IF(B4890="","",IF(ISNUMBER(B4890),TEXT(B4890,"YYYY-MM"),LEFT(B4890,7)))</f>
        <v/>
      </c>
    </row>
    <row r="4891">
      <c r="N4891" s="6">
        <f>IF(B4891="","",IF(ISNUMBER(B4891),TEXT(B4891,"YYYY-MM"),LEFT(B4891,7)))</f>
        <v/>
      </c>
    </row>
    <row r="4892">
      <c r="N4892" s="6">
        <f>IF(B4892="","",IF(ISNUMBER(B4892),TEXT(B4892,"YYYY-MM"),LEFT(B4892,7)))</f>
        <v/>
      </c>
    </row>
    <row r="4893">
      <c r="N4893" s="6">
        <f>IF(B4893="","",IF(ISNUMBER(B4893),TEXT(B4893,"YYYY-MM"),LEFT(B4893,7)))</f>
        <v/>
      </c>
    </row>
    <row r="4894">
      <c r="N4894" s="6">
        <f>IF(B4894="","",IF(ISNUMBER(B4894),TEXT(B4894,"YYYY-MM"),LEFT(B4894,7)))</f>
        <v/>
      </c>
    </row>
    <row r="4895">
      <c r="N4895" s="6">
        <f>IF(B4895="","",IF(ISNUMBER(B4895),TEXT(B4895,"YYYY-MM"),LEFT(B4895,7)))</f>
        <v/>
      </c>
    </row>
    <row r="4896">
      <c r="N4896" s="6">
        <f>IF(B4896="","",IF(ISNUMBER(B4896),TEXT(B4896,"YYYY-MM"),LEFT(B4896,7)))</f>
        <v/>
      </c>
    </row>
    <row r="4897">
      <c r="N4897" s="6">
        <f>IF(B4897="","",IF(ISNUMBER(B4897),TEXT(B4897,"YYYY-MM"),LEFT(B4897,7)))</f>
        <v/>
      </c>
    </row>
    <row r="4898">
      <c r="N4898" s="6">
        <f>IF(B4898="","",IF(ISNUMBER(B4898),TEXT(B4898,"YYYY-MM"),LEFT(B4898,7)))</f>
        <v/>
      </c>
    </row>
    <row r="4899">
      <c r="N4899" s="6">
        <f>IF(B4899="","",IF(ISNUMBER(B4899),TEXT(B4899,"YYYY-MM"),LEFT(B4899,7)))</f>
        <v/>
      </c>
    </row>
    <row r="4900">
      <c r="N4900" s="6">
        <f>IF(B4900="","",IF(ISNUMBER(B4900),TEXT(B4900,"YYYY-MM"),LEFT(B4900,7)))</f>
        <v/>
      </c>
    </row>
    <row r="4901">
      <c r="N4901" s="6">
        <f>IF(B4901="","",IF(ISNUMBER(B4901),TEXT(B4901,"YYYY-MM"),LEFT(B4901,7)))</f>
        <v/>
      </c>
    </row>
    <row r="4902">
      <c r="N4902" s="6">
        <f>IF(B4902="","",IF(ISNUMBER(B4902),TEXT(B4902,"YYYY-MM"),LEFT(B4902,7)))</f>
        <v/>
      </c>
    </row>
    <row r="4903">
      <c r="N4903" s="6">
        <f>IF(B4903="","",IF(ISNUMBER(B4903),TEXT(B4903,"YYYY-MM"),LEFT(B4903,7)))</f>
        <v/>
      </c>
    </row>
    <row r="4904">
      <c r="N4904" s="6">
        <f>IF(B4904="","",IF(ISNUMBER(B4904),TEXT(B4904,"YYYY-MM"),LEFT(B4904,7)))</f>
        <v/>
      </c>
    </row>
    <row r="4905">
      <c r="N4905" s="6">
        <f>IF(B4905="","",IF(ISNUMBER(B4905),TEXT(B4905,"YYYY-MM"),LEFT(B4905,7)))</f>
        <v/>
      </c>
    </row>
    <row r="4906">
      <c r="N4906" s="6">
        <f>IF(B4906="","",IF(ISNUMBER(B4906),TEXT(B4906,"YYYY-MM"),LEFT(B4906,7)))</f>
        <v/>
      </c>
    </row>
    <row r="4907">
      <c r="N4907" s="6">
        <f>IF(B4907="","",IF(ISNUMBER(B4907),TEXT(B4907,"YYYY-MM"),LEFT(B4907,7)))</f>
        <v/>
      </c>
    </row>
    <row r="4908">
      <c r="N4908" s="6">
        <f>IF(B4908="","",IF(ISNUMBER(B4908),TEXT(B4908,"YYYY-MM"),LEFT(B4908,7)))</f>
        <v/>
      </c>
    </row>
    <row r="4909">
      <c r="N4909" s="6">
        <f>IF(B4909="","",IF(ISNUMBER(B4909),TEXT(B4909,"YYYY-MM"),LEFT(B4909,7)))</f>
        <v/>
      </c>
    </row>
    <row r="4910">
      <c r="N4910" s="6">
        <f>IF(B4910="","",IF(ISNUMBER(B4910),TEXT(B4910,"YYYY-MM"),LEFT(B4910,7)))</f>
        <v/>
      </c>
    </row>
    <row r="4911">
      <c r="N4911" s="6">
        <f>IF(B4911="","",IF(ISNUMBER(B4911),TEXT(B4911,"YYYY-MM"),LEFT(B4911,7)))</f>
        <v/>
      </c>
    </row>
    <row r="4912">
      <c r="N4912" s="6">
        <f>IF(B4912="","",IF(ISNUMBER(B4912),TEXT(B4912,"YYYY-MM"),LEFT(B4912,7)))</f>
        <v/>
      </c>
    </row>
    <row r="4913">
      <c r="N4913" s="6">
        <f>IF(B4913="","",IF(ISNUMBER(B4913),TEXT(B4913,"YYYY-MM"),LEFT(B4913,7)))</f>
        <v/>
      </c>
    </row>
    <row r="4914">
      <c r="N4914" s="6">
        <f>IF(B4914="","",IF(ISNUMBER(B4914),TEXT(B4914,"YYYY-MM"),LEFT(B4914,7)))</f>
        <v/>
      </c>
    </row>
    <row r="4915">
      <c r="N4915" s="6">
        <f>IF(B4915="","",IF(ISNUMBER(B4915),TEXT(B4915,"YYYY-MM"),LEFT(B4915,7)))</f>
        <v/>
      </c>
    </row>
    <row r="4916">
      <c r="N4916" s="6">
        <f>IF(B4916="","",IF(ISNUMBER(B4916),TEXT(B4916,"YYYY-MM"),LEFT(B4916,7)))</f>
        <v/>
      </c>
    </row>
    <row r="4917">
      <c r="N4917" s="6">
        <f>IF(B4917="","",IF(ISNUMBER(B4917),TEXT(B4917,"YYYY-MM"),LEFT(B4917,7)))</f>
        <v/>
      </c>
    </row>
    <row r="4918">
      <c r="N4918" s="6">
        <f>IF(B4918="","",IF(ISNUMBER(B4918),TEXT(B4918,"YYYY-MM"),LEFT(B4918,7)))</f>
        <v/>
      </c>
    </row>
    <row r="4919">
      <c r="N4919" s="6">
        <f>IF(B4919="","",IF(ISNUMBER(B4919),TEXT(B4919,"YYYY-MM"),LEFT(B4919,7)))</f>
        <v/>
      </c>
    </row>
    <row r="4920">
      <c r="N4920" s="6">
        <f>IF(B4920="","",IF(ISNUMBER(B4920),TEXT(B4920,"YYYY-MM"),LEFT(B4920,7)))</f>
        <v/>
      </c>
    </row>
    <row r="4921">
      <c r="N4921" s="6">
        <f>IF(B4921="","",IF(ISNUMBER(B4921),TEXT(B4921,"YYYY-MM"),LEFT(B4921,7)))</f>
        <v/>
      </c>
    </row>
    <row r="4922">
      <c r="N4922" s="6">
        <f>IF(B4922="","",IF(ISNUMBER(B4922),TEXT(B4922,"YYYY-MM"),LEFT(B4922,7)))</f>
        <v/>
      </c>
    </row>
    <row r="4923">
      <c r="N4923" s="6">
        <f>IF(B4923="","",IF(ISNUMBER(B4923),TEXT(B4923,"YYYY-MM"),LEFT(B4923,7)))</f>
        <v/>
      </c>
    </row>
    <row r="4924">
      <c r="N4924" s="6">
        <f>IF(B4924="","",IF(ISNUMBER(B4924),TEXT(B4924,"YYYY-MM"),LEFT(B4924,7)))</f>
        <v/>
      </c>
    </row>
    <row r="4925">
      <c r="N4925" s="6">
        <f>IF(B4925="","",IF(ISNUMBER(B4925),TEXT(B4925,"YYYY-MM"),LEFT(B4925,7)))</f>
        <v/>
      </c>
    </row>
    <row r="4926">
      <c r="N4926" s="6">
        <f>IF(B4926="","",IF(ISNUMBER(B4926),TEXT(B4926,"YYYY-MM"),LEFT(B4926,7)))</f>
        <v/>
      </c>
    </row>
    <row r="4927">
      <c r="N4927" s="6">
        <f>IF(B4927="","",IF(ISNUMBER(B4927),TEXT(B4927,"YYYY-MM"),LEFT(B4927,7)))</f>
        <v/>
      </c>
    </row>
    <row r="4928">
      <c r="N4928" s="6">
        <f>IF(B4928="","",IF(ISNUMBER(B4928),TEXT(B4928,"YYYY-MM"),LEFT(B4928,7)))</f>
        <v/>
      </c>
    </row>
    <row r="4929">
      <c r="N4929" s="6">
        <f>IF(B4929="","",IF(ISNUMBER(B4929),TEXT(B4929,"YYYY-MM"),LEFT(B4929,7)))</f>
        <v/>
      </c>
    </row>
    <row r="4930">
      <c r="N4930" s="6">
        <f>IF(B4930="","",IF(ISNUMBER(B4930),TEXT(B4930,"YYYY-MM"),LEFT(B4930,7)))</f>
        <v/>
      </c>
    </row>
    <row r="4931">
      <c r="N4931" s="6">
        <f>IF(B4931="","",IF(ISNUMBER(B4931),TEXT(B4931,"YYYY-MM"),LEFT(B4931,7)))</f>
        <v/>
      </c>
    </row>
    <row r="4932">
      <c r="N4932" s="6">
        <f>IF(B4932="","",IF(ISNUMBER(B4932),TEXT(B4932,"YYYY-MM"),LEFT(B4932,7)))</f>
        <v/>
      </c>
    </row>
    <row r="4933">
      <c r="N4933" s="6">
        <f>IF(B4933="","",IF(ISNUMBER(B4933),TEXT(B4933,"YYYY-MM"),LEFT(B4933,7)))</f>
        <v/>
      </c>
    </row>
    <row r="4934">
      <c r="N4934" s="6">
        <f>IF(B4934="","",IF(ISNUMBER(B4934),TEXT(B4934,"YYYY-MM"),LEFT(B4934,7)))</f>
        <v/>
      </c>
    </row>
    <row r="4935">
      <c r="N4935" s="6">
        <f>IF(B4935="","",IF(ISNUMBER(B4935),TEXT(B4935,"YYYY-MM"),LEFT(B4935,7)))</f>
        <v/>
      </c>
    </row>
    <row r="4936">
      <c r="N4936" s="6">
        <f>IF(B4936="","",IF(ISNUMBER(B4936),TEXT(B4936,"YYYY-MM"),LEFT(B4936,7)))</f>
        <v/>
      </c>
    </row>
    <row r="4937">
      <c r="N4937" s="6">
        <f>IF(B4937="","",IF(ISNUMBER(B4937),TEXT(B4937,"YYYY-MM"),LEFT(B4937,7)))</f>
        <v/>
      </c>
    </row>
    <row r="4938">
      <c r="N4938" s="6">
        <f>IF(B4938="","",IF(ISNUMBER(B4938),TEXT(B4938,"YYYY-MM"),LEFT(B4938,7)))</f>
        <v/>
      </c>
    </row>
    <row r="4939">
      <c r="N4939" s="6">
        <f>IF(B4939="","",IF(ISNUMBER(B4939),TEXT(B4939,"YYYY-MM"),LEFT(B4939,7)))</f>
        <v/>
      </c>
    </row>
    <row r="4940">
      <c r="N4940" s="6">
        <f>IF(B4940="","",IF(ISNUMBER(B4940),TEXT(B4940,"YYYY-MM"),LEFT(B4940,7)))</f>
        <v/>
      </c>
    </row>
    <row r="4941">
      <c r="N4941" s="6">
        <f>IF(B4941="","",IF(ISNUMBER(B4941),TEXT(B4941,"YYYY-MM"),LEFT(B4941,7)))</f>
        <v/>
      </c>
    </row>
    <row r="4942">
      <c r="N4942" s="6">
        <f>IF(B4942="","",IF(ISNUMBER(B4942),TEXT(B4942,"YYYY-MM"),LEFT(B4942,7)))</f>
        <v/>
      </c>
    </row>
    <row r="4943">
      <c r="N4943" s="6">
        <f>IF(B4943="","",IF(ISNUMBER(B4943),TEXT(B4943,"YYYY-MM"),LEFT(B4943,7)))</f>
        <v/>
      </c>
    </row>
    <row r="4944">
      <c r="N4944" s="6">
        <f>IF(B4944="","",IF(ISNUMBER(B4944),TEXT(B4944,"YYYY-MM"),LEFT(B4944,7)))</f>
        <v/>
      </c>
    </row>
    <row r="4945">
      <c r="N4945" s="6">
        <f>IF(B4945="","",IF(ISNUMBER(B4945),TEXT(B4945,"YYYY-MM"),LEFT(B4945,7)))</f>
        <v/>
      </c>
    </row>
    <row r="4946">
      <c r="N4946" s="6">
        <f>IF(B4946="","",IF(ISNUMBER(B4946),TEXT(B4946,"YYYY-MM"),LEFT(B4946,7)))</f>
        <v/>
      </c>
    </row>
    <row r="4947">
      <c r="N4947" s="6">
        <f>IF(B4947="","",IF(ISNUMBER(B4947),TEXT(B4947,"YYYY-MM"),LEFT(B4947,7)))</f>
        <v/>
      </c>
    </row>
    <row r="4948">
      <c r="N4948" s="6">
        <f>IF(B4948="","",IF(ISNUMBER(B4948),TEXT(B4948,"YYYY-MM"),LEFT(B4948,7)))</f>
        <v/>
      </c>
    </row>
    <row r="4949">
      <c r="N4949" s="6">
        <f>IF(B4949="","",IF(ISNUMBER(B4949),TEXT(B4949,"YYYY-MM"),LEFT(B4949,7)))</f>
        <v/>
      </c>
    </row>
    <row r="4950">
      <c r="N4950" s="6">
        <f>IF(B4950="","",IF(ISNUMBER(B4950),TEXT(B4950,"YYYY-MM"),LEFT(B4950,7)))</f>
        <v/>
      </c>
    </row>
    <row r="4951">
      <c r="N4951" s="6">
        <f>IF(B4951="","",IF(ISNUMBER(B4951),TEXT(B4951,"YYYY-MM"),LEFT(B4951,7)))</f>
        <v/>
      </c>
    </row>
    <row r="4952">
      <c r="N4952" s="6">
        <f>IF(B4952="","",IF(ISNUMBER(B4952),TEXT(B4952,"YYYY-MM"),LEFT(B4952,7)))</f>
        <v/>
      </c>
    </row>
    <row r="4953">
      <c r="N4953" s="6">
        <f>IF(B4953="","",IF(ISNUMBER(B4953),TEXT(B4953,"YYYY-MM"),LEFT(B4953,7)))</f>
        <v/>
      </c>
    </row>
    <row r="4954">
      <c r="N4954" s="6">
        <f>IF(B4954="","",IF(ISNUMBER(B4954),TEXT(B4954,"YYYY-MM"),LEFT(B4954,7)))</f>
        <v/>
      </c>
    </row>
    <row r="4955">
      <c r="N4955" s="6">
        <f>IF(B4955="","",IF(ISNUMBER(B4955),TEXT(B4955,"YYYY-MM"),LEFT(B4955,7)))</f>
        <v/>
      </c>
    </row>
    <row r="4956">
      <c r="N4956" s="6">
        <f>IF(B4956="","",IF(ISNUMBER(B4956),TEXT(B4956,"YYYY-MM"),LEFT(B4956,7)))</f>
        <v/>
      </c>
    </row>
    <row r="4957">
      <c r="N4957" s="6">
        <f>IF(B4957="","",IF(ISNUMBER(B4957),TEXT(B4957,"YYYY-MM"),LEFT(B4957,7)))</f>
        <v/>
      </c>
    </row>
    <row r="4958">
      <c r="N4958" s="6">
        <f>IF(B4958="","",IF(ISNUMBER(B4958),TEXT(B4958,"YYYY-MM"),LEFT(B4958,7)))</f>
        <v/>
      </c>
    </row>
    <row r="4959">
      <c r="N4959" s="6">
        <f>IF(B4959="","",IF(ISNUMBER(B4959),TEXT(B4959,"YYYY-MM"),LEFT(B4959,7)))</f>
        <v/>
      </c>
    </row>
    <row r="4960">
      <c r="N4960" s="6">
        <f>IF(B4960="","",IF(ISNUMBER(B4960),TEXT(B4960,"YYYY-MM"),LEFT(B4960,7)))</f>
        <v/>
      </c>
    </row>
    <row r="4961">
      <c r="N4961" s="6">
        <f>IF(B4961="","",IF(ISNUMBER(B4961),TEXT(B4961,"YYYY-MM"),LEFT(B4961,7)))</f>
        <v/>
      </c>
    </row>
    <row r="4962">
      <c r="N4962" s="6">
        <f>IF(B4962="","",IF(ISNUMBER(B4962),TEXT(B4962,"YYYY-MM"),LEFT(B4962,7)))</f>
        <v/>
      </c>
    </row>
    <row r="4963">
      <c r="N4963" s="6">
        <f>IF(B4963="","",IF(ISNUMBER(B4963),TEXT(B4963,"YYYY-MM"),LEFT(B4963,7)))</f>
        <v/>
      </c>
    </row>
    <row r="4964">
      <c r="N4964" s="6">
        <f>IF(B4964="","",IF(ISNUMBER(B4964),TEXT(B4964,"YYYY-MM"),LEFT(B4964,7)))</f>
        <v/>
      </c>
    </row>
    <row r="4965">
      <c r="N4965" s="6">
        <f>IF(B4965="","",IF(ISNUMBER(B4965),TEXT(B4965,"YYYY-MM"),LEFT(B4965,7)))</f>
        <v/>
      </c>
    </row>
    <row r="4966">
      <c r="N4966" s="6">
        <f>IF(B4966="","",IF(ISNUMBER(B4966),TEXT(B4966,"YYYY-MM"),LEFT(B4966,7)))</f>
        <v/>
      </c>
    </row>
    <row r="4967">
      <c r="N4967" s="6">
        <f>IF(B4967="","",IF(ISNUMBER(B4967),TEXT(B4967,"YYYY-MM"),LEFT(B4967,7)))</f>
        <v/>
      </c>
    </row>
    <row r="4968">
      <c r="N4968" s="6">
        <f>IF(B4968="","",IF(ISNUMBER(B4968),TEXT(B4968,"YYYY-MM"),LEFT(B4968,7)))</f>
        <v/>
      </c>
    </row>
    <row r="4969">
      <c r="N4969" s="6">
        <f>IF(B4969="","",IF(ISNUMBER(B4969),TEXT(B4969,"YYYY-MM"),LEFT(B4969,7)))</f>
        <v/>
      </c>
    </row>
    <row r="4970">
      <c r="N4970" s="6">
        <f>IF(B4970="","",IF(ISNUMBER(B4970),TEXT(B4970,"YYYY-MM"),LEFT(B4970,7)))</f>
        <v/>
      </c>
    </row>
    <row r="4971">
      <c r="N4971" s="6">
        <f>IF(B4971="","",IF(ISNUMBER(B4971),TEXT(B4971,"YYYY-MM"),LEFT(B4971,7)))</f>
        <v/>
      </c>
    </row>
    <row r="4972">
      <c r="N4972" s="6">
        <f>IF(B4972="","",IF(ISNUMBER(B4972),TEXT(B4972,"YYYY-MM"),LEFT(B4972,7)))</f>
        <v/>
      </c>
    </row>
    <row r="4973">
      <c r="N4973" s="6">
        <f>IF(B4973="","",IF(ISNUMBER(B4973),TEXT(B4973,"YYYY-MM"),LEFT(B4973,7)))</f>
        <v/>
      </c>
    </row>
    <row r="4974">
      <c r="N4974" s="6">
        <f>IF(B4974="","",IF(ISNUMBER(B4974),TEXT(B4974,"YYYY-MM"),LEFT(B4974,7)))</f>
        <v/>
      </c>
    </row>
    <row r="4975">
      <c r="N4975" s="6">
        <f>IF(B4975="","",IF(ISNUMBER(B4975),TEXT(B4975,"YYYY-MM"),LEFT(B4975,7)))</f>
        <v/>
      </c>
    </row>
    <row r="4976">
      <c r="N4976" s="6">
        <f>IF(B4976="","",IF(ISNUMBER(B4976),TEXT(B4976,"YYYY-MM"),LEFT(B4976,7)))</f>
        <v/>
      </c>
    </row>
    <row r="4977">
      <c r="N4977" s="6">
        <f>IF(B4977="","",IF(ISNUMBER(B4977),TEXT(B4977,"YYYY-MM"),LEFT(B4977,7)))</f>
        <v/>
      </c>
    </row>
    <row r="4978">
      <c r="N4978" s="6">
        <f>IF(B4978="","",IF(ISNUMBER(B4978),TEXT(B4978,"YYYY-MM"),LEFT(B4978,7)))</f>
        <v/>
      </c>
    </row>
    <row r="4979">
      <c r="N4979" s="6">
        <f>IF(B4979="","",IF(ISNUMBER(B4979),TEXT(B4979,"YYYY-MM"),LEFT(B4979,7)))</f>
        <v/>
      </c>
    </row>
    <row r="4980">
      <c r="N4980" s="6">
        <f>IF(B4980="","",IF(ISNUMBER(B4980),TEXT(B4980,"YYYY-MM"),LEFT(B4980,7)))</f>
        <v/>
      </c>
    </row>
    <row r="4981">
      <c r="N4981" s="6">
        <f>IF(B4981="","",IF(ISNUMBER(B4981),TEXT(B4981,"YYYY-MM"),LEFT(B4981,7)))</f>
        <v/>
      </c>
    </row>
    <row r="4982">
      <c r="N4982" s="6">
        <f>IF(B4982="","",IF(ISNUMBER(B4982),TEXT(B4982,"YYYY-MM"),LEFT(B4982,7)))</f>
        <v/>
      </c>
    </row>
    <row r="4983">
      <c r="N4983" s="6">
        <f>IF(B4983="","",IF(ISNUMBER(B4983),TEXT(B4983,"YYYY-MM"),LEFT(B4983,7)))</f>
        <v/>
      </c>
    </row>
    <row r="4984">
      <c r="N4984" s="6">
        <f>IF(B4984="","",IF(ISNUMBER(B4984),TEXT(B4984,"YYYY-MM"),LEFT(B4984,7)))</f>
        <v/>
      </c>
    </row>
    <row r="4985">
      <c r="N4985" s="6">
        <f>IF(B4985="","",IF(ISNUMBER(B4985),TEXT(B4985,"YYYY-MM"),LEFT(B4985,7)))</f>
        <v/>
      </c>
    </row>
    <row r="4986">
      <c r="N4986" s="6">
        <f>IF(B4986="","",IF(ISNUMBER(B4986),TEXT(B4986,"YYYY-MM"),LEFT(B4986,7)))</f>
        <v/>
      </c>
    </row>
    <row r="4987">
      <c r="N4987" s="6">
        <f>IF(B4987="","",IF(ISNUMBER(B4987),TEXT(B4987,"YYYY-MM"),LEFT(B4987,7)))</f>
        <v/>
      </c>
    </row>
    <row r="4988">
      <c r="N4988" s="6">
        <f>IF(B4988="","",IF(ISNUMBER(B4988),TEXT(B4988,"YYYY-MM"),LEFT(B4988,7)))</f>
        <v/>
      </c>
    </row>
    <row r="4989">
      <c r="N4989" s="6">
        <f>IF(B4989="","",IF(ISNUMBER(B4989),TEXT(B4989,"YYYY-MM"),LEFT(B4989,7)))</f>
        <v/>
      </c>
    </row>
    <row r="4990">
      <c r="N4990" s="6">
        <f>IF(B4990="","",IF(ISNUMBER(B4990),TEXT(B4990,"YYYY-MM"),LEFT(B4990,7)))</f>
        <v/>
      </c>
    </row>
    <row r="4991">
      <c r="N4991" s="6">
        <f>IF(B4991="","",IF(ISNUMBER(B4991),TEXT(B4991,"YYYY-MM"),LEFT(B4991,7)))</f>
        <v/>
      </c>
    </row>
    <row r="4992">
      <c r="N4992" s="6">
        <f>IF(B4992="","",IF(ISNUMBER(B4992),TEXT(B4992,"YYYY-MM"),LEFT(B4992,7)))</f>
        <v/>
      </c>
    </row>
    <row r="4993">
      <c r="N4993" s="6">
        <f>IF(B4993="","",IF(ISNUMBER(B4993),TEXT(B4993,"YYYY-MM"),LEFT(B4993,7)))</f>
        <v/>
      </c>
    </row>
    <row r="4994">
      <c r="N4994" s="6">
        <f>IF(B4994="","",IF(ISNUMBER(B4994),TEXT(B4994,"YYYY-MM"),LEFT(B4994,7)))</f>
        <v/>
      </c>
    </row>
    <row r="4995">
      <c r="N4995" s="6">
        <f>IF(B4995="","",IF(ISNUMBER(B4995),TEXT(B4995,"YYYY-MM"),LEFT(B4995,7)))</f>
        <v/>
      </c>
    </row>
    <row r="4996">
      <c r="N4996" s="6">
        <f>IF(B4996="","",IF(ISNUMBER(B4996),TEXT(B4996,"YYYY-MM"),LEFT(B4996,7)))</f>
        <v/>
      </c>
    </row>
    <row r="4997">
      <c r="N4997" s="6">
        <f>IF(B4997="","",IF(ISNUMBER(B4997),TEXT(B4997,"YYYY-MM"),LEFT(B4997,7)))</f>
        <v/>
      </c>
    </row>
    <row r="4998">
      <c r="N4998" s="6">
        <f>IF(B4998="","",IF(ISNUMBER(B4998),TEXT(B4998,"YYYY-MM"),LEFT(B4998,7)))</f>
        <v/>
      </c>
    </row>
    <row r="4999">
      <c r="N4999" s="6">
        <f>IF(B4999="","",IF(ISNUMBER(B4999),TEXT(B4999,"YYYY-MM"),LEFT(B4999,7)))</f>
        <v/>
      </c>
    </row>
    <row r="5000">
      <c r="N5000" s="6">
        <f>IF(B5000="","",IF(ISNUMBER(B5000),TEXT(B5000,"YYYY-MM"),LEFT(B5000,7)))</f>
        <v/>
      </c>
    </row>
    <row r="5001">
      <c r="N5001" s="6">
        <f>IF(B5001="","",IF(ISNUMBER(B5001),TEXT(B5001,"YYYY-MM"),LEFT(B5001,7)))</f>
        <v/>
      </c>
    </row>
    <row r="5002">
      <c r="N5002" s="6">
        <f>IF(B5002="","",IF(ISNUMBER(B5002),TEXT(B5002,"YYYY-MM"),LEFT(B5002,7)))</f>
        <v/>
      </c>
    </row>
    <row r="5003">
      <c r="N5003" s="6">
        <f>IF(B5003="","",IF(ISNUMBER(B5003),TEXT(B5003,"YYYY-MM"),LEFT(B5003,7)))</f>
        <v/>
      </c>
    </row>
    <row r="5004">
      <c r="N5004" s="6">
        <f>IF(B5004="","",IF(ISNUMBER(B5004),TEXT(B5004,"YYYY-MM"),LEFT(B5004,7)))</f>
        <v/>
      </c>
    </row>
    <row r="5005">
      <c r="N5005" s="6">
        <f>IF(B5005="","",IF(ISNUMBER(B5005),TEXT(B5005,"YYYY-MM"),LEFT(B5005,7)))</f>
        <v/>
      </c>
    </row>
    <row r="5006">
      <c r="N5006" s="6">
        <f>IF(B5006="","",IF(ISNUMBER(B5006),TEXT(B5006,"YYYY-MM"),LEFT(B5006,7)))</f>
        <v/>
      </c>
    </row>
    <row r="5007">
      <c r="N5007" s="6">
        <f>IF(B5007="","",IF(ISNUMBER(B5007),TEXT(B5007,"YYYY-MM"),LEFT(B5007,7)))</f>
        <v/>
      </c>
    </row>
    <row r="5008">
      <c r="N5008" s="6">
        <f>IF(B5008="","",IF(ISNUMBER(B5008),TEXT(B5008,"YYYY-MM"),LEFT(B5008,7)))</f>
        <v/>
      </c>
    </row>
    <row r="5009">
      <c r="N5009" s="6">
        <f>IF(B5009="","",IF(ISNUMBER(B5009),TEXT(B5009,"YYYY-MM"),LEFT(B5009,7)))</f>
        <v/>
      </c>
    </row>
    <row r="5010">
      <c r="N5010" s="6">
        <f>IF(B5010="","",IF(ISNUMBER(B5010),TEXT(B5010,"YYYY-MM"),LEFT(B5010,7)))</f>
        <v/>
      </c>
    </row>
    <row r="5011">
      <c r="N5011" s="6">
        <f>IF(B5011="","",IF(ISNUMBER(B5011),TEXT(B5011,"YYYY-MM"),LEFT(B5011,7)))</f>
        <v/>
      </c>
    </row>
    <row r="5012">
      <c r="N5012" s="6">
        <f>IF(B5012="","",IF(ISNUMBER(B5012),TEXT(B5012,"YYYY-MM"),LEFT(B5012,7)))</f>
        <v/>
      </c>
    </row>
    <row r="5013">
      <c r="N5013" s="6">
        <f>IF(B5013="","",IF(ISNUMBER(B5013),TEXT(B5013,"YYYY-MM"),LEFT(B5013,7)))</f>
        <v/>
      </c>
    </row>
    <row r="5014">
      <c r="N5014" s="6">
        <f>IF(B5014="","",IF(ISNUMBER(B5014),TEXT(B5014,"YYYY-MM"),LEFT(B5014,7)))</f>
        <v/>
      </c>
    </row>
    <row r="5015">
      <c r="N5015" s="6">
        <f>IF(B5015="","",IF(ISNUMBER(B5015),TEXT(B5015,"YYYY-MM"),LEFT(B5015,7)))</f>
        <v/>
      </c>
    </row>
    <row r="5016">
      <c r="N5016" s="6">
        <f>IF(B5016="","",IF(ISNUMBER(B5016),TEXT(B5016,"YYYY-MM"),LEFT(B5016,7)))</f>
        <v/>
      </c>
    </row>
    <row r="5017">
      <c r="N5017" s="6">
        <f>IF(B5017="","",IF(ISNUMBER(B5017),TEXT(B5017,"YYYY-MM"),LEFT(B5017,7)))</f>
        <v/>
      </c>
    </row>
    <row r="5018">
      <c r="N5018" s="6">
        <f>IF(B5018="","",IF(ISNUMBER(B5018),TEXT(B5018,"YYYY-MM"),LEFT(B5018,7)))</f>
        <v/>
      </c>
    </row>
    <row r="5019">
      <c r="N5019" s="6">
        <f>IF(B5019="","",IF(ISNUMBER(B5019),TEXT(B5019,"YYYY-MM"),LEFT(B5019,7)))</f>
        <v/>
      </c>
    </row>
    <row r="5020">
      <c r="N5020" s="6">
        <f>IF(B5020="","",IF(ISNUMBER(B5020),TEXT(B5020,"YYYY-MM"),LEFT(B5020,7)))</f>
        <v/>
      </c>
    </row>
    <row r="5021">
      <c r="N5021" s="6">
        <f>IF(B5021="","",IF(ISNUMBER(B5021),TEXT(B5021,"YYYY-MM"),LEFT(B5021,7)))</f>
        <v/>
      </c>
    </row>
    <row r="5022">
      <c r="N5022" s="6">
        <f>IF(B5022="","",IF(ISNUMBER(B5022),TEXT(B5022,"YYYY-MM"),LEFT(B5022,7)))</f>
        <v/>
      </c>
    </row>
    <row r="5023">
      <c r="N5023" s="6">
        <f>IF(B5023="","",IF(ISNUMBER(B5023),TEXT(B5023,"YYYY-MM"),LEFT(B5023,7)))</f>
        <v/>
      </c>
    </row>
    <row r="5024">
      <c r="N5024" s="6">
        <f>IF(B5024="","",IF(ISNUMBER(B5024),TEXT(B5024,"YYYY-MM"),LEFT(B5024,7)))</f>
        <v/>
      </c>
    </row>
    <row r="5025">
      <c r="N5025" s="6">
        <f>IF(B5025="","",IF(ISNUMBER(B5025),TEXT(B5025,"YYYY-MM"),LEFT(B5025,7)))</f>
        <v/>
      </c>
    </row>
    <row r="5026">
      <c r="N5026" s="6">
        <f>IF(B5026="","",IF(ISNUMBER(B5026),TEXT(B5026,"YYYY-MM"),LEFT(B5026,7)))</f>
        <v/>
      </c>
    </row>
    <row r="5027">
      <c r="N5027" s="6">
        <f>IF(B5027="","",IF(ISNUMBER(B5027),TEXT(B5027,"YYYY-MM"),LEFT(B5027,7)))</f>
        <v/>
      </c>
    </row>
    <row r="5028">
      <c r="N5028" s="6">
        <f>IF(B5028="","",IF(ISNUMBER(B5028),TEXT(B5028,"YYYY-MM"),LEFT(B5028,7)))</f>
        <v/>
      </c>
    </row>
    <row r="5029">
      <c r="N5029" s="6">
        <f>IF(B5029="","",IF(ISNUMBER(B5029),TEXT(B5029,"YYYY-MM"),LEFT(B5029,7)))</f>
        <v/>
      </c>
    </row>
    <row r="5030">
      <c r="N5030" s="6">
        <f>IF(B5030="","",IF(ISNUMBER(B5030),TEXT(B5030,"YYYY-MM"),LEFT(B5030,7)))</f>
        <v/>
      </c>
    </row>
    <row r="5031">
      <c r="N5031" s="6">
        <f>IF(B5031="","",IF(ISNUMBER(B5031),TEXT(B5031,"YYYY-MM"),LEFT(B5031,7)))</f>
        <v/>
      </c>
    </row>
    <row r="5032">
      <c r="N5032" s="6">
        <f>IF(B5032="","",IF(ISNUMBER(B5032),TEXT(B5032,"YYYY-MM"),LEFT(B5032,7)))</f>
        <v/>
      </c>
    </row>
    <row r="5033">
      <c r="N5033" s="6">
        <f>IF(B5033="","",IF(ISNUMBER(B5033),TEXT(B5033,"YYYY-MM"),LEFT(B5033,7)))</f>
        <v/>
      </c>
    </row>
    <row r="5034">
      <c r="N5034" s="6">
        <f>IF(B5034="","",IF(ISNUMBER(B5034),TEXT(B5034,"YYYY-MM"),LEFT(B5034,7)))</f>
        <v/>
      </c>
    </row>
    <row r="5035">
      <c r="N5035" s="6">
        <f>IF(B5035="","",IF(ISNUMBER(B5035),TEXT(B5035,"YYYY-MM"),LEFT(B5035,7)))</f>
        <v/>
      </c>
    </row>
    <row r="5036">
      <c r="N5036" s="6">
        <f>IF(B5036="","",IF(ISNUMBER(B5036),TEXT(B5036,"YYYY-MM"),LEFT(B5036,7)))</f>
        <v/>
      </c>
    </row>
    <row r="5037">
      <c r="N5037" s="6">
        <f>IF(B5037="","",IF(ISNUMBER(B5037),TEXT(B5037,"YYYY-MM"),LEFT(B5037,7)))</f>
        <v/>
      </c>
    </row>
    <row r="5038">
      <c r="N5038" s="6">
        <f>IF(B5038="","",IF(ISNUMBER(B5038),TEXT(B5038,"YYYY-MM"),LEFT(B5038,7)))</f>
        <v/>
      </c>
    </row>
    <row r="5039">
      <c r="N5039" s="6">
        <f>IF(B5039="","",IF(ISNUMBER(B5039),TEXT(B5039,"YYYY-MM"),LEFT(B5039,7)))</f>
        <v/>
      </c>
    </row>
    <row r="5040">
      <c r="N5040" s="6">
        <f>IF(B5040="","",IF(ISNUMBER(B5040),TEXT(B5040,"YYYY-MM"),LEFT(B5040,7)))</f>
        <v/>
      </c>
    </row>
    <row r="5041">
      <c r="N5041" s="6">
        <f>IF(B5041="","",IF(ISNUMBER(B5041),TEXT(B5041,"YYYY-MM"),LEFT(B5041,7)))</f>
        <v/>
      </c>
    </row>
    <row r="5042">
      <c r="N5042" s="6">
        <f>IF(B5042="","",IF(ISNUMBER(B5042),TEXT(B5042,"YYYY-MM"),LEFT(B5042,7)))</f>
        <v/>
      </c>
    </row>
    <row r="5043">
      <c r="N5043" s="6">
        <f>IF(B5043="","",IF(ISNUMBER(B5043),TEXT(B5043,"YYYY-MM"),LEFT(B5043,7)))</f>
        <v/>
      </c>
    </row>
    <row r="5044">
      <c r="N5044" s="6">
        <f>IF(B5044="","",IF(ISNUMBER(B5044),TEXT(B5044,"YYYY-MM"),LEFT(B5044,7)))</f>
        <v/>
      </c>
    </row>
    <row r="5045">
      <c r="N5045" s="6">
        <f>IF(B5045="","",IF(ISNUMBER(B5045),TEXT(B5045,"YYYY-MM"),LEFT(B5045,7)))</f>
        <v/>
      </c>
    </row>
    <row r="5046">
      <c r="N5046" s="6">
        <f>IF(B5046="","",IF(ISNUMBER(B5046),TEXT(B5046,"YYYY-MM"),LEFT(B5046,7)))</f>
        <v/>
      </c>
    </row>
    <row r="5047">
      <c r="N5047" s="6">
        <f>IF(B5047="","",IF(ISNUMBER(B5047),TEXT(B5047,"YYYY-MM"),LEFT(B5047,7)))</f>
        <v/>
      </c>
    </row>
    <row r="5048">
      <c r="N5048" s="6">
        <f>IF(B5048="","",IF(ISNUMBER(B5048),TEXT(B5048,"YYYY-MM"),LEFT(B5048,7)))</f>
        <v/>
      </c>
    </row>
    <row r="5049">
      <c r="N5049" s="6">
        <f>IF(B5049="","",IF(ISNUMBER(B5049),TEXT(B5049,"YYYY-MM"),LEFT(B5049,7)))</f>
        <v/>
      </c>
    </row>
    <row r="5050">
      <c r="N5050" s="6">
        <f>IF(B5050="","",IF(ISNUMBER(B5050),TEXT(B5050,"YYYY-MM"),LEFT(B5050,7)))</f>
        <v/>
      </c>
    </row>
    <row r="5051">
      <c r="N5051" s="6">
        <f>IF(B5051="","",IF(ISNUMBER(B5051),TEXT(B5051,"YYYY-MM"),LEFT(B5051,7)))</f>
        <v/>
      </c>
    </row>
    <row r="5052">
      <c r="N5052" s="6">
        <f>IF(B5052="","",IF(ISNUMBER(B5052),TEXT(B5052,"YYYY-MM"),LEFT(B5052,7)))</f>
        <v/>
      </c>
    </row>
    <row r="5053">
      <c r="N5053" s="6">
        <f>IF(B5053="","",IF(ISNUMBER(B5053),TEXT(B5053,"YYYY-MM"),LEFT(B5053,7)))</f>
        <v/>
      </c>
    </row>
    <row r="5054">
      <c r="N5054" s="6">
        <f>IF(B5054="","",IF(ISNUMBER(B5054),TEXT(B5054,"YYYY-MM"),LEFT(B5054,7)))</f>
        <v/>
      </c>
    </row>
    <row r="5055">
      <c r="N5055" s="6">
        <f>IF(B5055="","",IF(ISNUMBER(B5055),TEXT(B5055,"YYYY-MM"),LEFT(B5055,7)))</f>
        <v/>
      </c>
    </row>
    <row r="5056">
      <c r="N5056" s="6">
        <f>IF(B5056="","",IF(ISNUMBER(B5056),TEXT(B5056,"YYYY-MM"),LEFT(B5056,7)))</f>
        <v/>
      </c>
    </row>
    <row r="5057">
      <c r="N5057" s="6">
        <f>IF(B5057="","",IF(ISNUMBER(B5057),TEXT(B5057,"YYYY-MM"),LEFT(B5057,7)))</f>
        <v/>
      </c>
    </row>
    <row r="5058">
      <c r="N5058" s="6">
        <f>IF(B5058="","",IF(ISNUMBER(B5058),TEXT(B5058,"YYYY-MM"),LEFT(B5058,7)))</f>
        <v/>
      </c>
    </row>
    <row r="5059">
      <c r="N5059" s="6">
        <f>IF(B5059="","",IF(ISNUMBER(B5059),TEXT(B5059,"YYYY-MM"),LEFT(B5059,7)))</f>
        <v/>
      </c>
    </row>
    <row r="5060">
      <c r="N5060" s="6">
        <f>IF(B5060="","",IF(ISNUMBER(B5060),TEXT(B5060,"YYYY-MM"),LEFT(B5060,7)))</f>
        <v/>
      </c>
    </row>
    <row r="5061">
      <c r="N5061" s="6">
        <f>IF(B5061="","",IF(ISNUMBER(B5061),TEXT(B5061,"YYYY-MM"),LEFT(B5061,7)))</f>
        <v/>
      </c>
    </row>
    <row r="5062">
      <c r="N5062" s="6">
        <f>IF(B5062="","",IF(ISNUMBER(B5062),TEXT(B5062,"YYYY-MM"),LEFT(B5062,7)))</f>
        <v/>
      </c>
    </row>
    <row r="5063">
      <c r="N5063" s="6">
        <f>IF(B5063="","",IF(ISNUMBER(B5063),TEXT(B5063,"YYYY-MM"),LEFT(B5063,7)))</f>
        <v/>
      </c>
    </row>
    <row r="5064">
      <c r="N5064" s="6">
        <f>IF(B5064="","",IF(ISNUMBER(B5064),TEXT(B5064,"YYYY-MM"),LEFT(B5064,7)))</f>
        <v/>
      </c>
    </row>
    <row r="5065">
      <c r="N5065" s="6">
        <f>IF(B5065="","",IF(ISNUMBER(B5065),TEXT(B5065,"YYYY-MM"),LEFT(B5065,7)))</f>
        <v/>
      </c>
    </row>
    <row r="5066">
      <c r="N5066" s="6">
        <f>IF(B5066="","",IF(ISNUMBER(B5066),TEXT(B5066,"YYYY-MM"),LEFT(B5066,7)))</f>
        <v/>
      </c>
    </row>
    <row r="5067">
      <c r="N5067" s="6">
        <f>IF(B5067="","",IF(ISNUMBER(B5067),TEXT(B5067,"YYYY-MM"),LEFT(B5067,7)))</f>
        <v/>
      </c>
    </row>
    <row r="5068">
      <c r="N5068" s="6">
        <f>IF(B5068="","",IF(ISNUMBER(B5068),TEXT(B5068,"YYYY-MM"),LEFT(B5068,7)))</f>
        <v/>
      </c>
    </row>
    <row r="5069">
      <c r="N5069" s="6">
        <f>IF(B5069="","",IF(ISNUMBER(B5069),TEXT(B5069,"YYYY-MM"),LEFT(B5069,7)))</f>
        <v/>
      </c>
    </row>
    <row r="5070">
      <c r="N5070" s="6">
        <f>IF(B5070="","",IF(ISNUMBER(B5070),TEXT(B5070,"YYYY-MM"),LEFT(B5070,7)))</f>
        <v/>
      </c>
    </row>
    <row r="5071">
      <c r="N5071" s="6">
        <f>IF(B5071="","",IF(ISNUMBER(B5071),TEXT(B5071,"YYYY-MM"),LEFT(B5071,7)))</f>
        <v/>
      </c>
    </row>
    <row r="5072">
      <c r="N5072" s="6">
        <f>IF(B5072="","",IF(ISNUMBER(B5072),TEXT(B5072,"YYYY-MM"),LEFT(B5072,7)))</f>
        <v/>
      </c>
    </row>
    <row r="5073">
      <c r="N5073" s="6">
        <f>IF(B5073="","",IF(ISNUMBER(B5073),TEXT(B5073,"YYYY-MM"),LEFT(B5073,7)))</f>
        <v/>
      </c>
    </row>
    <row r="5074">
      <c r="N5074" s="6">
        <f>IF(B5074="","",IF(ISNUMBER(B5074),TEXT(B5074,"YYYY-MM"),LEFT(B5074,7)))</f>
        <v/>
      </c>
    </row>
    <row r="5075">
      <c r="N5075" s="6">
        <f>IF(B5075="","",IF(ISNUMBER(B5075),TEXT(B5075,"YYYY-MM"),LEFT(B5075,7)))</f>
        <v/>
      </c>
    </row>
    <row r="5076">
      <c r="N5076" s="6">
        <f>IF(B5076="","",IF(ISNUMBER(B5076),TEXT(B5076,"YYYY-MM"),LEFT(B5076,7)))</f>
        <v/>
      </c>
    </row>
    <row r="5077">
      <c r="N5077" s="6">
        <f>IF(B5077="","",IF(ISNUMBER(B5077),TEXT(B5077,"YYYY-MM"),LEFT(B5077,7)))</f>
        <v/>
      </c>
    </row>
    <row r="5078">
      <c r="N5078" s="6">
        <f>IF(B5078="","",IF(ISNUMBER(B5078),TEXT(B5078,"YYYY-MM"),LEFT(B5078,7)))</f>
        <v/>
      </c>
    </row>
    <row r="5079">
      <c r="N5079" s="6">
        <f>IF(B5079="","",IF(ISNUMBER(B5079),TEXT(B5079,"YYYY-MM"),LEFT(B5079,7)))</f>
        <v/>
      </c>
    </row>
    <row r="5080">
      <c r="N5080" s="6">
        <f>IF(B5080="","",IF(ISNUMBER(B5080),TEXT(B5080,"YYYY-MM"),LEFT(B5080,7)))</f>
        <v/>
      </c>
    </row>
    <row r="5081">
      <c r="N5081" s="6">
        <f>IF(B5081="","",IF(ISNUMBER(B5081),TEXT(B5081,"YYYY-MM"),LEFT(B5081,7)))</f>
        <v/>
      </c>
    </row>
    <row r="5082">
      <c r="N5082" s="6">
        <f>IF(B5082="","",IF(ISNUMBER(B5082),TEXT(B5082,"YYYY-MM"),LEFT(B5082,7)))</f>
        <v/>
      </c>
    </row>
    <row r="5083">
      <c r="N5083" s="6">
        <f>IF(B5083="","",IF(ISNUMBER(B5083),TEXT(B5083,"YYYY-MM"),LEFT(B5083,7)))</f>
        <v/>
      </c>
    </row>
    <row r="5084">
      <c r="N5084" s="6">
        <f>IF(B5084="","",IF(ISNUMBER(B5084),TEXT(B5084,"YYYY-MM"),LEFT(B5084,7)))</f>
        <v/>
      </c>
    </row>
    <row r="5085">
      <c r="N5085" s="6">
        <f>IF(B5085="","",IF(ISNUMBER(B5085),TEXT(B5085,"YYYY-MM"),LEFT(B5085,7)))</f>
        <v/>
      </c>
    </row>
    <row r="5086">
      <c r="N5086" s="6">
        <f>IF(B5086="","",IF(ISNUMBER(B5086),TEXT(B5086,"YYYY-MM"),LEFT(B5086,7)))</f>
        <v/>
      </c>
    </row>
    <row r="5087">
      <c r="N5087" s="6">
        <f>IF(B5087="","",IF(ISNUMBER(B5087),TEXT(B5087,"YYYY-MM"),LEFT(B5087,7)))</f>
        <v/>
      </c>
    </row>
    <row r="5088">
      <c r="N5088" s="6">
        <f>IF(B5088="","",IF(ISNUMBER(B5088),TEXT(B5088,"YYYY-MM"),LEFT(B5088,7)))</f>
        <v/>
      </c>
    </row>
    <row r="5089">
      <c r="N5089" s="6">
        <f>IF(B5089="","",IF(ISNUMBER(B5089),TEXT(B5089,"YYYY-MM"),LEFT(B5089,7)))</f>
        <v/>
      </c>
    </row>
    <row r="5090">
      <c r="N5090" s="6">
        <f>IF(B5090="","",IF(ISNUMBER(B5090),TEXT(B5090,"YYYY-MM"),LEFT(B5090,7)))</f>
        <v/>
      </c>
    </row>
    <row r="5091">
      <c r="N5091" s="6">
        <f>IF(B5091="","",IF(ISNUMBER(B5091),TEXT(B5091,"YYYY-MM"),LEFT(B5091,7)))</f>
        <v/>
      </c>
    </row>
    <row r="5092">
      <c r="N5092" s="6">
        <f>IF(B5092="","",IF(ISNUMBER(B5092),TEXT(B5092,"YYYY-MM"),LEFT(B5092,7)))</f>
        <v/>
      </c>
    </row>
    <row r="5093">
      <c r="N5093" s="6">
        <f>IF(B5093="","",IF(ISNUMBER(B5093),TEXT(B5093,"YYYY-MM"),LEFT(B5093,7)))</f>
        <v/>
      </c>
    </row>
    <row r="5094">
      <c r="N5094" s="6">
        <f>IF(B5094="","",IF(ISNUMBER(B5094),TEXT(B5094,"YYYY-MM"),LEFT(B5094,7)))</f>
        <v/>
      </c>
    </row>
    <row r="5095">
      <c r="N5095" s="6">
        <f>IF(B5095="","",IF(ISNUMBER(B5095),TEXT(B5095,"YYYY-MM"),LEFT(B5095,7)))</f>
        <v/>
      </c>
    </row>
    <row r="5096">
      <c r="N5096" s="6">
        <f>IF(B5096="","",IF(ISNUMBER(B5096),TEXT(B5096,"YYYY-MM"),LEFT(B5096,7)))</f>
        <v/>
      </c>
    </row>
    <row r="5097">
      <c r="N5097" s="6">
        <f>IF(B5097="","",IF(ISNUMBER(B5097),TEXT(B5097,"YYYY-MM"),LEFT(B5097,7)))</f>
        <v/>
      </c>
    </row>
    <row r="5098">
      <c r="N5098" s="6">
        <f>IF(B5098="","",IF(ISNUMBER(B5098),TEXT(B5098,"YYYY-MM"),LEFT(B5098,7)))</f>
        <v/>
      </c>
    </row>
    <row r="5099">
      <c r="N5099" s="6">
        <f>IF(B5099="","",IF(ISNUMBER(B5099),TEXT(B5099,"YYYY-MM"),LEFT(B5099,7)))</f>
        <v/>
      </c>
    </row>
    <row r="5100">
      <c r="N5100" s="6">
        <f>IF(B5100="","",IF(ISNUMBER(B5100),TEXT(B5100,"YYYY-MM"),LEFT(B5100,7)))</f>
        <v/>
      </c>
    </row>
    <row r="5101">
      <c r="N5101" s="6">
        <f>IF(B5101="","",IF(ISNUMBER(B5101),TEXT(B5101,"YYYY-MM"),LEFT(B5101,7)))</f>
        <v/>
      </c>
    </row>
    <row r="5102">
      <c r="N5102" s="6">
        <f>IF(B5102="","",IF(ISNUMBER(B5102),TEXT(B5102,"YYYY-MM"),LEFT(B5102,7)))</f>
        <v/>
      </c>
    </row>
    <row r="5103">
      <c r="N5103" s="6">
        <f>IF(B5103="","",IF(ISNUMBER(B5103),TEXT(B5103,"YYYY-MM"),LEFT(B5103,7)))</f>
        <v/>
      </c>
    </row>
    <row r="5104">
      <c r="N5104" s="6">
        <f>IF(B5104="","",IF(ISNUMBER(B5104),TEXT(B5104,"YYYY-MM"),LEFT(B5104,7)))</f>
        <v/>
      </c>
    </row>
    <row r="5105">
      <c r="N5105" s="6">
        <f>IF(B5105="","",IF(ISNUMBER(B5105),TEXT(B5105,"YYYY-MM"),LEFT(B5105,7)))</f>
        <v/>
      </c>
    </row>
    <row r="5106">
      <c r="N5106" s="6">
        <f>IF(B5106="","",IF(ISNUMBER(B5106),TEXT(B5106,"YYYY-MM"),LEFT(B5106,7)))</f>
        <v/>
      </c>
    </row>
    <row r="5107">
      <c r="N5107" s="6">
        <f>IF(B5107="","",IF(ISNUMBER(B5107),TEXT(B5107,"YYYY-MM"),LEFT(B5107,7)))</f>
        <v/>
      </c>
    </row>
    <row r="5108">
      <c r="N5108" s="6">
        <f>IF(B5108="","",IF(ISNUMBER(B5108),TEXT(B5108,"YYYY-MM"),LEFT(B5108,7)))</f>
        <v/>
      </c>
    </row>
    <row r="5109">
      <c r="N5109" s="6">
        <f>IF(B5109="","",IF(ISNUMBER(B5109),TEXT(B5109,"YYYY-MM"),LEFT(B5109,7)))</f>
        <v/>
      </c>
    </row>
    <row r="5110">
      <c r="N5110" s="6">
        <f>IF(B5110="","",IF(ISNUMBER(B5110),TEXT(B5110,"YYYY-MM"),LEFT(B5110,7)))</f>
        <v/>
      </c>
    </row>
    <row r="5111">
      <c r="N5111" s="6">
        <f>IF(B5111="","",IF(ISNUMBER(B5111),TEXT(B5111,"YYYY-MM"),LEFT(B5111,7)))</f>
        <v/>
      </c>
    </row>
    <row r="5112">
      <c r="N5112" s="6">
        <f>IF(B5112="","",IF(ISNUMBER(B5112),TEXT(B5112,"YYYY-MM"),LEFT(B5112,7)))</f>
        <v/>
      </c>
    </row>
    <row r="5113">
      <c r="N5113" s="6">
        <f>IF(B5113="","",IF(ISNUMBER(B5113),TEXT(B5113,"YYYY-MM"),LEFT(B5113,7)))</f>
        <v/>
      </c>
    </row>
    <row r="5114">
      <c r="N5114" s="6">
        <f>IF(B5114="","",IF(ISNUMBER(B5114),TEXT(B5114,"YYYY-MM"),LEFT(B5114,7)))</f>
        <v/>
      </c>
    </row>
    <row r="5115">
      <c r="N5115" s="6">
        <f>IF(B5115="","",IF(ISNUMBER(B5115),TEXT(B5115,"YYYY-MM"),LEFT(B5115,7)))</f>
        <v/>
      </c>
    </row>
    <row r="5116">
      <c r="N5116" s="6">
        <f>IF(B5116="","",IF(ISNUMBER(B5116),TEXT(B5116,"YYYY-MM"),LEFT(B5116,7)))</f>
        <v/>
      </c>
    </row>
    <row r="5117">
      <c r="N5117" s="6">
        <f>IF(B5117="","",IF(ISNUMBER(B5117),TEXT(B5117,"YYYY-MM"),LEFT(B5117,7)))</f>
        <v/>
      </c>
    </row>
    <row r="5118">
      <c r="N5118" s="6">
        <f>IF(B5118="","",IF(ISNUMBER(B5118),TEXT(B5118,"YYYY-MM"),LEFT(B5118,7)))</f>
        <v/>
      </c>
    </row>
    <row r="5119">
      <c r="N5119" s="6">
        <f>IF(B5119="","",IF(ISNUMBER(B5119),TEXT(B5119,"YYYY-MM"),LEFT(B5119,7)))</f>
        <v/>
      </c>
    </row>
    <row r="5120">
      <c r="N5120" s="6">
        <f>IF(B5120="","",IF(ISNUMBER(B5120),TEXT(B5120,"YYYY-MM"),LEFT(B5120,7)))</f>
        <v/>
      </c>
    </row>
    <row r="5121">
      <c r="N5121" s="6">
        <f>IF(B5121="","",IF(ISNUMBER(B5121),TEXT(B5121,"YYYY-MM"),LEFT(B5121,7)))</f>
        <v/>
      </c>
    </row>
    <row r="5122">
      <c r="N5122" s="6">
        <f>IF(B5122="","",IF(ISNUMBER(B5122),TEXT(B5122,"YYYY-MM"),LEFT(B5122,7)))</f>
        <v/>
      </c>
    </row>
    <row r="5123">
      <c r="N5123" s="6">
        <f>IF(B5123="","",IF(ISNUMBER(B5123),TEXT(B5123,"YYYY-MM"),LEFT(B5123,7)))</f>
        <v/>
      </c>
    </row>
    <row r="5124">
      <c r="N5124" s="6">
        <f>IF(B5124="","",IF(ISNUMBER(B5124),TEXT(B5124,"YYYY-MM"),LEFT(B5124,7)))</f>
        <v/>
      </c>
    </row>
    <row r="5125">
      <c r="N5125" s="6">
        <f>IF(B5125="","",IF(ISNUMBER(B5125),TEXT(B5125,"YYYY-MM"),LEFT(B5125,7)))</f>
        <v/>
      </c>
    </row>
    <row r="5126">
      <c r="N5126" s="6">
        <f>IF(B5126="","",IF(ISNUMBER(B5126),TEXT(B5126,"YYYY-MM"),LEFT(B5126,7)))</f>
        <v/>
      </c>
    </row>
    <row r="5127">
      <c r="N5127" s="6">
        <f>IF(B5127="","",IF(ISNUMBER(B5127),TEXT(B5127,"YYYY-MM"),LEFT(B5127,7)))</f>
        <v/>
      </c>
    </row>
    <row r="5128">
      <c r="N5128" s="6">
        <f>IF(B5128="","",IF(ISNUMBER(B5128),TEXT(B5128,"YYYY-MM"),LEFT(B5128,7)))</f>
        <v/>
      </c>
    </row>
    <row r="5129">
      <c r="N5129" s="6">
        <f>IF(B5129="","",IF(ISNUMBER(B5129),TEXT(B5129,"YYYY-MM"),LEFT(B5129,7)))</f>
        <v/>
      </c>
    </row>
    <row r="5130">
      <c r="N5130" s="6">
        <f>IF(B5130="","",IF(ISNUMBER(B5130),TEXT(B5130,"YYYY-MM"),LEFT(B5130,7)))</f>
        <v/>
      </c>
    </row>
    <row r="5131">
      <c r="N5131" s="6">
        <f>IF(B5131="","",IF(ISNUMBER(B5131),TEXT(B5131,"YYYY-MM"),LEFT(B5131,7)))</f>
        <v/>
      </c>
    </row>
    <row r="5132">
      <c r="N5132" s="6">
        <f>IF(B5132="","",IF(ISNUMBER(B5132),TEXT(B5132,"YYYY-MM"),LEFT(B5132,7)))</f>
        <v/>
      </c>
    </row>
    <row r="5133">
      <c r="N5133" s="6">
        <f>IF(B5133="","",IF(ISNUMBER(B5133),TEXT(B5133,"YYYY-MM"),LEFT(B5133,7)))</f>
        <v/>
      </c>
    </row>
    <row r="5134">
      <c r="N5134" s="6">
        <f>IF(B5134="","",IF(ISNUMBER(B5134),TEXT(B5134,"YYYY-MM"),LEFT(B5134,7)))</f>
        <v/>
      </c>
    </row>
    <row r="5135">
      <c r="N5135" s="6">
        <f>IF(B5135="","",IF(ISNUMBER(B5135),TEXT(B5135,"YYYY-MM"),LEFT(B5135,7)))</f>
        <v/>
      </c>
    </row>
    <row r="5136">
      <c r="N5136" s="6">
        <f>IF(B5136="","",IF(ISNUMBER(B5136),TEXT(B5136,"YYYY-MM"),LEFT(B5136,7)))</f>
        <v/>
      </c>
    </row>
    <row r="5137">
      <c r="N5137" s="6">
        <f>IF(B5137="","",IF(ISNUMBER(B5137),TEXT(B5137,"YYYY-MM"),LEFT(B5137,7)))</f>
        <v/>
      </c>
    </row>
    <row r="5138">
      <c r="N5138" s="6">
        <f>IF(B5138="","",IF(ISNUMBER(B5138),TEXT(B5138,"YYYY-MM"),LEFT(B5138,7)))</f>
        <v/>
      </c>
    </row>
    <row r="5139">
      <c r="N5139" s="6">
        <f>IF(B5139="","",IF(ISNUMBER(B5139),TEXT(B5139,"YYYY-MM"),LEFT(B5139,7)))</f>
        <v/>
      </c>
    </row>
    <row r="5140">
      <c r="N5140" s="6">
        <f>IF(B5140="","",IF(ISNUMBER(B5140),TEXT(B5140,"YYYY-MM"),LEFT(B5140,7)))</f>
        <v/>
      </c>
    </row>
    <row r="5141">
      <c r="N5141" s="6">
        <f>IF(B5141="","",IF(ISNUMBER(B5141),TEXT(B5141,"YYYY-MM"),LEFT(B5141,7)))</f>
        <v/>
      </c>
    </row>
    <row r="5142">
      <c r="N5142" s="6">
        <f>IF(B5142="","",IF(ISNUMBER(B5142),TEXT(B5142,"YYYY-MM"),LEFT(B5142,7)))</f>
        <v/>
      </c>
    </row>
    <row r="5143">
      <c r="N5143" s="6">
        <f>IF(B5143="","",IF(ISNUMBER(B5143),TEXT(B5143,"YYYY-MM"),LEFT(B5143,7)))</f>
        <v/>
      </c>
    </row>
    <row r="5144">
      <c r="N5144" s="6">
        <f>IF(B5144="","",IF(ISNUMBER(B5144),TEXT(B5144,"YYYY-MM"),LEFT(B5144,7)))</f>
        <v/>
      </c>
    </row>
    <row r="5145">
      <c r="N5145" s="6">
        <f>IF(B5145="","",IF(ISNUMBER(B5145),TEXT(B5145,"YYYY-MM"),LEFT(B5145,7)))</f>
        <v/>
      </c>
    </row>
    <row r="5146">
      <c r="N5146" s="6">
        <f>IF(B5146="","",IF(ISNUMBER(B5146),TEXT(B5146,"YYYY-MM"),LEFT(B5146,7)))</f>
        <v/>
      </c>
    </row>
    <row r="5147">
      <c r="N5147" s="6">
        <f>IF(B5147="","",IF(ISNUMBER(B5147),TEXT(B5147,"YYYY-MM"),LEFT(B5147,7)))</f>
        <v/>
      </c>
    </row>
    <row r="5148">
      <c r="N5148" s="6">
        <f>IF(B5148="","",IF(ISNUMBER(B5148),TEXT(B5148,"YYYY-MM"),LEFT(B5148,7)))</f>
        <v/>
      </c>
    </row>
    <row r="5149">
      <c r="N5149" s="6">
        <f>IF(B5149="","",IF(ISNUMBER(B5149),TEXT(B5149,"YYYY-MM"),LEFT(B5149,7)))</f>
        <v/>
      </c>
    </row>
    <row r="5150">
      <c r="N5150" s="6">
        <f>IF(B5150="","",IF(ISNUMBER(B5150),TEXT(B5150,"YYYY-MM"),LEFT(B5150,7)))</f>
        <v/>
      </c>
    </row>
    <row r="5151">
      <c r="N5151" s="6">
        <f>IF(B5151="","",IF(ISNUMBER(B5151),TEXT(B5151,"YYYY-MM"),LEFT(B5151,7)))</f>
        <v/>
      </c>
    </row>
    <row r="5152">
      <c r="N5152" s="6">
        <f>IF(B5152="","",IF(ISNUMBER(B5152),TEXT(B5152,"YYYY-MM"),LEFT(B5152,7)))</f>
        <v/>
      </c>
    </row>
    <row r="5153">
      <c r="N5153" s="6">
        <f>IF(B5153="","",IF(ISNUMBER(B5153),TEXT(B5153,"YYYY-MM"),LEFT(B5153,7)))</f>
        <v/>
      </c>
    </row>
    <row r="5154">
      <c r="N5154" s="6">
        <f>IF(B5154="","",IF(ISNUMBER(B5154),TEXT(B5154,"YYYY-MM"),LEFT(B5154,7)))</f>
        <v/>
      </c>
    </row>
    <row r="5155">
      <c r="N5155" s="6">
        <f>IF(B5155="","",IF(ISNUMBER(B5155),TEXT(B5155,"YYYY-MM"),LEFT(B5155,7)))</f>
        <v/>
      </c>
    </row>
    <row r="5156">
      <c r="N5156" s="6">
        <f>IF(B5156="","",IF(ISNUMBER(B5156),TEXT(B5156,"YYYY-MM"),LEFT(B5156,7)))</f>
        <v/>
      </c>
    </row>
    <row r="5157">
      <c r="N5157" s="6">
        <f>IF(B5157="","",IF(ISNUMBER(B5157),TEXT(B5157,"YYYY-MM"),LEFT(B5157,7)))</f>
        <v/>
      </c>
    </row>
    <row r="5158">
      <c r="N5158" s="6">
        <f>IF(B5158="","",IF(ISNUMBER(B5158),TEXT(B5158,"YYYY-MM"),LEFT(B5158,7)))</f>
        <v/>
      </c>
    </row>
    <row r="5159">
      <c r="N5159" s="6">
        <f>IF(B5159="","",IF(ISNUMBER(B5159),TEXT(B5159,"YYYY-MM"),LEFT(B5159,7)))</f>
        <v/>
      </c>
    </row>
    <row r="5160">
      <c r="N5160" s="6">
        <f>IF(B5160="","",IF(ISNUMBER(B5160),TEXT(B5160,"YYYY-MM"),LEFT(B5160,7)))</f>
        <v/>
      </c>
    </row>
    <row r="5161">
      <c r="N5161" s="6">
        <f>IF(B5161="","",IF(ISNUMBER(B5161),TEXT(B5161,"YYYY-MM"),LEFT(B5161,7)))</f>
        <v/>
      </c>
    </row>
    <row r="5162">
      <c r="N5162" s="6">
        <f>IF(B5162="","",IF(ISNUMBER(B5162),TEXT(B5162,"YYYY-MM"),LEFT(B5162,7)))</f>
        <v/>
      </c>
    </row>
    <row r="5163">
      <c r="N5163" s="6">
        <f>IF(B5163="","",IF(ISNUMBER(B5163),TEXT(B5163,"YYYY-MM"),LEFT(B5163,7)))</f>
        <v/>
      </c>
    </row>
    <row r="5164">
      <c r="N5164" s="6">
        <f>IF(B5164="","",IF(ISNUMBER(B5164),TEXT(B5164,"YYYY-MM"),LEFT(B5164,7)))</f>
        <v/>
      </c>
    </row>
    <row r="5165">
      <c r="N5165" s="6">
        <f>IF(B5165="","",IF(ISNUMBER(B5165),TEXT(B5165,"YYYY-MM"),LEFT(B5165,7)))</f>
        <v/>
      </c>
    </row>
    <row r="5166">
      <c r="N5166" s="6">
        <f>IF(B5166="","",IF(ISNUMBER(B5166),TEXT(B5166,"YYYY-MM"),LEFT(B5166,7)))</f>
        <v/>
      </c>
    </row>
    <row r="5167">
      <c r="N5167" s="6">
        <f>IF(B5167="","",IF(ISNUMBER(B5167),TEXT(B5167,"YYYY-MM"),LEFT(B5167,7)))</f>
        <v/>
      </c>
    </row>
    <row r="5168">
      <c r="N5168" s="6">
        <f>IF(B5168="","",IF(ISNUMBER(B5168),TEXT(B5168,"YYYY-MM"),LEFT(B5168,7)))</f>
        <v/>
      </c>
    </row>
    <row r="5169">
      <c r="N5169" s="6">
        <f>IF(B5169="","",IF(ISNUMBER(B5169),TEXT(B5169,"YYYY-MM"),LEFT(B5169,7)))</f>
        <v/>
      </c>
    </row>
    <row r="5170">
      <c r="N5170" s="6">
        <f>IF(B5170="","",IF(ISNUMBER(B5170),TEXT(B5170,"YYYY-MM"),LEFT(B5170,7)))</f>
        <v/>
      </c>
    </row>
    <row r="5171">
      <c r="N5171" s="6">
        <f>IF(B5171="","",IF(ISNUMBER(B5171),TEXT(B5171,"YYYY-MM"),LEFT(B5171,7)))</f>
        <v/>
      </c>
    </row>
    <row r="5172">
      <c r="N5172" s="6">
        <f>IF(B5172="","",IF(ISNUMBER(B5172),TEXT(B5172,"YYYY-MM"),LEFT(B5172,7)))</f>
        <v/>
      </c>
    </row>
    <row r="5173">
      <c r="N5173" s="6">
        <f>IF(B5173="","",IF(ISNUMBER(B5173),TEXT(B5173,"YYYY-MM"),LEFT(B5173,7)))</f>
        <v/>
      </c>
    </row>
    <row r="5174">
      <c r="N5174" s="6">
        <f>IF(B5174="","",IF(ISNUMBER(B5174),TEXT(B5174,"YYYY-MM"),LEFT(B5174,7)))</f>
        <v/>
      </c>
    </row>
    <row r="5175">
      <c r="N5175" s="6">
        <f>IF(B5175="","",IF(ISNUMBER(B5175),TEXT(B5175,"YYYY-MM"),LEFT(B5175,7)))</f>
        <v/>
      </c>
    </row>
    <row r="5176">
      <c r="N5176" s="6">
        <f>IF(B5176="","",IF(ISNUMBER(B5176),TEXT(B5176,"YYYY-MM"),LEFT(B5176,7)))</f>
        <v/>
      </c>
    </row>
    <row r="5177">
      <c r="N5177" s="6">
        <f>IF(B5177="","",IF(ISNUMBER(B5177),TEXT(B5177,"YYYY-MM"),LEFT(B5177,7)))</f>
        <v/>
      </c>
    </row>
    <row r="5178">
      <c r="N5178" s="6">
        <f>IF(B5178="","",IF(ISNUMBER(B5178),TEXT(B5178,"YYYY-MM"),LEFT(B5178,7)))</f>
        <v/>
      </c>
    </row>
    <row r="5179">
      <c r="N5179" s="6">
        <f>IF(B5179="","",IF(ISNUMBER(B5179),TEXT(B5179,"YYYY-MM"),LEFT(B5179,7)))</f>
        <v/>
      </c>
    </row>
    <row r="5180">
      <c r="N5180" s="6">
        <f>IF(B5180="","",IF(ISNUMBER(B5180),TEXT(B5180,"YYYY-MM"),LEFT(B5180,7)))</f>
        <v/>
      </c>
    </row>
    <row r="5181">
      <c r="N5181" s="6">
        <f>IF(B5181="","",IF(ISNUMBER(B5181),TEXT(B5181,"YYYY-MM"),LEFT(B5181,7)))</f>
        <v/>
      </c>
    </row>
    <row r="5182">
      <c r="N5182" s="6">
        <f>IF(B5182="","",IF(ISNUMBER(B5182),TEXT(B5182,"YYYY-MM"),LEFT(B5182,7)))</f>
        <v/>
      </c>
    </row>
    <row r="5183">
      <c r="N5183" s="6">
        <f>IF(B5183="","",IF(ISNUMBER(B5183),TEXT(B5183,"YYYY-MM"),LEFT(B5183,7)))</f>
        <v/>
      </c>
    </row>
    <row r="5184">
      <c r="N5184" s="6">
        <f>IF(B5184="","",IF(ISNUMBER(B5184),TEXT(B5184,"YYYY-MM"),LEFT(B5184,7)))</f>
        <v/>
      </c>
    </row>
    <row r="5185">
      <c r="N5185" s="6">
        <f>IF(B5185="","",IF(ISNUMBER(B5185),TEXT(B5185,"YYYY-MM"),LEFT(B5185,7)))</f>
        <v/>
      </c>
    </row>
    <row r="5186">
      <c r="N5186" s="6">
        <f>IF(B5186="","",IF(ISNUMBER(B5186),TEXT(B5186,"YYYY-MM"),LEFT(B5186,7)))</f>
        <v/>
      </c>
    </row>
    <row r="5187">
      <c r="N5187" s="6">
        <f>IF(B5187="","",IF(ISNUMBER(B5187),TEXT(B5187,"YYYY-MM"),LEFT(B5187,7)))</f>
        <v/>
      </c>
    </row>
    <row r="5188">
      <c r="N5188" s="6">
        <f>IF(B5188="","",IF(ISNUMBER(B5188),TEXT(B5188,"YYYY-MM"),LEFT(B5188,7)))</f>
        <v/>
      </c>
    </row>
    <row r="5189">
      <c r="N5189" s="6">
        <f>IF(B5189="","",IF(ISNUMBER(B5189),TEXT(B5189,"YYYY-MM"),LEFT(B5189,7)))</f>
        <v/>
      </c>
    </row>
    <row r="5190">
      <c r="N5190" s="6">
        <f>IF(B5190="","",IF(ISNUMBER(B5190),TEXT(B5190,"YYYY-MM"),LEFT(B5190,7)))</f>
        <v/>
      </c>
    </row>
    <row r="5191">
      <c r="N5191" s="6">
        <f>IF(B5191="","",IF(ISNUMBER(B5191),TEXT(B5191,"YYYY-MM"),LEFT(B5191,7)))</f>
        <v/>
      </c>
    </row>
    <row r="5192">
      <c r="N5192" s="6">
        <f>IF(B5192="","",IF(ISNUMBER(B5192),TEXT(B5192,"YYYY-MM"),LEFT(B5192,7)))</f>
        <v/>
      </c>
    </row>
    <row r="5193">
      <c r="N5193" s="6">
        <f>IF(B5193="","",IF(ISNUMBER(B5193),TEXT(B5193,"YYYY-MM"),LEFT(B5193,7)))</f>
        <v/>
      </c>
    </row>
    <row r="5194">
      <c r="N5194" s="6">
        <f>IF(B5194="","",IF(ISNUMBER(B5194),TEXT(B5194,"YYYY-MM"),LEFT(B5194,7)))</f>
        <v/>
      </c>
    </row>
    <row r="5195">
      <c r="N5195" s="6">
        <f>IF(B5195="","",IF(ISNUMBER(B5195),TEXT(B5195,"YYYY-MM"),LEFT(B5195,7)))</f>
        <v/>
      </c>
    </row>
    <row r="5196">
      <c r="N5196" s="6">
        <f>IF(B5196="","",IF(ISNUMBER(B5196),TEXT(B5196,"YYYY-MM"),LEFT(B5196,7)))</f>
        <v/>
      </c>
    </row>
    <row r="5197">
      <c r="N5197" s="6">
        <f>IF(B5197="","",IF(ISNUMBER(B5197),TEXT(B5197,"YYYY-MM"),LEFT(B5197,7)))</f>
        <v/>
      </c>
    </row>
    <row r="5198">
      <c r="N5198" s="6">
        <f>IF(B5198="","",IF(ISNUMBER(B5198),TEXT(B5198,"YYYY-MM"),LEFT(B5198,7)))</f>
        <v/>
      </c>
    </row>
    <row r="5199">
      <c r="N5199" s="6">
        <f>IF(B5199="","",IF(ISNUMBER(B5199),TEXT(B5199,"YYYY-MM"),LEFT(B5199,7)))</f>
        <v/>
      </c>
    </row>
    <row r="5200">
      <c r="N5200" s="6">
        <f>IF(B5200="","",IF(ISNUMBER(B5200),TEXT(B5200,"YYYY-MM"),LEFT(B5200,7)))</f>
        <v/>
      </c>
    </row>
    <row r="5201">
      <c r="N5201" s="6">
        <f>IF(B5201="","",IF(ISNUMBER(B5201),TEXT(B5201,"YYYY-MM"),LEFT(B5201,7)))</f>
        <v/>
      </c>
    </row>
    <row r="5202">
      <c r="N5202" s="6">
        <f>IF(B5202="","",IF(ISNUMBER(B5202),TEXT(B5202,"YYYY-MM"),LEFT(B5202,7)))</f>
        <v/>
      </c>
    </row>
    <row r="5203">
      <c r="N5203" s="6">
        <f>IF(B5203="","",IF(ISNUMBER(B5203),TEXT(B5203,"YYYY-MM"),LEFT(B5203,7)))</f>
        <v/>
      </c>
    </row>
    <row r="5204">
      <c r="N5204" s="6">
        <f>IF(B5204="","",IF(ISNUMBER(B5204),TEXT(B5204,"YYYY-MM"),LEFT(B5204,7)))</f>
        <v/>
      </c>
    </row>
    <row r="5205">
      <c r="N5205" s="6">
        <f>IF(B5205="","",IF(ISNUMBER(B5205),TEXT(B5205,"YYYY-MM"),LEFT(B5205,7)))</f>
        <v/>
      </c>
    </row>
    <row r="5206">
      <c r="N5206" s="6">
        <f>IF(B5206="","",IF(ISNUMBER(B5206),TEXT(B5206,"YYYY-MM"),LEFT(B5206,7)))</f>
        <v/>
      </c>
    </row>
    <row r="5207">
      <c r="N5207" s="6">
        <f>IF(B5207="","",IF(ISNUMBER(B5207),TEXT(B5207,"YYYY-MM"),LEFT(B5207,7)))</f>
        <v/>
      </c>
    </row>
    <row r="5208">
      <c r="N5208" s="6">
        <f>IF(B5208="","",IF(ISNUMBER(B5208),TEXT(B5208,"YYYY-MM"),LEFT(B5208,7)))</f>
        <v/>
      </c>
    </row>
    <row r="5209">
      <c r="N5209" s="6">
        <f>IF(B5209="","",IF(ISNUMBER(B5209),TEXT(B5209,"YYYY-MM"),LEFT(B5209,7)))</f>
        <v/>
      </c>
    </row>
    <row r="5210">
      <c r="N5210" s="6">
        <f>IF(B5210="","",IF(ISNUMBER(B5210),TEXT(B5210,"YYYY-MM"),LEFT(B5210,7)))</f>
        <v/>
      </c>
    </row>
    <row r="5211">
      <c r="N5211" s="6">
        <f>IF(B5211="","",IF(ISNUMBER(B5211),TEXT(B5211,"YYYY-MM"),LEFT(B5211,7)))</f>
        <v/>
      </c>
    </row>
    <row r="5212">
      <c r="N5212" s="6">
        <f>IF(B5212="","",IF(ISNUMBER(B5212),TEXT(B5212,"YYYY-MM"),LEFT(B5212,7)))</f>
        <v/>
      </c>
    </row>
    <row r="5213">
      <c r="N5213" s="6">
        <f>IF(B5213="","",IF(ISNUMBER(B5213),TEXT(B5213,"YYYY-MM"),LEFT(B5213,7)))</f>
        <v/>
      </c>
    </row>
    <row r="5214">
      <c r="N5214" s="6">
        <f>IF(B5214="","",IF(ISNUMBER(B5214),TEXT(B5214,"YYYY-MM"),LEFT(B5214,7)))</f>
        <v/>
      </c>
    </row>
    <row r="5215">
      <c r="N5215" s="6">
        <f>IF(B5215="","",IF(ISNUMBER(B5215),TEXT(B5215,"YYYY-MM"),LEFT(B5215,7)))</f>
        <v/>
      </c>
    </row>
    <row r="5216">
      <c r="N5216" s="6">
        <f>IF(B5216="","",IF(ISNUMBER(B5216),TEXT(B5216,"YYYY-MM"),LEFT(B5216,7)))</f>
        <v/>
      </c>
    </row>
    <row r="5217">
      <c r="N5217" s="6">
        <f>IF(B5217="","",IF(ISNUMBER(B5217),TEXT(B5217,"YYYY-MM"),LEFT(B5217,7)))</f>
        <v/>
      </c>
    </row>
    <row r="5218">
      <c r="N5218" s="6">
        <f>IF(B5218="","",IF(ISNUMBER(B5218),TEXT(B5218,"YYYY-MM"),LEFT(B5218,7)))</f>
        <v/>
      </c>
    </row>
    <row r="5219">
      <c r="N5219" s="6">
        <f>IF(B5219="","",IF(ISNUMBER(B5219),TEXT(B5219,"YYYY-MM"),LEFT(B5219,7)))</f>
        <v/>
      </c>
    </row>
    <row r="5220">
      <c r="N5220" s="6">
        <f>IF(B5220="","",IF(ISNUMBER(B5220),TEXT(B5220,"YYYY-MM"),LEFT(B5220,7)))</f>
        <v/>
      </c>
    </row>
    <row r="5221">
      <c r="N5221" s="6">
        <f>IF(B5221="","",IF(ISNUMBER(B5221),TEXT(B5221,"YYYY-MM"),LEFT(B5221,7)))</f>
        <v/>
      </c>
    </row>
    <row r="5222">
      <c r="N5222" s="6">
        <f>IF(B5222="","",IF(ISNUMBER(B5222),TEXT(B5222,"YYYY-MM"),LEFT(B5222,7)))</f>
        <v/>
      </c>
    </row>
    <row r="5223">
      <c r="N5223" s="6">
        <f>IF(B5223="","",IF(ISNUMBER(B5223),TEXT(B5223,"YYYY-MM"),LEFT(B5223,7)))</f>
        <v/>
      </c>
    </row>
    <row r="5224">
      <c r="N5224" s="6">
        <f>IF(B5224="","",IF(ISNUMBER(B5224),TEXT(B5224,"YYYY-MM"),LEFT(B5224,7)))</f>
        <v/>
      </c>
    </row>
    <row r="5225">
      <c r="N5225" s="6">
        <f>IF(B5225="","",IF(ISNUMBER(B5225),TEXT(B5225,"YYYY-MM"),LEFT(B5225,7)))</f>
        <v/>
      </c>
    </row>
    <row r="5226">
      <c r="N5226" s="6">
        <f>IF(B5226="","",IF(ISNUMBER(B5226),TEXT(B5226,"YYYY-MM"),LEFT(B5226,7)))</f>
        <v/>
      </c>
    </row>
    <row r="5227">
      <c r="N5227" s="6">
        <f>IF(B5227="","",IF(ISNUMBER(B5227),TEXT(B5227,"YYYY-MM"),LEFT(B5227,7)))</f>
        <v/>
      </c>
    </row>
    <row r="5228">
      <c r="N5228" s="6">
        <f>IF(B5228="","",IF(ISNUMBER(B5228),TEXT(B5228,"YYYY-MM"),LEFT(B5228,7)))</f>
        <v/>
      </c>
    </row>
    <row r="5229">
      <c r="N5229" s="6">
        <f>IF(B5229="","",IF(ISNUMBER(B5229),TEXT(B5229,"YYYY-MM"),LEFT(B5229,7)))</f>
        <v/>
      </c>
    </row>
    <row r="5230">
      <c r="N5230" s="6">
        <f>IF(B5230="","",IF(ISNUMBER(B5230),TEXT(B5230,"YYYY-MM"),LEFT(B5230,7)))</f>
        <v/>
      </c>
    </row>
    <row r="5231">
      <c r="N5231" s="6">
        <f>IF(B5231="","",IF(ISNUMBER(B5231),TEXT(B5231,"YYYY-MM"),LEFT(B5231,7)))</f>
        <v/>
      </c>
    </row>
    <row r="5232">
      <c r="N5232" s="6">
        <f>IF(B5232="","",IF(ISNUMBER(B5232),TEXT(B5232,"YYYY-MM"),LEFT(B5232,7)))</f>
        <v/>
      </c>
    </row>
    <row r="5233">
      <c r="N5233" s="6">
        <f>IF(B5233="","",IF(ISNUMBER(B5233),TEXT(B5233,"YYYY-MM"),LEFT(B5233,7)))</f>
        <v/>
      </c>
    </row>
    <row r="5234">
      <c r="N5234" s="6">
        <f>IF(B5234="","",IF(ISNUMBER(B5234),TEXT(B5234,"YYYY-MM"),LEFT(B5234,7)))</f>
        <v/>
      </c>
    </row>
    <row r="5235">
      <c r="N5235" s="6">
        <f>IF(B5235="","",IF(ISNUMBER(B5235),TEXT(B5235,"YYYY-MM"),LEFT(B5235,7)))</f>
        <v/>
      </c>
    </row>
    <row r="5236">
      <c r="N5236" s="6">
        <f>IF(B5236="","",IF(ISNUMBER(B5236),TEXT(B5236,"YYYY-MM"),LEFT(B5236,7)))</f>
        <v/>
      </c>
    </row>
    <row r="5237">
      <c r="N5237" s="6">
        <f>IF(B5237="","",IF(ISNUMBER(B5237),TEXT(B5237,"YYYY-MM"),LEFT(B5237,7)))</f>
        <v/>
      </c>
    </row>
    <row r="5238">
      <c r="N5238" s="6">
        <f>IF(B5238="","",IF(ISNUMBER(B5238),TEXT(B5238,"YYYY-MM"),LEFT(B5238,7)))</f>
        <v/>
      </c>
    </row>
    <row r="5239">
      <c r="N5239" s="6">
        <f>IF(B5239="","",IF(ISNUMBER(B5239),TEXT(B5239,"YYYY-MM"),LEFT(B5239,7)))</f>
        <v/>
      </c>
    </row>
    <row r="5240">
      <c r="N5240" s="6">
        <f>IF(B5240="","",IF(ISNUMBER(B5240),TEXT(B5240,"YYYY-MM"),LEFT(B5240,7)))</f>
        <v/>
      </c>
    </row>
    <row r="5241">
      <c r="N5241" s="6">
        <f>IF(B5241="","",IF(ISNUMBER(B5241),TEXT(B5241,"YYYY-MM"),LEFT(B5241,7)))</f>
        <v/>
      </c>
    </row>
    <row r="5242">
      <c r="N5242" s="6">
        <f>IF(B5242="","",IF(ISNUMBER(B5242),TEXT(B5242,"YYYY-MM"),LEFT(B5242,7)))</f>
        <v/>
      </c>
    </row>
    <row r="5243">
      <c r="N5243" s="6">
        <f>IF(B5243="","",IF(ISNUMBER(B5243),TEXT(B5243,"YYYY-MM"),LEFT(B5243,7)))</f>
        <v/>
      </c>
    </row>
    <row r="5244">
      <c r="N5244" s="6">
        <f>IF(B5244="","",IF(ISNUMBER(B5244),TEXT(B5244,"YYYY-MM"),LEFT(B5244,7)))</f>
        <v/>
      </c>
    </row>
    <row r="5245">
      <c r="N5245" s="6">
        <f>IF(B5245="","",IF(ISNUMBER(B5245),TEXT(B5245,"YYYY-MM"),LEFT(B5245,7)))</f>
        <v/>
      </c>
    </row>
    <row r="5246">
      <c r="N5246" s="6">
        <f>IF(B5246="","",IF(ISNUMBER(B5246),TEXT(B5246,"YYYY-MM"),LEFT(B5246,7)))</f>
        <v/>
      </c>
    </row>
    <row r="5247">
      <c r="N5247" s="6">
        <f>IF(B5247="","",IF(ISNUMBER(B5247),TEXT(B5247,"YYYY-MM"),LEFT(B5247,7)))</f>
        <v/>
      </c>
    </row>
    <row r="5248">
      <c r="N5248" s="6">
        <f>IF(B5248="","",IF(ISNUMBER(B5248),TEXT(B5248,"YYYY-MM"),LEFT(B5248,7)))</f>
        <v/>
      </c>
    </row>
    <row r="5249">
      <c r="N5249" s="6">
        <f>IF(B5249="","",IF(ISNUMBER(B5249),TEXT(B5249,"YYYY-MM"),LEFT(B5249,7)))</f>
        <v/>
      </c>
    </row>
    <row r="5250">
      <c r="N5250" s="6">
        <f>IF(B5250="","",IF(ISNUMBER(B5250),TEXT(B5250,"YYYY-MM"),LEFT(B5250,7)))</f>
        <v/>
      </c>
    </row>
    <row r="5251">
      <c r="N5251" s="6">
        <f>IF(B5251="","",IF(ISNUMBER(B5251),TEXT(B5251,"YYYY-MM"),LEFT(B5251,7)))</f>
        <v/>
      </c>
    </row>
    <row r="5252">
      <c r="N5252" s="6">
        <f>IF(B5252="","",IF(ISNUMBER(B5252),TEXT(B5252,"YYYY-MM"),LEFT(B5252,7)))</f>
        <v/>
      </c>
    </row>
    <row r="5253">
      <c r="N5253" s="6">
        <f>IF(B5253="","",IF(ISNUMBER(B5253),TEXT(B5253,"YYYY-MM"),LEFT(B5253,7)))</f>
        <v/>
      </c>
    </row>
    <row r="5254">
      <c r="N5254" s="6">
        <f>IF(B5254="","",IF(ISNUMBER(B5254),TEXT(B5254,"YYYY-MM"),LEFT(B5254,7)))</f>
        <v/>
      </c>
    </row>
    <row r="5255">
      <c r="N5255" s="6">
        <f>IF(B5255="","",IF(ISNUMBER(B5255),TEXT(B5255,"YYYY-MM"),LEFT(B5255,7)))</f>
        <v/>
      </c>
    </row>
    <row r="5256">
      <c r="N5256" s="6">
        <f>IF(B5256="","",IF(ISNUMBER(B5256),TEXT(B5256,"YYYY-MM"),LEFT(B5256,7)))</f>
        <v/>
      </c>
    </row>
    <row r="5257">
      <c r="N5257" s="6">
        <f>IF(B5257="","",IF(ISNUMBER(B5257),TEXT(B5257,"YYYY-MM"),LEFT(B5257,7)))</f>
        <v/>
      </c>
    </row>
    <row r="5258">
      <c r="N5258" s="6">
        <f>IF(B5258="","",IF(ISNUMBER(B5258),TEXT(B5258,"YYYY-MM"),LEFT(B5258,7)))</f>
        <v/>
      </c>
    </row>
    <row r="5259">
      <c r="N5259" s="6">
        <f>IF(B5259="","",IF(ISNUMBER(B5259),TEXT(B5259,"YYYY-MM"),LEFT(B5259,7)))</f>
        <v/>
      </c>
    </row>
    <row r="5260">
      <c r="N5260" s="6">
        <f>IF(B5260="","",IF(ISNUMBER(B5260),TEXT(B5260,"YYYY-MM"),LEFT(B5260,7)))</f>
        <v/>
      </c>
    </row>
    <row r="5261">
      <c r="N5261" s="6">
        <f>IF(B5261="","",IF(ISNUMBER(B5261),TEXT(B5261,"YYYY-MM"),LEFT(B5261,7)))</f>
        <v/>
      </c>
    </row>
    <row r="5262">
      <c r="N5262" s="6">
        <f>IF(B5262="","",IF(ISNUMBER(B5262),TEXT(B5262,"YYYY-MM"),LEFT(B5262,7)))</f>
        <v/>
      </c>
    </row>
    <row r="5263">
      <c r="N5263" s="6">
        <f>IF(B5263="","",IF(ISNUMBER(B5263),TEXT(B5263,"YYYY-MM"),LEFT(B5263,7)))</f>
        <v/>
      </c>
    </row>
    <row r="5264">
      <c r="N5264" s="6">
        <f>IF(B5264="","",IF(ISNUMBER(B5264),TEXT(B5264,"YYYY-MM"),LEFT(B5264,7)))</f>
        <v/>
      </c>
    </row>
    <row r="5265">
      <c r="N5265" s="6">
        <f>IF(B5265="","",IF(ISNUMBER(B5265),TEXT(B5265,"YYYY-MM"),LEFT(B5265,7)))</f>
        <v/>
      </c>
    </row>
    <row r="5266">
      <c r="N5266" s="6">
        <f>IF(B5266="","",IF(ISNUMBER(B5266),TEXT(B5266,"YYYY-MM"),LEFT(B5266,7)))</f>
        <v/>
      </c>
    </row>
    <row r="5267">
      <c r="N5267" s="6">
        <f>IF(B5267="","",IF(ISNUMBER(B5267),TEXT(B5267,"YYYY-MM"),LEFT(B5267,7)))</f>
        <v/>
      </c>
    </row>
    <row r="5268">
      <c r="N5268" s="6">
        <f>IF(B5268="","",IF(ISNUMBER(B5268),TEXT(B5268,"YYYY-MM"),LEFT(B5268,7)))</f>
        <v/>
      </c>
    </row>
    <row r="5269">
      <c r="N5269" s="6">
        <f>IF(B5269="","",IF(ISNUMBER(B5269),TEXT(B5269,"YYYY-MM"),LEFT(B5269,7)))</f>
        <v/>
      </c>
    </row>
    <row r="5270">
      <c r="N5270" s="6">
        <f>IF(B5270="","",IF(ISNUMBER(B5270),TEXT(B5270,"YYYY-MM"),LEFT(B5270,7)))</f>
        <v/>
      </c>
    </row>
    <row r="5271">
      <c r="N5271" s="6">
        <f>IF(B5271="","",IF(ISNUMBER(B5271),TEXT(B5271,"YYYY-MM"),LEFT(B5271,7)))</f>
        <v/>
      </c>
    </row>
    <row r="5272">
      <c r="N5272" s="6">
        <f>IF(B5272="","",IF(ISNUMBER(B5272),TEXT(B5272,"YYYY-MM"),LEFT(B5272,7)))</f>
        <v/>
      </c>
    </row>
    <row r="5273">
      <c r="N5273" s="6">
        <f>IF(B5273="","",IF(ISNUMBER(B5273),TEXT(B5273,"YYYY-MM"),LEFT(B5273,7)))</f>
        <v/>
      </c>
    </row>
    <row r="5274">
      <c r="N5274" s="6">
        <f>IF(B5274="","",IF(ISNUMBER(B5274),TEXT(B5274,"YYYY-MM"),LEFT(B5274,7)))</f>
        <v/>
      </c>
    </row>
    <row r="5275">
      <c r="N5275" s="6">
        <f>IF(B5275="","",IF(ISNUMBER(B5275),TEXT(B5275,"YYYY-MM"),LEFT(B5275,7)))</f>
        <v/>
      </c>
    </row>
    <row r="5276">
      <c r="N5276" s="6">
        <f>IF(B5276="","",IF(ISNUMBER(B5276),TEXT(B5276,"YYYY-MM"),LEFT(B5276,7)))</f>
        <v/>
      </c>
    </row>
    <row r="5277">
      <c r="N5277" s="6">
        <f>IF(B5277="","",IF(ISNUMBER(B5277),TEXT(B5277,"YYYY-MM"),LEFT(B5277,7)))</f>
        <v/>
      </c>
    </row>
    <row r="5278">
      <c r="N5278" s="6">
        <f>IF(B5278="","",IF(ISNUMBER(B5278),TEXT(B5278,"YYYY-MM"),LEFT(B5278,7)))</f>
        <v/>
      </c>
    </row>
    <row r="5279">
      <c r="N5279" s="6">
        <f>IF(B5279="","",IF(ISNUMBER(B5279),TEXT(B5279,"YYYY-MM"),LEFT(B5279,7)))</f>
        <v/>
      </c>
    </row>
    <row r="5280">
      <c r="N5280" s="6">
        <f>IF(B5280="","",IF(ISNUMBER(B5280),TEXT(B5280,"YYYY-MM"),LEFT(B5280,7)))</f>
        <v/>
      </c>
    </row>
    <row r="5281">
      <c r="N5281" s="6">
        <f>IF(B5281="","",IF(ISNUMBER(B5281),TEXT(B5281,"YYYY-MM"),LEFT(B5281,7)))</f>
        <v/>
      </c>
    </row>
    <row r="5282">
      <c r="N5282" s="6">
        <f>IF(B5282="","",IF(ISNUMBER(B5282),TEXT(B5282,"YYYY-MM"),LEFT(B5282,7)))</f>
        <v/>
      </c>
    </row>
    <row r="5283">
      <c r="N5283" s="6">
        <f>IF(B5283="","",IF(ISNUMBER(B5283),TEXT(B5283,"YYYY-MM"),LEFT(B5283,7)))</f>
        <v/>
      </c>
    </row>
    <row r="5284">
      <c r="N5284" s="6">
        <f>IF(B5284="","",IF(ISNUMBER(B5284),TEXT(B5284,"YYYY-MM"),LEFT(B5284,7)))</f>
        <v/>
      </c>
    </row>
    <row r="5285">
      <c r="N5285" s="6">
        <f>IF(B5285="","",IF(ISNUMBER(B5285),TEXT(B5285,"YYYY-MM"),LEFT(B5285,7)))</f>
        <v/>
      </c>
    </row>
    <row r="5286">
      <c r="N5286" s="6">
        <f>IF(B5286="","",IF(ISNUMBER(B5286),TEXT(B5286,"YYYY-MM"),LEFT(B5286,7)))</f>
        <v/>
      </c>
    </row>
    <row r="5287">
      <c r="N5287" s="6">
        <f>IF(B5287="","",IF(ISNUMBER(B5287),TEXT(B5287,"YYYY-MM"),LEFT(B5287,7)))</f>
        <v/>
      </c>
    </row>
    <row r="5288">
      <c r="N5288" s="6">
        <f>IF(B5288="","",IF(ISNUMBER(B5288),TEXT(B5288,"YYYY-MM"),LEFT(B5288,7)))</f>
        <v/>
      </c>
    </row>
    <row r="5289">
      <c r="N5289" s="6">
        <f>IF(B5289="","",IF(ISNUMBER(B5289),TEXT(B5289,"YYYY-MM"),LEFT(B5289,7)))</f>
        <v/>
      </c>
    </row>
    <row r="5290">
      <c r="N5290" s="6">
        <f>IF(B5290="","",IF(ISNUMBER(B5290),TEXT(B5290,"YYYY-MM"),LEFT(B5290,7)))</f>
        <v/>
      </c>
    </row>
    <row r="5291">
      <c r="N5291" s="6">
        <f>IF(B5291="","",IF(ISNUMBER(B5291),TEXT(B5291,"YYYY-MM"),LEFT(B5291,7)))</f>
        <v/>
      </c>
    </row>
    <row r="5292">
      <c r="N5292" s="6">
        <f>IF(B5292="","",IF(ISNUMBER(B5292),TEXT(B5292,"YYYY-MM"),LEFT(B5292,7)))</f>
        <v/>
      </c>
    </row>
    <row r="5293">
      <c r="N5293" s="6">
        <f>IF(B5293="","",IF(ISNUMBER(B5293),TEXT(B5293,"YYYY-MM"),LEFT(B5293,7)))</f>
        <v/>
      </c>
    </row>
    <row r="5294">
      <c r="N5294" s="6">
        <f>IF(B5294="","",IF(ISNUMBER(B5294),TEXT(B5294,"YYYY-MM"),LEFT(B5294,7)))</f>
        <v/>
      </c>
    </row>
    <row r="5295">
      <c r="N5295" s="6">
        <f>IF(B5295="","",IF(ISNUMBER(B5295),TEXT(B5295,"YYYY-MM"),LEFT(B5295,7)))</f>
        <v/>
      </c>
    </row>
    <row r="5296">
      <c r="N5296" s="6">
        <f>IF(B5296="","",IF(ISNUMBER(B5296),TEXT(B5296,"YYYY-MM"),LEFT(B5296,7)))</f>
        <v/>
      </c>
    </row>
    <row r="5297">
      <c r="N5297" s="6">
        <f>IF(B5297="","",IF(ISNUMBER(B5297),TEXT(B5297,"YYYY-MM"),LEFT(B5297,7)))</f>
        <v/>
      </c>
    </row>
    <row r="5298">
      <c r="N5298" s="6">
        <f>IF(B5298="","",IF(ISNUMBER(B5298),TEXT(B5298,"YYYY-MM"),LEFT(B5298,7)))</f>
        <v/>
      </c>
    </row>
    <row r="5299">
      <c r="N5299" s="6">
        <f>IF(B5299="","",IF(ISNUMBER(B5299),TEXT(B5299,"YYYY-MM"),LEFT(B5299,7)))</f>
        <v/>
      </c>
    </row>
    <row r="5300">
      <c r="N5300" s="6">
        <f>IF(B5300="","",IF(ISNUMBER(B5300),TEXT(B5300,"YYYY-MM"),LEFT(B5300,7)))</f>
        <v/>
      </c>
    </row>
    <row r="5301">
      <c r="N5301" s="6">
        <f>IF(B5301="","",IF(ISNUMBER(B5301),TEXT(B5301,"YYYY-MM"),LEFT(B5301,7)))</f>
        <v/>
      </c>
    </row>
    <row r="5302">
      <c r="N5302" s="6">
        <f>IF(B5302="","",IF(ISNUMBER(B5302),TEXT(B5302,"YYYY-MM"),LEFT(B5302,7)))</f>
        <v/>
      </c>
    </row>
    <row r="5303">
      <c r="N5303" s="6">
        <f>IF(B5303="","",IF(ISNUMBER(B5303),TEXT(B5303,"YYYY-MM"),LEFT(B5303,7)))</f>
        <v/>
      </c>
    </row>
    <row r="5304">
      <c r="N5304" s="6">
        <f>IF(B5304="","",IF(ISNUMBER(B5304),TEXT(B5304,"YYYY-MM"),LEFT(B5304,7)))</f>
        <v/>
      </c>
    </row>
    <row r="5305">
      <c r="N5305" s="6">
        <f>IF(B5305="","",IF(ISNUMBER(B5305),TEXT(B5305,"YYYY-MM"),LEFT(B5305,7)))</f>
        <v/>
      </c>
    </row>
    <row r="5306">
      <c r="N5306" s="6">
        <f>IF(B5306="","",IF(ISNUMBER(B5306),TEXT(B5306,"YYYY-MM"),LEFT(B5306,7)))</f>
        <v/>
      </c>
    </row>
    <row r="5307">
      <c r="N5307" s="6">
        <f>IF(B5307="","",IF(ISNUMBER(B5307),TEXT(B5307,"YYYY-MM"),LEFT(B5307,7)))</f>
        <v/>
      </c>
    </row>
    <row r="5308">
      <c r="N5308" s="6">
        <f>IF(B5308="","",IF(ISNUMBER(B5308),TEXT(B5308,"YYYY-MM"),LEFT(B5308,7)))</f>
        <v/>
      </c>
    </row>
    <row r="5309">
      <c r="N5309" s="6">
        <f>IF(B5309="","",IF(ISNUMBER(B5309),TEXT(B5309,"YYYY-MM"),LEFT(B5309,7)))</f>
        <v/>
      </c>
    </row>
    <row r="5310">
      <c r="N5310" s="6">
        <f>IF(B5310="","",IF(ISNUMBER(B5310),TEXT(B5310,"YYYY-MM"),LEFT(B5310,7)))</f>
        <v/>
      </c>
    </row>
    <row r="5311">
      <c r="N5311" s="6">
        <f>IF(B5311="","",IF(ISNUMBER(B5311),TEXT(B5311,"YYYY-MM"),LEFT(B5311,7)))</f>
        <v/>
      </c>
    </row>
    <row r="5312">
      <c r="N5312" s="6">
        <f>IF(B5312="","",IF(ISNUMBER(B5312),TEXT(B5312,"YYYY-MM"),LEFT(B5312,7)))</f>
        <v/>
      </c>
    </row>
    <row r="5313">
      <c r="N5313" s="6">
        <f>IF(B5313="","",IF(ISNUMBER(B5313),TEXT(B5313,"YYYY-MM"),LEFT(B5313,7)))</f>
        <v/>
      </c>
    </row>
    <row r="5314">
      <c r="N5314" s="6">
        <f>IF(B5314="","",IF(ISNUMBER(B5314),TEXT(B5314,"YYYY-MM"),LEFT(B5314,7)))</f>
        <v/>
      </c>
    </row>
    <row r="5315">
      <c r="N5315" s="6">
        <f>IF(B5315="","",IF(ISNUMBER(B5315),TEXT(B5315,"YYYY-MM"),LEFT(B5315,7)))</f>
        <v/>
      </c>
    </row>
    <row r="5316">
      <c r="N5316" s="6">
        <f>IF(B5316="","",IF(ISNUMBER(B5316),TEXT(B5316,"YYYY-MM"),LEFT(B5316,7)))</f>
        <v/>
      </c>
    </row>
    <row r="5317">
      <c r="N5317" s="6">
        <f>IF(B5317="","",IF(ISNUMBER(B5317),TEXT(B5317,"YYYY-MM"),LEFT(B5317,7)))</f>
        <v/>
      </c>
    </row>
    <row r="5318">
      <c r="N5318" s="6">
        <f>IF(B5318="","",IF(ISNUMBER(B5318),TEXT(B5318,"YYYY-MM"),LEFT(B5318,7)))</f>
        <v/>
      </c>
    </row>
    <row r="5319">
      <c r="N5319" s="6">
        <f>IF(B5319="","",IF(ISNUMBER(B5319),TEXT(B5319,"YYYY-MM"),LEFT(B5319,7)))</f>
        <v/>
      </c>
    </row>
    <row r="5320">
      <c r="N5320" s="6">
        <f>IF(B5320="","",IF(ISNUMBER(B5320),TEXT(B5320,"YYYY-MM"),LEFT(B5320,7)))</f>
        <v/>
      </c>
    </row>
    <row r="5321">
      <c r="N5321" s="6">
        <f>IF(B5321="","",IF(ISNUMBER(B5321),TEXT(B5321,"YYYY-MM"),LEFT(B5321,7)))</f>
        <v/>
      </c>
    </row>
    <row r="5322">
      <c r="N5322" s="6">
        <f>IF(B5322="","",IF(ISNUMBER(B5322),TEXT(B5322,"YYYY-MM"),LEFT(B5322,7)))</f>
        <v/>
      </c>
    </row>
    <row r="5323">
      <c r="N5323" s="6">
        <f>IF(B5323="","",IF(ISNUMBER(B5323),TEXT(B5323,"YYYY-MM"),LEFT(B5323,7)))</f>
        <v/>
      </c>
    </row>
    <row r="5324">
      <c r="N5324" s="6">
        <f>IF(B5324="","",IF(ISNUMBER(B5324),TEXT(B5324,"YYYY-MM"),LEFT(B5324,7)))</f>
        <v/>
      </c>
    </row>
    <row r="5325">
      <c r="N5325" s="6">
        <f>IF(B5325="","",IF(ISNUMBER(B5325),TEXT(B5325,"YYYY-MM"),LEFT(B5325,7)))</f>
        <v/>
      </c>
    </row>
    <row r="5326">
      <c r="N5326" s="6">
        <f>IF(B5326="","",IF(ISNUMBER(B5326),TEXT(B5326,"YYYY-MM"),LEFT(B5326,7)))</f>
        <v/>
      </c>
    </row>
    <row r="5327">
      <c r="N5327" s="6">
        <f>IF(B5327="","",IF(ISNUMBER(B5327),TEXT(B5327,"YYYY-MM"),LEFT(B5327,7)))</f>
        <v/>
      </c>
    </row>
    <row r="5328">
      <c r="N5328" s="6">
        <f>IF(B5328="","",IF(ISNUMBER(B5328),TEXT(B5328,"YYYY-MM"),LEFT(B5328,7)))</f>
        <v/>
      </c>
    </row>
    <row r="5329">
      <c r="N5329" s="6">
        <f>IF(B5329="","",IF(ISNUMBER(B5329),TEXT(B5329,"YYYY-MM"),LEFT(B5329,7)))</f>
        <v/>
      </c>
    </row>
    <row r="5330">
      <c r="N5330" s="6">
        <f>IF(B5330="","",IF(ISNUMBER(B5330),TEXT(B5330,"YYYY-MM"),LEFT(B5330,7)))</f>
        <v/>
      </c>
    </row>
    <row r="5331">
      <c r="N5331" s="6">
        <f>IF(B5331="","",IF(ISNUMBER(B5331),TEXT(B5331,"YYYY-MM"),LEFT(B5331,7)))</f>
        <v/>
      </c>
    </row>
    <row r="5332">
      <c r="N5332" s="6">
        <f>IF(B5332="","",IF(ISNUMBER(B5332),TEXT(B5332,"YYYY-MM"),LEFT(B5332,7)))</f>
        <v/>
      </c>
    </row>
    <row r="5333">
      <c r="N5333" s="6">
        <f>IF(B5333="","",IF(ISNUMBER(B5333),TEXT(B5333,"YYYY-MM"),LEFT(B5333,7)))</f>
        <v/>
      </c>
    </row>
    <row r="5334">
      <c r="N5334" s="6">
        <f>IF(B5334="","",IF(ISNUMBER(B5334),TEXT(B5334,"YYYY-MM"),LEFT(B5334,7)))</f>
        <v/>
      </c>
    </row>
    <row r="5335">
      <c r="N5335" s="6">
        <f>IF(B5335="","",IF(ISNUMBER(B5335),TEXT(B5335,"YYYY-MM"),LEFT(B5335,7)))</f>
        <v/>
      </c>
    </row>
    <row r="5336">
      <c r="N5336" s="6">
        <f>IF(B5336="","",IF(ISNUMBER(B5336),TEXT(B5336,"YYYY-MM"),LEFT(B5336,7)))</f>
        <v/>
      </c>
    </row>
    <row r="5337">
      <c r="N5337" s="6">
        <f>IF(B5337="","",IF(ISNUMBER(B5337),TEXT(B5337,"YYYY-MM"),LEFT(B5337,7)))</f>
        <v/>
      </c>
    </row>
    <row r="5338">
      <c r="N5338" s="6">
        <f>IF(B5338="","",IF(ISNUMBER(B5338),TEXT(B5338,"YYYY-MM"),LEFT(B5338,7)))</f>
        <v/>
      </c>
    </row>
    <row r="5339">
      <c r="N5339" s="6">
        <f>IF(B5339="","",IF(ISNUMBER(B5339),TEXT(B5339,"YYYY-MM"),LEFT(B5339,7)))</f>
        <v/>
      </c>
    </row>
    <row r="5340">
      <c r="N5340" s="6">
        <f>IF(B5340="","",IF(ISNUMBER(B5340),TEXT(B5340,"YYYY-MM"),LEFT(B5340,7)))</f>
        <v/>
      </c>
    </row>
    <row r="5341">
      <c r="N5341" s="6">
        <f>IF(B5341="","",IF(ISNUMBER(B5341),TEXT(B5341,"YYYY-MM"),LEFT(B5341,7)))</f>
        <v/>
      </c>
    </row>
    <row r="5342">
      <c r="N5342" s="6">
        <f>IF(B5342="","",IF(ISNUMBER(B5342),TEXT(B5342,"YYYY-MM"),LEFT(B5342,7)))</f>
        <v/>
      </c>
    </row>
    <row r="5343">
      <c r="N5343" s="6">
        <f>IF(B5343="","",IF(ISNUMBER(B5343),TEXT(B5343,"YYYY-MM"),LEFT(B5343,7)))</f>
        <v/>
      </c>
    </row>
    <row r="5344">
      <c r="N5344" s="6">
        <f>IF(B5344="","",IF(ISNUMBER(B5344),TEXT(B5344,"YYYY-MM"),LEFT(B5344,7)))</f>
        <v/>
      </c>
    </row>
    <row r="5345">
      <c r="N5345" s="6">
        <f>IF(B5345="","",IF(ISNUMBER(B5345),TEXT(B5345,"YYYY-MM"),LEFT(B5345,7)))</f>
        <v/>
      </c>
    </row>
    <row r="5346">
      <c r="N5346" s="6">
        <f>IF(B5346="","",IF(ISNUMBER(B5346),TEXT(B5346,"YYYY-MM"),LEFT(B5346,7)))</f>
        <v/>
      </c>
    </row>
    <row r="5347">
      <c r="N5347" s="6">
        <f>IF(B5347="","",IF(ISNUMBER(B5347),TEXT(B5347,"YYYY-MM"),LEFT(B5347,7)))</f>
        <v/>
      </c>
    </row>
    <row r="5348">
      <c r="N5348" s="6">
        <f>IF(B5348="","",IF(ISNUMBER(B5348),TEXT(B5348,"YYYY-MM"),LEFT(B5348,7)))</f>
        <v/>
      </c>
    </row>
    <row r="5349">
      <c r="N5349" s="6">
        <f>IF(B5349="","",IF(ISNUMBER(B5349),TEXT(B5349,"YYYY-MM"),LEFT(B5349,7)))</f>
        <v/>
      </c>
    </row>
    <row r="5350">
      <c r="N5350" s="6">
        <f>IF(B5350="","",IF(ISNUMBER(B5350),TEXT(B5350,"YYYY-MM"),LEFT(B5350,7)))</f>
        <v/>
      </c>
    </row>
    <row r="5351">
      <c r="N5351" s="6">
        <f>IF(B5351="","",IF(ISNUMBER(B5351),TEXT(B5351,"YYYY-MM"),LEFT(B5351,7)))</f>
        <v/>
      </c>
    </row>
    <row r="5352">
      <c r="N5352" s="6">
        <f>IF(B5352="","",IF(ISNUMBER(B5352),TEXT(B5352,"YYYY-MM"),LEFT(B5352,7)))</f>
        <v/>
      </c>
    </row>
    <row r="5353">
      <c r="N5353" s="6">
        <f>IF(B5353="","",IF(ISNUMBER(B5353),TEXT(B5353,"YYYY-MM"),LEFT(B5353,7)))</f>
        <v/>
      </c>
    </row>
    <row r="5354">
      <c r="N5354" s="6">
        <f>IF(B5354="","",IF(ISNUMBER(B5354),TEXT(B5354,"YYYY-MM"),LEFT(B5354,7)))</f>
        <v/>
      </c>
    </row>
    <row r="5355">
      <c r="N5355" s="6">
        <f>IF(B5355="","",IF(ISNUMBER(B5355),TEXT(B5355,"YYYY-MM"),LEFT(B5355,7)))</f>
        <v/>
      </c>
    </row>
    <row r="5356">
      <c r="N5356" s="6">
        <f>IF(B5356="","",IF(ISNUMBER(B5356),TEXT(B5356,"YYYY-MM"),LEFT(B5356,7)))</f>
        <v/>
      </c>
    </row>
    <row r="5357">
      <c r="N5357" s="6">
        <f>IF(B5357="","",IF(ISNUMBER(B5357),TEXT(B5357,"YYYY-MM"),LEFT(B5357,7)))</f>
        <v/>
      </c>
    </row>
    <row r="5358">
      <c r="N5358" s="6">
        <f>IF(B5358="","",IF(ISNUMBER(B5358),TEXT(B5358,"YYYY-MM"),LEFT(B5358,7)))</f>
        <v/>
      </c>
    </row>
    <row r="5359">
      <c r="N5359" s="6">
        <f>IF(B5359="","",IF(ISNUMBER(B5359),TEXT(B5359,"YYYY-MM"),LEFT(B5359,7)))</f>
        <v/>
      </c>
    </row>
    <row r="5360">
      <c r="N5360" s="6">
        <f>IF(B5360="","",IF(ISNUMBER(B5360),TEXT(B5360,"YYYY-MM"),LEFT(B5360,7)))</f>
        <v/>
      </c>
    </row>
    <row r="5361">
      <c r="N5361" s="6">
        <f>IF(B5361="","",IF(ISNUMBER(B5361),TEXT(B5361,"YYYY-MM"),LEFT(B5361,7)))</f>
        <v/>
      </c>
    </row>
    <row r="5362">
      <c r="N5362" s="6">
        <f>IF(B5362="","",IF(ISNUMBER(B5362),TEXT(B5362,"YYYY-MM"),LEFT(B5362,7)))</f>
        <v/>
      </c>
    </row>
    <row r="5363">
      <c r="N5363" s="6">
        <f>IF(B5363="","",IF(ISNUMBER(B5363),TEXT(B5363,"YYYY-MM"),LEFT(B5363,7)))</f>
        <v/>
      </c>
    </row>
    <row r="5364">
      <c r="N5364" s="6">
        <f>IF(B5364="","",IF(ISNUMBER(B5364),TEXT(B5364,"YYYY-MM"),LEFT(B5364,7)))</f>
        <v/>
      </c>
    </row>
    <row r="5365">
      <c r="N5365" s="6">
        <f>IF(B5365="","",IF(ISNUMBER(B5365),TEXT(B5365,"YYYY-MM"),LEFT(B5365,7)))</f>
        <v/>
      </c>
    </row>
    <row r="5366">
      <c r="N5366" s="6">
        <f>IF(B5366="","",IF(ISNUMBER(B5366),TEXT(B5366,"YYYY-MM"),LEFT(B5366,7)))</f>
        <v/>
      </c>
    </row>
    <row r="5367">
      <c r="N5367" s="6">
        <f>IF(B5367="","",IF(ISNUMBER(B5367),TEXT(B5367,"YYYY-MM"),LEFT(B5367,7)))</f>
        <v/>
      </c>
    </row>
    <row r="5368">
      <c r="N5368" s="6">
        <f>IF(B5368="","",IF(ISNUMBER(B5368),TEXT(B5368,"YYYY-MM"),LEFT(B5368,7)))</f>
        <v/>
      </c>
    </row>
    <row r="5369">
      <c r="N5369" s="6">
        <f>IF(B5369="","",IF(ISNUMBER(B5369),TEXT(B5369,"YYYY-MM"),LEFT(B5369,7)))</f>
        <v/>
      </c>
    </row>
    <row r="5370">
      <c r="N5370" s="6">
        <f>IF(B5370="","",IF(ISNUMBER(B5370),TEXT(B5370,"YYYY-MM"),LEFT(B5370,7)))</f>
        <v/>
      </c>
    </row>
    <row r="5371">
      <c r="N5371" s="6">
        <f>IF(B5371="","",IF(ISNUMBER(B5371),TEXT(B5371,"YYYY-MM"),LEFT(B5371,7)))</f>
        <v/>
      </c>
    </row>
    <row r="5372">
      <c r="N5372" s="6">
        <f>IF(B5372="","",IF(ISNUMBER(B5372),TEXT(B5372,"YYYY-MM"),LEFT(B5372,7)))</f>
        <v/>
      </c>
    </row>
    <row r="5373">
      <c r="N5373" s="6">
        <f>IF(B5373="","",IF(ISNUMBER(B5373),TEXT(B5373,"YYYY-MM"),LEFT(B5373,7)))</f>
        <v/>
      </c>
    </row>
    <row r="5374">
      <c r="N5374" s="6">
        <f>IF(B5374="","",IF(ISNUMBER(B5374),TEXT(B5374,"YYYY-MM"),LEFT(B5374,7)))</f>
        <v/>
      </c>
    </row>
    <row r="5375">
      <c r="N5375" s="6">
        <f>IF(B5375="","",IF(ISNUMBER(B5375),TEXT(B5375,"YYYY-MM"),LEFT(B5375,7)))</f>
        <v/>
      </c>
    </row>
    <row r="5376">
      <c r="N5376" s="6">
        <f>IF(B5376="","",IF(ISNUMBER(B5376),TEXT(B5376,"YYYY-MM"),LEFT(B5376,7)))</f>
        <v/>
      </c>
    </row>
    <row r="5377">
      <c r="N5377" s="6">
        <f>IF(B5377="","",IF(ISNUMBER(B5377),TEXT(B5377,"YYYY-MM"),LEFT(B5377,7)))</f>
        <v/>
      </c>
    </row>
    <row r="5378">
      <c r="N5378" s="6">
        <f>IF(B5378="","",IF(ISNUMBER(B5378),TEXT(B5378,"YYYY-MM"),LEFT(B5378,7)))</f>
        <v/>
      </c>
    </row>
    <row r="5379">
      <c r="N5379" s="6">
        <f>IF(B5379="","",IF(ISNUMBER(B5379),TEXT(B5379,"YYYY-MM"),LEFT(B5379,7)))</f>
        <v/>
      </c>
    </row>
    <row r="5380">
      <c r="N5380" s="6">
        <f>IF(B5380="","",IF(ISNUMBER(B5380),TEXT(B5380,"YYYY-MM"),LEFT(B5380,7)))</f>
        <v/>
      </c>
    </row>
    <row r="5381">
      <c r="N5381" s="6">
        <f>IF(B5381="","",IF(ISNUMBER(B5381),TEXT(B5381,"YYYY-MM"),LEFT(B5381,7)))</f>
        <v/>
      </c>
    </row>
    <row r="5382">
      <c r="N5382" s="6">
        <f>IF(B5382="","",IF(ISNUMBER(B5382),TEXT(B5382,"YYYY-MM"),LEFT(B5382,7)))</f>
        <v/>
      </c>
    </row>
    <row r="5383">
      <c r="N5383" s="6">
        <f>IF(B5383="","",IF(ISNUMBER(B5383),TEXT(B5383,"YYYY-MM"),LEFT(B5383,7)))</f>
        <v/>
      </c>
    </row>
    <row r="5384">
      <c r="N5384" s="6">
        <f>IF(B5384="","",IF(ISNUMBER(B5384),TEXT(B5384,"YYYY-MM"),LEFT(B5384,7)))</f>
        <v/>
      </c>
    </row>
    <row r="5385">
      <c r="N5385" s="6">
        <f>IF(B5385="","",IF(ISNUMBER(B5385),TEXT(B5385,"YYYY-MM"),LEFT(B5385,7)))</f>
        <v/>
      </c>
    </row>
    <row r="5386">
      <c r="N5386" s="6">
        <f>IF(B5386="","",IF(ISNUMBER(B5386),TEXT(B5386,"YYYY-MM"),LEFT(B5386,7)))</f>
        <v/>
      </c>
    </row>
    <row r="5387">
      <c r="N5387" s="6">
        <f>IF(B5387="","",IF(ISNUMBER(B5387),TEXT(B5387,"YYYY-MM"),LEFT(B5387,7)))</f>
        <v/>
      </c>
    </row>
    <row r="5388">
      <c r="N5388" s="6">
        <f>IF(B5388="","",IF(ISNUMBER(B5388),TEXT(B5388,"YYYY-MM"),LEFT(B5388,7)))</f>
        <v/>
      </c>
    </row>
    <row r="5389">
      <c r="N5389" s="6">
        <f>IF(B5389="","",IF(ISNUMBER(B5389),TEXT(B5389,"YYYY-MM"),LEFT(B5389,7)))</f>
        <v/>
      </c>
    </row>
    <row r="5390">
      <c r="N5390" s="6">
        <f>IF(B5390="","",IF(ISNUMBER(B5390),TEXT(B5390,"YYYY-MM"),LEFT(B5390,7)))</f>
        <v/>
      </c>
    </row>
    <row r="5391">
      <c r="N5391" s="6">
        <f>IF(B5391="","",IF(ISNUMBER(B5391),TEXT(B5391,"YYYY-MM"),LEFT(B5391,7)))</f>
        <v/>
      </c>
    </row>
    <row r="5392">
      <c r="N5392" s="6">
        <f>IF(B5392="","",IF(ISNUMBER(B5392),TEXT(B5392,"YYYY-MM"),LEFT(B5392,7)))</f>
        <v/>
      </c>
    </row>
    <row r="5393">
      <c r="N5393" s="6">
        <f>IF(B5393="","",IF(ISNUMBER(B5393),TEXT(B5393,"YYYY-MM"),LEFT(B5393,7)))</f>
        <v/>
      </c>
    </row>
    <row r="5394">
      <c r="N5394" s="6">
        <f>IF(B5394="","",IF(ISNUMBER(B5394),TEXT(B5394,"YYYY-MM"),LEFT(B5394,7)))</f>
        <v/>
      </c>
    </row>
    <row r="5395">
      <c r="N5395" s="6">
        <f>IF(B5395="","",IF(ISNUMBER(B5395),TEXT(B5395,"YYYY-MM"),LEFT(B5395,7)))</f>
        <v/>
      </c>
    </row>
    <row r="5396">
      <c r="N5396" s="6">
        <f>IF(B5396="","",IF(ISNUMBER(B5396),TEXT(B5396,"YYYY-MM"),LEFT(B5396,7)))</f>
        <v/>
      </c>
    </row>
    <row r="5397">
      <c r="N5397" s="6">
        <f>IF(B5397="","",IF(ISNUMBER(B5397),TEXT(B5397,"YYYY-MM"),LEFT(B5397,7)))</f>
        <v/>
      </c>
    </row>
    <row r="5398">
      <c r="N5398" s="6">
        <f>IF(B5398="","",IF(ISNUMBER(B5398),TEXT(B5398,"YYYY-MM"),LEFT(B5398,7)))</f>
        <v/>
      </c>
    </row>
    <row r="5399">
      <c r="N5399" s="6">
        <f>IF(B5399="","",IF(ISNUMBER(B5399),TEXT(B5399,"YYYY-MM"),LEFT(B5399,7)))</f>
        <v/>
      </c>
    </row>
    <row r="5400">
      <c r="N5400" s="6">
        <f>IF(B5400="","",IF(ISNUMBER(B5400),TEXT(B5400,"YYYY-MM"),LEFT(B5400,7)))</f>
        <v/>
      </c>
    </row>
    <row r="5401">
      <c r="N5401" s="6">
        <f>IF(B5401="","",IF(ISNUMBER(B5401),TEXT(B5401,"YYYY-MM"),LEFT(B5401,7)))</f>
        <v/>
      </c>
    </row>
    <row r="5402">
      <c r="N5402" s="6">
        <f>IF(B5402="","",IF(ISNUMBER(B5402),TEXT(B5402,"YYYY-MM"),LEFT(B5402,7)))</f>
        <v/>
      </c>
    </row>
    <row r="5403">
      <c r="N5403" s="6">
        <f>IF(B5403="","",IF(ISNUMBER(B5403),TEXT(B5403,"YYYY-MM"),LEFT(B5403,7)))</f>
        <v/>
      </c>
    </row>
    <row r="5404">
      <c r="N5404" s="6">
        <f>IF(B5404="","",IF(ISNUMBER(B5404),TEXT(B5404,"YYYY-MM"),LEFT(B5404,7)))</f>
        <v/>
      </c>
    </row>
    <row r="5405">
      <c r="N5405" s="6">
        <f>IF(B5405="","",IF(ISNUMBER(B5405),TEXT(B5405,"YYYY-MM"),LEFT(B5405,7)))</f>
        <v/>
      </c>
    </row>
    <row r="5406">
      <c r="N5406" s="6">
        <f>IF(B5406="","",IF(ISNUMBER(B5406),TEXT(B5406,"YYYY-MM"),LEFT(B5406,7)))</f>
        <v/>
      </c>
    </row>
    <row r="5407">
      <c r="N5407" s="6">
        <f>IF(B5407="","",IF(ISNUMBER(B5407),TEXT(B5407,"YYYY-MM"),LEFT(B5407,7)))</f>
        <v/>
      </c>
    </row>
    <row r="5408">
      <c r="N5408" s="6">
        <f>IF(B5408="","",IF(ISNUMBER(B5408),TEXT(B5408,"YYYY-MM"),LEFT(B5408,7)))</f>
        <v/>
      </c>
    </row>
    <row r="5409">
      <c r="N5409" s="6">
        <f>IF(B5409="","",IF(ISNUMBER(B5409),TEXT(B5409,"YYYY-MM"),LEFT(B5409,7)))</f>
        <v/>
      </c>
    </row>
    <row r="5410">
      <c r="N5410" s="6">
        <f>IF(B5410="","",IF(ISNUMBER(B5410),TEXT(B5410,"YYYY-MM"),LEFT(B5410,7)))</f>
        <v/>
      </c>
    </row>
    <row r="5411">
      <c r="N5411" s="6">
        <f>IF(B5411="","",IF(ISNUMBER(B5411),TEXT(B5411,"YYYY-MM"),LEFT(B5411,7)))</f>
        <v/>
      </c>
    </row>
    <row r="5412">
      <c r="N5412" s="6">
        <f>IF(B5412="","",IF(ISNUMBER(B5412),TEXT(B5412,"YYYY-MM"),LEFT(B5412,7)))</f>
        <v/>
      </c>
    </row>
    <row r="5413">
      <c r="N5413" s="6">
        <f>IF(B5413="","",IF(ISNUMBER(B5413),TEXT(B5413,"YYYY-MM"),LEFT(B5413,7)))</f>
        <v/>
      </c>
    </row>
    <row r="5414">
      <c r="N5414" s="6">
        <f>IF(B5414="","",IF(ISNUMBER(B5414),TEXT(B5414,"YYYY-MM"),LEFT(B5414,7)))</f>
        <v/>
      </c>
    </row>
    <row r="5415">
      <c r="N5415" s="6">
        <f>IF(B5415="","",IF(ISNUMBER(B5415),TEXT(B5415,"YYYY-MM"),LEFT(B5415,7)))</f>
        <v/>
      </c>
    </row>
    <row r="5416">
      <c r="N5416" s="6">
        <f>IF(B5416="","",IF(ISNUMBER(B5416),TEXT(B5416,"YYYY-MM"),LEFT(B5416,7)))</f>
        <v/>
      </c>
    </row>
    <row r="5417">
      <c r="N5417" s="6">
        <f>IF(B5417="","",IF(ISNUMBER(B5417),TEXT(B5417,"YYYY-MM"),LEFT(B5417,7)))</f>
        <v/>
      </c>
    </row>
    <row r="5418">
      <c r="N5418" s="6">
        <f>IF(B5418="","",IF(ISNUMBER(B5418),TEXT(B5418,"YYYY-MM"),LEFT(B5418,7)))</f>
        <v/>
      </c>
    </row>
    <row r="5419">
      <c r="N5419" s="6">
        <f>IF(B5419="","",IF(ISNUMBER(B5419),TEXT(B5419,"YYYY-MM"),LEFT(B5419,7)))</f>
        <v/>
      </c>
    </row>
    <row r="5420">
      <c r="N5420" s="6">
        <f>IF(B5420="","",IF(ISNUMBER(B5420),TEXT(B5420,"YYYY-MM"),LEFT(B5420,7)))</f>
        <v/>
      </c>
    </row>
    <row r="5421">
      <c r="N5421" s="6">
        <f>IF(B5421="","",IF(ISNUMBER(B5421),TEXT(B5421,"YYYY-MM"),LEFT(B5421,7)))</f>
        <v/>
      </c>
    </row>
    <row r="5422">
      <c r="N5422" s="6">
        <f>IF(B5422="","",IF(ISNUMBER(B5422),TEXT(B5422,"YYYY-MM"),LEFT(B5422,7)))</f>
        <v/>
      </c>
    </row>
    <row r="5423">
      <c r="N5423" s="6">
        <f>IF(B5423="","",IF(ISNUMBER(B5423),TEXT(B5423,"YYYY-MM"),LEFT(B5423,7)))</f>
        <v/>
      </c>
    </row>
    <row r="5424">
      <c r="N5424" s="6">
        <f>IF(B5424="","",IF(ISNUMBER(B5424),TEXT(B5424,"YYYY-MM"),LEFT(B5424,7)))</f>
        <v/>
      </c>
    </row>
    <row r="5425">
      <c r="N5425" s="6">
        <f>IF(B5425="","",IF(ISNUMBER(B5425),TEXT(B5425,"YYYY-MM"),LEFT(B5425,7)))</f>
        <v/>
      </c>
    </row>
    <row r="5426">
      <c r="N5426" s="6">
        <f>IF(B5426="","",IF(ISNUMBER(B5426),TEXT(B5426,"YYYY-MM"),LEFT(B5426,7)))</f>
        <v/>
      </c>
    </row>
    <row r="5427">
      <c r="N5427" s="6">
        <f>IF(B5427="","",IF(ISNUMBER(B5427),TEXT(B5427,"YYYY-MM"),LEFT(B5427,7)))</f>
        <v/>
      </c>
    </row>
    <row r="5428">
      <c r="N5428" s="6">
        <f>IF(B5428="","",IF(ISNUMBER(B5428),TEXT(B5428,"YYYY-MM"),LEFT(B5428,7)))</f>
        <v/>
      </c>
    </row>
    <row r="5429">
      <c r="N5429" s="6">
        <f>IF(B5429="","",IF(ISNUMBER(B5429),TEXT(B5429,"YYYY-MM"),LEFT(B5429,7)))</f>
        <v/>
      </c>
    </row>
    <row r="5430">
      <c r="N5430" s="6">
        <f>IF(B5430="","",IF(ISNUMBER(B5430),TEXT(B5430,"YYYY-MM"),LEFT(B5430,7)))</f>
        <v/>
      </c>
    </row>
    <row r="5431">
      <c r="N5431" s="6">
        <f>IF(B5431="","",IF(ISNUMBER(B5431),TEXT(B5431,"YYYY-MM"),LEFT(B5431,7)))</f>
        <v/>
      </c>
    </row>
    <row r="5432">
      <c r="N5432" s="6">
        <f>IF(B5432="","",IF(ISNUMBER(B5432),TEXT(B5432,"YYYY-MM"),LEFT(B5432,7)))</f>
        <v/>
      </c>
    </row>
    <row r="5433">
      <c r="N5433" s="6">
        <f>IF(B5433="","",IF(ISNUMBER(B5433),TEXT(B5433,"YYYY-MM"),LEFT(B5433,7)))</f>
        <v/>
      </c>
    </row>
    <row r="5434">
      <c r="N5434" s="6">
        <f>IF(B5434="","",IF(ISNUMBER(B5434),TEXT(B5434,"YYYY-MM"),LEFT(B5434,7)))</f>
        <v/>
      </c>
    </row>
    <row r="5435">
      <c r="N5435" s="6">
        <f>IF(B5435="","",IF(ISNUMBER(B5435),TEXT(B5435,"YYYY-MM"),LEFT(B5435,7)))</f>
        <v/>
      </c>
    </row>
    <row r="5436">
      <c r="N5436" s="6">
        <f>IF(B5436="","",IF(ISNUMBER(B5436),TEXT(B5436,"YYYY-MM"),LEFT(B5436,7)))</f>
        <v/>
      </c>
    </row>
    <row r="5437">
      <c r="N5437" s="6">
        <f>IF(B5437="","",IF(ISNUMBER(B5437),TEXT(B5437,"YYYY-MM"),LEFT(B5437,7)))</f>
        <v/>
      </c>
    </row>
    <row r="5438">
      <c r="N5438" s="6">
        <f>IF(B5438="","",IF(ISNUMBER(B5438),TEXT(B5438,"YYYY-MM"),LEFT(B5438,7)))</f>
        <v/>
      </c>
    </row>
    <row r="5439">
      <c r="N5439" s="6">
        <f>IF(B5439="","",IF(ISNUMBER(B5439),TEXT(B5439,"YYYY-MM"),LEFT(B5439,7)))</f>
        <v/>
      </c>
    </row>
    <row r="5440">
      <c r="N5440" s="6">
        <f>IF(B5440="","",IF(ISNUMBER(B5440),TEXT(B5440,"YYYY-MM"),LEFT(B5440,7)))</f>
        <v/>
      </c>
    </row>
    <row r="5441">
      <c r="N5441" s="6">
        <f>IF(B5441="","",IF(ISNUMBER(B5441),TEXT(B5441,"YYYY-MM"),LEFT(B5441,7)))</f>
        <v/>
      </c>
    </row>
    <row r="5442">
      <c r="N5442" s="6">
        <f>IF(B5442="","",IF(ISNUMBER(B5442),TEXT(B5442,"YYYY-MM"),LEFT(B5442,7)))</f>
        <v/>
      </c>
    </row>
    <row r="5443">
      <c r="N5443" s="6">
        <f>IF(B5443="","",IF(ISNUMBER(B5443),TEXT(B5443,"YYYY-MM"),LEFT(B5443,7)))</f>
        <v/>
      </c>
    </row>
    <row r="5444">
      <c r="N5444" s="6">
        <f>IF(B5444="","",IF(ISNUMBER(B5444),TEXT(B5444,"YYYY-MM"),LEFT(B5444,7)))</f>
        <v/>
      </c>
    </row>
    <row r="5445">
      <c r="N5445" s="6">
        <f>IF(B5445="","",IF(ISNUMBER(B5445),TEXT(B5445,"YYYY-MM"),LEFT(B5445,7)))</f>
        <v/>
      </c>
    </row>
    <row r="5446">
      <c r="N5446" s="6">
        <f>IF(B5446="","",IF(ISNUMBER(B5446),TEXT(B5446,"YYYY-MM"),LEFT(B5446,7)))</f>
        <v/>
      </c>
    </row>
    <row r="5447">
      <c r="N5447" s="6">
        <f>IF(B5447="","",IF(ISNUMBER(B5447),TEXT(B5447,"YYYY-MM"),LEFT(B5447,7)))</f>
        <v/>
      </c>
    </row>
    <row r="5448">
      <c r="N5448" s="6">
        <f>IF(B5448="","",IF(ISNUMBER(B5448),TEXT(B5448,"YYYY-MM"),LEFT(B5448,7)))</f>
        <v/>
      </c>
    </row>
    <row r="5449">
      <c r="N5449" s="6">
        <f>IF(B5449="","",IF(ISNUMBER(B5449),TEXT(B5449,"YYYY-MM"),LEFT(B5449,7)))</f>
        <v/>
      </c>
    </row>
    <row r="5450">
      <c r="N5450" s="6">
        <f>IF(B5450="","",IF(ISNUMBER(B5450),TEXT(B5450,"YYYY-MM"),LEFT(B5450,7)))</f>
        <v/>
      </c>
    </row>
    <row r="5451">
      <c r="N5451" s="6">
        <f>IF(B5451="","",IF(ISNUMBER(B5451),TEXT(B5451,"YYYY-MM"),LEFT(B5451,7)))</f>
        <v/>
      </c>
    </row>
    <row r="5452">
      <c r="N5452" s="6">
        <f>IF(B5452="","",IF(ISNUMBER(B5452),TEXT(B5452,"YYYY-MM"),LEFT(B5452,7)))</f>
        <v/>
      </c>
    </row>
    <row r="5453">
      <c r="N5453" s="6">
        <f>IF(B5453="","",IF(ISNUMBER(B5453),TEXT(B5453,"YYYY-MM"),LEFT(B5453,7)))</f>
        <v/>
      </c>
    </row>
    <row r="5454">
      <c r="N5454" s="6">
        <f>IF(B5454="","",IF(ISNUMBER(B5454),TEXT(B5454,"YYYY-MM"),LEFT(B5454,7)))</f>
        <v/>
      </c>
    </row>
    <row r="5455">
      <c r="N5455" s="6">
        <f>IF(B5455="","",IF(ISNUMBER(B5455),TEXT(B5455,"YYYY-MM"),LEFT(B5455,7)))</f>
        <v/>
      </c>
    </row>
    <row r="5456">
      <c r="N5456" s="6">
        <f>IF(B5456="","",IF(ISNUMBER(B5456),TEXT(B5456,"YYYY-MM"),LEFT(B5456,7)))</f>
        <v/>
      </c>
    </row>
    <row r="5457">
      <c r="N5457" s="6">
        <f>IF(B5457="","",IF(ISNUMBER(B5457),TEXT(B5457,"YYYY-MM"),LEFT(B5457,7)))</f>
        <v/>
      </c>
    </row>
    <row r="5458">
      <c r="N5458" s="6">
        <f>IF(B5458="","",IF(ISNUMBER(B5458),TEXT(B5458,"YYYY-MM"),LEFT(B5458,7)))</f>
        <v/>
      </c>
    </row>
    <row r="5459">
      <c r="N5459" s="6">
        <f>IF(B5459="","",IF(ISNUMBER(B5459),TEXT(B5459,"YYYY-MM"),LEFT(B5459,7)))</f>
        <v/>
      </c>
    </row>
    <row r="5460">
      <c r="N5460" s="6">
        <f>IF(B5460="","",IF(ISNUMBER(B5460),TEXT(B5460,"YYYY-MM"),LEFT(B5460,7)))</f>
        <v/>
      </c>
    </row>
    <row r="5461">
      <c r="N5461" s="6">
        <f>IF(B5461="","",IF(ISNUMBER(B5461),TEXT(B5461,"YYYY-MM"),LEFT(B5461,7)))</f>
        <v/>
      </c>
    </row>
    <row r="5462">
      <c r="N5462" s="6">
        <f>IF(B5462="","",IF(ISNUMBER(B5462),TEXT(B5462,"YYYY-MM"),LEFT(B5462,7)))</f>
        <v/>
      </c>
    </row>
    <row r="5463">
      <c r="N5463" s="6">
        <f>IF(B5463="","",IF(ISNUMBER(B5463),TEXT(B5463,"YYYY-MM"),LEFT(B5463,7)))</f>
        <v/>
      </c>
    </row>
    <row r="5464">
      <c r="N5464" s="6">
        <f>IF(B5464="","",IF(ISNUMBER(B5464),TEXT(B5464,"YYYY-MM"),LEFT(B5464,7)))</f>
        <v/>
      </c>
    </row>
    <row r="5465">
      <c r="N5465" s="6">
        <f>IF(B5465="","",IF(ISNUMBER(B5465),TEXT(B5465,"YYYY-MM"),LEFT(B5465,7)))</f>
        <v/>
      </c>
    </row>
    <row r="5466">
      <c r="N5466" s="6">
        <f>IF(B5466="","",IF(ISNUMBER(B5466),TEXT(B5466,"YYYY-MM"),LEFT(B5466,7)))</f>
        <v/>
      </c>
    </row>
    <row r="5467">
      <c r="N5467" s="6">
        <f>IF(B5467="","",IF(ISNUMBER(B5467),TEXT(B5467,"YYYY-MM"),LEFT(B5467,7)))</f>
        <v/>
      </c>
    </row>
    <row r="5468">
      <c r="N5468" s="6">
        <f>IF(B5468="","",IF(ISNUMBER(B5468),TEXT(B5468,"YYYY-MM"),LEFT(B5468,7)))</f>
        <v/>
      </c>
    </row>
    <row r="5469">
      <c r="N5469" s="6">
        <f>IF(B5469="","",IF(ISNUMBER(B5469),TEXT(B5469,"YYYY-MM"),LEFT(B5469,7)))</f>
        <v/>
      </c>
    </row>
    <row r="5470">
      <c r="N5470" s="6">
        <f>IF(B5470="","",IF(ISNUMBER(B5470),TEXT(B5470,"YYYY-MM"),LEFT(B5470,7)))</f>
        <v/>
      </c>
    </row>
    <row r="5471">
      <c r="N5471" s="6">
        <f>IF(B5471="","",IF(ISNUMBER(B5471),TEXT(B5471,"YYYY-MM"),LEFT(B5471,7)))</f>
        <v/>
      </c>
    </row>
    <row r="5472">
      <c r="N5472" s="6">
        <f>IF(B5472="","",IF(ISNUMBER(B5472),TEXT(B5472,"YYYY-MM"),LEFT(B5472,7)))</f>
        <v/>
      </c>
    </row>
    <row r="5473">
      <c r="N5473" s="6">
        <f>IF(B5473="","",IF(ISNUMBER(B5473),TEXT(B5473,"YYYY-MM"),LEFT(B5473,7)))</f>
        <v/>
      </c>
    </row>
    <row r="5474">
      <c r="N5474" s="6">
        <f>IF(B5474="","",IF(ISNUMBER(B5474),TEXT(B5474,"YYYY-MM"),LEFT(B5474,7)))</f>
        <v/>
      </c>
    </row>
    <row r="5475">
      <c r="N5475" s="6">
        <f>IF(B5475="","",IF(ISNUMBER(B5475),TEXT(B5475,"YYYY-MM"),LEFT(B5475,7)))</f>
        <v/>
      </c>
    </row>
    <row r="5476">
      <c r="N5476" s="6">
        <f>IF(B5476="","",IF(ISNUMBER(B5476),TEXT(B5476,"YYYY-MM"),LEFT(B5476,7)))</f>
        <v/>
      </c>
    </row>
    <row r="5477">
      <c r="N5477" s="6">
        <f>IF(B5477="","",IF(ISNUMBER(B5477),TEXT(B5477,"YYYY-MM"),LEFT(B5477,7)))</f>
        <v/>
      </c>
    </row>
    <row r="5478">
      <c r="N5478" s="6">
        <f>IF(B5478="","",IF(ISNUMBER(B5478),TEXT(B5478,"YYYY-MM"),LEFT(B5478,7)))</f>
        <v/>
      </c>
    </row>
    <row r="5479">
      <c r="N5479" s="6">
        <f>IF(B5479="","",IF(ISNUMBER(B5479),TEXT(B5479,"YYYY-MM"),LEFT(B5479,7)))</f>
        <v/>
      </c>
    </row>
    <row r="5480">
      <c r="N5480" s="6">
        <f>IF(B5480="","",IF(ISNUMBER(B5480),TEXT(B5480,"YYYY-MM"),LEFT(B5480,7)))</f>
        <v/>
      </c>
    </row>
    <row r="5481">
      <c r="N5481" s="6">
        <f>IF(B5481="","",IF(ISNUMBER(B5481),TEXT(B5481,"YYYY-MM"),LEFT(B5481,7)))</f>
        <v/>
      </c>
    </row>
    <row r="5482">
      <c r="N5482" s="6">
        <f>IF(B5482="","",IF(ISNUMBER(B5482),TEXT(B5482,"YYYY-MM"),LEFT(B5482,7)))</f>
        <v/>
      </c>
    </row>
    <row r="5483">
      <c r="N5483" s="6">
        <f>IF(B5483="","",IF(ISNUMBER(B5483),TEXT(B5483,"YYYY-MM"),LEFT(B5483,7)))</f>
        <v/>
      </c>
    </row>
    <row r="5484">
      <c r="N5484" s="6">
        <f>IF(B5484="","",IF(ISNUMBER(B5484),TEXT(B5484,"YYYY-MM"),LEFT(B5484,7)))</f>
        <v/>
      </c>
    </row>
    <row r="5485">
      <c r="N5485" s="6">
        <f>IF(B5485="","",IF(ISNUMBER(B5485),TEXT(B5485,"YYYY-MM"),LEFT(B5485,7)))</f>
        <v/>
      </c>
    </row>
    <row r="5486">
      <c r="N5486" s="6">
        <f>IF(B5486="","",IF(ISNUMBER(B5486),TEXT(B5486,"YYYY-MM"),LEFT(B5486,7)))</f>
        <v/>
      </c>
    </row>
    <row r="5487">
      <c r="N5487" s="6">
        <f>IF(B5487="","",IF(ISNUMBER(B5487),TEXT(B5487,"YYYY-MM"),LEFT(B5487,7)))</f>
        <v/>
      </c>
    </row>
    <row r="5488">
      <c r="N5488" s="6">
        <f>IF(B5488="","",IF(ISNUMBER(B5488),TEXT(B5488,"YYYY-MM"),LEFT(B5488,7)))</f>
        <v/>
      </c>
    </row>
    <row r="5489">
      <c r="N5489" s="6">
        <f>IF(B5489="","",IF(ISNUMBER(B5489),TEXT(B5489,"YYYY-MM"),LEFT(B5489,7)))</f>
        <v/>
      </c>
    </row>
    <row r="5490">
      <c r="N5490" s="6">
        <f>IF(B5490="","",IF(ISNUMBER(B5490),TEXT(B5490,"YYYY-MM"),LEFT(B5490,7)))</f>
        <v/>
      </c>
    </row>
    <row r="5491">
      <c r="N5491" s="6">
        <f>IF(B5491="","",IF(ISNUMBER(B5491),TEXT(B5491,"YYYY-MM"),LEFT(B5491,7)))</f>
        <v/>
      </c>
    </row>
    <row r="5492">
      <c r="N5492" s="6">
        <f>IF(B5492="","",IF(ISNUMBER(B5492),TEXT(B5492,"YYYY-MM"),LEFT(B5492,7)))</f>
        <v/>
      </c>
    </row>
    <row r="5493">
      <c r="N5493" s="6">
        <f>IF(B5493="","",IF(ISNUMBER(B5493),TEXT(B5493,"YYYY-MM"),LEFT(B5493,7)))</f>
        <v/>
      </c>
    </row>
    <row r="5494">
      <c r="N5494" s="6">
        <f>IF(B5494="","",IF(ISNUMBER(B5494),TEXT(B5494,"YYYY-MM"),LEFT(B5494,7)))</f>
        <v/>
      </c>
    </row>
    <row r="5495">
      <c r="N5495" s="6">
        <f>IF(B5495="","",IF(ISNUMBER(B5495),TEXT(B5495,"YYYY-MM"),LEFT(B5495,7)))</f>
        <v/>
      </c>
    </row>
    <row r="5496">
      <c r="N5496" s="6">
        <f>IF(B5496="","",IF(ISNUMBER(B5496),TEXT(B5496,"YYYY-MM"),LEFT(B5496,7)))</f>
        <v/>
      </c>
    </row>
    <row r="5497">
      <c r="N5497" s="6">
        <f>IF(B5497="","",IF(ISNUMBER(B5497),TEXT(B5497,"YYYY-MM"),LEFT(B5497,7)))</f>
        <v/>
      </c>
    </row>
    <row r="5498">
      <c r="N5498" s="6">
        <f>IF(B5498="","",IF(ISNUMBER(B5498),TEXT(B5498,"YYYY-MM"),LEFT(B5498,7)))</f>
        <v/>
      </c>
    </row>
    <row r="5499">
      <c r="N5499" s="6">
        <f>IF(B5499="","",IF(ISNUMBER(B5499),TEXT(B5499,"YYYY-MM"),LEFT(B5499,7)))</f>
        <v/>
      </c>
    </row>
    <row r="5500">
      <c r="N5500" s="6">
        <f>IF(B5500="","",IF(ISNUMBER(B5500),TEXT(B5500,"YYYY-MM"),LEFT(B5500,7)))</f>
        <v/>
      </c>
    </row>
    <row r="5501">
      <c r="N5501" s="6">
        <f>IF(B5501="","",IF(ISNUMBER(B5501),TEXT(B5501,"YYYY-MM"),LEFT(B5501,7)))</f>
        <v/>
      </c>
    </row>
    <row r="5502">
      <c r="N5502" s="6">
        <f>IF(B5502="","",IF(ISNUMBER(B5502),TEXT(B5502,"YYYY-MM"),LEFT(B5502,7)))</f>
        <v/>
      </c>
    </row>
    <row r="5503">
      <c r="N5503" s="6">
        <f>IF(B5503="","",IF(ISNUMBER(B5503),TEXT(B5503,"YYYY-MM"),LEFT(B5503,7)))</f>
        <v/>
      </c>
    </row>
    <row r="5504">
      <c r="N5504" s="6">
        <f>IF(B5504="","",IF(ISNUMBER(B5504),TEXT(B5504,"YYYY-MM"),LEFT(B5504,7)))</f>
        <v/>
      </c>
    </row>
    <row r="5505">
      <c r="N5505" s="6">
        <f>IF(B5505="","",IF(ISNUMBER(B5505),TEXT(B5505,"YYYY-MM"),LEFT(B5505,7)))</f>
        <v/>
      </c>
    </row>
    <row r="5506">
      <c r="N5506" s="6">
        <f>IF(B5506="","",IF(ISNUMBER(B5506),TEXT(B5506,"YYYY-MM"),LEFT(B5506,7)))</f>
        <v/>
      </c>
    </row>
    <row r="5507">
      <c r="N5507" s="6">
        <f>IF(B5507="","",IF(ISNUMBER(B5507),TEXT(B5507,"YYYY-MM"),LEFT(B5507,7)))</f>
        <v/>
      </c>
    </row>
    <row r="5508">
      <c r="N5508" s="6">
        <f>IF(B5508="","",IF(ISNUMBER(B5508),TEXT(B5508,"YYYY-MM"),LEFT(B5508,7)))</f>
        <v/>
      </c>
    </row>
    <row r="5509">
      <c r="N5509" s="6">
        <f>IF(B5509="","",IF(ISNUMBER(B5509),TEXT(B5509,"YYYY-MM"),LEFT(B5509,7)))</f>
        <v/>
      </c>
    </row>
    <row r="5510">
      <c r="N5510" s="6">
        <f>IF(B5510="","",IF(ISNUMBER(B5510),TEXT(B5510,"YYYY-MM"),LEFT(B5510,7)))</f>
        <v/>
      </c>
    </row>
    <row r="5511">
      <c r="N5511" s="6">
        <f>IF(B5511="","",IF(ISNUMBER(B5511),TEXT(B5511,"YYYY-MM"),LEFT(B5511,7)))</f>
        <v/>
      </c>
    </row>
    <row r="5512">
      <c r="N5512" s="6">
        <f>IF(B5512="","",IF(ISNUMBER(B5512),TEXT(B5512,"YYYY-MM"),LEFT(B5512,7)))</f>
        <v/>
      </c>
    </row>
    <row r="5513">
      <c r="N5513" s="6">
        <f>IF(B5513="","",IF(ISNUMBER(B5513),TEXT(B5513,"YYYY-MM"),LEFT(B5513,7)))</f>
        <v/>
      </c>
    </row>
    <row r="5514">
      <c r="N5514" s="6">
        <f>IF(B5514="","",IF(ISNUMBER(B5514),TEXT(B5514,"YYYY-MM"),LEFT(B5514,7)))</f>
        <v/>
      </c>
    </row>
    <row r="5515">
      <c r="N5515" s="6">
        <f>IF(B5515="","",IF(ISNUMBER(B5515),TEXT(B5515,"YYYY-MM"),LEFT(B5515,7)))</f>
        <v/>
      </c>
    </row>
    <row r="5516">
      <c r="N5516" s="6">
        <f>IF(B5516="","",IF(ISNUMBER(B5516),TEXT(B5516,"YYYY-MM"),LEFT(B5516,7)))</f>
        <v/>
      </c>
    </row>
    <row r="5517">
      <c r="N5517" s="6">
        <f>IF(B5517="","",IF(ISNUMBER(B5517),TEXT(B5517,"YYYY-MM"),LEFT(B5517,7)))</f>
        <v/>
      </c>
    </row>
    <row r="5518">
      <c r="N5518" s="6">
        <f>IF(B5518="","",IF(ISNUMBER(B5518),TEXT(B5518,"YYYY-MM"),LEFT(B5518,7)))</f>
        <v/>
      </c>
    </row>
    <row r="5519">
      <c r="N5519" s="6">
        <f>IF(B5519="","",IF(ISNUMBER(B5519),TEXT(B5519,"YYYY-MM"),LEFT(B5519,7)))</f>
        <v/>
      </c>
    </row>
    <row r="5520">
      <c r="N5520" s="6">
        <f>IF(B5520="","",IF(ISNUMBER(B5520),TEXT(B5520,"YYYY-MM"),LEFT(B5520,7)))</f>
        <v/>
      </c>
    </row>
    <row r="5521">
      <c r="N5521" s="6">
        <f>IF(B5521="","",IF(ISNUMBER(B5521),TEXT(B5521,"YYYY-MM"),LEFT(B5521,7)))</f>
        <v/>
      </c>
    </row>
    <row r="5522">
      <c r="N5522" s="6">
        <f>IF(B5522="","",IF(ISNUMBER(B5522),TEXT(B5522,"YYYY-MM"),LEFT(B5522,7)))</f>
        <v/>
      </c>
    </row>
    <row r="5523">
      <c r="N5523" s="6">
        <f>IF(B5523="","",IF(ISNUMBER(B5523),TEXT(B5523,"YYYY-MM"),LEFT(B5523,7)))</f>
        <v/>
      </c>
    </row>
    <row r="5524">
      <c r="N5524" s="6">
        <f>IF(B5524="","",IF(ISNUMBER(B5524),TEXT(B5524,"YYYY-MM"),LEFT(B5524,7)))</f>
        <v/>
      </c>
    </row>
    <row r="5525">
      <c r="N5525" s="6">
        <f>IF(B5525="","",IF(ISNUMBER(B5525),TEXT(B5525,"YYYY-MM"),LEFT(B5525,7)))</f>
        <v/>
      </c>
    </row>
    <row r="5526">
      <c r="N5526" s="6">
        <f>IF(B5526="","",IF(ISNUMBER(B5526),TEXT(B5526,"YYYY-MM"),LEFT(B5526,7)))</f>
        <v/>
      </c>
    </row>
    <row r="5527">
      <c r="N5527" s="6">
        <f>IF(B5527="","",IF(ISNUMBER(B5527),TEXT(B5527,"YYYY-MM"),LEFT(B5527,7)))</f>
        <v/>
      </c>
    </row>
    <row r="5528">
      <c r="N5528" s="6">
        <f>IF(B5528="","",IF(ISNUMBER(B5528),TEXT(B5528,"YYYY-MM"),LEFT(B5528,7)))</f>
        <v/>
      </c>
    </row>
    <row r="5529">
      <c r="N5529" s="6">
        <f>IF(B5529="","",IF(ISNUMBER(B5529),TEXT(B5529,"YYYY-MM"),LEFT(B5529,7)))</f>
        <v/>
      </c>
    </row>
    <row r="5530">
      <c r="N5530" s="6">
        <f>IF(B5530="","",IF(ISNUMBER(B5530),TEXT(B5530,"YYYY-MM"),LEFT(B5530,7)))</f>
        <v/>
      </c>
    </row>
    <row r="5531">
      <c r="N5531" s="6">
        <f>IF(B5531="","",IF(ISNUMBER(B5531),TEXT(B5531,"YYYY-MM"),LEFT(B5531,7)))</f>
        <v/>
      </c>
    </row>
    <row r="5532">
      <c r="N5532" s="6">
        <f>IF(B5532="","",IF(ISNUMBER(B5532),TEXT(B5532,"YYYY-MM"),LEFT(B5532,7)))</f>
        <v/>
      </c>
    </row>
    <row r="5533">
      <c r="N5533" s="6">
        <f>IF(B5533="","",IF(ISNUMBER(B5533),TEXT(B5533,"YYYY-MM"),LEFT(B5533,7)))</f>
        <v/>
      </c>
    </row>
    <row r="5534">
      <c r="N5534" s="6">
        <f>IF(B5534="","",IF(ISNUMBER(B5534),TEXT(B5534,"YYYY-MM"),LEFT(B5534,7)))</f>
        <v/>
      </c>
    </row>
    <row r="5535">
      <c r="N5535" s="6">
        <f>IF(B5535="","",IF(ISNUMBER(B5535),TEXT(B5535,"YYYY-MM"),LEFT(B5535,7)))</f>
        <v/>
      </c>
    </row>
    <row r="5536">
      <c r="N5536" s="6">
        <f>IF(B5536="","",IF(ISNUMBER(B5536),TEXT(B5536,"YYYY-MM"),LEFT(B5536,7)))</f>
        <v/>
      </c>
    </row>
    <row r="5537">
      <c r="N5537" s="6">
        <f>IF(B5537="","",IF(ISNUMBER(B5537),TEXT(B5537,"YYYY-MM"),LEFT(B5537,7)))</f>
        <v/>
      </c>
    </row>
    <row r="5538">
      <c r="N5538" s="6">
        <f>IF(B5538="","",IF(ISNUMBER(B5538),TEXT(B5538,"YYYY-MM"),LEFT(B5538,7)))</f>
        <v/>
      </c>
    </row>
    <row r="5539">
      <c r="N5539" s="6">
        <f>IF(B5539="","",IF(ISNUMBER(B5539),TEXT(B5539,"YYYY-MM"),LEFT(B5539,7)))</f>
        <v/>
      </c>
    </row>
    <row r="5540">
      <c r="N5540" s="6">
        <f>IF(B5540="","",IF(ISNUMBER(B5540),TEXT(B5540,"YYYY-MM"),LEFT(B5540,7)))</f>
        <v/>
      </c>
    </row>
    <row r="5541">
      <c r="N5541" s="6">
        <f>IF(B5541="","",IF(ISNUMBER(B5541),TEXT(B5541,"YYYY-MM"),LEFT(B5541,7)))</f>
        <v/>
      </c>
    </row>
    <row r="5542">
      <c r="N5542" s="6">
        <f>IF(B5542="","",IF(ISNUMBER(B5542),TEXT(B5542,"YYYY-MM"),LEFT(B5542,7)))</f>
        <v/>
      </c>
    </row>
    <row r="5543">
      <c r="N5543" s="6">
        <f>IF(B5543="","",IF(ISNUMBER(B5543),TEXT(B5543,"YYYY-MM"),LEFT(B5543,7)))</f>
        <v/>
      </c>
    </row>
    <row r="5544">
      <c r="N5544" s="6">
        <f>IF(B5544="","",IF(ISNUMBER(B5544),TEXT(B5544,"YYYY-MM"),LEFT(B5544,7)))</f>
        <v/>
      </c>
    </row>
    <row r="5545">
      <c r="N5545" s="6">
        <f>IF(B5545="","",IF(ISNUMBER(B5545),TEXT(B5545,"YYYY-MM"),LEFT(B5545,7)))</f>
        <v/>
      </c>
    </row>
    <row r="5546">
      <c r="N5546" s="6">
        <f>IF(B5546="","",IF(ISNUMBER(B5546),TEXT(B5546,"YYYY-MM"),LEFT(B5546,7)))</f>
        <v/>
      </c>
    </row>
    <row r="5547">
      <c r="N5547" s="6">
        <f>IF(B5547="","",IF(ISNUMBER(B5547),TEXT(B5547,"YYYY-MM"),LEFT(B5547,7)))</f>
        <v/>
      </c>
    </row>
    <row r="5548">
      <c r="N5548" s="6">
        <f>IF(B5548="","",IF(ISNUMBER(B5548),TEXT(B5548,"YYYY-MM"),LEFT(B5548,7)))</f>
        <v/>
      </c>
    </row>
    <row r="5549">
      <c r="N5549" s="6">
        <f>IF(B5549="","",IF(ISNUMBER(B5549),TEXT(B5549,"YYYY-MM"),LEFT(B5549,7)))</f>
        <v/>
      </c>
    </row>
    <row r="5550">
      <c r="N5550" s="6">
        <f>IF(B5550="","",IF(ISNUMBER(B5550),TEXT(B5550,"YYYY-MM"),LEFT(B5550,7)))</f>
        <v/>
      </c>
    </row>
    <row r="5551">
      <c r="N5551" s="6">
        <f>IF(B5551="","",IF(ISNUMBER(B5551),TEXT(B5551,"YYYY-MM"),LEFT(B5551,7)))</f>
        <v/>
      </c>
    </row>
    <row r="5552">
      <c r="N5552" s="6">
        <f>IF(B5552="","",IF(ISNUMBER(B5552),TEXT(B5552,"YYYY-MM"),LEFT(B5552,7)))</f>
        <v/>
      </c>
    </row>
    <row r="5553">
      <c r="N5553" s="6">
        <f>IF(B5553="","",IF(ISNUMBER(B5553),TEXT(B5553,"YYYY-MM"),LEFT(B5553,7)))</f>
        <v/>
      </c>
    </row>
    <row r="5554">
      <c r="N5554" s="6">
        <f>IF(B5554="","",IF(ISNUMBER(B5554),TEXT(B5554,"YYYY-MM"),LEFT(B5554,7)))</f>
        <v/>
      </c>
    </row>
    <row r="5555">
      <c r="N5555" s="6">
        <f>IF(B5555="","",IF(ISNUMBER(B5555),TEXT(B5555,"YYYY-MM"),LEFT(B5555,7)))</f>
        <v/>
      </c>
    </row>
    <row r="5556">
      <c r="N5556" s="6">
        <f>IF(B5556="","",IF(ISNUMBER(B5556),TEXT(B5556,"YYYY-MM"),LEFT(B5556,7)))</f>
        <v/>
      </c>
    </row>
    <row r="5557">
      <c r="N5557" s="6">
        <f>IF(B5557="","",IF(ISNUMBER(B5557),TEXT(B5557,"YYYY-MM"),LEFT(B5557,7)))</f>
        <v/>
      </c>
    </row>
    <row r="5558">
      <c r="N5558" s="6">
        <f>IF(B5558="","",IF(ISNUMBER(B5558),TEXT(B5558,"YYYY-MM"),LEFT(B5558,7)))</f>
        <v/>
      </c>
    </row>
    <row r="5559">
      <c r="N5559" s="6">
        <f>IF(B5559="","",IF(ISNUMBER(B5559),TEXT(B5559,"YYYY-MM"),LEFT(B5559,7)))</f>
        <v/>
      </c>
    </row>
    <row r="5560">
      <c r="N5560" s="6">
        <f>IF(B5560="","",IF(ISNUMBER(B5560),TEXT(B5560,"YYYY-MM"),LEFT(B5560,7)))</f>
        <v/>
      </c>
    </row>
    <row r="5561">
      <c r="N5561" s="6">
        <f>IF(B5561="","",IF(ISNUMBER(B5561),TEXT(B5561,"YYYY-MM"),LEFT(B5561,7)))</f>
        <v/>
      </c>
    </row>
    <row r="5562">
      <c r="N5562" s="6">
        <f>IF(B5562="","",IF(ISNUMBER(B5562),TEXT(B5562,"YYYY-MM"),LEFT(B5562,7)))</f>
        <v/>
      </c>
    </row>
    <row r="5563">
      <c r="N5563" s="6">
        <f>IF(B5563="","",IF(ISNUMBER(B5563),TEXT(B5563,"YYYY-MM"),LEFT(B5563,7)))</f>
        <v/>
      </c>
    </row>
    <row r="5564">
      <c r="N5564" s="6">
        <f>IF(B5564="","",IF(ISNUMBER(B5564),TEXT(B5564,"YYYY-MM"),LEFT(B5564,7)))</f>
        <v/>
      </c>
    </row>
    <row r="5565">
      <c r="N5565" s="6">
        <f>IF(B5565="","",IF(ISNUMBER(B5565),TEXT(B5565,"YYYY-MM"),LEFT(B5565,7)))</f>
        <v/>
      </c>
    </row>
    <row r="5566">
      <c r="N5566" s="6">
        <f>IF(B5566="","",IF(ISNUMBER(B5566),TEXT(B5566,"YYYY-MM"),LEFT(B5566,7)))</f>
        <v/>
      </c>
    </row>
    <row r="5567">
      <c r="N5567" s="6">
        <f>IF(B5567="","",IF(ISNUMBER(B5567),TEXT(B5567,"YYYY-MM"),LEFT(B5567,7)))</f>
        <v/>
      </c>
    </row>
    <row r="5568">
      <c r="N5568" s="6">
        <f>IF(B5568="","",IF(ISNUMBER(B5568),TEXT(B5568,"YYYY-MM"),LEFT(B5568,7)))</f>
        <v/>
      </c>
    </row>
    <row r="5569">
      <c r="N5569" s="6">
        <f>IF(B5569="","",IF(ISNUMBER(B5569),TEXT(B5569,"YYYY-MM"),LEFT(B5569,7)))</f>
        <v/>
      </c>
    </row>
    <row r="5570">
      <c r="N5570" s="6">
        <f>IF(B5570="","",IF(ISNUMBER(B5570),TEXT(B5570,"YYYY-MM"),LEFT(B5570,7)))</f>
        <v/>
      </c>
    </row>
    <row r="5571">
      <c r="N5571" s="6">
        <f>IF(B5571="","",IF(ISNUMBER(B5571),TEXT(B5571,"YYYY-MM"),LEFT(B5571,7)))</f>
        <v/>
      </c>
    </row>
    <row r="5572">
      <c r="N5572" s="6">
        <f>IF(B5572="","",IF(ISNUMBER(B5572),TEXT(B5572,"YYYY-MM"),LEFT(B5572,7)))</f>
        <v/>
      </c>
    </row>
    <row r="5573">
      <c r="N5573" s="6">
        <f>IF(B5573="","",IF(ISNUMBER(B5573),TEXT(B5573,"YYYY-MM"),LEFT(B5573,7)))</f>
        <v/>
      </c>
    </row>
    <row r="5574">
      <c r="N5574" s="6">
        <f>IF(B5574="","",IF(ISNUMBER(B5574),TEXT(B5574,"YYYY-MM"),LEFT(B5574,7)))</f>
        <v/>
      </c>
    </row>
    <row r="5575">
      <c r="N5575" s="6">
        <f>IF(B5575="","",IF(ISNUMBER(B5575),TEXT(B5575,"YYYY-MM"),LEFT(B5575,7)))</f>
        <v/>
      </c>
    </row>
    <row r="5576">
      <c r="N5576" s="6">
        <f>IF(B5576="","",IF(ISNUMBER(B5576),TEXT(B5576,"YYYY-MM"),LEFT(B5576,7)))</f>
        <v/>
      </c>
    </row>
    <row r="5577">
      <c r="N5577" s="6">
        <f>IF(B5577="","",IF(ISNUMBER(B5577),TEXT(B5577,"YYYY-MM"),LEFT(B5577,7)))</f>
        <v/>
      </c>
    </row>
    <row r="5578">
      <c r="N5578" s="6">
        <f>IF(B5578="","",IF(ISNUMBER(B5578),TEXT(B5578,"YYYY-MM"),LEFT(B5578,7)))</f>
        <v/>
      </c>
    </row>
    <row r="5579">
      <c r="N5579" s="6">
        <f>IF(B5579="","",IF(ISNUMBER(B5579),TEXT(B5579,"YYYY-MM"),LEFT(B5579,7)))</f>
        <v/>
      </c>
    </row>
    <row r="5580">
      <c r="N5580" s="6">
        <f>IF(B5580="","",IF(ISNUMBER(B5580),TEXT(B5580,"YYYY-MM"),LEFT(B5580,7)))</f>
        <v/>
      </c>
    </row>
    <row r="5581">
      <c r="N5581" s="6">
        <f>IF(B5581="","",IF(ISNUMBER(B5581),TEXT(B5581,"YYYY-MM"),LEFT(B5581,7)))</f>
        <v/>
      </c>
    </row>
    <row r="5582">
      <c r="N5582" s="6">
        <f>IF(B5582="","",IF(ISNUMBER(B5582),TEXT(B5582,"YYYY-MM"),LEFT(B5582,7)))</f>
        <v/>
      </c>
    </row>
    <row r="5583">
      <c r="N5583" s="6">
        <f>IF(B5583="","",IF(ISNUMBER(B5583),TEXT(B5583,"YYYY-MM"),LEFT(B5583,7)))</f>
        <v/>
      </c>
    </row>
    <row r="5584">
      <c r="N5584" s="6">
        <f>IF(B5584="","",IF(ISNUMBER(B5584),TEXT(B5584,"YYYY-MM"),LEFT(B5584,7)))</f>
        <v/>
      </c>
    </row>
    <row r="5585">
      <c r="N5585" s="6">
        <f>IF(B5585="","",IF(ISNUMBER(B5585),TEXT(B5585,"YYYY-MM"),LEFT(B5585,7)))</f>
        <v/>
      </c>
    </row>
    <row r="5586">
      <c r="N5586" s="6">
        <f>IF(B5586="","",IF(ISNUMBER(B5586),TEXT(B5586,"YYYY-MM"),LEFT(B5586,7)))</f>
        <v/>
      </c>
    </row>
    <row r="5587">
      <c r="N5587" s="6">
        <f>IF(B5587="","",IF(ISNUMBER(B5587),TEXT(B5587,"YYYY-MM"),LEFT(B5587,7)))</f>
        <v/>
      </c>
    </row>
    <row r="5588">
      <c r="N5588" s="6">
        <f>IF(B5588="","",IF(ISNUMBER(B5588),TEXT(B5588,"YYYY-MM"),LEFT(B5588,7)))</f>
        <v/>
      </c>
    </row>
    <row r="5589">
      <c r="N5589" s="6">
        <f>IF(B5589="","",IF(ISNUMBER(B5589),TEXT(B5589,"YYYY-MM"),LEFT(B5589,7)))</f>
        <v/>
      </c>
    </row>
    <row r="5590">
      <c r="N5590" s="6">
        <f>IF(B5590="","",IF(ISNUMBER(B5590),TEXT(B5590,"YYYY-MM"),LEFT(B5590,7)))</f>
        <v/>
      </c>
    </row>
    <row r="5591">
      <c r="N5591" s="6">
        <f>IF(B5591="","",IF(ISNUMBER(B5591),TEXT(B5591,"YYYY-MM"),LEFT(B5591,7)))</f>
        <v/>
      </c>
    </row>
    <row r="5592">
      <c r="N5592" s="6">
        <f>IF(B5592="","",IF(ISNUMBER(B5592),TEXT(B5592,"YYYY-MM"),LEFT(B5592,7)))</f>
        <v/>
      </c>
    </row>
    <row r="5593">
      <c r="N5593" s="6">
        <f>IF(B5593="","",IF(ISNUMBER(B5593),TEXT(B5593,"YYYY-MM"),LEFT(B5593,7)))</f>
        <v/>
      </c>
    </row>
    <row r="5594">
      <c r="N5594" s="6">
        <f>IF(B5594="","",IF(ISNUMBER(B5594),TEXT(B5594,"YYYY-MM"),LEFT(B5594,7)))</f>
        <v/>
      </c>
    </row>
    <row r="5595">
      <c r="N5595" s="6">
        <f>IF(B5595="","",IF(ISNUMBER(B5595),TEXT(B5595,"YYYY-MM"),LEFT(B5595,7)))</f>
        <v/>
      </c>
    </row>
    <row r="5596">
      <c r="N5596" s="6">
        <f>IF(B5596="","",IF(ISNUMBER(B5596),TEXT(B5596,"YYYY-MM"),LEFT(B5596,7)))</f>
        <v/>
      </c>
    </row>
    <row r="5597">
      <c r="N5597" s="6">
        <f>IF(B5597="","",IF(ISNUMBER(B5597),TEXT(B5597,"YYYY-MM"),LEFT(B5597,7)))</f>
        <v/>
      </c>
    </row>
    <row r="5598">
      <c r="N5598" s="6">
        <f>IF(B5598="","",IF(ISNUMBER(B5598),TEXT(B5598,"YYYY-MM"),LEFT(B5598,7)))</f>
        <v/>
      </c>
    </row>
    <row r="5599">
      <c r="N5599" s="6">
        <f>IF(B5599="","",IF(ISNUMBER(B5599),TEXT(B5599,"YYYY-MM"),LEFT(B5599,7)))</f>
        <v/>
      </c>
    </row>
    <row r="5600">
      <c r="N5600" s="6">
        <f>IF(B5600="","",IF(ISNUMBER(B5600),TEXT(B5600,"YYYY-MM"),LEFT(B5600,7)))</f>
        <v/>
      </c>
    </row>
    <row r="5601">
      <c r="N5601" s="6">
        <f>IF(B5601="","",IF(ISNUMBER(B5601),TEXT(B5601,"YYYY-MM"),LEFT(B5601,7)))</f>
        <v/>
      </c>
    </row>
    <row r="5602">
      <c r="N5602" s="6">
        <f>IF(B5602="","",IF(ISNUMBER(B5602),TEXT(B5602,"YYYY-MM"),LEFT(B5602,7)))</f>
        <v/>
      </c>
    </row>
    <row r="5603">
      <c r="N5603" s="6">
        <f>IF(B5603="","",IF(ISNUMBER(B5603),TEXT(B5603,"YYYY-MM"),LEFT(B5603,7)))</f>
        <v/>
      </c>
    </row>
    <row r="5604">
      <c r="N5604" s="6">
        <f>IF(B5604="","",IF(ISNUMBER(B5604),TEXT(B5604,"YYYY-MM"),LEFT(B5604,7)))</f>
        <v/>
      </c>
    </row>
    <row r="5605">
      <c r="N5605" s="6">
        <f>IF(B5605="","",IF(ISNUMBER(B5605),TEXT(B5605,"YYYY-MM"),LEFT(B5605,7)))</f>
        <v/>
      </c>
    </row>
    <row r="5606">
      <c r="N5606" s="6">
        <f>IF(B5606="","",IF(ISNUMBER(B5606),TEXT(B5606,"YYYY-MM"),LEFT(B5606,7)))</f>
        <v/>
      </c>
    </row>
    <row r="5607">
      <c r="N5607" s="6">
        <f>IF(B5607="","",IF(ISNUMBER(B5607),TEXT(B5607,"YYYY-MM"),LEFT(B5607,7)))</f>
        <v/>
      </c>
    </row>
    <row r="5608">
      <c r="N5608" s="6">
        <f>IF(B5608="","",IF(ISNUMBER(B5608),TEXT(B5608,"YYYY-MM"),LEFT(B5608,7)))</f>
        <v/>
      </c>
    </row>
    <row r="5609">
      <c r="N5609" s="6">
        <f>IF(B5609="","",IF(ISNUMBER(B5609),TEXT(B5609,"YYYY-MM"),LEFT(B5609,7)))</f>
        <v/>
      </c>
    </row>
    <row r="5610">
      <c r="N5610" s="6">
        <f>IF(B5610="","",IF(ISNUMBER(B5610),TEXT(B5610,"YYYY-MM"),LEFT(B5610,7)))</f>
        <v/>
      </c>
    </row>
    <row r="5611">
      <c r="N5611" s="6">
        <f>IF(B5611="","",IF(ISNUMBER(B5611),TEXT(B5611,"YYYY-MM"),LEFT(B5611,7)))</f>
        <v/>
      </c>
    </row>
    <row r="5612">
      <c r="N5612" s="6">
        <f>IF(B5612="","",IF(ISNUMBER(B5612),TEXT(B5612,"YYYY-MM"),LEFT(B5612,7)))</f>
        <v/>
      </c>
    </row>
    <row r="5613">
      <c r="N5613" s="6">
        <f>IF(B5613="","",IF(ISNUMBER(B5613),TEXT(B5613,"YYYY-MM"),LEFT(B5613,7)))</f>
        <v/>
      </c>
    </row>
    <row r="5614">
      <c r="N5614" s="6">
        <f>IF(B5614="","",IF(ISNUMBER(B5614),TEXT(B5614,"YYYY-MM"),LEFT(B5614,7)))</f>
        <v/>
      </c>
    </row>
    <row r="5615">
      <c r="N5615" s="6">
        <f>IF(B5615="","",IF(ISNUMBER(B5615),TEXT(B5615,"YYYY-MM"),LEFT(B5615,7)))</f>
        <v/>
      </c>
    </row>
    <row r="5616">
      <c r="N5616" s="6">
        <f>IF(B5616="","",IF(ISNUMBER(B5616),TEXT(B5616,"YYYY-MM"),LEFT(B5616,7)))</f>
        <v/>
      </c>
    </row>
    <row r="5617">
      <c r="N5617" s="6">
        <f>IF(B5617="","",IF(ISNUMBER(B5617),TEXT(B5617,"YYYY-MM"),LEFT(B5617,7)))</f>
        <v/>
      </c>
    </row>
    <row r="5618">
      <c r="N5618" s="6">
        <f>IF(B5618="","",IF(ISNUMBER(B5618),TEXT(B5618,"YYYY-MM"),LEFT(B5618,7)))</f>
        <v/>
      </c>
    </row>
    <row r="5619">
      <c r="N5619" s="6">
        <f>IF(B5619="","",IF(ISNUMBER(B5619),TEXT(B5619,"YYYY-MM"),LEFT(B5619,7)))</f>
        <v/>
      </c>
    </row>
    <row r="5620">
      <c r="N5620" s="6">
        <f>IF(B5620="","",IF(ISNUMBER(B5620),TEXT(B5620,"YYYY-MM"),LEFT(B5620,7)))</f>
        <v/>
      </c>
    </row>
    <row r="5621">
      <c r="N5621" s="6">
        <f>IF(B5621="","",IF(ISNUMBER(B5621),TEXT(B5621,"YYYY-MM"),LEFT(B5621,7)))</f>
        <v/>
      </c>
    </row>
    <row r="5622">
      <c r="N5622" s="6">
        <f>IF(B5622="","",IF(ISNUMBER(B5622),TEXT(B5622,"YYYY-MM"),LEFT(B5622,7)))</f>
        <v/>
      </c>
    </row>
    <row r="5623">
      <c r="N5623" s="6">
        <f>IF(B5623="","",IF(ISNUMBER(B5623),TEXT(B5623,"YYYY-MM"),LEFT(B5623,7)))</f>
        <v/>
      </c>
    </row>
    <row r="5624">
      <c r="N5624" s="6">
        <f>IF(B5624="","",IF(ISNUMBER(B5624),TEXT(B5624,"YYYY-MM"),LEFT(B5624,7)))</f>
        <v/>
      </c>
    </row>
    <row r="5625">
      <c r="N5625" s="6">
        <f>IF(B5625="","",IF(ISNUMBER(B5625),TEXT(B5625,"YYYY-MM"),LEFT(B5625,7)))</f>
        <v/>
      </c>
    </row>
    <row r="5626">
      <c r="N5626" s="6">
        <f>IF(B5626="","",IF(ISNUMBER(B5626),TEXT(B5626,"YYYY-MM"),LEFT(B5626,7)))</f>
        <v/>
      </c>
    </row>
    <row r="5627">
      <c r="N5627" s="6">
        <f>IF(B5627="","",IF(ISNUMBER(B5627),TEXT(B5627,"YYYY-MM"),LEFT(B5627,7)))</f>
        <v/>
      </c>
    </row>
    <row r="5628">
      <c r="N5628" s="6">
        <f>IF(B5628="","",IF(ISNUMBER(B5628),TEXT(B5628,"YYYY-MM"),LEFT(B5628,7)))</f>
        <v/>
      </c>
    </row>
    <row r="5629">
      <c r="N5629" s="6">
        <f>IF(B5629="","",IF(ISNUMBER(B5629),TEXT(B5629,"YYYY-MM"),LEFT(B5629,7)))</f>
        <v/>
      </c>
    </row>
    <row r="5630">
      <c r="N5630" s="6">
        <f>IF(B5630="","",IF(ISNUMBER(B5630),TEXT(B5630,"YYYY-MM"),LEFT(B5630,7)))</f>
        <v/>
      </c>
    </row>
    <row r="5631">
      <c r="N5631" s="6">
        <f>IF(B5631="","",IF(ISNUMBER(B5631),TEXT(B5631,"YYYY-MM"),LEFT(B5631,7)))</f>
        <v/>
      </c>
    </row>
    <row r="5632">
      <c r="N5632" s="6">
        <f>IF(B5632="","",IF(ISNUMBER(B5632),TEXT(B5632,"YYYY-MM"),LEFT(B5632,7)))</f>
        <v/>
      </c>
    </row>
    <row r="5633">
      <c r="N5633" s="6">
        <f>IF(B5633="","",IF(ISNUMBER(B5633),TEXT(B5633,"YYYY-MM"),LEFT(B5633,7)))</f>
        <v/>
      </c>
    </row>
    <row r="5634">
      <c r="N5634" s="6">
        <f>IF(B5634="","",IF(ISNUMBER(B5634),TEXT(B5634,"YYYY-MM"),LEFT(B5634,7)))</f>
        <v/>
      </c>
    </row>
    <row r="5635">
      <c r="N5635" s="6">
        <f>IF(B5635="","",IF(ISNUMBER(B5635),TEXT(B5635,"YYYY-MM"),LEFT(B5635,7)))</f>
        <v/>
      </c>
    </row>
    <row r="5636">
      <c r="N5636" s="6">
        <f>IF(B5636="","",IF(ISNUMBER(B5636),TEXT(B5636,"YYYY-MM"),LEFT(B5636,7)))</f>
        <v/>
      </c>
    </row>
    <row r="5637">
      <c r="N5637" s="6">
        <f>IF(B5637="","",IF(ISNUMBER(B5637),TEXT(B5637,"YYYY-MM"),LEFT(B5637,7)))</f>
        <v/>
      </c>
    </row>
    <row r="5638">
      <c r="N5638" s="6">
        <f>IF(B5638="","",IF(ISNUMBER(B5638),TEXT(B5638,"YYYY-MM"),LEFT(B5638,7)))</f>
        <v/>
      </c>
    </row>
    <row r="5639">
      <c r="N5639" s="6">
        <f>IF(B5639="","",IF(ISNUMBER(B5639),TEXT(B5639,"YYYY-MM"),LEFT(B5639,7)))</f>
        <v/>
      </c>
    </row>
    <row r="5640">
      <c r="N5640" s="6">
        <f>IF(B5640="","",IF(ISNUMBER(B5640),TEXT(B5640,"YYYY-MM"),LEFT(B5640,7)))</f>
        <v/>
      </c>
    </row>
    <row r="5641">
      <c r="N5641" s="6">
        <f>IF(B5641="","",IF(ISNUMBER(B5641),TEXT(B5641,"YYYY-MM"),LEFT(B5641,7)))</f>
        <v/>
      </c>
    </row>
    <row r="5642">
      <c r="N5642" s="6">
        <f>IF(B5642="","",IF(ISNUMBER(B5642),TEXT(B5642,"YYYY-MM"),LEFT(B5642,7)))</f>
        <v/>
      </c>
    </row>
    <row r="5643">
      <c r="N5643" s="6">
        <f>IF(B5643="","",IF(ISNUMBER(B5643),TEXT(B5643,"YYYY-MM"),LEFT(B5643,7)))</f>
        <v/>
      </c>
    </row>
    <row r="5644">
      <c r="N5644" s="6">
        <f>IF(B5644="","",IF(ISNUMBER(B5644),TEXT(B5644,"YYYY-MM"),LEFT(B5644,7)))</f>
        <v/>
      </c>
    </row>
    <row r="5645">
      <c r="N5645" s="6">
        <f>IF(B5645="","",IF(ISNUMBER(B5645),TEXT(B5645,"YYYY-MM"),LEFT(B5645,7)))</f>
        <v/>
      </c>
    </row>
    <row r="5646">
      <c r="N5646" s="6">
        <f>IF(B5646="","",IF(ISNUMBER(B5646),TEXT(B5646,"YYYY-MM"),LEFT(B5646,7)))</f>
        <v/>
      </c>
    </row>
    <row r="5647">
      <c r="N5647" s="6">
        <f>IF(B5647="","",IF(ISNUMBER(B5647),TEXT(B5647,"YYYY-MM"),LEFT(B5647,7)))</f>
        <v/>
      </c>
    </row>
    <row r="5648">
      <c r="N5648" s="6">
        <f>IF(B5648="","",IF(ISNUMBER(B5648),TEXT(B5648,"YYYY-MM"),LEFT(B5648,7)))</f>
        <v/>
      </c>
    </row>
    <row r="5649">
      <c r="N5649" s="6">
        <f>IF(B5649="","",IF(ISNUMBER(B5649),TEXT(B5649,"YYYY-MM"),LEFT(B5649,7)))</f>
        <v/>
      </c>
    </row>
    <row r="5650">
      <c r="N5650" s="6">
        <f>IF(B5650="","",IF(ISNUMBER(B5650),TEXT(B5650,"YYYY-MM"),LEFT(B5650,7)))</f>
        <v/>
      </c>
    </row>
    <row r="5651">
      <c r="N5651" s="6">
        <f>IF(B5651="","",IF(ISNUMBER(B5651),TEXT(B5651,"YYYY-MM"),LEFT(B5651,7)))</f>
        <v/>
      </c>
    </row>
    <row r="5652">
      <c r="N5652" s="6">
        <f>IF(B5652="","",IF(ISNUMBER(B5652),TEXT(B5652,"YYYY-MM"),LEFT(B5652,7)))</f>
        <v/>
      </c>
    </row>
    <row r="5653">
      <c r="N5653" s="6">
        <f>IF(B5653="","",IF(ISNUMBER(B5653),TEXT(B5653,"YYYY-MM"),LEFT(B5653,7)))</f>
        <v/>
      </c>
    </row>
    <row r="5654">
      <c r="N5654" s="6">
        <f>IF(B5654="","",IF(ISNUMBER(B5654),TEXT(B5654,"YYYY-MM"),LEFT(B5654,7)))</f>
        <v/>
      </c>
    </row>
    <row r="5655">
      <c r="N5655" s="6">
        <f>IF(B5655="","",IF(ISNUMBER(B5655),TEXT(B5655,"YYYY-MM"),LEFT(B5655,7)))</f>
        <v/>
      </c>
    </row>
    <row r="5656">
      <c r="N5656" s="6">
        <f>IF(B5656="","",IF(ISNUMBER(B5656),TEXT(B5656,"YYYY-MM"),LEFT(B5656,7)))</f>
        <v/>
      </c>
    </row>
    <row r="5657">
      <c r="N5657" s="6">
        <f>IF(B5657="","",IF(ISNUMBER(B5657),TEXT(B5657,"YYYY-MM"),LEFT(B5657,7)))</f>
        <v/>
      </c>
    </row>
    <row r="5658">
      <c r="N5658" s="6">
        <f>IF(B5658="","",IF(ISNUMBER(B5658),TEXT(B5658,"YYYY-MM"),LEFT(B5658,7)))</f>
        <v/>
      </c>
    </row>
    <row r="5659">
      <c r="N5659" s="6">
        <f>IF(B5659="","",IF(ISNUMBER(B5659),TEXT(B5659,"YYYY-MM"),LEFT(B5659,7)))</f>
        <v/>
      </c>
    </row>
    <row r="5660">
      <c r="N5660" s="6">
        <f>IF(B5660="","",IF(ISNUMBER(B5660),TEXT(B5660,"YYYY-MM"),LEFT(B5660,7)))</f>
        <v/>
      </c>
    </row>
    <row r="5661">
      <c r="N5661" s="6">
        <f>IF(B5661="","",IF(ISNUMBER(B5661),TEXT(B5661,"YYYY-MM"),LEFT(B5661,7)))</f>
        <v/>
      </c>
    </row>
    <row r="5662">
      <c r="N5662" s="6">
        <f>IF(B5662="","",IF(ISNUMBER(B5662),TEXT(B5662,"YYYY-MM"),LEFT(B5662,7)))</f>
        <v/>
      </c>
    </row>
    <row r="5663">
      <c r="N5663" s="6">
        <f>IF(B5663="","",IF(ISNUMBER(B5663),TEXT(B5663,"YYYY-MM"),LEFT(B5663,7)))</f>
        <v/>
      </c>
    </row>
    <row r="5664">
      <c r="N5664" s="6">
        <f>IF(B5664="","",IF(ISNUMBER(B5664),TEXT(B5664,"YYYY-MM"),LEFT(B5664,7)))</f>
        <v/>
      </c>
    </row>
    <row r="5665">
      <c r="N5665" s="6">
        <f>IF(B5665="","",IF(ISNUMBER(B5665),TEXT(B5665,"YYYY-MM"),LEFT(B5665,7)))</f>
        <v/>
      </c>
    </row>
    <row r="5666">
      <c r="N5666" s="6">
        <f>IF(B5666="","",IF(ISNUMBER(B5666),TEXT(B5666,"YYYY-MM"),LEFT(B5666,7)))</f>
        <v/>
      </c>
    </row>
    <row r="5667">
      <c r="N5667" s="6">
        <f>IF(B5667="","",IF(ISNUMBER(B5667),TEXT(B5667,"YYYY-MM"),LEFT(B5667,7)))</f>
        <v/>
      </c>
    </row>
    <row r="5668">
      <c r="N5668" s="6">
        <f>IF(B5668="","",IF(ISNUMBER(B5668),TEXT(B5668,"YYYY-MM"),LEFT(B5668,7)))</f>
        <v/>
      </c>
    </row>
    <row r="5669">
      <c r="N5669" s="6">
        <f>IF(B5669="","",IF(ISNUMBER(B5669),TEXT(B5669,"YYYY-MM"),LEFT(B5669,7)))</f>
        <v/>
      </c>
    </row>
    <row r="5670">
      <c r="N5670" s="6">
        <f>IF(B5670="","",IF(ISNUMBER(B5670),TEXT(B5670,"YYYY-MM"),LEFT(B5670,7)))</f>
        <v/>
      </c>
    </row>
    <row r="5671">
      <c r="N5671" s="6">
        <f>IF(B5671="","",IF(ISNUMBER(B5671),TEXT(B5671,"YYYY-MM"),LEFT(B5671,7)))</f>
        <v/>
      </c>
    </row>
    <row r="5672">
      <c r="N5672" s="6">
        <f>IF(B5672="","",IF(ISNUMBER(B5672),TEXT(B5672,"YYYY-MM"),LEFT(B5672,7)))</f>
        <v/>
      </c>
    </row>
    <row r="5673">
      <c r="N5673" s="6">
        <f>IF(B5673="","",IF(ISNUMBER(B5673),TEXT(B5673,"YYYY-MM"),LEFT(B5673,7)))</f>
        <v/>
      </c>
    </row>
    <row r="5674">
      <c r="N5674" s="6">
        <f>IF(B5674="","",IF(ISNUMBER(B5674),TEXT(B5674,"YYYY-MM"),LEFT(B5674,7)))</f>
        <v/>
      </c>
    </row>
    <row r="5675">
      <c r="N5675" s="6">
        <f>IF(B5675="","",IF(ISNUMBER(B5675),TEXT(B5675,"YYYY-MM"),LEFT(B5675,7)))</f>
        <v/>
      </c>
    </row>
    <row r="5676">
      <c r="N5676" s="6">
        <f>IF(B5676="","",IF(ISNUMBER(B5676),TEXT(B5676,"YYYY-MM"),LEFT(B5676,7)))</f>
        <v/>
      </c>
    </row>
    <row r="5677">
      <c r="N5677" s="6">
        <f>IF(B5677="","",IF(ISNUMBER(B5677),TEXT(B5677,"YYYY-MM"),LEFT(B5677,7)))</f>
        <v/>
      </c>
    </row>
    <row r="5678">
      <c r="N5678" s="6">
        <f>IF(B5678="","",IF(ISNUMBER(B5678),TEXT(B5678,"YYYY-MM"),LEFT(B5678,7)))</f>
        <v/>
      </c>
    </row>
    <row r="5679">
      <c r="N5679" s="6">
        <f>IF(B5679="","",IF(ISNUMBER(B5679),TEXT(B5679,"YYYY-MM"),LEFT(B5679,7)))</f>
        <v/>
      </c>
    </row>
    <row r="5680">
      <c r="N5680" s="6">
        <f>IF(B5680="","",IF(ISNUMBER(B5680),TEXT(B5680,"YYYY-MM"),LEFT(B5680,7)))</f>
        <v/>
      </c>
    </row>
    <row r="5681">
      <c r="N5681" s="6">
        <f>IF(B5681="","",IF(ISNUMBER(B5681),TEXT(B5681,"YYYY-MM"),LEFT(B5681,7)))</f>
        <v/>
      </c>
    </row>
    <row r="5682">
      <c r="N5682" s="6">
        <f>IF(B5682="","",IF(ISNUMBER(B5682),TEXT(B5682,"YYYY-MM"),LEFT(B5682,7)))</f>
        <v/>
      </c>
    </row>
    <row r="5683">
      <c r="N5683" s="6">
        <f>IF(B5683="","",IF(ISNUMBER(B5683),TEXT(B5683,"YYYY-MM"),LEFT(B5683,7)))</f>
        <v/>
      </c>
    </row>
    <row r="5684">
      <c r="N5684" s="6">
        <f>IF(B5684="","",IF(ISNUMBER(B5684),TEXT(B5684,"YYYY-MM"),LEFT(B5684,7)))</f>
        <v/>
      </c>
    </row>
    <row r="5685">
      <c r="N5685" s="6">
        <f>IF(B5685="","",IF(ISNUMBER(B5685),TEXT(B5685,"YYYY-MM"),LEFT(B5685,7)))</f>
        <v/>
      </c>
    </row>
    <row r="5686">
      <c r="N5686" s="6">
        <f>IF(B5686="","",IF(ISNUMBER(B5686),TEXT(B5686,"YYYY-MM"),LEFT(B5686,7)))</f>
        <v/>
      </c>
    </row>
    <row r="5687">
      <c r="N5687" s="6">
        <f>IF(B5687="","",IF(ISNUMBER(B5687),TEXT(B5687,"YYYY-MM"),LEFT(B5687,7)))</f>
        <v/>
      </c>
    </row>
    <row r="5688">
      <c r="N5688" s="6">
        <f>IF(B5688="","",IF(ISNUMBER(B5688),TEXT(B5688,"YYYY-MM"),LEFT(B5688,7)))</f>
        <v/>
      </c>
    </row>
    <row r="5689">
      <c r="N5689" s="6">
        <f>IF(B5689="","",IF(ISNUMBER(B5689),TEXT(B5689,"YYYY-MM"),LEFT(B5689,7)))</f>
        <v/>
      </c>
    </row>
    <row r="5690">
      <c r="N5690" s="6">
        <f>IF(B5690="","",IF(ISNUMBER(B5690),TEXT(B5690,"YYYY-MM"),LEFT(B5690,7)))</f>
        <v/>
      </c>
    </row>
    <row r="5691">
      <c r="N5691" s="6">
        <f>IF(B5691="","",IF(ISNUMBER(B5691),TEXT(B5691,"YYYY-MM"),LEFT(B5691,7)))</f>
        <v/>
      </c>
    </row>
    <row r="5692">
      <c r="N5692" s="6">
        <f>IF(B5692="","",IF(ISNUMBER(B5692),TEXT(B5692,"YYYY-MM"),LEFT(B5692,7)))</f>
        <v/>
      </c>
    </row>
    <row r="5693">
      <c r="N5693" s="6">
        <f>IF(B5693="","",IF(ISNUMBER(B5693),TEXT(B5693,"YYYY-MM"),LEFT(B5693,7)))</f>
        <v/>
      </c>
    </row>
    <row r="5694">
      <c r="N5694" s="6">
        <f>IF(B5694="","",IF(ISNUMBER(B5694),TEXT(B5694,"YYYY-MM"),LEFT(B5694,7)))</f>
        <v/>
      </c>
    </row>
    <row r="5695">
      <c r="N5695" s="6">
        <f>IF(B5695="","",IF(ISNUMBER(B5695),TEXT(B5695,"YYYY-MM"),LEFT(B5695,7)))</f>
        <v/>
      </c>
    </row>
    <row r="5696">
      <c r="N5696" s="6">
        <f>IF(B5696="","",IF(ISNUMBER(B5696),TEXT(B5696,"YYYY-MM"),LEFT(B5696,7)))</f>
        <v/>
      </c>
    </row>
    <row r="5697">
      <c r="N5697" s="6">
        <f>IF(B5697="","",IF(ISNUMBER(B5697),TEXT(B5697,"YYYY-MM"),LEFT(B5697,7)))</f>
        <v/>
      </c>
    </row>
    <row r="5698">
      <c r="N5698" s="6">
        <f>IF(B5698="","",IF(ISNUMBER(B5698),TEXT(B5698,"YYYY-MM"),LEFT(B5698,7)))</f>
        <v/>
      </c>
    </row>
    <row r="5699">
      <c r="N5699" s="6">
        <f>IF(B5699="","",IF(ISNUMBER(B5699),TEXT(B5699,"YYYY-MM"),LEFT(B5699,7)))</f>
        <v/>
      </c>
    </row>
    <row r="5700">
      <c r="N5700" s="6">
        <f>IF(B5700="","",IF(ISNUMBER(B5700),TEXT(B5700,"YYYY-MM"),LEFT(B5700,7)))</f>
        <v/>
      </c>
    </row>
    <row r="5701">
      <c r="N5701" s="6">
        <f>IF(B5701="","",IF(ISNUMBER(B5701),TEXT(B5701,"YYYY-MM"),LEFT(B5701,7)))</f>
        <v/>
      </c>
    </row>
    <row r="5702">
      <c r="N5702" s="6">
        <f>IF(B5702="","",IF(ISNUMBER(B5702),TEXT(B5702,"YYYY-MM"),LEFT(B5702,7)))</f>
        <v/>
      </c>
    </row>
    <row r="5703">
      <c r="N5703" s="6">
        <f>IF(B5703="","",IF(ISNUMBER(B5703),TEXT(B5703,"YYYY-MM"),LEFT(B5703,7)))</f>
        <v/>
      </c>
    </row>
    <row r="5704">
      <c r="N5704" s="6">
        <f>IF(B5704="","",IF(ISNUMBER(B5704),TEXT(B5704,"YYYY-MM"),LEFT(B5704,7)))</f>
        <v/>
      </c>
    </row>
    <row r="5705">
      <c r="N5705" s="6">
        <f>IF(B5705="","",IF(ISNUMBER(B5705),TEXT(B5705,"YYYY-MM"),LEFT(B5705,7)))</f>
        <v/>
      </c>
    </row>
    <row r="5706">
      <c r="N5706" s="6">
        <f>IF(B5706="","",IF(ISNUMBER(B5706),TEXT(B5706,"YYYY-MM"),LEFT(B5706,7)))</f>
        <v/>
      </c>
    </row>
    <row r="5707">
      <c r="N5707" s="6">
        <f>IF(B5707="","",IF(ISNUMBER(B5707),TEXT(B5707,"YYYY-MM"),LEFT(B5707,7)))</f>
        <v/>
      </c>
    </row>
    <row r="5708">
      <c r="N5708" s="6">
        <f>IF(B5708="","",IF(ISNUMBER(B5708),TEXT(B5708,"YYYY-MM"),LEFT(B5708,7)))</f>
        <v/>
      </c>
    </row>
    <row r="5709">
      <c r="N5709" s="6">
        <f>IF(B5709="","",IF(ISNUMBER(B5709),TEXT(B5709,"YYYY-MM"),LEFT(B5709,7)))</f>
        <v/>
      </c>
    </row>
    <row r="5710">
      <c r="N5710" s="6">
        <f>IF(B5710="","",IF(ISNUMBER(B5710),TEXT(B5710,"YYYY-MM"),LEFT(B5710,7)))</f>
        <v/>
      </c>
    </row>
    <row r="5711">
      <c r="N5711" s="6">
        <f>IF(B5711="","",IF(ISNUMBER(B5711),TEXT(B5711,"YYYY-MM"),LEFT(B5711,7)))</f>
        <v/>
      </c>
    </row>
    <row r="5712">
      <c r="N5712" s="6">
        <f>IF(B5712="","",IF(ISNUMBER(B5712),TEXT(B5712,"YYYY-MM"),LEFT(B5712,7)))</f>
        <v/>
      </c>
    </row>
    <row r="5713">
      <c r="N5713" s="6">
        <f>IF(B5713="","",IF(ISNUMBER(B5713),TEXT(B5713,"YYYY-MM"),LEFT(B5713,7)))</f>
        <v/>
      </c>
    </row>
    <row r="5714">
      <c r="N5714" s="6">
        <f>IF(B5714="","",IF(ISNUMBER(B5714),TEXT(B5714,"YYYY-MM"),LEFT(B5714,7)))</f>
        <v/>
      </c>
    </row>
    <row r="5715">
      <c r="N5715" s="6">
        <f>IF(B5715="","",IF(ISNUMBER(B5715),TEXT(B5715,"YYYY-MM"),LEFT(B5715,7)))</f>
        <v/>
      </c>
    </row>
    <row r="5716">
      <c r="N5716" s="6">
        <f>IF(B5716="","",IF(ISNUMBER(B5716),TEXT(B5716,"YYYY-MM"),LEFT(B5716,7)))</f>
        <v/>
      </c>
    </row>
    <row r="5717">
      <c r="N5717" s="6">
        <f>IF(B5717="","",IF(ISNUMBER(B5717),TEXT(B5717,"YYYY-MM"),LEFT(B5717,7)))</f>
        <v/>
      </c>
    </row>
    <row r="5718">
      <c r="N5718" s="6">
        <f>IF(B5718="","",IF(ISNUMBER(B5718),TEXT(B5718,"YYYY-MM"),LEFT(B5718,7)))</f>
        <v/>
      </c>
    </row>
    <row r="5719">
      <c r="N5719" s="6">
        <f>IF(B5719="","",IF(ISNUMBER(B5719),TEXT(B5719,"YYYY-MM"),LEFT(B5719,7)))</f>
        <v/>
      </c>
    </row>
    <row r="5720">
      <c r="N5720" s="6">
        <f>IF(B5720="","",IF(ISNUMBER(B5720),TEXT(B5720,"YYYY-MM"),LEFT(B5720,7)))</f>
        <v/>
      </c>
    </row>
    <row r="5721">
      <c r="N5721" s="6">
        <f>IF(B5721="","",IF(ISNUMBER(B5721),TEXT(B5721,"YYYY-MM"),LEFT(B5721,7)))</f>
        <v/>
      </c>
    </row>
    <row r="5722">
      <c r="N5722" s="6">
        <f>IF(B5722="","",IF(ISNUMBER(B5722),TEXT(B5722,"YYYY-MM"),LEFT(B5722,7)))</f>
        <v/>
      </c>
    </row>
    <row r="5723">
      <c r="N5723" s="6">
        <f>IF(B5723="","",IF(ISNUMBER(B5723),TEXT(B5723,"YYYY-MM"),LEFT(B5723,7)))</f>
        <v/>
      </c>
    </row>
    <row r="5724">
      <c r="N5724" s="6">
        <f>IF(B5724="","",IF(ISNUMBER(B5724),TEXT(B5724,"YYYY-MM"),LEFT(B5724,7)))</f>
        <v/>
      </c>
    </row>
    <row r="5725">
      <c r="N5725" s="6">
        <f>IF(B5725="","",IF(ISNUMBER(B5725),TEXT(B5725,"YYYY-MM"),LEFT(B5725,7)))</f>
        <v/>
      </c>
    </row>
    <row r="5726">
      <c r="N5726" s="6">
        <f>IF(B5726="","",IF(ISNUMBER(B5726),TEXT(B5726,"YYYY-MM"),LEFT(B5726,7)))</f>
        <v/>
      </c>
    </row>
    <row r="5727">
      <c r="N5727" s="6">
        <f>IF(B5727="","",IF(ISNUMBER(B5727),TEXT(B5727,"YYYY-MM"),LEFT(B5727,7)))</f>
        <v/>
      </c>
    </row>
    <row r="5728">
      <c r="N5728" s="6">
        <f>IF(B5728="","",IF(ISNUMBER(B5728),TEXT(B5728,"YYYY-MM"),LEFT(B5728,7)))</f>
        <v/>
      </c>
    </row>
    <row r="5729">
      <c r="N5729" s="6">
        <f>IF(B5729="","",IF(ISNUMBER(B5729),TEXT(B5729,"YYYY-MM"),LEFT(B5729,7)))</f>
        <v/>
      </c>
    </row>
    <row r="5730">
      <c r="N5730" s="6">
        <f>IF(B5730="","",IF(ISNUMBER(B5730),TEXT(B5730,"YYYY-MM"),LEFT(B5730,7)))</f>
        <v/>
      </c>
    </row>
    <row r="5731">
      <c r="N5731" s="6">
        <f>IF(B5731="","",IF(ISNUMBER(B5731),TEXT(B5731,"YYYY-MM"),LEFT(B5731,7)))</f>
        <v/>
      </c>
    </row>
    <row r="5732">
      <c r="N5732" s="6">
        <f>IF(B5732="","",IF(ISNUMBER(B5732),TEXT(B5732,"YYYY-MM"),LEFT(B5732,7)))</f>
        <v/>
      </c>
    </row>
    <row r="5733">
      <c r="N5733" s="6">
        <f>IF(B5733="","",IF(ISNUMBER(B5733),TEXT(B5733,"YYYY-MM"),LEFT(B5733,7)))</f>
        <v/>
      </c>
    </row>
    <row r="5734">
      <c r="N5734" s="6">
        <f>IF(B5734="","",IF(ISNUMBER(B5734),TEXT(B5734,"YYYY-MM"),LEFT(B5734,7)))</f>
        <v/>
      </c>
    </row>
    <row r="5735">
      <c r="N5735" s="6">
        <f>IF(B5735="","",IF(ISNUMBER(B5735),TEXT(B5735,"YYYY-MM"),LEFT(B5735,7)))</f>
        <v/>
      </c>
    </row>
    <row r="5736">
      <c r="N5736" s="6">
        <f>IF(B5736="","",IF(ISNUMBER(B5736),TEXT(B5736,"YYYY-MM"),LEFT(B5736,7)))</f>
        <v/>
      </c>
    </row>
    <row r="5737">
      <c r="N5737" s="6">
        <f>IF(B5737="","",IF(ISNUMBER(B5737),TEXT(B5737,"YYYY-MM"),LEFT(B5737,7)))</f>
        <v/>
      </c>
    </row>
    <row r="5738">
      <c r="N5738" s="6">
        <f>IF(B5738="","",IF(ISNUMBER(B5738),TEXT(B5738,"YYYY-MM"),LEFT(B5738,7)))</f>
        <v/>
      </c>
    </row>
    <row r="5739">
      <c r="N5739" s="6">
        <f>IF(B5739="","",IF(ISNUMBER(B5739),TEXT(B5739,"YYYY-MM"),LEFT(B5739,7)))</f>
        <v/>
      </c>
    </row>
    <row r="5740">
      <c r="N5740" s="6">
        <f>IF(B5740="","",IF(ISNUMBER(B5740),TEXT(B5740,"YYYY-MM"),LEFT(B5740,7)))</f>
        <v/>
      </c>
    </row>
    <row r="5741">
      <c r="N5741" s="6">
        <f>IF(B5741="","",IF(ISNUMBER(B5741),TEXT(B5741,"YYYY-MM"),LEFT(B5741,7)))</f>
        <v/>
      </c>
    </row>
    <row r="5742">
      <c r="N5742" s="6">
        <f>IF(B5742="","",IF(ISNUMBER(B5742),TEXT(B5742,"YYYY-MM"),LEFT(B5742,7)))</f>
        <v/>
      </c>
    </row>
    <row r="5743">
      <c r="N5743" s="6">
        <f>IF(B5743="","",IF(ISNUMBER(B5743),TEXT(B5743,"YYYY-MM"),LEFT(B5743,7)))</f>
        <v/>
      </c>
    </row>
    <row r="5744">
      <c r="N5744" s="6">
        <f>IF(B5744="","",IF(ISNUMBER(B5744),TEXT(B5744,"YYYY-MM"),LEFT(B5744,7)))</f>
        <v/>
      </c>
    </row>
    <row r="5745">
      <c r="N5745" s="6">
        <f>IF(B5745="","",IF(ISNUMBER(B5745),TEXT(B5745,"YYYY-MM"),LEFT(B5745,7)))</f>
        <v/>
      </c>
    </row>
    <row r="5746">
      <c r="N5746" s="6">
        <f>IF(B5746="","",IF(ISNUMBER(B5746),TEXT(B5746,"YYYY-MM"),LEFT(B5746,7)))</f>
        <v/>
      </c>
    </row>
    <row r="5747">
      <c r="N5747" s="6">
        <f>IF(B5747="","",IF(ISNUMBER(B5747),TEXT(B5747,"YYYY-MM"),LEFT(B5747,7)))</f>
        <v/>
      </c>
    </row>
    <row r="5748">
      <c r="N5748" s="6">
        <f>IF(B5748="","",IF(ISNUMBER(B5748),TEXT(B5748,"YYYY-MM"),LEFT(B5748,7)))</f>
        <v/>
      </c>
    </row>
    <row r="5749">
      <c r="N5749" s="6">
        <f>IF(B5749="","",IF(ISNUMBER(B5749),TEXT(B5749,"YYYY-MM"),LEFT(B5749,7)))</f>
        <v/>
      </c>
    </row>
    <row r="5750">
      <c r="N5750" s="6">
        <f>IF(B5750="","",IF(ISNUMBER(B5750),TEXT(B5750,"YYYY-MM"),LEFT(B5750,7)))</f>
        <v/>
      </c>
    </row>
    <row r="5751">
      <c r="N5751" s="6">
        <f>IF(B5751="","",IF(ISNUMBER(B5751),TEXT(B5751,"YYYY-MM"),LEFT(B5751,7)))</f>
        <v/>
      </c>
    </row>
    <row r="5752">
      <c r="N5752" s="6">
        <f>IF(B5752="","",IF(ISNUMBER(B5752),TEXT(B5752,"YYYY-MM"),LEFT(B5752,7)))</f>
        <v/>
      </c>
    </row>
    <row r="5753">
      <c r="N5753" s="6">
        <f>IF(B5753="","",IF(ISNUMBER(B5753),TEXT(B5753,"YYYY-MM"),LEFT(B5753,7)))</f>
        <v/>
      </c>
    </row>
    <row r="5754">
      <c r="N5754" s="6">
        <f>IF(B5754="","",IF(ISNUMBER(B5754),TEXT(B5754,"YYYY-MM"),LEFT(B5754,7)))</f>
        <v/>
      </c>
    </row>
    <row r="5755">
      <c r="N5755" s="6">
        <f>IF(B5755="","",IF(ISNUMBER(B5755),TEXT(B5755,"YYYY-MM"),LEFT(B5755,7)))</f>
        <v/>
      </c>
    </row>
    <row r="5756">
      <c r="N5756" s="6">
        <f>IF(B5756="","",IF(ISNUMBER(B5756),TEXT(B5756,"YYYY-MM"),LEFT(B5756,7)))</f>
        <v/>
      </c>
    </row>
    <row r="5757">
      <c r="N5757" s="6">
        <f>IF(B5757="","",IF(ISNUMBER(B5757),TEXT(B5757,"YYYY-MM"),LEFT(B5757,7)))</f>
        <v/>
      </c>
    </row>
    <row r="5758">
      <c r="N5758" s="6">
        <f>IF(B5758="","",IF(ISNUMBER(B5758),TEXT(B5758,"YYYY-MM"),LEFT(B5758,7)))</f>
        <v/>
      </c>
    </row>
    <row r="5759">
      <c r="N5759" s="6">
        <f>IF(B5759="","",IF(ISNUMBER(B5759),TEXT(B5759,"YYYY-MM"),LEFT(B5759,7)))</f>
        <v/>
      </c>
    </row>
    <row r="5760">
      <c r="N5760" s="6">
        <f>IF(B5760="","",IF(ISNUMBER(B5760),TEXT(B5760,"YYYY-MM"),LEFT(B5760,7)))</f>
        <v/>
      </c>
    </row>
    <row r="5761">
      <c r="N5761" s="6">
        <f>IF(B5761="","",IF(ISNUMBER(B5761),TEXT(B5761,"YYYY-MM"),LEFT(B5761,7)))</f>
        <v/>
      </c>
    </row>
    <row r="5762">
      <c r="N5762" s="6">
        <f>IF(B5762="","",IF(ISNUMBER(B5762),TEXT(B5762,"YYYY-MM"),LEFT(B5762,7)))</f>
        <v/>
      </c>
    </row>
    <row r="5763">
      <c r="N5763" s="6">
        <f>IF(B5763="","",IF(ISNUMBER(B5763),TEXT(B5763,"YYYY-MM"),LEFT(B5763,7)))</f>
        <v/>
      </c>
    </row>
    <row r="5764">
      <c r="N5764" s="6">
        <f>IF(B5764="","",IF(ISNUMBER(B5764),TEXT(B5764,"YYYY-MM"),LEFT(B5764,7)))</f>
        <v/>
      </c>
    </row>
    <row r="5765">
      <c r="N5765" s="6">
        <f>IF(B5765="","",IF(ISNUMBER(B5765),TEXT(B5765,"YYYY-MM"),LEFT(B5765,7)))</f>
        <v/>
      </c>
    </row>
    <row r="5766">
      <c r="N5766" s="6">
        <f>IF(B5766="","",IF(ISNUMBER(B5766),TEXT(B5766,"YYYY-MM"),LEFT(B5766,7)))</f>
        <v/>
      </c>
    </row>
    <row r="5767">
      <c r="N5767" s="6">
        <f>IF(B5767="","",IF(ISNUMBER(B5767),TEXT(B5767,"YYYY-MM"),LEFT(B5767,7)))</f>
        <v/>
      </c>
    </row>
    <row r="5768">
      <c r="N5768" s="6">
        <f>IF(B5768="","",IF(ISNUMBER(B5768),TEXT(B5768,"YYYY-MM"),LEFT(B5768,7)))</f>
        <v/>
      </c>
    </row>
    <row r="5769">
      <c r="N5769" s="6">
        <f>IF(B5769="","",IF(ISNUMBER(B5769),TEXT(B5769,"YYYY-MM"),LEFT(B5769,7)))</f>
        <v/>
      </c>
    </row>
    <row r="5770">
      <c r="N5770" s="6">
        <f>IF(B5770="","",IF(ISNUMBER(B5770),TEXT(B5770,"YYYY-MM"),LEFT(B5770,7)))</f>
        <v/>
      </c>
    </row>
    <row r="5771">
      <c r="N5771" s="6">
        <f>IF(B5771="","",IF(ISNUMBER(B5771),TEXT(B5771,"YYYY-MM"),LEFT(B5771,7)))</f>
        <v/>
      </c>
    </row>
    <row r="5772">
      <c r="N5772" s="6">
        <f>IF(B5772="","",IF(ISNUMBER(B5772),TEXT(B5772,"YYYY-MM"),LEFT(B5772,7)))</f>
        <v/>
      </c>
    </row>
    <row r="5773">
      <c r="N5773" s="6">
        <f>IF(B5773="","",IF(ISNUMBER(B5773),TEXT(B5773,"YYYY-MM"),LEFT(B5773,7)))</f>
        <v/>
      </c>
    </row>
    <row r="5774">
      <c r="N5774" s="6">
        <f>IF(B5774="","",IF(ISNUMBER(B5774),TEXT(B5774,"YYYY-MM"),LEFT(B5774,7)))</f>
        <v/>
      </c>
    </row>
    <row r="5775">
      <c r="N5775" s="6">
        <f>IF(B5775="","",IF(ISNUMBER(B5775),TEXT(B5775,"YYYY-MM"),LEFT(B5775,7)))</f>
        <v/>
      </c>
    </row>
    <row r="5776">
      <c r="N5776" s="6">
        <f>IF(B5776="","",IF(ISNUMBER(B5776),TEXT(B5776,"YYYY-MM"),LEFT(B5776,7)))</f>
        <v/>
      </c>
    </row>
    <row r="5777">
      <c r="N5777" s="6">
        <f>IF(B5777="","",IF(ISNUMBER(B5777),TEXT(B5777,"YYYY-MM"),LEFT(B5777,7)))</f>
        <v/>
      </c>
    </row>
    <row r="5778">
      <c r="N5778" s="6">
        <f>IF(B5778="","",IF(ISNUMBER(B5778),TEXT(B5778,"YYYY-MM"),LEFT(B5778,7)))</f>
        <v/>
      </c>
    </row>
    <row r="5779">
      <c r="N5779" s="6">
        <f>IF(B5779="","",IF(ISNUMBER(B5779),TEXT(B5779,"YYYY-MM"),LEFT(B5779,7)))</f>
        <v/>
      </c>
    </row>
    <row r="5780">
      <c r="N5780" s="6">
        <f>IF(B5780="","",IF(ISNUMBER(B5780),TEXT(B5780,"YYYY-MM"),LEFT(B5780,7)))</f>
        <v/>
      </c>
    </row>
    <row r="5781">
      <c r="N5781" s="6">
        <f>IF(B5781="","",IF(ISNUMBER(B5781),TEXT(B5781,"YYYY-MM"),LEFT(B5781,7)))</f>
        <v/>
      </c>
    </row>
    <row r="5782">
      <c r="N5782" s="6">
        <f>IF(B5782="","",IF(ISNUMBER(B5782),TEXT(B5782,"YYYY-MM"),LEFT(B5782,7)))</f>
        <v/>
      </c>
    </row>
    <row r="5783">
      <c r="N5783" s="6">
        <f>IF(B5783="","",IF(ISNUMBER(B5783),TEXT(B5783,"YYYY-MM"),LEFT(B5783,7)))</f>
        <v/>
      </c>
    </row>
    <row r="5784">
      <c r="N5784" s="6">
        <f>IF(B5784="","",IF(ISNUMBER(B5784),TEXT(B5784,"YYYY-MM"),LEFT(B5784,7)))</f>
        <v/>
      </c>
    </row>
    <row r="5785">
      <c r="N5785" s="6">
        <f>IF(B5785="","",IF(ISNUMBER(B5785),TEXT(B5785,"YYYY-MM"),LEFT(B5785,7)))</f>
        <v/>
      </c>
    </row>
    <row r="5786">
      <c r="N5786" s="6">
        <f>IF(B5786="","",IF(ISNUMBER(B5786),TEXT(B5786,"YYYY-MM"),LEFT(B5786,7)))</f>
        <v/>
      </c>
    </row>
    <row r="5787">
      <c r="N5787" s="6">
        <f>IF(B5787="","",IF(ISNUMBER(B5787),TEXT(B5787,"YYYY-MM"),LEFT(B5787,7)))</f>
        <v/>
      </c>
    </row>
    <row r="5788">
      <c r="N5788" s="6">
        <f>IF(B5788="","",IF(ISNUMBER(B5788),TEXT(B5788,"YYYY-MM"),LEFT(B5788,7)))</f>
        <v/>
      </c>
    </row>
    <row r="5789">
      <c r="N5789" s="6">
        <f>IF(B5789="","",IF(ISNUMBER(B5789),TEXT(B5789,"YYYY-MM"),LEFT(B5789,7)))</f>
        <v/>
      </c>
    </row>
    <row r="5790">
      <c r="N5790" s="6">
        <f>IF(B5790="","",IF(ISNUMBER(B5790),TEXT(B5790,"YYYY-MM"),LEFT(B5790,7)))</f>
        <v/>
      </c>
    </row>
    <row r="5791">
      <c r="N5791" s="6">
        <f>IF(B5791="","",IF(ISNUMBER(B5791),TEXT(B5791,"YYYY-MM"),LEFT(B5791,7)))</f>
        <v/>
      </c>
    </row>
    <row r="5792">
      <c r="N5792" s="6">
        <f>IF(B5792="","",IF(ISNUMBER(B5792),TEXT(B5792,"YYYY-MM"),LEFT(B5792,7)))</f>
        <v/>
      </c>
    </row>
    <row r="5793">
      <c r="N5793" s="6">
        <f>IF(B5793="","",IF(ISNUMBER(B5793),TEXT(B5793,"YYYY-MM"),LEFT(B5793,7)))</f>
        <v/>
      </c>
    </row>
    <row r="5794">
      <c r="N5794" s="6">
        <f>IF(B5794="","",IF(ISNUMBER(B5794),TEXT(B5794,"YYYY-MM"),LEFT(B5794,7)))</f>
        <v/>
      </c>
    </row>
    <row r="5795">
      <c r="N5795" s="6">
        <f>IF(B5795="","",IF(ISNUMBER(B5795),TEXT(B5795,"YYYY-MM"),LEFT(B5795,7)))</f>
        <v/>
      </c>
    </row>
    <row r="5796">
      <c r="N5796" s="6">
        <f>IF(B5796="","",IF(ISNUMBER(B5796),TEXT(B5796,"YYYY-MM"),LEFT(B5796,7)))</f>
        <v/>
      </c>
    </row>
    <row r="5797">
      <c r="N5797" s="6">
        <f>IF(B5797="","",IF(ISNUMBER(B5797),TEXT(B5797,"YYYY-MM"),LEFT(B5797,7)))</f>
        <v/>
      </c>
    </row>
    <row r="5798">
      <c r="N5798" s="6">
        <f>IF(B5798="","",IF(ISNUMBER(B5798),TEXT(B5798,"YYYY-MM"),LEFT(B5798,7)))</f>
        <v/>
      </c>
    </row>
    <row r="5799">
      <c r="N5799" s="6">
        <f>IF(B5799="","",IF(ISNUMBER(B5799),TEXT(B5799,"YYYY-MM"),LEFT(B5799,7)))</f>
        <v/>
      </c>
    </row>
    <row r="5800">
      <c r="N5800" s="6">
        <f>IF(B5800="","",IF(ISNUMBER(B5800),TEXT(B5800,"YYYY-MM"),LEFT(B5800,7)))</f>
        <v/>
      </c>
    </row>
    <row r="5801">
      <c r="N5801" s="6">
        <f>IF(B5801="","",IF(ISNUMBER(B5801),TEXT(B5801,"YYYY-MM"),LEFT(B5801,7)))</f>
        <v/>
      </c>
    </row>
    <row r="5802">
      <c r="N5802" s="6">
        <f>IF(B5802="","",IF(ISNUMBER(B5802),TEXT(B5802,"YYYY-MM"),LEFT(B5802,7)))</f>
        <v/>
      </c>
    </row>
    <row r="5803">
      <c r="N5803" s="6">
        <f>IF(B5803="","",IF(ISNUMBER(B5803),TEXT(B5803,"YYYY-MM"),LEFT(B5803,7)))</f>
        <v/>
      </c>
    </row>
    <row r="5804">
      <c r="N5804" s="6">
        <f>IF(B5804="","",IF(ISNUMBER(B5804),TEXT(B5804,"YYYY-MM"),LEFT(B5804,7)))</f>
        <v/>
      </c>
    </row>
    <row r="5805">
      <c r="N5805" s="6">
        <f>IF(B5805="","",IF(ISNUMBER(B5805),TEXT(B5805,"YYYY-MM"),LEFT(B5805,7)))</f>
        <v/>
      </c>
    </row>
    <row r="5806">
      <c r="N5806" s="6">
        <f>IF(B5806="","",IF(ISNUMBER(B5806),TEXT(B5806,"YYYY-MM"),LEFT(B5806,7)))</f>
        <v/>
      </c>
    </row>
    <row r="5807">
      <c r="N5807" s="6">
        <f>IF(B5807="","",IF(ISNUMBER(B5807),TEXT(B5807,"YYYY-MM"),LEFT(B5807,7)))</f>
        <v/>
      </c>
    </row>
    <row r="5808">
      <c r="N5808" s="6">
        <f>IF(B5808="","",IF(ISNUMBER(B5808),TEXT(B5808,"YYYY-MM"),LEFT(B5808,7)))</f>
        <v/>
      </c>
    </row>
    <row r="5809">
      <c r="N5809" s="6">
        <f>IF(B5809="","",IF(ISNUMBER(B5809),TEXT(B5809,"YYYY-MM"),LEFT(B5809,7)))</f>
        <v/>
      </c>
    </row>
    <row r="5810">
      <c r="N5810" s="6">
        <f>IF(B5810="","",IF(ISNUMBER(B5810),TEXT(B5810,"YYYY-MM"),LEFT(B5810,7)))</f>
        <v/>
      </c>
    </row>
    <row r="5811">
      <c r="N5811" s="6">
        <f>IF(B5811="","",IF(ISNUMBER(B5811),TEXT(B5811,"YYYY-MM"),LEFT(B5811,7)))</f>
        <v/>
      </c>
    </row>
    <row r="5812">
      <c r="N5812" s="6">
        <f>IF(B5812="","",IF(ISNUMBER(B5812),TEXT(B5812,"YYYY-MM"),LEFT(B5812,7)))</f>
        <v/>
      </c>
    </row>
    <row r="5813">
      <c r="N5813" s="6">
        <f>IF(B5813="","",IF(ISNUMBER(B5813),TEXT(B5813,"YYYY-MM"),LEFT(B5813,7)))</f>
        <v/>
      </c>
    </row>
    <row r="5814">
      <c r="N5814" s="6">
        <f>IF(B5814="","",IF(ISNUMBER(B5814),TEXT(B5814,"YYYY-MM"),LEFT(B5814,7)))</f>
        <v/>
      </c>
    </row>
    <row r="5815">
      <c r="N5815" s="6">
        <f>IF(B5815="","",IF(ISNUMBER(B5815),TEXT(B5815,"YYYY-MM"),LEFT(B5815,7)))</f>
        <v/>
      </c>
    </row>
    <row r="5816">
      <c r="N5816" s="6">
        <f>IF(B5816="","",IF(ISNUMBER(B5816),TEXT(B5816,"YYYY-MM"),LEFT(B5816,7)))</f>
        <v/>
      </c>
    </row>
    <row r="5817">
      <c r="N5817" s="6">
        <f>IF(B5817="","",IF(ISNUMBER(B5817),TEXT(B5817,"YYYY-MM"),LEFT(B5817,7)))</f>
        <v/>
      </c>
    </row>
    <row r="5818">
      <c r="N5818" s="6">
        <f>IF(B5818="","",IF(ISNUMBER(B5818),TEXT(B5818,"YYYY-MM"),LEFT(B5818,7)))</f>
        <v/>
      </c>
    </row>
    <row r="5819">
      <c r="N5819" s="6">
        <f>IF(B5819="","",IF(ISNUMBER(B5819),TEXT(B5819,"YYYY-MM"),LEFT(B5819,7)))</f>
        <v/>
      </c>
    </row>
    <row r="5820">
      <c r="N5820" s="6">
        <f>IF(B5820="","",IF(ISNUMBER(B5820),TEXT(B5820,"YYYY-MM"),LEFT(B5820,7)))</f>
        <v/>
      </c>
    </row>
    <row r="5821">
      <c r="N5821" s="6">
        <f>IF(B5821="","",IF(ISNUMBER(B5821),TEXT(B5821,"YYYY-MM"),LEFT(B5821,7)))</f>
        <v/>
      </c>
    </row>
    <row r="5822">
      <c r="N5822" s="6">
        <f>IF(B5822="","",IF(ISNUMBER(B5822),TEXT(B5822,"YYYY-MM"),LEFT(B5822,7)))</f>
        <v/>
      </c>
    </row>
    <row r="5823">
      <c r="N5823" s="6">
        <f>IF(B5823="","",IF(ISNUMBER(B5823),TEXT(B5823,"YYYY-MM"),LEFT(B5823,7)))</f>
        <v/>
      </c>
    </row>
    <row r="5824">
      <c r="N5824" s="6">
        <f>IF(B5824="","",IF(ISNUMBER(B5824),TEXT(B5824,"YYYY-MM"),LEFT(B5824,7)))</f>
        <v/>
      </c>
    </row>
    <row r="5825">
      <c r="N5825" s="6">
        <f>IF(B5825="","",IF(ISNUMBER(B5825),TEXT(B5825,"YYYY-MM"),LEFT(B5825,7)))</f>
        <v/>
      </c>
    </row>
    <row r="5826">
      <c r="N5826" s="6">
        <f>IF(B5826="","",IF(ISNUMBER(B5826),TEXT(B5826,"YYYY-MM"),LEFT(B5826,7)))</f>
        <v/>
      </c>
    </row>
    <row r="5827">
      <c r="N5827" s="6">
        <f>IF(B5827="","",IF(ISNUMBER(B5827),TEXT(B5827,"YYYY-MM"),LEFT(B5827,7)))</f>
        <v/>
      </c>
    </row>
    <row r="5828">
      <c r="N5828" s="6">
        <f>IF(B5828="","",IF(ISNUMBER(B5828),TEXT(B5828,"YYYY-MM"),LEFT(B5828,7)))</f>
        <v/>
      </c>
    </row>
    <row r="5829">
      <c r="N5829" s="6">
        <f>IF(B5829="","",IF(ISNUMBER(B5829),TEXT(B5829,"YYYY-MM"),LEFT(B5829,7)))</f>
        <v/>
      </c>
    </row>
    <row r="5830">
      <c r="N5830" s="6">
        <f>IF(B5830="","",IF(ISNUMBER(B5830),TEXT(B5830,"YYYY-MM"),LEFT(B5830,7)))</f>
        <v/>
      </c>
    </row>
    <row r="5831">
      <c r="N5831" s="6">
        <f>IF(B5831="","",IF(ISNUMBER(B5831),TEXT(B5831,"YYYY-MM"),LEFT(B5831,7)))</f>
        <v/>
      </c>
    </row>
    <row r="5832">
      <c r="N5832" s="6">
        <f>IF(B5832="","",IF(ISNUMBER(B5832),TEXT(B5832,"YYYY-MM"),LEFT(B5832,7)))</f>
        <v/>
      </c>
    </row>
    <row r="5833">
      <c r="N5833" s="6">
        <f>IF(B5833="","",IF(ISNUMBER(B5833),TEXT(B5833,"YYYY-MM"),LEFT(B5833,7)))</f>
        <v/>
      </c>
    </row>
    <row r="5834">
      <c r="N5834" s="6">
        <f>IF(B5834="","",IF(ISNUMBER(B5834),TEXT(B5834,"YYYY-MM"),LEFT(B5834,7)))</f>
        <v/>
      </c>
    </row>
    <row r="5835">
      <c r="N5835" s="6">
        <f>IF(B5835="","",IF(ISNUMBER(B5835),TEXT(B5835,"YYYY-MM"),LEFT(B5835,7)))</f>
        <v/>
      </c>
    </row>
    <row r="5836">
      <c r="N5836" s="6">
        <f>IF(B5836="","",IF(ISNUMBER(B5836),TEXT(B5836,"YYYY-MM"),LEFT(B5836,7)))</f>
        <v/>
      </c>
    </row>
    <row r="5837">
      <c r="N5837" s="6">
        <f>IF(B5837="","",IF(ISNUMBER(B5837),TEXT(B5837,"YYYY-MM"),LEFT(B5837,7)))</f>
        <v/>
      </c>
    </row>
    <row r="5838">
      <c r="N5838" s="6">
        <f>IF(B5838="","",IF(ISNUMBER(B5838),TEXT(B5838,"YYYY-MM"),LEFT(B5838,7)))</f>
        <v/>
      </c>
    </row>
    <row r="5839">
      <c r="N5839" s="6">
        <f>IF(B5839="","",IF(ISNUMBER(B5839),TEXT(B5839,"YYYY-MM"),LEFT(B5839,7)))</f>
        <v/>
      </c>
    </row>
    <row r="5840">
      <c r="N5840" s="6">
        <f>IF(B5840="","",IF(ISNUMBER(B5840),TEXT(B5840,"YYYY-MM"),LEFT(B5840,7)))</f>
        <v/>
      </c>
    </row>
    <row r="5841">
      <c r="N5841" s="6">
        <f>IF(B5841="","",IF(ISNUMBER(B5841),TEXT(B5841,"YYYY-MM"),LEFT(B5841,7)))</f>
        <v/>
      </c>
    </row>
    <row r="5842">
      <c r="N5842" s="6">
        <f>IF(B5842="","",IF(ISNUMBER(B5842),TEXT(B5842,"YYYY-MM"),LEFT(B5842,7)))</f>
        <v/>
      </c>
    </row>
    <row r="5843">
      <c r="N5843" s="6">
        <f>IF(B5843="","",IF(ISNUMBER(B5843),TEXT(B5843,"YYYY-MM"),LEFT(B5843,7)))</f>
        <v/>
      </c>
    </row>
    <row r="5844">
      <c r="N5844" s="6">
        <f>IF(B5844="","",IF(ISNUMBER(B5844),TEXT(B5844,"YYYY-MM"),LEFT(B5844,7)))</f>
        <v/>
      </c>
    </row>
    <row r="5845">
      <c r="N5845" s="6">
        <f>IF(B5845="","",IF(ISNUMBER(B5845),TEXT(B5845,"YYYY-MM"),LEFT(B5845,7)))</f>
        <v/>
      </c>
    </row>
    <row r="5846">
      <c r="N5846" s="6">
        <f>IF(B5846="","",IF(ISNUMBER(B5846),TEXT(B5846,"YYYY-MM"),LEFT(B5846,7)))</f>
        <v/>
      </c>
    </row>
    <row r="5847">
      <c r="N5847" s="6">
        <f>IF(B5847="","",IF(ISNUMBER(B5847),TEXT(B5847,"YYYY-MM"),LEFT(B5847,7)))</f>
        <v/>
      </c>
    </row>
    <row r="5848">
      <c r="N5848" s="6">
        <f>IF(B5848="","",IF(ISNUMBER(B5848),TEXT(B5848,"YYYY-MM"),LEFT(B5848,7)))</f>
        <v/>
      </c>
    </row>
    <row r="5849">
      <c r="N5849" s="6">
        <f>IF(B5849="","",IF(ISNUMBER(B5849),TEXT(B5849,"YYYY-MM"),LEFT(B5849,7)))</f>
        <v/>
      </c>
    </row>
    <row r="5850">
      <c r="N5850" s="6">
        <f>IF(B5850="","",IF(ISNUMBER(B5850),TEXT(B5850,"YYYY-MM"),LEFT(B5850,7)))</f>
        <v/>
      </c>
    </row>
    <row r="5851">
      <c r="N5851" s="6">
        <f>IF(B5851="","",IF(ISNUMBER(B5851),TEXT(B5851,"YYYY-MM"),LEFT(B5851,7)))</f>
        <v/>
      </c>
    </row>
    <row r="5852">
      <c r="N5852" s="6">
        <f>IF(B5852="","",IF(ISNUMBER(B5852),TEXT(B5852,"YYYY-MM"),LEFT(B5852,7)))</f>
        <v/>
      </c>
    </row>
    <row r="5853">
      <c r="N5853" s="6">
        <f>IF(B5853="","",IF(ISNUMBER(B5853),TEXT(B5853,"YYYY-MM"),LEFT(B5853,7)))</f>
        <v/>
      </c>
    </row>
    <row r="5854">
      <c r="N5854" s="6">
        <f>IF(B5854="","",IF(ISNUMBER(B5854),TEXT(B5854,"YYYY-MM"),LEFT(B5854,7)))</f>
        <v/>
      </c>
    </row>
    <row r="5855">
      <c r="N5855" s="6">
        <f>IF(B5855="","",IF(ISNUMBER(B5855),TEXT(B5855,"YYYY-MM"),LEFT(B5855,7)))</f>
        <v/>
      </c>
    </row>
    <row r="5856">
      <c r="N5856" s="6">
        <f>IF(B5856="","",IF(ISNUMBER(B5856),TEXT(B5856,"YYYY-MM"),LEFT(B5856,7)))</f>
        <v/>
      </c>
    </row>
    <row r="5857">
      <c r="N5857" s="6">
        <f>IF(B5857="","",IF(ISNUMBER(B5857),TEXT(B5857,"YYYY-MM"),LEFT(B5857,7)))</f>
        <v/>
      </c>
    </row>
    <row r="5858">
      <c r="N5858" s="6">
        <f>IF(B5858="","",IF(ISNUMBER(B5858),TEXT(B5858,"YYYY-MM"),LEFT(B5858,7)))</f>
        <v/>
      </c>
    </row>
    <row r="5859">
      <c r="N5859" s="6">
        <f>IF(B5859="","",IF(ISNUMBER(B5859),TEXT(B5859,"YYYY-MM"),LEFT(B5859,7)))</f>
        <v/>
      </c>
    </row>
    <row r="5860">
      <c r="N5860" s="6">
        <f>IF(B5860="","",IF(ISNUMBER(B5860),TEXT(B5860,"YYYY-MM"),LEFT(B5860,7)))</f>
        <v/>
      </c>
    </row>
    <row r="5861">
      <c r="N5861" s="6">
        <f>IF(B5861="","",IF(ISNUMBER(B5861),TEXT(B5861,"YYYY-MM"),LEFT(B5861,7)))</f>
        <v/>
      </c>
    </row>
    <row r="5862">
      <c r="N5862" s="6">
        <f>IF(B5862="","",IF(ISNUMBER(B5862),TEXT(B5862,"YYYY-MM"),LEFT(B5862,7)))</f>
        <v/>
      </c>
    </row>
    <row r="5863">
      <c r="N5863" s="6">
        <f>IF(B5863="","",IF(ISNUMBER(B5863),TEXT(B5863,"YYYY-MM"),LEFT(B5863,7)))</f>
        <v/>
      </c>
    </row>
    <row r="5864">
      <c r="N5864" s="6">
        <f>IF(B5864="","",IF(ISNUMBER(B5864),TEXT(B5864,"YYYY-MM"),LEFT(B5864,7)))</f>
        <v/>
      </c>
    </row>
    <row r="5865">
      <c r="N5865" s="6">
        <f>IF(B5865="","",IF(ISNUMBER(B5865),TEXT(B5865,"YYYY-MM"),LEFT(B5865,7)))</f>
        <v/>
      </c>
    </row>
    <row r="5866">
      <c r="N5866" s="6">
        <f>IF(B5866="","",IF(ISNUMBER(B5866),TEXT(B5866,"YYYY-MM"),LEFT(B5866,7)))</f>
        <v/>
      </c>
    </row>
    <row r="5867">
      <c r="N5867" s="6">
        <f>IF(B5867="","",IF(ISNUMBER(B5867),TEXT(B5867,"YYYY-MM"),LEFT(B5867,7)))</f>
        <v/>
      </c>
    </row>
    <row r="5868">
      <c r="N5868" s="6">
        <f>IF(B5868="","",IF(ISNUMBER(B5868),TEXT(B5868,"YYYY-MM"),LEFT(B5868,7)))</f>
        <v/>
      </c>
    </row>
    <row r="5869">
      <c r="N5869" s="6">
        <f>IF(B5869="","",IF(ISNUMBER(B5869),TEXT(B5869,"YYYY-MM"),LEFT(B5869,7)))</f>
        <v/>
      </c>
    </row>
    <row r="5870">
      <c r="N5870" s="6">
        <f>IF(B5870="","",IF(ISNUMBER(B5870),TEXT(B5870,"YYYY-MM"),LEFT(B5870,7)))</f>
        <v/>
      </c>
    </row>
    <row r="5871">
      <c r="N5871" s="6">
        <f>IF(B5871="","",IF(ISNUMBER(B5871),TEXT(B5871,"YYYY-MM"),LEFT(B5871,7)))</f>
        <v/>
      </c>
    </row>
    <row r="5872">
      <c r="N5872" s="6">
        <f>IF(B5872="","",IF(ISNUMBER(B5872),TEXT(B5872,"YYYY-MM"),LEFT(B5872,7)))</f>
        <v/>
      </c>
    </row>
    <row r="5873">
      <c r="N5873" s="6">
        <f>IF(B5873="","",IF(ISNUMBER(B5873),TEXT(B5873,"YYYY-MM"),LEFT(B5873,7)))</f>
        <v/>
      </c>
    </row>
    <row r="5874">
      <c r="N5874" s="6">
        <f>IF(B5874="","",IF(ISNUMBER(B5874),TEXT(B5874,"YYYY-MM"),LEFT(B5874,7)))</f>
        <v/>
      </c>
    </row>
    <row r="5875">
      <c r="N5875" s="6">
        <f>IF(B5875="","",IF(ISNUMBER(B5875),TEXT(B5875,"YYYY-MM"),LEFT(B5875,7)))</f>
        <v/>
      </c>
    </row>
    <row r="5876">
      <c r="N5876" s="6">
        <f>IF(B5876="","",IF(ISNUMBER(B5876),TEXT(B5876,"YYYY-MM"),LEFT(B5876,7)))</f>
        <v/>
      </c>
    </row>
    <row r="5877">
      <c r="N5877" s="6">
        <f>IF(B5877="","",IF(ISNUMBER(B5877),TEXT(B5877,"YYYY-MM"),LEFT(B5877,7)))</f>
        <v/>
      </c>
    </row>
    <row r="5878">
      <c r="N5878" s="6">
        <f>IF(B5878="","",IF(ISNUMBER(B5878),TEXT(B5878,"YYYY-MM"),LEFT(B5878,7)))</f>
        <v/>
      </c>
    </row>
    <row r="5879">
      <c r="N5879" s="6">
        <f>IF(B5879="","",IF(ISNUMBER(B5879),TEXT(B5879,"YYYY-MM"),LEFT(B5879,7)))</f>
        <v/>
      </c>
    </row>
    <row r="5880">
      <c r="N5880" s="6">
        <f>IF(B5880="","",IF(ISNUMBER(B5880),TEXT(B5880,"YYYY-MM"),LEFT(B5880,7)))</f>
        <v/>
      </c>
    </row>
    <row r="5881">
      <c r="N5881" s="6">
        <f>IF(B5881="","",IF(ISNUMBER(B5881),TEXT(B5881,"YYYY-MM"),LEFT(B5881,7)))</f>
        <v/>
      </c>
    </row>
    <row r="5882">
      <c r="N5882" s="6">
        <f>IF(B5882="","",IF(ISNUMBER(B5882),TEXT(B5882,"YYYY-MM"),LEFT(B5882,7)))</f>
        <v/>
      </c>
    </row>
    <row r="5883">
      <c r="N5883" s="6">
        <f>IF(B5883="","",IF(ISNUMBER(B5883),TEXT(B5883,"YYYY-MM"),LEFT(B5883,7)))</f>
        <v/>
      </c>
    </row>
    <row r="5884">
      <c r="N5884" s="6">
        <f>IF(B5884="","",IF(ISNUMBER(B5884),TEXT(B5884,"YYYY-MM"),LEFT(B5884,7)))</f>
        <v/>
      </c>
    </row>
    <row r="5885">
      <c r="N5885" s="6">
        <f>IF(B5885="","",IF(ISNUMBER(B5885),TEXT(B5885,"YYYY-MM"),LEFT(B5885,7)))</f>
        <v/>
      </c>
    </row>
    <row r="5886">
      <c r="N5886" s="6">
        <f>IF(B5886="","",IF(ISNUMBER(B5886),TEXT(B5886,"YYYY-MM"),LEFT(B5886,7)))</f>
        <v/>
      </c>
    </row>
    <row r="5887">
      <c r="N5887" s="6">
        <f>IF(B5887="","",IF(ISNUMBER(B5887),TEXT(B5887,"YYYY-MM"),LEFT(B5887,7)))</f>
        <v/>
      </c>
    </row>
    <row r="5888">
      <c r="N5888" s="6">
        <f>IF(B5888="","",IF(ISNUMBER(B5888),TEXT(B5888,"YYYY-MM"),LEFT(B5888,7)))</f>
        <v/>
      </c>
    </row>
    <row r="5889">
      <c r="N5889" s="6">
        <f>IF(B5889="","",IF(ISNUMBER(B5889),TEXT(B5889,"YYYY-MM"),LEFT(B5889,7)))</f>
        <v/>
      </c>
    </row>
    <row r="5890">
      <c r="N5890" s="6">
        <f>IF(B5890="","",IF(ISNUMBER(B5890),TEXT(B5890,"YYYY-MM"),LEFT(B5890,7)))</f>
        <v/>
      </c>
    </row>
    <row r="5891">
      <c r="N5891" s="6">
        <f>IF(B5891="","",IF(ISNUMBER(B5891),TEXT(B5891,"YYYY-MM"),LEFT(B5891,7)))</f>
        <v/>
      </c>
    </row>
    <row r="5892">
      <c r="N5892" s="6">
        <f>IF(B5892="","",IF(ISNUMBER(B5892),TEXT(B5892,"YYYY-MM"),LEFT(B5892,7)))</f>
        <v/>
      </c>
    </row>
    <row r="5893">
      <c r="N5893" s="6">
        <f>IF(B5893="","",IF(ISNUMBER(B5893),TEXT(B5893,"YYYY-MM"),LEFT(B5893,7)))</f>
        <v/>
      </c>
    </row>
    <row r="5894">
      <c r="N5894" s="6">
        <f>IF(B5894="","",IF(ISNUMBER(B5894),TEXT(B5894,"YYYY-MM"),LEFT(B5894,7)))</f>
        <v/>
      </c>
    </row>
    <row r="5895">
      <c r="N5895" s="6">
        <f>IF(B5895="","",IF(ISNUMBER(B5895),TEXT(B5895,"YYYY-MM"),LEFT(B5895,7)))</f>
        <v/>
      </c>
    </row>
    <row r="5896">
      <c r="N5896" s="6">
        <f>IF(B5896="","",IF(ISNUMBER(B5896),TEXT(B5896,"YYYY-MM"),LEFT(B5896,7)))</f>
        <v/>
      </c>
    </row>
    <row r="5897">
      <c r="N5897" s="6">
        <f>IF(B5897="","",IF(ISNUMBER(B5897),TEXT(B5897,"YYYY-MM"),LEFT(B5897,7)))</f>
        <v/>
      </c>
    </row>
    <row r="5898">
      <c r="N5898" s="6">
        <f>IF(B5898="","",IF(ISNUMBER(B5898),TEXT(B5898,"YYYY-MM"),LEFT(B5898,7)))</f>
        <v/>
      </c>
    </row>
    <row r="5899">
      <c r="N5899" s="6">
        <f>IF(B5899="","",IF(ISNUMBER(B5899),TEXT(B5899,"YYYY-MM"),LEFT(B5899,7)))</f>
        <v/>
      </c>
    </row>
    <row r="5900">
      <c r="N5900" s="6">
        <f>IF(B5900="","",IF(ISNUMBER(B5900),TEXT(B5900,"YYYY-MM"),LEFT(B5900,7)))</f>
        <v/>
      </c>
    </row>
    <row r="5901">
      <c r="N5901" s="6">
        <f>IF(B5901="","",IF(ISNUMBER(B5901),TEXT(B5901,"YYYY-MM"),LEFT(B5901,7)))</f>
        <v/>
      </c>
    </row>
    <row r="5902">
      <c r="N5902" s="6">
        <f>IF(B5902="","",IF(ISNUMBER(B5902),TEXT(B5902,"YYYY-MM"),LEFT(B5902,7)))</f>
        <v/>
      </c>
    </row>
    <row r="5903">
      <c r="N5903" s="6">
        <f>IF(B5903="","",IF(ISNUMBER(B5903),TEXT(B5903,"YYYY-MM"),LEFT(B5903,7)))</f>
        <v/>
      </c>
    </row>
    <row r="5904">
      <c r="N5904" s="6">
        <f>IF(B5904="","",IF(ISNUMBER(B5904),TEXT(B5904,"YYYY-MM"),LEFT(B5904,7)))</f>
        <v/>
      </c>
    </row>
    <row r="5905">
      <c r="N5905" s="6">
        <f>IF(B5905="","",IF(ISNUMBER(B5905),TEXT(B5905,"YYYY-MM"),LEFT(B5905,7)))</f>
        <v/>
      </c>
    </row>
    <row r="5906">
      <c r="N5906" s="6">
        <f>IF(B5906="","",IF(ISNUMBER(B5906),TEXT(B5906,"YYYY-MM"),LEFT(B5906,7)))</f>
        <v/>
      </c>
    </row>
    <row r="5907">
      <c r="N5907" s="6">
        <f>IF(B5907="","",IF(ISNUMBER(B5907),TEXT(B5907,"YYYY-MM"),LEFT(B5907,7)))</f>
        <v/>
      </c>
    </row>
    <row r="5908">
      <c r="N5908" s="6">
        <f>IF(B5908="","",IF(ISNUMBER(B5908),TEXT(B5908,"YYYY-MM"),LEFT(B5908,7)))</f>
        <v/>
      </c>
    </row>
    <row r="5909">
      <c r="N5909" s="6">
        <f>IF(B5909="","",IF(ISNUMBER(B5909),TEXT(B5909,"YYYY-MM"),LEFT(B5909,7)))</f>
        <v/>
      </c>
    </row>
    <row r="5910">
      <c r="N5910" s="6">
        <f>IF(B5910="","",IF(ISNUMBER(B5910),TEXT(B5910,"YYYY-MM"),LEFT(B5910,7)))</f>
        <v/>
      </c>
    </row>
    <row r="5911">
      <c r="N5911" s="6">
        <f>IF(B5911="","",IF(ISNUMBER(B5911),TEXT(B5911,"YYYY-MM"),LEFT(B5911,7)))</f>
        <v/>
      </c>
    </row>
    <row r="5912">
      <c r="N5912" s="6">
        <f>IF(B5912="","",IF(ISNUMBER(B5912),TEXT(B5912,"YYYY-MM"),LEFT(B5912,7)))</f>
        <v/>
      </c>
    </row>
    <row r="5913">
      <c r="N5913" s="6">
        <f>IF(B5913="","",IF(ISNUMBER(B5913),TEXT(B5913,"YYYY-MM"),LEFT(B5913,7)))</f>
        <v/>
      </c>
    </row>
    <row r="5914">
      <c r="N5914" s="6">
        <f>IF(B5914="","",IF(ISNUMBER(B5914),TEXT(B5914,"YYYY-MM"),LEFT(B5914,7)))</f>
        <v/>
      </c>
    </row>
    <row r="5915">
      <c r="N5915" s="6">
        <f>IF(B5915="","",IF(ISNUMBER(B5915),TEXT(B5915,"YYYY-MM"),LEFT(B5915,7)))</f>
        <v/>
      </c>
    </row>
    <row r="5916">
      <c r="N5916" s="6">
        <f>IF(B5916="","",IF(ISNUMBER(B5916),TEXT(B5916,"YYYY-MM"),LEFT(B5916,7)))</f>
        <v/>
      </c>
    </row>
    <row r="5917">
      <c r="N5917" s="6">
        <f>IF(B5917="","",IF(ISNUMBER(B5917),TEXT(B5917,"YYYY-MM"),LEFT(B5917,7)))</f>
        <v/>
      </c>
    </row>
    <row r="5918">
      <c r="N5918" s="6">
        <f>IF(B5918="","",IF(ISNUMBER(B5918),TEXT(B5918,"YYYY-MM"),LEFT(B5918,7)))</f>
        <v/>
      </c>
    </row>
    <row r="5919">
      <c r="N5919" s="6">
        <f>IF(B5919="","",IF(ISNUMBER(B5919),TEXT(B5919,"YYYY-MM"),LEFT(B5919,7)))</f>
        <v/>
      </c>
    </row>
    <row r="5920">
      <c r="N5920" s="6">
        <f>IF(B5920="","",IF(ISNUMBER(B5920),TEXT(B5920,"YYYY-MM"),LEFT(B5920,7)))</f>
        <v/>
      </c>
    </row>
    <row r="5921">
      <c r="N5921" s="6">
        <f>IF(B5921="","",IF(ISNUMBER(B5921),TEXT(B5921,"YYYY-MM"),LEFT(B5921,7)))</f>
        <v/>
      </c>
    </row>
    <row r="5922">
      <c r="N5922" s="6">
        <f>IF(B5922="","",IF(ISNUMBER(B5922),TEXT(B5922,"YYYY-MM"),LEFT(B5922,7)))</f>
        <v/>
      </c>
    </row>
    <row r="5923">
      <c r="N5923" s="6">
        <f>IF(B5923="","",IF(ISNUMBER(B5923),TEXT(B5923,"YYYY-MM"),LEFT(B5923,7)))</f>
        <v/>
      </c>
    </row>
    <row r="5924">
      <c r="N5924" s="6">
        <f>IF(B5924="","",IF(ISNUMBER(B5924),TEXT(B5924,"YYYY-MM"),LEFT(B5924,7)))</f>
        <v/>
      </c>
    </row>
    <row r="5925">
      <c r="N5925" s="6">
        <f>IF(B5925="","",IF(ISNUMBER(B5925),TEXT(B5925,"YYYY-MM"),LEFT(B5925,7)))</f>
        <v/>
      </c>
    </row>
    <row r="5926">
      <c r="N5926" s="6">
        <f>IF(B5926="","",IF(ISNUMBER(B5926),TEXT(B5926,"YYYY-MM"),LEFT(B5926,7)))</f>
        <v/>
      </c>
    </row>
    <row r="5927">
      <c r="N5927" s="6">
        <f>IF(B5927="","",IF(ISNUMBER(B5927),TEXT(B5927,"YYYY-MM"),LEFT(B5927,7)))</f>
        <v/>
      </c>
    </row>
    <row r="5928">
      <c r="N5928" s="6">
        <f>IF(B5928="","",IF(ISNUMBER(B5928),TEXT(B5928,"YYYY-MM"),LEFT(B5928,7)))</f>
        <v/>
      </c>
    </row>
    <row r="5929">
      <c r="N5929" s="6">
        <f>IF(B5929="","",IF(ISNUMBER(B5929),TEXT(B5929,"YYYY-MM"),LEFT(B5929,7)))</f>
        <v/>
      </c>
    </row>
    <row r="5930">
      <c r="N5930" s="6">
        <f>IF(B5930="","",IF(ISNUMBER(B5930),TEXT(B5930,"YYYY-MM"),LEFT(B5930,7)))</f>
        <v/>
      </c>
    </row>
    <row r="5931">
      <c r="N5931" s="6">
        <f>IF(B5931="","",IF(ISNUMBER(B5931),TEXT(B5931,"YYYY-MM"),LEFT(B5931,7)))</f>
        <v/>
      </c>
    </row>
    <row r="5932">
      <c r="N5932" s="6">
        <f>IF(B5932="","",IF(ISNUMBER(B5932),TEXT(B5932,"YYYY-MM"),LEFT(B5932,7)))</f>
        <v/>
      </c>
    </row>
    <row r="5933">
      <c r="N5933" s="6">
        <f>IF(B5933="","",IF(ISNUMBER(B5933),TEXT(B5933,"YYYY-MM"),LEFT(B5933,7)))</f>
        <v/>
      </c>
    </row>
    <row r="5934">
      <c r="N5934" s="6">
        <f>IF(B5934="","",IF(ISNUMBER(B5934),TEXT(B5934,"YYYY-MM"),LEFT(B5934,7)))</f>
        <v/>
      </c>
    </row>
    <row r="5935">
      <c r="N5935" s="6">
        <f>IF(B5935="","",IF(ISNUMBER(B5935),TEXT(B5935,"YYYY-MM"),LEFT(B5935,7)))</f>
        <v/>
      </c>
    </row>
    <row r="5936">
      <c r="N5936" s="6">
        <f>IF(B5936="","",IF(ISNUMBER(B5936),TEXT(B5936,"YYYY-MM"),LEFT(B5936,7)))</f>
        <v/>
      </c>
    </row>
    <row r="5937">
      <c r="N5937" s="6">
        <f>IF(B5937="","",IF(ISNUMBER(B5937),TEXT(B5937,"YYYY-MM"),LEFT(B5937,7)))</f>
        <v/>
      </c>
    </row>
    <row r="5938">
      <c r="N5938" s="6">
        <f>IF(B5938="","",IF(ISNUMBER(B5938),TEXT(B5938,"YYYY-MM"),LEFT(B5938,7)))</f>
        <v/>
      </c>
    </row>
    <row r="5939">
      <c r="N5939" s="6">
        <f>IF(B5939="","",IF(ISNUMBER(B5939),TEXT(B5939,"YYYY-MM"),LEFT(B5939,7)))</f>
        <v/>
      </c>
    </row>
    <row r="5940">
      <c r="N5940" s="6">
        <f>IF(B5940="","",IF(ISNUMBER(B5940),TEXT(B5940,"YYYY-MM"),LEFT(B5940,7)))</f>
        <v/>
      </c>
    </row>
    <row r="5941">
      <c r="N5941" s="6">
        <f>IF(B5941="","",IF(ISNUMBER(B5941),TEXT(B5941,"YYYY-MM"),LEFT(B5941,7)))</f>
        <v/>
      </c>
    </row>
    <row r="5942">
      <c r="N5942" s="6">
        <f>IF(B5942="","",IF(ISNUMBER(B5942),TEXT(B5942,"YYYY-MM"),LEFT(B5942,7)))</f>
        <v/>
      </c>
    </row>
    <row r="5943">
      <c r="N5943" s="6">
        <f>IF(B5943="","",IF(ISNUMBER(B5943),TEXT(B5943,"YYYY-MM"),LEFT(B5943,7)))</f>
        <v/>
      </c>
    </row>
    <row r="5944">
      <c r="N5944" s="6">
        <f>IF(B5944="","",IF(ISNUMBER(B5944),TEXT(B5944,"YYYY-MM"),LEFT(B5944,7)))</f>
        <v/>
      </c>
    </row>
    <row r="5945">
      <c r="N5945" s="6">
        <f>IF(B5945="","",IF(ISNUMBER(B5945),TEXT(B5945,"YYYY-MM"),LEFT(B5945,7)))</f>
        <v/>
      </c>
    </row>
    <row r="5946">
      <c r="N5946" s="6">
        <f>IF(B5946="","",IF(ISNUMBER(B5946),TEXT(B5946,"YYYY-MM"),LEFT(B5946,7)))</f>
        <v/>
      </c>
    </row>
    <row r="5947">
      <c r="N5947" s="6">
        <f>IF(B5947="","",IF(ISNUMBER(B5947),TEXT(B5947,"YYYY-MM"),LEFT(B5947,7)))</f>
        <v/>
      </c>
    </row>
    <row r="5948">
      <c r="N5948" s="6">
        <f>IF(B5948="","",IF(ISNUMBER(B5948),TEXT(B5948,"YYYY-MM"),LEFT(B5948,7)))</f>
        <v/>
      </c>
    </row>
    <row r="5949">
      <c r="N5949" s="6">
        <f>IF(B5949="","",IF(ISNUMBER(B5949),TEXT(B5949,"YYYY-MM"),LEFT(B5949,7)))</f>
        <v/>
      </c>
    </row>
    <row r="5950">
      <c r="N5950" s="6">
        <f>IF(B5950="","",IF(ISNUMBER(B5950),TEXT(B5950,"YYYY-MM"),LEFT(B5950,7)))</f>
        <v/>
      </c>
    </row>
    <row r="5951">
      <c r="N5951" s="6">
        <f>IF(B5951="","",IF(ISNUMBER(B5951),TEXT(B5951,"YYYY-MM"),LEFT(B5951,7)))</f>
        <v/>
      </c>
    </row>
    <row r="5952">
      <c r="N5952" s="6">
        <f>IF(B5952="","",IF(ISNUMBER(B5952),TEXT(B5952,"YYYY-MM"),LEFT(B5952,7)))</f>
        <v/>
      </c>
    </row>
    <row r="5953">
      <c r="N5953" s="6">
        <f>IF(B5953="","",IF(ISNUMBER(B5953),TEXT(B5953,"YYYY-MM"),LEFT(B5953,7)))</f>
        <v/>
      </c>
    </row>
    <row r="5954">
      <c r="N5954" s="6">
        <f>IF(B5954="","",IF(ISNUMBER(B5954),TEXT(B5954,"YYYY-MM"),LEFT(B5954,7)))</f>
        <v/>
      </c>
    </row>
    <row r="5955">
      <c r="N5955" s="6">
        <f>IF(B5955="","",IF(ISNUMBER(B5955),TEXT(B5955,"YYYY-MM"),LEFT(B5955,7)))</f>
        <v/>
      </c>
    </row>
    <row r="5956">
      <c r="N5956" s="6">
        <f>IF(B5956="","",IF(ISNUMBER(B5956),TEXT(B5956,"YYYY-MM"),LEFT(B5956,7)))</f>
        <v/>
      </c>
    </row>
    <row r="5957">
      <c r="N5957" s="6">
        <f>IF(B5957="","",IF(ISNUMBER(B5957),TEXT(B5957,"YYYY-MM"),LEFT(B5957,7)))</f>
        <v/>
      </c>
    </row>
    <row r="5958">
      <c r="N5958" s="6">
        <f>IF(B5958="","",IF(ISNUMBER(B5958),TEXT(B5958,"YYYY-MM"),LEFT(B5958,7)))</f>
        <v/>
      </c>
    </row>
    <row r="5959">
      <c r="N5959" s="6">
        <f>IF(B5959="","",IF(ISNUMBER(B5959),TEXT(B5959,"YYYY-MM"),LEFT(B5959,7)))</f>
        <v/>
      </c>
    </row>
    <row r="5960">
      <c r="N5960" s="6">
        <f>IF(B5960="","",IF(ISNUMBER(B5960),TEXT(B5960,"YYYY-MM"),LEFT(B5960,7)))</f>
        <v/>
      </c>
    </row>
    <row r="5961">
      <c r="N5961" s="6">
        <f>IF(B5961="","",IF(ISNUMBER(B5961),TEXT(B5961,"YYYY-MM"),LEFT(B5961,7)))</f>
        <v/>
      </c>
    </row>
    <row r="5962">
      <c r="N5962" s="6">
        <f>IF(B5962="","",IF(ISNUMBER(B5962),TEXT(B5962,"YYYY-MM"),LEFT(B5962,7)))</f>
        <v/>
      </c>
    </row>
    <row r="5963">
      <c r="N5963" s="6">
        <f>IF(B5963="","",IF(ISNUMBER(B5963),TEXT(B5963,"YYYY-MM"),LEFT(B5963,7)))</f>
        <v/>
      </c>
    </row>
    <row r="5964">
      <c r="N5964" s="6">
        <f>IF(B5964="","",IF(ISNUMBER(B5964),TEXT(B5964,"YYYY-MM"),LEFT(B5964,7)))</f>
        <v/>
      </c>
    </row>
    <row r="5965">
      <c r="N5965" s="6">
        <f>IF(B5965="","",IF(ISNUMBER(B5965),TEXT(B5965,"YYYY-MM"),LEFT(B5965,7)))</f>
        <v/>
      </c>
    </row>
    <row r="5966">
      <c r="N5966" s="6">
        <f>IF(B5966="","",IF(ISNUMBER(B5966),TEXT(B5966,"YYYY-MM"),LEFT(B5966,7)))</f>
        <v/>
      </c>
    </row>
    <row r="5967">
      <c r="N5967" s="6">
        <f>IF(B5967="","",IF(ISNUMBER(B5967),TEXT(B5967,"YYYY-MM"),LEFT(B5967,7)))</f>
        <v/>
      </c>
    </row>
    <row r="5968">
      <c r="N5968" s="6">
        <f>IF(B5968="","",IF(ISNUMBER(B5968),TEXT(B5968,"YYYY-MM"),LEFT(B5968,7)))</f>
        <v/>
      </c>
    </row>
    <row r="5969">
      <c r="N5969" s="6">
        <f>IF(B5969="","",IF(ISNUMBER(B5969),TEXT(B5969,"YYYY-MM"),LEFT(B5969,7)))</f>
        <v/>
      </c>
    </row>
    <row r="5970">
      <c r="N5970" s="6">
        <f>IF(B5970="","",IF(ISNUMBER(B5970),TEXT(B5970,"YYYY-MM"),LEFT(B5970,7)))</f>
        <v/>
      </c>
    </row>
    <row r="5971">
      <c r="N5971" s="6">
        <f>IF(B5971="","",IF(ISNUMBER(B5971),TEXT(B5971,"YYYY-MM"),LEFT(B5971,7)))</f>
        <v/>
      </c>
    </row>
    <row r="5972">
      <c r="N5972" s="6">
        <f>IF(B5972="","",IF(ISNUMBER(B5972),TEXT(B5972,"YYYY-MM"),LEFT(B5972,7)))</f>
        <v/>
      </c>
    </row>
    <row r="5973">
      <c r="N5973" s="6">
        <f>IF(B5973="","",IF(ISNUMBER(B5973),TEXT(B5973,"YYYY-MM"),LEFT(B5973,7)))</f>
        <v/>
      </c>
    </row>
    <row r="5974">
      <c r="N5974" s="6">
        <f>IF(B5974="","",IF(ISNUMBER(B5974),TEXT(B5974,"YYYY-MM"),LEFT(B5974,7)))</f>
        <v/>
      </c>
    </row>
    <row r="5975">
      <c r="N5975" s="6">
        <f>IF(B5975="","",IF(ISNUMBER(B5975),TEXT(B5975,"YYYY-MM"),LEFT(B5975,7)))</f>
        <v/>
      </c>
    </row>
    <row r="5976">
      <c r="N5976" s="6">
        <f>IF(B5976="","",IF(ISNUMBER(B5976),TEXT(B5976,"YYYY-MM"),LEFT(B5976,7)))</f>
        <v/>
      </c>
    </row>
    <row r="5977">
      <c r="N5977" s="6">
        <f>IF(B5977="","",IF(ISNUMBER(B5977),TEXT(B5977,"YYYY-MM"),LEFT(B5977,7)))</f>
        <v/>
      </c>
    </row>
    <row r="5978">
      <c r="N5978" s="6">
        <f>IF(B5978="","",IF(ISNUMBER(B5978),TEXT(B5978,"YYYY-MM"),LEFT(B5978,7)))</f>
        <v/>
      </c>
    </row>
    <row r="5979">
      <c r="N5979" s="6">
        <f>IF(B5979="","",IF(ISNUMBER(B5979),TEXT(B5979,"YYYY-MM"),LEFT(B5979,7)))</f>
        <v/>
      </c>
    </row>
    <row r="5980">
      <c r="N5980" s="6">
        <f>IF(B5980="","",IF(ISNUMBER(B5980),TEXT(B5980,"YYYY-MM"),LEFT(B5980,7)))</f>
        <v/>
      </c>
    </row>
    <row r="5981">
      <c r="N5981" s="6">
        <f>IF(B5981="","",IF(ISNUMBER(B5981),TEXT(B5981,"YYYY-MM"),LEFT(B5981,7)))</f>
        <v/>
      </c>
    </row>
    <row r="5982">
      <c r="N5982" s="6">
        <f>IF(B5982="","",IF(ISNUMBER(B5982),TEXT(B5982,"YYYY-MM"),LEFT(B5982,7)))</f>
        <v/>
      </c>
    </row>
    <row r="5983">
      <c r="N5983" s="6">
        <f>IF(B5983="","",IF(ISNUMBER(B5983),TEXT(B5983,"YYYY-MM"),LEFT(B5983,7)))</f>
        <v/>
      </c>
    </row>
    <row r="5984">
      <c r="N5984" s="6">
        <f>IF(B5984="","",IF(ISNUMBER(B5984),TEXT(B5984,"YYYY-MM"),LEFT(B5984,7)))</f>
        <v/>
      </c>
    </row>
    <row r="5985">
      <c r="N5985" s="6">
        <f>IF(B5985="","",IF(ISNUMBER(B5985),TEXT(B5985,"YYYY-MM"),LEFT(B5985,7)))</f>
        <v/>
      </c>
    </row>
    <row r="5986">
      <c r="N5986" s="6">
        <f>IF(B5986="","",IF(ISNUMBER(B5986),TEXT(B5986,"YYYY-MM"),LEFT(B5986,7)))</f>
        <v/>
      </c>
    </row>
    <row r="5987">
      <c r="N5987" s="6">
        <f>IF(B5987="","",IF(ISNUMBER(B5987),TEXT(B5987,"YYYY-MM"),LEFT(B5987,7)))</f>
        <v/>
      </c>
    </row>
    <row r="5988">
      <c r="N5988" s="6">
        <f>IF(B5988="","",IF(ISNUMBER(B5988),TEXT(B5988,"YYYY-MM"),LEFT(B5988,7)))</f>
        <v/>
      </c>
    </row>
    <row r="5989">
      <c r="N5989" s="6">
        <f>IF(B5989="","",IF(ISNUMBER(B5989),TEXT(B5989,"YYYY-MM"),LEFT(B5989,7)))</f>
        <v/>
      </c>
    </row>
    <row r="5990">
      <c r="N5990" s="6">
        <f>IF(B5990="","",IF(ISNUMBER(B5990),TEXT(B5990,"YYYY-MM"),LEFT(B5990,7)))</f>
        <v/>
      </c>
    </row>
    <row r="5991">
      <c r="N5991" s="6">
        <f>IF(B5991="","",IF(ISNUMBER(B5991),TEXT(B5991,"YYYY-MM"),LEFT(B5991,7)))</f>
        <v/>
      </c>
    </row>
    <row r="5992">
      <c r="N5992" s="6">
        <f>IF(B5992="","",IF(ISNUMBER(B5992),TEXT(B5992,"YYYY-MM"),LEFT(B5992,7)))</f>
        <v/>
      </c>
    </row>
    <row r="5993">
      <c r="N5993" s="6">
        <f>IF(B5993="","",IF(ISNUMBER(B5993),TEXT(B5993,"YYYY-MM"),LEFT(B5993,7)))</f>
        <v/>
      </c>
    </row>
    <row r="5994">
      <c r="N5994" s="6">
        <f>IF(B5994="","",IF(ISNUMBER(B5994),TEXT(B5994,"YYYY-MM"),LEFT(B5994,7)))</f>
        <v/>
      </c>
    </row>
    <row r="5995">
      <c r="N5995" s="6">
        <f>IF(B5995="","",IF(ISNUMBER(B5995),TEXT(B5995,"YYYY-MM"),LEFT(B5995,7)))</f>
        <v/>
      </c>
    </row>
    <row r="5996">
      <c r="N5996" s="6">
        <f>IF(B5996="","",IF(ISNUMBER(B5996),TEXT(B5996,"YYYY-MM"),LEFT(B5996,7)))</f>
        <v/>
      </c>
    </row>
    <row r="5997">
      <c r="N5997" s="6">
        <f>IF(B5997="","",IF(ISNUMBER(B5997),TEXT(B5997,"YYYY-MM"),LEFT(B5997,7)))</f>
        <v/>
      </c>
    </row>
    <row r="5998">
      <c r="N5998" s="6">
        <f>IF(B5998="","",IF(ISNUMBER(B5998),TEXT(B5998,"YYYY-MM"),LEFT(B5998,7)))</f>
        <v/>
      </c>
    </row>
    <row r="5999">
      <c r="N5999" s="6">
        <f>IF(B5999="","",IF(ISNUMBER(B5999),TEXT(B5999,"YYYY-MM"),LEFT(B5999,7)))</f>
        <v/>
      </c>
    </row>
    <row r="6000">
      <c r="N6000" s="6">
        <f>IF(B6000="","",IF(ISNUMBER(B6000),TEXT(B6000,"YYYY-MM"),LEFT(B6000,7)))</f>
        <v/>
      </c>
    </row>
    <row r="6001">
      <c r="N6001" s="6">
        <f>IF(B6001="","",IF(ISNUMBER(B6001),TEXT(B6001,"YYYY-MM"),LEFT(B6001,7)))</f>
        <v/>
      </c>
    </row>
    <row r="6002">
      <c r="N6002" s="6">
        <f>IF(B6002="","",IF(ISNUMBER(B6002),TEXT(B6002,"YYYY-MM"),LEFT(B6002,7)))</f>
        <v/>
      </c>
    </row>
    <row r="6003">
      <c r="N6003" s="6">
        <f>IF(B6003="","",IF(ISNUMBER(B6003),TEXT(B6003,"YYYY-MM"),LEFT(B6003,7)))</f>
        <v/>
      </c>
    </row>
    <row r="6004">
      <c r="N6004" s="6">
        <f>IF(B6004="","",IF(ISNUMBER(B6004),TEXT(B6004,"YYYY-MM"),LEFT(B6004,7)))</f>
        <v/>
      </c>
    </row>
    <row r="6005">
      <c r="N6005" s="6">
        <f>IF(B6005="","",IF(ISNUMBER(B6005),TEXT(B6005,"YYYY-MM"),LEFT(B6005,7)))</f>
        <v/>
      </c>
    </row>
    <row r="6006">
      <c r="N6006" s="6">
        <f>IF(B6006="","",IF(ISNUMBER(B6006),TEXT(B6006,"YYYY-MM"),LEFT(B6006,7)))</f>
        <v/>
      </c>
    </row>
    <row r="6007">
      <c r="N6007" s="6">
        <f>IF(B6007="","",IF(ISNUMBER(B6007),TEXT(B6007,"YYYY-MM"),LEFT(B6007,7)))</f>
        <v/>
      </c>
    </row>
    <row r="6008">
      <c r="N6008" s="6">
        <f>IF(B6008="","",IF(ISNUMBER(B6008),TEXT(B6008,"YYYY-MM"),LEFT(B6008,7)))</f>
        <v/>
      </c>
    </row>
    <row r="6009">
      <c r="N6009" s="6">
        <f>IF(B6009="","",IF(ISNUMBER(B6009),TEXT(B6009,"YYYY-MM"),LEFT(B6009,7)))</f>
        <v/>
      </c>
    </row>
    <row r="6010">
      <c r="N6010" s="6">
        <f>IF(B6010="","",IF(ISNUMBER(B6010),TEXT(B6010,"YYYY-MM"),LEFT(B6010,7)))</f>
        <v/>
      </c>
    </row>
    <row r="6011">
      <c r="N6011" s="6">
        <f>IF(B6011="","",IF(ISNUMBER(B6011),TEXT(B6011,"YYYY-MM"),LEFT(B6011,7)))</f>
        <v/>
      </c>
    </row>
    <row r="6012">
      <c r="N6012" s="6">
        <f>IF(B6012="","",IF(ISNUMBER(B6012),TEXT(B6012,"YYYY-MM"),LEFT(B6012,7)))</f>
        <v/>
      </c>
    </row>
    <row r="6013">
      <c r="N6013" s="6">
        <f>IF(B6013="","",IF(ISNUMBER(B6013),TEXT(B6013,"YYYY-MM"),LEFT(B6013,7)))</f>
        <v/>
      </c>
    </row>
    <row r="6014">
      <c r="N6014" s="6">
        <f>IF(B6014="","",IF(ISNUMBER(B6014),TEXT(B6014,"YYYY-MM"),LEFT(B6014,7)))</f>
        <v/>
      </c>
    </row>
    <row r="6015">
      <c r="N6015" s="6">
        <f>IF(B6015="","",IF(ISNUMBER(B6015),TEXT(B6015,"YYYY-MM"),LEFT(B6015,7)))</f>
        <v/>
      </c>
    </row>
    <row r="6016">
      <c r="N6016" s="6">
        <f>IF(B6016="","",IF(ISNUMBER(B6016),TEXT(B6016,"YYYY-MM"),LEFT(B6016,7)))</f>
        <v/>
      </c>
    </row>
    <row r="6017">
      <c r="N6017" s="6">
        <f>IF(B6017="","",IF(ISNUMBER(B6017),TEXT(B6017,"YYYY-MM"),LEFT(B6017,7)))</f>
        <v/>
      </c>
    </row>
    <row r="6018">
      <c r="N6018" s="6">
        <f>IF(B6018="","",IF(ISNUMBER(B6018),TEXT(B6018,"YYYY-MM"),LEFT(B6018,7)))</f>
        <v/>
      </c>
    </row>
    <row r="6019">
      <c r="N6019" s="6">
        <f>IF(B6019="","",IF(ISNUMBER(B6019),TEXT(B6019,"YYYY-MM"),LEFT(B6019,7)))</f>
        <v/>
      </c>
    </row>
    <row r="6020">
      <c r="N6020" s="6">
        <f>IF(B6020="","",IF(ISNUMBER(B6020),TEXT(B6020,"YYYY-MM"),LEFT(B6020,7)))</f>
        <v/>
      </c>
    </row>
    <row r="6021">
      <c r="N6021" s="6">
        <f>IF(B6021="","",IF(ISNUMBER(B6021),TEXT(B6021,"YYYY-MM"),LEFT(B6021,7)))</f>
        <v/>
      </c>
    </row>
    <row r="6022">
      <c r="N6022" s="6">
        <f>IF(B6022="","",IF(ISNUMBER(B6022),TEXT(B6022,"YYYY-MM"),LEFT(B6022,7)))</f>
        <v/>
      </c>
    </row>
    <row r="6023">
      <c r="N6023" s="6">
        <f>IF(B6023="","",IF(ISNUMBER(B6023),TEXT(B6023,"YYYY-MM"),LEFT(B6023,7)))</f>
        <v/>
      </c>
    </row>
    <row r="6024">
      <c r="N6024" s="6">
        <f>IF(B6024="","",IF(ISNUMBER(B6024),TEXT(B6024,"YYYY-MM"),LEFT(B6024,7)))</f>
        <v/>
      </c>
    </row>
    <row r="6025">
      <c r="N6025" s="6">
        <f>IF(B6025="","",IF(ISNUMBER(B6025),TEXT(B6025,"YYYY-MM"),LEFT(B6025,7)))</f>
        <v/>
      </c>
    </row>
    <row r="6026">
      <c r="N6026" s="6">
        <f>IF(B6026="","",IF(ISNUMBER(B6026),TEXT(B6026,"YYYY-MM"),LEFT(B6026,7)))</f>
        <v/>
      </c>
    </row>
    <row r="6027">
      <c r="N6027" s="6">
        <f>IF(B6027="","",IF(ISNUMBER(B6027),TEXT(B6027,"YYYY-MM"),LEFT(B6027,7)))</f>
        <v/>
      </c>
    </row>
    <row r="6028">
      <c r="N6028" s="6">
        <f>IF(B6028="","",IF(ISNUMBER(B6028),TEXT(B6028,"YYYY-MM"),LEFT(B6028,7)))</f>
        <v/>
      </c>
    </row>
    <row r="6029">
      <c r="N6029" s="6">
        <f>IF(B6029="","",IF(ISNUMBER(B6029),TEXT(B6029,"YYYY-MM"),LEFT(B6029,7)))</f>
        <v/>
      </c>
    </row>
    <row r="6030">
      <c r="N6030" s="6">
        <f>IF(B6030="","",IF(ISNUMBER(B6030),TEXT(B6030,"YYYY-MM"),LEFT(B6030,7)))</f>
        <v/>
      </c>
    </row>
    <row r="6031">
      <c r="N6031" s="6">
        <f>IF(B6031="","",IF(ISNUMBER(B6031),TEXT(B6031,"YYYY-MM"),LEFT(B6031,7)))</f>
        <v/>
      </c>
    </row>
    <row r="6032">
      <c r="N6032" s="6">
        <f>IF(B6032="","",IF(ISNUMBER(B6032),TEXT(B6032,"YYYY-MM"),LEFT(B6032,7)))</f>
        <v/>
      </c>
    </row>
    <row r="6033">
      <c r="N6033" s="6">
        <f>IF(B6033="","",IF(ISNUMBER(B6033),TEXT(B6033,"YYYY-MM"),LEFT(B6033,7)))</f>
        <v/>
      </c>
    </row>
    <row r="6034">
      <c r="N6034" s="6">
        <f>IF(B6034="","",IF(ISNUMBER(B6034),TEXT(B6034,"YYYY-MM"),LEFT(B6034,7)))</f>
        <v/>
      </c>
    </row>
    <row r="6035">
      <c r="N6035" s="6">
        <f>IF(B6035="","",IF(ISNUMBER(B6035),TEXT(B6035,"YYYY-MM"),LEFT(B6035,7)))</f>
        <v/>
      </c>
    </row>
    <row r="6036">
      <c r="N6036" s="6">
        <f>IF(B6036="","",IF(ISNUMBER(B6036),TEXT(B6036,"YYYY-MM"),LEFT(B6036,7)))</f>
        <v/>
      </c>
    </row>
    <row r="6037">
      <c r="N6037" s="6">
        <f>IF(B6037="","",IF(ISNUMBER(B6037),TEXT(B6037,"YYYY-MM"),LEFT(B6037,7)))</f>
        <v/>
      </c>
    </row>
    <row r="6038">
      <c r="N6038" s="6">
        <f>IF(B6038="","",IF(ISNUMBER(B6038),TEXT(B6038,"YYYY-MM"),LEFT(B6038,7)))</f>
        <v/>
      </c>
    </row>
    <row r="6039">
      <c r="N6039" s="6">
        <f>IF(B6039="","",IF(ISNUMBER(B6039),TEXT(B6039,"YYYY-MM"),LEFT(B6039,7)))</f>
        <v/>
      </c>
    </row>
    <row r="6040">
      <c r="N6040" s="6">
        <f>IF(B6040="","",IF(ISNUMBER(B6040),TEXT(B6040,"YYYY-MM"),LEFT(B6040,7)))</f>
        <v/>
      </c>
    </row>
    <row r="6041">
      <c r="N6041" s="6">
        <f>IF(B6041="","",IF(ISNUMBER(B6041),TEXT(B6041,"YYYY-MM"),LEFT(B6041,7)))</f>
        <v/>
      </c>
    </row>
    <row r="6042">
      <c r="N6042" s="6">
        <f>IF(B6042="","",IF(ISNUMBER(B6042),TEXT(B6042,"YYYY-MM"),LEFT(B6042,7)))</f>
        <v/>
      </c>
    </row>
    <row r="6043">
      <c r="N6043" s="6">
        <f>IF(B6043="","",IF(ISNUMBER(B6043),TEXT(B6043,"YYYY-MM"),LEFT(B6043,7)))</f>
        <v/>
      </c>
    </row>
    <row r="6044">
      <c r="N6044" s="6">
        <f>IF(B6044="","",IF(ISNUMBER(B6044),TEXT(B6044,"YYYY-MM"),LEFT(B6044,7)))</f>
        <v/>
      </c>
    </row>
    <row r="6045">
      <c r="N6045" s="6">
        <f>IF(B6045="","",IF(ISNUMBER(B6045),TEXT(B6045,"YYYY-MM"),LEFT(B6045,7)))</f>
        <v/>
      </c>
    </row>
    <row r="6046">
      <c r="N6046" s="6">
        <f>IF(B6046="","",IF(ISNUMBER(B6046),TEXT(B6046,"YYYY-MM"),LEFT(B6046,7)))</f>
        <v/>
      </c>
    </row>
    <row r="6047">
      <c r="N6047" s="6">
        <f>IF(B6047="","",IF(ISNUMBER(B6047),TEXT(B6047,"YYYY-MM"),LEFT(B6047,7)))</f>
        <v/>
      </c>
    </row>
    <row r="6048">
      <c r="N6048" s="6">
        <f>IF(B6048="","",IF(ISNUMBER(B6048),TEXT(B6048,"YYYY-MM"),LEFT(B6048,7)))</f>
        <v/>
      </c>
    </row>
    <row r="6049">
      <c r="N6049" s="6">
        <f>IF(B6049="","",IF(ISNUMBER(B6049),TEXT(B6049,"YYYY-MM"),LEFT(B6049,7)))</f>
        <v/>
      </c>
    </row>
    <row r="6050">
      <c r="N6050" s="6">
        <f>IF(B6050="","",IF(ISNUMBER(B6050),TEXT(B6050,"YYYY-MM"),LEFT(B6050,7)))</f>
        <v/>
      </c>
    </row>
    <row r="6051">
      <c r="N6051" s="6">
        <f>IF(B6051="","",IF(ISNUMBER(B6051),TEXT(B6051,"YYYY-MM"),LEFT(B6051,7)))</f>
        <v/>
      </c>
    </row>
    <row r="6052">
      <c r="N6052" s="6">
        <f>IF(B6052="","",IF(ISNUMBER(B6052),TEXT(B6052,"YYYY-MM"),LEFT(B6052,7)))</f>
        <v/>
      </c>
    </row>
    <row r="6053">
      <c r="N6053" s="6">
        <f>IF(B6053="","",IF(ISNUMBER(B6053),TEXT(B6053,"YYYY-MM"),LEFT(B6053,7)))</f>
        <v/>
      </c>
    </row>
    <row r="6054">
      <c r="N6054" s="6">
        <f>IF(B6054="","",IF(ISNUMBER(B6054),TEXT(B6054,"YYYY-MM"),LEFT(B6054,7)))</f>
        <v/>
      </c>
    </row>
    <row r="6055">
      <c r="N6055" s="6">
        <f>IF(B6055="","",IF(ISNUMBER(B6055),TEXT(B6055,"YYYY-MM"),LEFT(B6055,7)))</f>
        <v/>
      </c>
    </row>
    <row r="6056">
      <c r="N6056" s="6">
        <f>IF(B6056="","",IF(ISNUMBER(B6056),TEXT(B6056,"YYYY-MM"),LEFT(B6056,7)))</f>
        <v/>
      </c>
    </row>
    <row r="6057">
      <c r="N6057" s="6">
        <f>IF(B6057="","",IF(ISNUMBER(B6057),TEXT(B6057,"YYYY-MM"),LEFT(B6057,7)))</f>
        <v/>
      </c>
    </row>
    <row r="6058">
      <c r="N6058" s="6">
        <f>IF(B6058="","",IF(ISNUMBER(B6058),TEXT(B6058,"YYYY-MM"),LEFT(B6058,7)))</f>
        <v/>
      </c>
    </row>
    <row r="6059">
      <c r="N6059" s="6">
        <f>IF(B6059="","",IF(ISNUMBER(B6059),TEXT(B6059,"YYYY-MM"),LEFT(B6059,7)))</f>
        <v/>
      </c>
    </row>
    <row r="6060">
      <c r="N6060" s="6">
        <f>IF(B6060="","",IF(ISNUMBER(B6060),TEXT(B6060,"YYYY-MM"),LEFT(B6060,7)))</f>
        <v/>
      </c>
    </row>
    <row r="6061">
      <c r="N6061" s="6">
        <f>IF(B6061="","",IF(ISNUMBER(B6061),TEXT(B6061,"YYYY-MM"),LEFT(B6061,7)))</f>
        <v/>
      </c>
    </row>
    <row r="6062">
      <c r="N6062" s="6">
        <f>IF(B6062="","",IF(ISNUMBER(B6062),TEXT(B6062,"YYYY-MM"),LEFT(B6062,7)))</f>
        <v/>
      </c>
    </row>
    <row r="6063">
      <c r="N6063" s="6">
        <f>IF(B6063="","",IF(ISNUMBER(B6063),TEXT(B6063,"YYYY-MM"),LEFT(B6063,7)))</f>
        <v/>
      </c>
    </row>
    <row r="6064">
      <c r="N6064" s="6">
        <f>IF(B6064="","",IF(ISNUMBER(B6064),TEXT(B6064,"YYYY-MM"),LEFT(B6064,7)))</f>
        <v/>
      </c>
    </row>
    <row r="6065">
      <c r="N6065" s="6">
        <f>IF(B6065="","",IF(ISNUMBER(B6065),TEXT(B6065,"YYYY-MM"),LEFT(B6065,7)))</f>
        <v/>
      </c>
    </row>
    <row r="6066">
      <c r="N6066" s="6">
        <f>IF(B6066="","",IF(ISNUMBER(B6066),TEXT(B6066,"YYYY-MM"),LEFT(B6066,7)))</f>
        <v/>
      </c>
    </row>
    <row r="6067">
      <c r="N6067" s="6">
        <f>IF(B6067="","",IF(ISNUMBER(B6067),TEXT(B6067,"YYYY-MM"),LEFT(B6067,7)))</f>
        <v/>
      </c>
    </row>
    <row r="6068">
      <c r="N6068" s="6">
        <f>IF(B6068="","",IF(ISNUMBER(B6068),TEXT(B6068,"YYYY-MM"),LEFT(B6068,7)))</f>
        <v/>
      </c>
    </row>
    <row r="6069">
      <c r="N6069" s="6">
        <f>IF(B6069="","",IF(ISNUMBER(B6069),TEXT(B6069,"YYYY-MM"),LEFT(B6069,7)))</f>
        <v/>
      </c>
    </row>
    <row r="6070">
      <c r="N6070" s="6">
        <f>IF(B6070="","",IF(ISNUMBER(B6070),TEXT(B6070,"YYYY-MM"),LEFT(B6070,7)))</f>
        <v/>
      </c>
    </row>
    <row r="6071">
      <c r="N6071" s="6">
        <f>IF(B6071="","",IF(ISNUMBER(B6071),TEXT(B6071,"YYYY-MM"),LEFT(B6071,7)))</f>
        <v/>
      </c>
    </row>
    <row r="6072">
      <c r="N6072" s="6">
        <f>IF(B6072="","",IF(ISNUMBER(B6072),TEXT(B6072,"YYYY-MM"),LEFT(B6072,7)))</f>
        <v/>
      </c>
    </row>
    <row r="6073">
      <c r="N6073" s="6">
        <f>IF(B6073="","",IF(ISNUMBER(B6073),TEXT(B6073,"YYYY-MM"),LEFT(B6073,7)))</f>
        <v/>
      </c>
    </row>
    <row r="6074">
      <c r="N6074" s="6">
        <f>IF(B6074="","",IF(ISNUMBER(B6074),TEXT(B6074,"YYYY-MM"),LEFT(B6074,7)))</f>
        <v/>
      </c>
    </row>
    <row r="6075">
      <c r="N6075" s="6">
        <f>IF(B6075="","",IF(ISNUMBER(B6075),TEXT(B6075,"YYYY-MM"),LEFT(B6075,7)))</f>
        <v/>
      </c>
    </row>
    <row r="6076">
      <c r="N6076" s="6">
        <f>IF(B6076="","",IF(ISNUMBER(B6076),TEXT(B6076,"YYYY-MM"),LEFT(B6076,7)))</f>
        <v/>
      </c>
    </row>
    <row r="6077">
      <c r="N6077" s="6">
        <f>IF(B6077="","",IF(ISNUMBER(B6077),TEXT(B6077,"YYYY-MM"),LEFT(B6077,7)))</f>
        <v/>
      </c>
    </row>
    <row r="6078">
      <c r="N6078" s="6">
        <f>IF(B6078="","",IF(ISNUMBER(B6078),TEXT(B6078,"YYYY-MM"),LEFT(B6078,7)))</f>
        <v/>
      </c>
    </row>
    <row r="6079">
      <c r="N6079" s="6">
        <f>IF(B6079="","",IF(ISNUMBER(B6079),TEXT(B6079,"YYYY-MM"),LEFT(B6079,7)))</f>
        <v/>
      </c>
    </row>
    <row r="6080">
      <c r="N6080" s="6">
        <f>IF(B6080="","",IF(ISNUMBER(B6080),TEXT(B6080,"YYYY-MM"),LEFT(B6080,7)))</f>
        <v/>
      </c>
    </row>
    <row r="6081">
      <c r="N6081" s="6">
        <f>IF(B6081="","",IF(ISNUMBER(B6081),TEXT(B6081,"YYYY-MM"),LEFT(B6081,7)))</f>
        <v/>
      </c>
    </row>
    <row r="6082">
      <c r="N6082" s="6">
        <f>IF(B6082="","",IF(ISNUMBER(B6082),TEXT(B6082,"YYYY-MM"),LEFT(B6082,7)))</f>
        <v/>
      </c>
    </row>
    <row r="6083">
      <c r="N6083" s="6">
        <f>IF(B6083="","",IF(ISNUMBER(B6083),TEXT(B6083,"YYYY-MM"),LEFT(B6083,7)))</f>
        <v/>
      </c>
    </row>
    <row r="6084">
      <c r="N6084" s="6">
        <f>IF(B6084="","",IF(ISNUMBER(B6084),TEXT(B6084,"YYYY-MM"),LEFT(B6084,7)))</f>
        <v/>
      </c>
    </row>
    <row r="6085">
      <c r="N6085" s="6">
        <f>IF(B6085="","",IF(ISNUMBER(B6085),TEXT(B6085,"YYYY-MM"),LEFT(B6085,7)))</f>
        <v/>
      </c>
    </row>
    <row r="6086">
      <c r="N6086" s="6">
        <f>IF(B6086="","",IF(ISNUMBER(B6086),TEXT(B6086,"YYYY-MM"),LEFT(B6086,7)))</f>
        <v/>
      </c>
    </row>
    <row r="6087">
      <c r="N6087" s="6">
        <f>IF(B6087="","",IF(ISNUMBER(B6087),TEXT(B6087,"YYYY-MM"),LEFT(B6087,7)))</f>
        <v/>
      </c>
    </row>
    <row r="6088">
      <c r="N6088" s="6">
        <f>IF(B6088="","",IF(ISNUMBER(B6088),TEXT(B6088,"YYYY-MM"),LEFT(B6088,7)))</f>
        <v/>
      </c>
    </row>
    <row r="6089">
      <c r="N6089" s="6">
        <f>IF(B6089="","",IF(ISNUMBER(B6089),TEXT(B6089,"YYYY-MM"),LEFT(B6089,7)))</f>
        <v/>
      </c>
    </row>
    <row r="6090">
      <c r="N6090" s="6">
        <f>IF(B6090="","",IF(ISNUMBER(B6090),TEXT(B6090,"YYYY-MM"),LEFT(B6090,7)))</f>
        <v/>
      </c>
    </row>
    <row r="6091">
      <c r="N6091" s="6">
        <f>IF(B6091="","",IF(ISNUMBER(B6091),TEXT(B6091,"YYYY-MM"),LEFT(B6091,7)))</f>
        <v/>
      </c>
    </row>
    <row r="6092">
      <c r="N6092" s="6">
        <f>IF(B6092="","",IF(ISNUMBER(B6092),TEXT(B6092,"YYYY-MM"),LEFT(B6092,7)))</f>
        <v/>
      </c>
    </row>
    <row r="6093">
      <c r="N6093" s="6">
        <f>IF(B6093="","",IF(ISNUMBER(B6093),TEXT(B6093,"YYYY-MM"),LEFT(B6093,7)))</f>
        <v/>
      </c>
    </row>
    <row r="6094">
      <c r="N6094" s="6">
        <f>IF(B6094="","",IF(ISNUMBER(B6094),TEXT(B6094,"YYYY-MM"),LEFT(B6094,7)))</f>
        <v/>
      </c>
    </row>
    <row r="6095">
      <c r="N6095" s="6">
        <f>IF(B6095="","",IF(ISNUMBER(B6095),TEXT(B6095,"YYYY-MM"),LEFT(B6095,7)))</f>
        <v/>
      </c>
    </row>
    <row r="6096">
      <c r="N6096" s="6">
        <f>IF(B6096="","",IF(ISNUMBER(B6096),TEXT(B6096,"YYYY-MM"),LEFT(B6096,7)))</f>
        <v/>
      </c>
    </row>
    <row r="6097">
      <c r="N6097" s="6">
        <f>IF(B6097="","",IF(ISNUMBER(B6097),TEXT(B6097,"YYYY-MM"),LEFT(B6097,7)))</f>
        <v/>
      </c>
    </row>
    <row r="6098">
      <c r="N6098" s="6">
        <f>IF(B6098="","",IF(ISNUMBER(B6098),TEXT(B6098,"YYYY-MM"),LEFT(B6098,7)))</f>
        <v/>
      </c>
    </row>
    <row r="6099">
      <c r="N6099" s="6">
        <f>IF(B6099="","",IF(ISNUMBER(B6099),TEXT(B6099,"YYYY-MM"),LEFT(B6099,7)))</f>
        <v/>
      </c>
    </row>
    <row r="6100">
      <c r="N6100" s="6">
        <f>IF(B6100="","",IF(ISNUMBER(B6100),TEXT(B6100,"YYYY-MM"),LEFT(B6100,7)))</f>
        <v/>
      </c>
    </row>
    <row r="6101">
      <c r="N6101" s="6">
        <f>IF(B6101="","",IF(ISNUMBER(B6101),TEXT(B6101,"YYYY-MM"),LEFT(B6101,7)))</f>
        <v/>
      </c>
    </row>
    <row r="6102">
      <c r="N6102" s="6">
        <f>IF(B6102="","",IF(ISNUMBER(B6102),TEXT(B6102,"YYYY-MM"),LEFT(B6102,7)))</f>
        <v/>
      </c>
    </row>
    <row r="6103">
      <c r="N6103" s="6">
        <f>IF(B6103="","",IF(ISNUMBER(B6103),TEXT(B6103,"YYYY-MM"),LEFT(B6103,7)))</f>
        <v/>
      </c>
    </row>
    <row r="6104">
      <c r="N6104" s="6">
        <f>IF(B6104="","",IF(ISNUMBER(B6104),TEXT(B6104,"YYYY-MM"),LEFT(B6104,7)))</f>
        <v/>
      </c>
    </row>
    <row r="6105">
      <c r="N6105" s="6">
        <f>IF(B6105="","",IF(ISNUMBER(B6105),TEXT(B6105,"YYYY-MM"),LEFT(B6105,7)))</f>
        <v/>
      </c>
    </row>
    <row r="6106">
      <c r="N6106" s="6">
        <f>IF(B6106="","",IF(ISNUMBER(B6106),TEXT(B6106,"YYYY-MM"),LEFT(B6106,7)))</f>
        <v/>
      </c>
    </row>
    <row r="6107">
      <c r="N6107" s="6">
        <f>IF(B6107="","",IF(ISNUMBER(B6107),TEXT(B6107,"YYYY-MM"),LEFT(B6107,7)))</f>
        <v/>
      </c>
    </row>
    <row r="6108">
      <c r="N6108" s="6">
        <f>IF(B6108="","",IF(ISNUMBER(B6108),TEXT(B6108,"YYYY-MM"),LEFT(B6108,7)))</f>
        <v/>
      </c>
    </row>
    <row r="6109">
      <c r="N6109" s="6">
        <f>IF(B6109="","",IF(ISNUMBER(B6109),TEXT(B6109,"YYYY-MM"),LEFT(B6109,7)))</f>
        <v/>
      </c>
    </row>
    <row r="6110">
      <c r="N6110" s="6">
        <f>IF(B6110="","",IF(ISNUMBER(B6110),TEXT(B6110,"YYYY-MM"),LEFT(B6110,7)))</f>
        <v/>
      </c>
    </row>
    <row r="6111">
      <c r="N6111" s="6">
        <f>IF(B6111="","",IF(ISNUMBER(B6111),TEXT(B6111,"YYYY-MM"),LEFT(B6111,7)))</f>
        <v/>
      </c>
    </row>
    <row r="6112">
      <c r="N6112" s="6">
        <f>IF(B6112="","",IF(ISNUMBER(B6112),TEXT(B6112,"YYYY-MM"),LEFT(B6112,7)))</f>
        <v/>
      </c>
    </row>
    <row r="6113">
      <c r="N6113" s="6">
        <f>IF(B6113="","",IF(ISNUMBER(B6113),TEXT(B6113,"YYYY-MM"),LEFT(B6113,7)))</f>
        <v/>
      </c>
    </row>
    <row r="6114">
      <c r="N6114" s="6">
        <f>IF(B6114="","",IF(ISNUMBER(B6114),TEXT(B6114,"YYYY-MM"),LEFT(B6114,7)))</f>
        <v/>
      </c>
    </row>
    <row r="6115">
      <c r="N6115" s="6">
        <f>IF(B6115="","",IF(ISNUMBER(B6115),TEXT(B6115,"YYYY-MM"),LEFT(B6115,7)))</f>
        <v/>
      </c>
    </row>
    <row r="6116">
      <c r="N6116" s="6">
        <f>IF(B6116="","",IF(ISNUMBER(B6116),TEXT(B6116,"YYYY-MM"),LEFT(B6116,7)))</f>
        <v/>
      </c>
    </row>
    <row r="6117">
      <c r="N6117" s="6">
        <f>IF(B6117="","",IF(ISNUMBER(B6117),TEXT(B6117,"YYYY-MM"),LEFT(B6117,7)))</f>
        <v/>
      </c>
    </row>
    <row r="6118">
      <c r="N6118" s="6">
        <f>IF(B6118="","",IF(ISNUMBER(B6118),TEXT(B6118,"YYYY-MM"),LEFT(B6118,7)))</f>
        <v/>
      </c>
    </row>
    <row r="6119">
      <c r="N6119" s="6">
        <f>IF(B6119="","",IF(ISNUMBER(B6119),TEXT(B6119,"YYYY-MM"),LEFT(B6119,7)))</f>
        <v/>
      </c>
    </row>
    <row r="6120">
      <c r="N6120" s="6">
        <f>IF(B6120="","",IF(ISNUMBER(B6120),TEXT(B6120,"YYYY-MM"),LEFT(B6120,7)))</f>
        <v/>
      </c>
    </row>
    <row r="6121">
      <c r="N6121" s="6">
        <f>IF(B6121="","",IF(ISNUMBER(B6121),TEXT(B6121,"YYYY-MM"),LEFT(B6121,7)))</f>
        <v/>
      </c>
    </row>
    <row r="6122">
      <c r="N6122" s="6">
        <f>IF(B6122="","",IF(ISNUMBER(B6122),TEXT(B6122,"YYYY-MM"),LEFT(B6122,7)))</f>
        <v/>
      </c>
    </row>
    <row r="6123">
      <c r="N6123" s="6">
        <f>IF(B6123="","",IF(ISNUMBER(B6123),TEXT(B6123,"YYYY-MM"),LEFT(B6123,7)))</f>
        <v/>
      </c>
    </row>
    <row r="6124">
      <c r="N6124" s="6">
        <f>IF(B6124="","",IF(ISNUMBER(B6124),TEXT(B6124,"YYYY-MM"),LEFT(B6124,7)))</f>
        <v/>
      </c>
    </row>
    <row r="6125">
      <c r="N6125" s="6">
        <f>IF(B6125="","",IF(ISNUMBER(B6125),TEXT(B6125,"YYYY-MM"),LEFT(B6125,7)))</f>
        <v/>
      </c>
    </row>
    <row r="6126">
      <c r="N6126" s="6">
        <f>IF(B6126="","",IF(ISNUMBER(B6126),TEXT(B6126,"YYYY-MM"),LEFT(B6126,7)))</f>
        <v/>
      </c>
    </row>
    <row r="6127">
      <c r="N6127" s="6">
        <f>IF(B6127="","",IF(ISNUMBER(B6127),TEXT(B6127,"YYYY-MM"),LEFT(B6127,7)))</f>
        <v/>
      </c>
    </row>
    <row r="6128">
      <c r="N6128" s="6">
        <f>IF(B6128="","",IF(ISNUMBER(B6128),TEXT(B6128,"YYYY-MM"),LEFT(B6128,7)))</f>
        <v/>
      </c>
    </row>
    <row r="6129">
      <c r="N6129" s="6">
        <f>IF(B6129="","",IF(ISNUMBER(B6129),TEXT(B6129,"YYYY-MM"),LEFT(B6129,7)))</f>
        <v/>
      </c>
    </row>
    <row r="6130">
      <c r="N6130" s="6">
        <f>IF(B6130="","",IF(ISNUMBER(B6130),TEXT(B6130,"YYYY-MM"),LEFT(B6130,7)))</f>
        <v/>
      </c>
    </row>
    <row r="6131">
      <c r="N6131" s="6">
        <f>IF(B6131="","",IF(ISNUMBER(B6131),TEXT(B6131,"YYYY-MM"),LEFT(B6131,7)))</f>
        <v/>
      </c>
    </row>
    <row r="6132">
      <c r="N6132" s="6">
        <f>IF(B6132="","",IF(ISNUMBER(B6132),TEXT(B6132,"YYYY-MM"),LEFT(B6132,7)))</f>
        <v/>
      </c>
    </row>
    <row r="6133">
      <c r="N6133" s="6">
        <f>IF(B6133="","",IF(ISNUMBER(B6133),TEXT(B6133,"YYYY-MM"),LEFT(B6133,7)))</f>
        <v/>
      </c>
    </row>
    <row r="6134">
      <c r="N6134" s="6">
        <f>IF(B6134="","",IF(ISNUMBER(B6134),TEXT(B6134,"YYYY-MM"),LEFT(B6134,7)))</f>
        <v/>
      </c>
    </row>
    <row r="6135">
      <c r="N6135" s="6">
        <f>IF(B6135="","",IF(ISNUMBER(B6135),TEXT(B6135,"YYYY-MM"),LEFT(B6135,7)))</f>
        <v/>
      </c>
    </row>
    <row r="6136">
      <c r="N6136" s="6">
        <f>IF(B6136="","",IF(ISNUMBER(B6136),TEXT(B6136,"YYYY-MM"),LEFT(B6136,7)))</f>
        <v/>
      </c>
    </row>
    <row r="6137">
      <c r="N6137" s="6">
        <f>IF(B6137="","",IF(ISNUMBER(B6137),TEXT(B6137,"YYYY-MM"),LEFT(B6137,7)))</f>
        <v/>
      </c>
    </row>
    <row r="6138">
      <c r="N6138" s="6">
        <f>IF(B6138="","",IF(ISNUMBER(B6138),TEXT(B6138,"YYYY-MM"),LEFT(B6138,7)))</f>
        <v/>
      </c>
    </row>
    <row r="6139">
      <c r="N6139" s="6">
        <f>IF(B6139="","",IF(ISNUMBER(B6139),TEXT(B6139,"YYYY-MM"),LEFT(B6139,7)))</f>
        <v/>
      </c>
    </row>
    <row r="6140">
      <c r="N6140" s="6">
        <f>IF(B6140="","",IF(ISNUMBER(B6140),TEXT(B6140,"YYYY-MM"),LEFT(B6140,7)))</f>
        <v/>
      </c>
    </row>
    <row r="6141">
      <c r="N6141" s="6">
        <f>IF(B6141="","",IF(ISNUMBER(B6141),TEXT(B6141,"YYYY-MM"),LEFT(B6141,7)))</f>
        <v/>
      </c>
    </row>
    <row r="6142">
      <c r="N6142" s="6">
        <f>IF(B6142="","",IF(ISNUMBER(B6142),TEXT(B6142,"YYYY-MM"),LEFT(B6142,7)))</f>
        <v/>
      </c>
    </row>
    <row r="6143">
      <c r="N6143" s="6">
        <f>IF(B6143="","",IF(ISNUMBER(B6143),TEXT(B6143,"YYYY-MM"),LEFT(B6143,7)))</f>
        <v/>
      </c>
    </row>
    <row r="6144">
      <c r="N6144" s="6">
        <f>IF(B6144="","",IF(ISNUMBER(B6144),TEXT(B6144,"YYYY-MM"),LEFT(B6144,7)))</f>
        <v/>
      </c>
    </row>
    <row r="6145">
      <c r="N6145" s="6">
        <f>IF(B6145="","",IF(ISNUMBER(B6145),TEXT(B6145,"YYYY-MM"),LEFT(B6145,7)))</f>
        <v/>
      </c>
    </row>
    <row r="6146">
      <c r="N6146" s="6">
        <f>IF(B6146="","",IF(ISNUMBER(B6146),TEXT(B6146,"YYYY-MM"),LEFT(B6146,7)))</f>
        <v/>
      </c>
    </row>
    <row r="6147">
      <c r="N6147" s="6">
        <f>IF(B6147="","",IF(ISNUMBER(B6147),TEXT(B6147,"YYYY-MM"),LEFT(B6147,7)))</f>
        <v/>
      </c>
    </row>
    <row r="6148">
      <c r="N6148" s="6">
        <f>IF(B6148="","",IF(ISNUMBER(B6148),TEXT(B6148,"YYYY-MM"),LEFT(B6148,7)))</f>
        <v/>
      </c>
    </row>
    <row r="6149">
      <c r="N6149" s="6">
        <f>IF(B6149="","",IF(ISNUMBER(B6149),TEXT(B6149,"YYYY-MM"),LEFT(B6149,7)))</f>
        <v/>
      </c>
    </row>
    <row r="6150">
      <c r="N6150" s="6">
        <f>IF(B6150="","",IF(ISNUMBER(B6150),TEXT(B6150,"YYYY-MM"),LEFT(B6150,7)))</f>
        <v/>
      </c>
    </row>
    <row r="6151">
      <c r="N6151" s="6">
        <f>IF(B6151="","",IF(ISNUMBER(B6151),TEXT(B6151,"YYYY-MM"),LEFT(B6151,7)))</f>
        <v/>
      </c>
    </row>
    <row r="6152">
      <c r="N6152" s="6">
        <f>IF(B6152="","",IF(ISNUMBER(B6152),TEXT(B6152,"YYYY-MM"),LEFT(B6152,7)))</f>
        <v/>
      </c>
    </row>
    <row r="6153">
      <c r="N6153" s="6">
        <f>IF(B6153="","",IF(ISNUMBER(B6153),TEXT(B6153,"YYYY-MM"),LEFT(B6153,7)))</f>
        <v/>
      </c>
    </row>
    <row r="6154">
      <c r="N6154" s="6">
        <f>IF(B6154="","",IF(ISNUMBER(B6154),TEXT(B6154,"YYYY-MM"),LEFT(B6154,7)))</f>
        <v/>
      </c>
    </row>
    <row r="6155">
      <c r="N6155" s="6">
        <f>IF(B6155="","",IF(ISNUMBER(B6155),TEXT(B6155,"YYYY-MM"),LEFT(B6155,7)))</f>
        <v/>
      </c>
    </row>
    <row r="6156">
      <c r="N6156" s="6">
        <f>IF(B6156="","",IF(ISNUMBER(B6156),TEXT(B6156,"YYYY-MM"),LEFT(B6156,7)))</f>
        <v/>
      </c>
    </row>
    <row r="6157">
      <c r="N6157" s="6">
        <f>IF(B6157="","",IF(ISNUMBER(B6157),TEXT(B6157,"YYYY-MM"),LEFT(B6157,7)))</f>
        <v/>
      </c>
    </row>
    <row r="6158">
      <c r="N6158" s="6">
        <f>IF(B6158="","",IF(ISNUMBER(B6158),TEXT(B6158,"YYYY-MM"),LEFT(B6158,7)))</f>
        <v/>
      </c>
    </row>
    <row r="6159">
      <c r="N6159" s="6">
        <f>IF(B6159="","",IF(ISNUMBER(B6159),TEXT(B6159,"YYYY-MM"),LEFT(B6159,7)))</f>
        <v/>
      </c>
    </row>
    <row r="6160">
      <c r="N6160" s="6">
        <f>IF(B6160="","",IF(ISNUMBER(B6160),TEXT(B6160,"YYYY-MM"),LEFT(B6160,7)))</f>
        <v/>
      </c>
    </row>
    <row r="6161">
      <c r="N6161" s="6">
        <f>IF(B6161="","",IF(ISNUMBER(B6161),TEXT(B6161,"YYYY-MM"),LEFT(B6161,7)))</f>
        <v/>
      </c>
    </row>
    <row r="6162">
      <c r="N6162" s="6">
        <f>IF(B6162="","",IF(ISNUMBER(B6162),TEXT(B6162,"YYYY-MM"),LEFT(B6162,7)))</f>
        <v/>
      </c>
    </row>
    <row r="6163">
      <c r="N6163" s="6">
        <f>IF(B6163="","",IF(ISNUMBER(B6163),TEXT(B6163,"YYYY-MM"),LEFT(B6163,7)))</f>
        <v/>
      </c>
    </row>
    <row r="6164">
      <c r="N6164" s="6">
        <f>IF(B6164="","",IF(ISNUMBER(B6164),TEXT(B6164,"YYYY-MM"),LEFT(B6164,7)))</f>
        <v/>
      </c>
    </row>
    <row r="6165">
      <c r="N6165" s="6">
        <f>IF(B6165="","",IF(ISNUMBER(B6165),TEXT(B6165,"YYYY-MM"),LEFT(B6165,7)))</f>
        <v/>
      </c>
    </row>
    <row r="6166">
      <c r="N6166" s="6">
        <f>IF(B6166="","",IF(ISNUMBER(B6166),TEXT(B6166,"YYYY-MM"),LEFT(B6166,7)))</f>
        <v/>
      </c>
    </row>
    <row r="6167">
      <c r="N6167" s="6">
        <f>IF(B6167="","",IF(ISNUMBER(B6167),TEXT(B6167,"YYYY-MM"),LEFT(B6167,7)))</f>
        <v/>
      </c>
    </row>
    <row r="6168">
      <c r="N6168" s="6">
        <f>IF(B6168="","",IF(ISNUMBER(B6168),TEXT(B6168,"YYYY-MM"),LEFT(B6168,7)))</f>
        <v/>
      </c>
    </row>
    <row r="6169">
      <c r="N6169" s="6">
        <f>IF(B6169="","",IF(ISNUMBER(B6169),TEXT(B6169,"YYYY-MM"),LEFT(B6169,7)))</f>
        <v/>
      </c>
    </row>
    <row r="6170">
      <c r="N6170" s="6">
        <f>IF(B6170="","",IF(ISNUMBER(B6170),TEXT(B6170,"YYYY-MM"),LEFT(B6170,7)))</f>
        <v/>
      </c>
    </row>
    <row r="6171">
      <c r="N6171" s="6">
        <f>IF(B6171="","",IF(ISNUMBER(B6171),TEXT(B6171,"YYYY-MM"),LEFT(B6171,7)))</f>
        <v/>
      </c>
    </row>
    <row r="6172">
      <c r="N6172" s="6">
        <f>IF(B6172="","",IF(ISNUMBER(B6172),TEXT(B6172,"YYYY-MM"),LEFT(B6172,7)))</f>
        <v/>
      </c>
    </row>
    <row r="6173">
      <c r="N6173" s="6">
        <f>IF(B6173="","",IF(ISNUMBER(B6173),TEXT(B6173,"YYYY-MM"),LEFT(B6173,7)))</f>
        <v/>
      </c>
    </row>
    <row r="6174">
      <c r="N6174" s="6">
        <f>IF(B6174="","",IF(ISNUMBER(B6174),TEXT(B6174,"YYYY-MM"),LEFT(B6174,7)))</f>
        <v/>
      </c>
    </row>
    <row r="6175">
      <c r="N6175" s="6">
        <f>IF(B6175="","",IF(ISNUMBER(B6175),TEXT(B6175,"YYYY-MM"),LEFT(B6175,7)))</f>
        <v/>
      </c>
    </row>
    <row r="6176">
      <c r="N6176" s="6">
        <f>IF(B6176="","",IF(ISNUMBER(B6176),TEXT(B6176,"YYYY-MM"),LEFT(B6176,7)))</f>
        <v/>
      </c>
    </row>
    <row r="6177">
      <c r="N6177" s="6">
        <f>IF(B6177="","",IF(ISNUMBER(B6177),TEXT(B6177,"YYYY-MM"),LEFT(B6177,7)))</f>
        <v/>
      </c>
    </row>
    <row r="6178">
      <c r="N6178" s="6">
        <f>IF(B6178="","",IF(ISNUMBER(B6178),TEXT(B6178,"YYYY-MM"),LEFT(B6178,7)))</f>
        <v/>
      </c>
    </row>
    <row r="6179">
      <c r="N6179" s="6">
        <f>IF(B6179="","",IF(ISNUMBER(B6179),TEXT(B6179,"YYYY-MM"),LEFT(B6179,7)))</f>
        <v/>
      </c>
    </row>
    <row r="6180">
      <c r="N6180" s="6">
        <f>IF(B6180="","",IF(ISNUMBER(B6180),TEXT(B6180,"YYYY-MM"),LEFT(B6180,7)))</f>
        <v/>
      </c>
    </row>
    <row r="6181">
      <c r="N6181" s="6">
        <f>IF(B6181="","",IF(ISNUMBER(B6181),TEXT(B6181,"YYYY-MM"),LEFT(B6181,7)))</f>
        <v/>
      </c>
    </row>
    <row r="6182">
      <c r="N6182" s="6">
        <f>IF(B6182="","",IF(ISNUMBER(B6182),TEXT(B6182,"YYYY-MM"),LEFT(B6182,7)))</f>
        <v/>
      </c>
    </row>
    <row r="6183">
      <c r="N6183" s="6">
        <f>IF(B6183="","",IF(ISNUMBER(B6183),TEXT(B6183,"YYYY-MM"),LEFT(B6183,7)))</f>
        <v/>
      </c>
    </row>
    <row r="6184">
      <c r="N6184" s="6">
        <f>IF(B6184="","",IF(ISNUMBER(B6184),TEXT(B6184,"YYYY-MM"),LEFT(B6184,7)))</f>
        <v/>
      </c>
    </row>
    <row r="6185">
      <c r="N6185" s="6">
        <f>IF(B6185="","",IF(ISNUMBER(B6185),TEXT(B6185,"YYYY-MM"),LEFT(B6185,7)))</f>
        <v/>
      </c>
    </row>
    <row r="6186">
      <c r="N6186" s="6">
        <f>IF(B6186="","",IF(ISNUMBER(B6186),TEXT(B6186,"YYYY-MM"),LEFT(B6186,7)))</f>
        <v/>
      </c>
    </row>
    <row r="6187">
      <c r="N6187" s="6">
        <f>IF(B6187="","",IF(ISNUMBER(B6187),TEXT(B6187,"YYYY-MM"),LEFT(B6187,7)))</f>
        <v/>
      </c>
    </row>
    <row r="6188">
      <c r="N6188" s="6">
        <f>IF(B6188="","",IF(ISNUMBER(B6188),TEXT(B6188,"YYYY-MM"),LEFT(B6188,7)))</f>
        <v/>
      </c>
    </row>
    <row r="6189">
      <c r="N6189" s="6">
        <f>IF(B6189="","",IF(ISNUMBER(B6189),TEXT(B6189,"YYYY-MM"),LEFT(B6189,7)))</f>
        <v/>
      </c>
    </row>
    <row r="6190">
      <c r="N6190" s="6">
        <f>IF(B6190="","",IF(ISNUMBER(B6190),TEXT(B6190,"YYYY-MM"),LEFT(B6190,7)))</f>
        <v/>
      </c>
    </row>
    <row r="6191">
      <c r="N6191" s="6">
        <f>IF(B6191="","",IF(ISNUMBER(B6191),TEXT(B6191,"YYYY-MM"),LEFT(B6191,7)))</f>
        <v/>
      </c>
    </row>
    <row r="6192">
      <c r="N6192" s="6">
        <f>IF(B6192="","",IF(ISNUMBER(B6192),TEXT(B6192,"YYYY-MM"),LEFT(B6192,7)))</f>
        <v/>
      </c>
    </row>
    <row r="6193">
      <c r="N6193" s="6">
        <f>IF(B6193="","",IF(ISNUMBER(B6193),TEXT(B6193,"YYYY-MM"),LEFT(B6193,7)))</f>
        <v/>
      </c>
    </row>
    <row r="6194">
      <c r="N6194" s="6">
        <f>IF(B6194="","",IF(ISNUMBER(B6194),TEXT(B6194,"YYYY-MM"),LEFT(B6194,7)))</f>
        <v/>
      </c>
    </row>
    <row r="6195">
      <c r="N6195" s="6">
        <f>IF(B6195="","",IF(ISNUMBER(B6195),TEXT(B6195,"YYYY-MM"),LEFT(B6195,7)))</f>
        <v/>
      </c>
    </row>
    <row r="6196">
      <c r="N6196" s="6">
        <f>IF(B6196="","",IF(ISNUMBER(B6196),TEXT(B6196,"YYYY-MM"),LEFT(B6196,7)))</f>
        <v/>
      </c>
    </row>
    <row r="6197">
      <c r="N6197" s="6">
        <f>IF(B6197="","",IF(ISNUMBER(B6197),TEXT(B6197,"YYYY-MM"),LEFT(B6197,7)))</f>
        <v/>
      </c>
    </row>
    <row r="6198">
      <c r="N6198" s="6">
        <f>IF(B6198="","",IF(ISNUMBER(B6198),TEXT(B6198,"YYYY-MM"),LEFT(B6198,7)))</f>
        <v/>
      </c>
    </row>
    <row r="6199">
      <c r="N6199" s="6">
        <f>IF(B6199="","",IF(ISNUMBER(B6199),TEXT(B6199,"YYYY-MM"),LEFT(B6199,7)))</f>
        <v/>
      </c>
    </row>
    <row r="6200">
      <c r="N6200" s="6">
        <f>IF(B6200="","",IF(ISNUMBER(B6200),TEXT(B6200,"YYYY-MM"),LEFT(B6200,7)))</f>
        <v/>
      </c>
    </row>
    <row r="6201">
      <c r="N6201" s="6">
        <f>IF(B6201="","",IF(ISNUMBER(B6201),TEXT(B6201,"YYYY-MM"),LEFT(B6201,7)))</f>
        <v/>
      </c>
    </row>
    <row r="6202">
      <c r="N6202" s="6">
        <f>IF(B6202="","",IF(ISNUMBER(B6202),TEXT(B6202,"YYYY-MM"),LEFT(B6202,7)))</f>
        <v/>
      </c>
    </row>
    <row r="6203">
      <c r="N6203" s="6">
        <f>IF(B6203="","",IF(ISNUMBER(B6203),TEXT(B6203,"YYYY-MM"),LEFT(B6203,7)))</f>
        <v/>
      </c>
    </row>
    <row r="6204">
      <c r="N6204" s="6">
        <f>IF(B6204="","",IF(ISNUMBER(B6204),TEXT(B6204,"YYYY-MM"),LEFT(B6204,7)))</f>
        <v/>
      </c>
    </row>
    <row r="6205">
      <c r="N6205" s="6">
        <f>IF(B6205="","",IF(ISNUMBER(B6205),TEXT(B6205,"YYYY-MM"),LEFT(B6205,7)))</f>
        <v/>
      </c>
    </row>
    <row r="6206">
      <c r="N6206" s="6">
        <f>IF(B6206="","",IF(ISNUMBER(B6206),TEXT(B6206,"YYYY-MM"),LEFT(B6206,7)))</f>
        <v/>
      </c>
    </row>
    <row r="6207">
      <c r="N6207" s="6">
        <f>IF(B6207="","",IF(ISNUMBER(B6207),TEXT(B6207,"YYYY-MM"),LEFT(B6207,7)))</f>
        <v/>
      </c>
    </row>
    <row r="6208">
      <c r="N6208" s="6">
        <f>IF(B6208="","",IF(ISNUMBER(B6208),TEXT(B6208,"YYYY-MM"),LEFT(B6208,7)))</f>
        <v/>
      </c>
    </row>
    <row r="6209">
      <c r="N6209" s="6">
        <f>IF(B6209="","",IF(ISNUMBER(B6209),TEXT(B6209,"YYYY-MM"),LEFT(B6209,7)))</f>
        <v/>
      </c>
    </row>
    <row r="6210">
      <c r="N6210" s="6">
        <f>IF(B6210="","",IF(ISNUMBER(B6210),TEXT(B6210,"YYYY-MM"),LEFT(B6210,7)))</f>
        <v/>
      </c>
    </row>
    <row r="6211">
      <c r="N6211" s="6">
        <f>IF(B6211="","",IF(ISNUMBER(B6211),TEXT(B6211,"YYYY-MM"),LEFT(B6211,7)))</f>
        <v/>
      </c>
    </row>
    <row r="6212">
      <c r="N6212" s="6">
        <f>IF(B6212="","",IF(ISNUMBER(B6212),TEXT(B6212,"YYYY-MM"),LEFT(B6212,7)))</f>
        <v/>
      </c>
    </row>
    <row r="6213">
      <c r="N6213" s="6">
        <f>IF(B6213="","",IF(ISNUMBER(B6213),TEXT(B6213,"YYYY-MM"),LEFT(B6213,7)))</f>
        <v/>
      </c>
    </row>
    <row r="6214">
      <c r="N6214" s="6">
        <f>IF(B6214="","",IF(ISNUMBER(B6214),TEXT(B6214,"YYYY-MM"),LEFT(B6214,7)))</f>
        <v/>
      </c>
    </row>
    <row r="6215">
      <c r="N6215" s="6">
        <f>IF(B6215="","",IF(ISNUMBER(B6215),TEXT(B6215,"YYYY-MM"),LEFT(B6215,7)))</f>
        <v/>
      </c>
    </row>
    <row r="6216">
      <c r="N6216" s="6">
        <f>IF(B6216="","",IF(ISNUMBER(B6216),TEXT(B6216,"YYYY-MM"),LEFT(B6216,7)))</f>
        <v/>
      </c>
    </row>
    <row r="6217">
      <c r="N6217" s="6">
        <f>IF(B6217="","",IF(ISNUMBER(B6217),TEXT(B6217,"YYYY-MM"),LEFT(B6217,7)))</f>
        <v/>
      </c>
    </row>
    <row r="6218">
      <c r="N6218" s="6">
        <f>IF(B6218="","",IF(ISNUMBER(B6218),TEXT(B6218,"YYYY-MM"),LEFT(B6218,7)))</f>
        <v/>
      </c>
    </row>
    <row r="6219">
      <c r="N6219" s="6">
        <f>IF(B6219="","",IF(ISNUMBER(B6219),TEXT(B6219,"YYYY-MM"),LEFT(B6219,7)))</f>
        <v/>
      </c>
    </row>
    <row r="6220">
      <c r="N6220" s="6">
        <f>IF(B6220="","",IF(ISNUMBER(B6220),TEXT(B6220,"YYYY-MM"),LEFT(B6220,7)))</f>
        <v/>
      </c>
    </row>
    <row r="6221">
      <c r="N6221" s="6">
        <f>IF(B6221="","",IF(ISNUMBER(B6221),TEXT(B6221,"YYYY-MM"),LEFT(B6221,7)))</f>
        <v/>
      </c>
    </row>
    <row r="6222">
      <c r="N6222" s="6">
        <f>IF(B6222="","",IF(ISNUMBER(B6222),TEXT(B6222,"YYYY-MM"),LEFT(B6222,7)))</f>
        <v/>
      </c>
    </row>
    <row r="6223">
      <c r="N6223" s="6">
        <f>IF(B6223="","",IF(ISNUMBER(B6223),TEXT(B6223,"YYYY-MM"),LEFT(B6223,7)))</f>
        <v/>
      </c>
    </row>
    <row r="6224">
      <c r="N6224" s="6">
        <f>IF(B6224="","",IF(ISNUMBER(B6224),TEXT(B6224,"YYYY-MM"),LEFT(B6224,7)))</f>
        <v/>
      </c>
    </row>
    <row r="6225">
      <c r="N6225" s="6">
        <f>IF(B6225="","",IF(ISNUMBER(B6225),TEXT(B6225,"YYYY-MM"),LEFT(B6225,7)))</f>
        <v/>
      </c>
    </row>
    <row r="6226">
      <c r="N6226" s="6">
        <f>IF(B6226="","",IF(ISNUMBER(B6226),TEXT(B6226,"YYYY-MM"),LEFT(B6226,7)))</f>
        <v/>
      </c>
    </row>
    <row r="6227">
      <c r="N6227" s="6">
        <f>IF(B6227="","",IF(ISNUMBER(B6227),TEXT(B6227,"YYYY-MM"),LEFT(B6227,7)))</f>
        <v/>
      </c>
    </row>
    <row r="6228">
      <c r="N6228" s="6">
        <f>IF(B6228="","",IF(ISNUMBER(B6228),TEXT(B6228,"YYYY-MM"),LEFT(B6228,7)))</f>
        <v/>
      </c>
    </row>
    <row r="6229">
      <c r="N6229" s="6">
        <f>IF(B6229="","",IF(ISNUMBER(B6229),TEXT(B6229,"YYYY-MM"),LEFT(B6229,7)))</f>
        <v/>
      </c>
    </row>
    <row r="6230">
      <c r="N6230" s="6">
        <f>IF(B6230="","",IF(ISNUMBER(B6230),TEXT(B6230,"YYYY-MM"),LEFT(B6230,7)))</f>
        <v/>
      </c>
    </row>
    <row r="6231">
      <c r="N6231" s="6">
        <f>IF(B6231="","",IF(ISNUMBER(B6231),TEXT(B6231,"YYYY-MM"),LEFT(B6231,7)))</f>
        <v/>
      </c>
    </row>
    <row r="6232">
      <c r="N6232" s="6">
        <f>IF(B6232="","",IF(ISNUMBER(B6232),TEXT(B6232,"YYYY-MM"),LEFT(B6232,7)))</f>
        <v/>
      </c>
    </row>
    <row r="6233">
      <c r="N6233" s="6">
        <f>IF(B6233="","",IF(ISNUMBER(B6233),TEXT(B6233,"YYYY-MM"),LEFT(B6233,7)))</f>
        <v/>
      </c>
    </row>
    <row r="6234">
      <c r="N6234" s="6">
        <f>IF(B6234="","",IF(ISNUMBER(B6234),TEXT(B6234,"YYYY-MM"),LEFT(B6234,7)))</f>
        <v/>
      </c>
    </row>
    <row r="6235">
      <c r="N6235" s="6">
        <f>IF(B6235="","",IF(ISNUMBER(B6235),TEXT(B6235,"YYYY-MM"),LEFT(B6235,7)))</f>
        <v/>
      </c>
    </row>
    <row r="6236">
      <c r="N6236" s="6">
        <f>IF(B6236="","",IF(ISNUMBER(B6236),TEXT(B6236,"YYYY-MM"),LEFT(B6236,7)))</f>
        <v/>
      </c>
    </row>
    <row r="6237">
      <c r="N6237" s="6">
        <f>IF(B6237="","",IF(ISNUMBER(B6237),TEXT(B6237,"YYYY-MM"),LEFT(B6237,7)))</f>
        <v/>
      </c>
    </row>
    <row r="6238">
      <c r="N6238" s="6">
        <f>IF(B6238="","",IF(ISNUMBER(B6238),TEXT(B6238,"YYYY-MM"),LEFT(B6238,7)))</f>
        <v/>
      </c>
    </row>
    <row r="6239">
      <c r="N6239" s="6">
        <f>IF(B6239="","",IF(ISNUMBER(B6239),TEXT(B6239,"YYYY-MM"),LEFT(B6239,7)))</f>
        <v/>
      </c>
    </row>
    <row r="6240">
      <c r="N6240" s="6">
        <f>IF(B6240="","",IF(ISNUMBER(B6240),TEXT(B6240,"YYYY-MM"),LEFT(B6240,7)))</f>
        <v/>
      </c>
    </row>
    <row r="6241">
      <c r="N6241" s="6">
        <f>IF(B6241="","",IF(ISNUMBER(B6241),TEXT(B6241,"YYYY-MM"),LEFT(B6241,7)))</f>
        <v/>
      </c>
    </row>
    <row r="6242">
      <c r="N6242" s="6">
        <f>IF(B6242="","",IF(ISNUMBER(B6242),TEXT(B6242,"YYYY-MM"),LEFT(B6242,7)))</f>
        <v/>
      </c>
    </row>
    <row r="6243">
      <c r="N6243" s="6">
        <f>IF(B6243="","",IF(ISNUMBER(B6243),TEXT(B6243,"YYYY-MM"),LEFT(B6243,7)))</f>
        <v/>
      </c>
    </row>
    <row r="6244">
      <c r="N6244" s="6">
        <f>IF(B6244="","",IF(ISNUMBER(B6244),TEXT(B6244,"YYYY-MM"),LEFT(B6244,7)))</f>
        <v/>
      </c>
    </row>
    <row r="6245">
      <c r="N6245" s="6">
        <f>IF(B6245="","",IF(ISNUMBER(B6245),TEXT(B6245,"YYYY-MM"),LEFT(B6245,7)))</f>
        <v/>
      </c>
    </row>
    <row r="6246">
      <c r="N6246" s="6">
        <f>IF(B6246="","",IF(ISNUMBER(B6246),TEXT(B6246,"YYYY-MM"),LEFT(B6246,7)))</f>
        <v/>
      </c>
    </row>
    <row r="6247">
      <c r="N6247" s="6">
        <f>IF(B6247="","",IF(ISNUMBER(B6247),TEXT(B6247,"YYYY-MM"),LEFT(B6247,7)))</f>
        <v/>
      </c>
    </row>
    <row r="6248">
      <c r="N6248" s="6">
        <f>IF(B6248="","",IF(ISNUMBER(B6248),TEXT(B6248,"YYYY-MM"),LEFT(B6248,7)))</f>
        <v/>
      </c>
    </row>
    <row r="6249">
      <c r="N6249" s="6">
        <f>IF(B6249="","",IF(ISNUMBER(B6249),TEXT(B6249,"YYYY-MM"),LEFT(B6249,7)))</f>
        <v/>
      </c>
    </row>
    <row r="6250">
      <c r="N6250" s="6">
        <f>IF(B6250="","",IF(ISNUMBER(B6250),TEXT(B6250,"YYYY-MM"),LEFT(B6250,7)))</f>
        <v/>
      </c>
    </row>
    <row r="6251">
      <c r="N6251" s="6">
        <f>IF(B6251="","",IF(ISNUMBER(B6251),TEXT(B6251,"YYYY-MM"),LEFT(B6251,7)))</f>
        <v/>
      </c>
    </row>
    <row r="6252">
      <c r="N6252" s="6">
        <f>IF(B6252="","",IF(ISNUMBER(B6252),TEXT(B6252,"YYYY-MM"),LEFT(B6252,7)))</f>
        <v/>
      </c>
    </row>
    <row r="6253">
      <c r="N6253" s="6">
        <f>IF(B6253="","",IF(ISNUMBER(B6253),TEXT(B6253,"YYYY-MM"),LEFT(B6253,7)))</f>
        <v/>
      </c>
    </row>
    <row r="6254">
      <c r="N6254" s="6">
        <f>IF(B6254="","",IF(ISNUMBER(B6254),TEXT(B6254,"YYYY-MM"),LEFT(B6254,7)))</f>
        <v/>
      </c>
    </row>
    <row r="6255">
      <c r="N6255" s="6">
        <f>IF(B6255="","",IF(ISNUMBER(B6255),TEXT(B6255,"YYYY-MM"),LEFT(B6255,7)))</f>
        <v/>
      </c>
    </row>
    <row r="6256">
      <c r="N6256" s="6">
        <f>IF(B6256="","",IF(ISNUMBER(B6256),TEXT(B6256,"YYYY-MM"),LEFT(B6256,7)))</f>
        <v/>
      </c>
    </row>
    <row r="6257">
      <c r="N6257" s="6">
        <f>IF(B6257="","",IF(ISNUMBER(B6257),TEXT(B6257,"YYYY-MM"),LEFT(B6257,7)))</f>
        <v/>
      </c>
    </row>
    <row r="6258">
      <c r="N6258" s="6">
        <f>IF(B6258="","",IF(ISNUMBER(B6258),TEXT(B6258,"YYYY-MM"),LEFT(B6258,7)))</f>
        <v/>
      </c>
    </row>
    <row r="6259">
      <c r="N6259" s="6">
        <f>IF(B6259="","",IF(ISNUMBER(B6259),TEXT(B6259,"YYYY-MM"),LEFT(B6259,7)))</f>
        <v/>
      </c>
    </row>
    <row r="6260">
      <c r="N6260" s="6">
        <f>IF(B6260="","",IF(ISNUMBER(B6260),TEXT(B6260,"YYYY-MM"),LEFT(B6260,7)))</f>
        <v/>
      </c>
    </row>
    <row r="6261">
      <c r="N6261" s="6">
        <f>IF(B6261="","",IF(ISNUMBER(B6261),TEXT(B6261,"YYYY-MM"),LEFT(B6261,7)))</f>
        <v/>
      </c>
    </row>
    <row r="6262">
      <c r="N6262" s="6">
        <f>IF(B6262="","",IF(ISNUMBER(B6262),TEXT(B6262,"YYYY-MM"),LEFT(B6262,7)))</f>
        <v/>
      </c>
    </row>
    <row r="6263">
      <c r="N6263" s="6">
        <f>IF(B6263="","",IF(ISNUMBER(B6263),TEXT(B6263,"YYYY-MM"),LEFT(B6263,7)))</f>
        <v/>
      </c>
    </row>
    <row r="6264">
      <c r="N6264" s="6">
        <f>IF(B6264="","",IF(ISNUMBER(B6264),TEXT(B6264,"YYYY-MM"),LEFT(B6264,7)))</f>
        <v/>
      </c>
    </row>
    <row r="6265">
      <c r="N6265" s="6">
        <f>IF(B6265="","",IF(ISNUMBER(B6265),TEXT(B6265,"YYYY-MM"),LEFT(B6265,7)))</f>
        <v/>
      </c>
    </row>
    <row r="6266">
      <c r="N6266" s="6">
        <f>IF(B6266="","",IF(ISNUMBER(B6266),TEXT(B6266,"YYYY-MM"),LEFT(B6266,7)))</f>
        <v/>
      </c>
    </row>
    <row r="6267">
      <c r="N6267" s="6">
        <f>IF(B6267="","",IF(ISNUMBER(B6267),TEXT(B6267,"YYYY-MM"),LEFT(B6267,7)))</f>
        <v/>
      </c>
    </row>
    <row r="6268">
      <c r="N6268" s="6">
        <f>IF(B6268="","",IF(ISNUMBER(B6268),TEXT(B6268,"YYYY-MM"),LEFT(B6268,7)))</f>
        <v/>
      </c>
    </row>
    <row r="6269">
      <c r="N6269" s="6">
        <f>IF(B6269="","",IF(ISNUMBER(B6269),TEXT(B6269,"YYYY-MM"),LEFT(B6269,7)))</f>
        <v/>
      </c>
    </row>
    <row r="6270">
      <c r="N6270" s="6">
        <f>IF(B6270="","",IF(ISNUMBER(B6270),TEXT(B6270,"YYYY-MM"),LEFT(B6270,7)))</f>
        <v/>
      </c>
    </row>
    <row r="6271">
      <c r="N6271" s="6">
        <f>IF(B6271="","",IF(ISNUMBER(B6271),TEXT(B6271,"YYYY-MM"),LEFT(B6271,7)))</f>
        <v/>
      </c>
    </row>
    <row r="6272">
      <c r="N6272" s="6">
        <f>IF(B6272="","",IF(ISNUMBER(B6272),TEXT(B6272,"YYYY-MM"),LEFT(B6272,7)))</f>
        <v/>
      </c>
    </row>
    <row r="6273">
      <c r="N6273" s="6">
        <f>IF(B6273="","",IF(ISNUMBER(B6273),TEXT(B6273,"YYYY-MM"),LEFT(B6273,7)))</f>
        <v/>
      </c>
    </row>
    <row r="6274">
      <c r="N6274" s="6">
        <f>IF(B6274="","",IF(ISNUMBER(B6274),TEXT(B6274,"YYYY-MM"),LEFT(B6274,7)))</f>
        <v/>
      </c>
    </row>
    <row r="6275">
      <c r="N6275" s="6">
        <f>IF(B6275="","",IF(ISNUMBER(B6275),TEXT(B6275,"YYYY-MM"),LEFT(B6275,7)))</f>
        <v/>
      </c>
    </row>
    <row r="6276">
      <c r="N6276" s="6">
        <f>IF(B6276="","",IF(ISNUMBER(B6276),TEXT(B6276,"YYYY-MM"),LEFT(B6276,7)))</f>
        <v/>
      </c>
    </row>
    <row r="6277">
      <c r="N6277" s="6">
        <f>IF(B6277="","",IF(ISNUMBER(B6277),TEXT(B6277,"YYYY-MM"),LEFT(B6277,7)))</f>
        <v/>
      </c>
    </row>
    <row r="6278">
      <c r="N6278" s="6">
        <f>IF(B6278="","",IF(ISNUMBER(B6278),TEXT(B6278,"YYYY-MM"),LEFT(B6278,7)))</f>
        <v/>
      </c>
    </row>
    <row r="6279">
      <c r="N6279" s="6">
        <f>IF(B6279="","",IF(ISNUMBER(B6279),TEXT(B6279,"YYYY-MM"),LEFT(B6279,7)))</f>
        <v/>
      </c>
    </row>
    <row r="6280">
      <c r="N6280" s="6">
        <f>IF(B6280="","",IF(ISNUMBER(B6280),TEXT(B6280,"YYYY-MM"),LEFT(B6280,7)))</f>
        <v/>
      </c>
    </row>
    <row r="6281">
      <c r="N6281" s="6">
        <f>IF(B6281="","",IF(ISNUMBER(B6281),TEXT(B6281,"YYYY-MM"),LEFT(B6281,7)))</f>
        <v/>
      </c>
    </row>
    <row r="6282">
      <c r="N6282" s="6">
        <f>IF(B6282="","",IF(ISNUMBER(B6282),TEXT(B6282,"YYYY-MM"),LEFT(B6282,7)))</f>
        <v/>
      </c>
    </row>
    <row r="6283">
      <c r="N6283" s="6">
        <f>IF(B6283="","",IF(ISNUMBER(B6283),TEXT(B6283,"YYYY-MM"),LEFT(B6283,7)))</f>
        <v/>
      </c>
    </row>
    <row r="6284">
      <c r="N6284" s="6">
        <f>IF(B6284="","",IF(ISNUMBER(B6284),TEXT(B6284,"YYYY-MM"),LEFT(B6284,7)))</f>
        <v/>
      </c>
    </row>
    <row r="6285">
      <c r="N6285" s="6">
        <f>IF(B6285="","",IF(ISNUMBER(B6285),TEXT(B6285,"YYYY-MM"),LEFT(B6285,7)))</f>
        <v/>
      </c>
    </row>
    <row r="6286">
      <c r="N6286" s="6">
        <f>IF(B6286="","",IF(ISNUMBER(B6286),TEXT(B6286,"YYYY-MM"),LEFT(B6286,7)))</f>
        <v/>
      </c>
    </row>
    <row r="6287">
      <c r="N6287" s="6">
        <f>IF(B6287="","",IF(ISNUMBER(B6287),TEXT(B6287,"YYYY-MM"),LEFT(B6287,7)))</f>
        <v/>
      </c>
    </row>
    <row r="6288">
      <c r="N6288" s="6">
        <f>IF(B6288="","",IF(ISNUMBER(B6288),TEXT(B6288,"YYYY-MM"),LEFT(B6288,7)))</f>
        <v/>
      </c>
    </row>
    <row r="6289">
      <c r="N6289" s="6">
        <f>IF(B6289="","",IF(ISNUMBER(B6289),TEXT(B6289,"YYYY-MM"),LEFT(B6289,7)))</f>
        <v/>
      </c>
    </row>
    <row r="6290">
      <c r="N6290" s="6">
        <f>IF(B6290="","",IF(ISNUMBER(B6290),TEXT(B6290,"YYYY-MM"),LEFT(B6290,7)))</f>
        <v/>
      </c>
    </row>
    <row r="6291">
      <c r="N6291" s="6">
        <f>IF(B6291="","",IF(ISNUMBER(B6291),TEXT(B6291,"YYYY-MM"),LEFT(B6291,7)))</f>
        <v/>
      </c>
    </row>
    <row r="6292">
      <c r="N6292" s="6">
        <f>IF(B6292="","",IF(ISNUMBER(B6292),TEXT(B6292,"YYYY-MM"),LEFT(B6292,7)))</f>
        <v/>
      </c>
    </row>
    <row r="6293">
      <c r="N6293" s="6">
        <f>IF(B6293="","",IF(ISNUMBER(B6293),TEXT(B6293,"YYYY-MM"),LEFT(B6293,7)))</f>
        <v/>
      </c>
    </row>
    <row r="6294">
      <c r="N6294" s="6">
        <f>IF(B6294="","",IF(ISNUMBER(B6294),TEXT(B6294,"YYYY-MM"),LEFT(B6294,7)))</f>
        <v/>
      </c>
    </row>
    <row r="6295">
      <c r="N6295" s="6">
        <f>IF(B6295="","",IF(ISNUMBER(B6295),TEXT(B6295,"YYYY-MM"),LEFT(B6295,7)))</f>
        <v/>
      </c>
    </row>
    <row r="6296">
      <c r="N6296" s="6">
        <f>IF(B6296="","",IF(ISNUMBER(B6296),TEXT(B6296,"YYYY-MM"),LEFT(B6296,7)))</f>
        <v/>
      </c>
    </row>
    <row r="6297">
      <c r="N6297" s="6">
        <f>IF(B6297="","",IF(ISNUMBER(B6297),TEXT(B6297,"YYYY-MM"),LEFT(B6297,7)))</f>
        <v/>
      </c>
    </row>
    <row r="6298">
      <c r="N6298" s="6">
        <f>IF(B6298="","",IF(ISNUMBER(B6298),TEXT(B6298,"YYYY-MM"),LEFT(B6298,7)))</f>
        <v/>
      </c>
    </row>
    <row r="6299">
      <c r="N6299" s="6">
        <f>IF(B6299="","",IF(ISNUMBER(B6299),TEXT(B6299,"YYYY-MM"),LEFT(B6299,7)))</f>
        <v/>
      </c>
    </row>
    <row r="6300">
      <c r="N6300" s="6">
        <f>IF(B6300="","",IF(ISNUMBER(B6300),TEXT(B6300,"YYYY-MM"),LEFT(B6300,7)))</f>
        <v/>
      </c>
    </row>
    <row r="6301">
      <c r="N6301" s="6">
        <f>IF(B6301="","",IF(ISNUMBER(B6301),TEXT(B6301,"YYYY-MM"),LEFT(B6301,7)))</f>
        <v/>
      </c>
    </row>
    <row r="6302">
      <c r="N6302" s="6">
        <f>IF(B6302="","",IF(ISNUMBER(B6302),TEXT(B6302,"YYYY-MM"),LEFT(B6302,7)))</f>
        <v/>
      </c>
    </row>
    <row r="6303">
      <c r="N6303" s="6">
        <f>IF(B6303="","",IF(ISNUMBER(B6303),TEXT(B6303,"YYYY-MM"),LEFT(B6303,7)))</f>
        <v/>
      </c>
    </row>
    <row r="6304">
      <c r="N6304" s="6">
        <f>IF(B6304="","",IF(ISNUMBER(B6304),TEXT(B6304,"YYYY-MM"),LEFT(B6304,7)))</f>
        <v/>
      </c>
    </row>
    <row r="6305">
      <c r="N6305" s="6">
        <f>IF(B6305="","",IF(ISNUMBER(B6305),TEXT(B6305,"YYYY-MM"),LEFT(B6305,7)))</f>
        <v/>
      </c>
    </row>
    <row r="6306">
      <c r="N6306" s="6">
        <f>IF(B6306="","",IF(ISNUMBER(B6306),TEXT(B6306,"YYYY-MM"),LEFT(B6306,7)))</f>
        <v/>
      </c>
    </row>
    <row r="6307">
      <c r="N6307" s="6">
        <f>IF(B6307="","",IF(ISNUMBER(B6307),TEXT(B6307,"YYYY-MM"),LEFT(B6307,7)))</f>
        <v/>
      </c>
    </row>
    <row r="6308">
      <c r="N6308" s="6">
        <f>IF(B6308="","",IF(ISNUMBER(B6308),TEXT(B6308,"YYYY-MM"),LEFT(B6308,7)))</f>
        <v/>
      </c>
    </row>
    <row r="6309">
      <c r="N6309" s="6">
        <f>IF(B6309="","",IF(ISNUMBER(B6309),TEXT(B6309,"YYYY-MM"),LEFT(B6309,7)))</f>
        <v/>
      </c>
    </row>
    <row r="6310">
      <c r="N6310" s="6">
        <f>IF(B6310="","",IF(ISNUMBER(B6310),TEXT(B6310,"YYYY-MM"),LEFT(B6310,7)))</f>
        <v/>
      </c>
    </row>
    <row r="6311">
      <c r="N6311" s="6">
        <f>IF(B6311="","",IF(ISNUMBER(B6311),TEXT(B6311,"YYYY-MM"),LEFT(B6311,7)))</f>
        <v/>
      </c>
    </row>
    <row r="6312">
      <c r="N6312" s="6">
        <f>IF(B6312="","",IF(ISNUMBER(B6312),TEXT(B6312,"YYYY-MM"),LEFT(B6312,7)))</f>
        <v/>
      </c>
    </row>
    <row r="6313">
      <c r="N6313" s="6">
        <f>IF(B6313="","",IF(ISNUMBER(B6313),TEXT(B6313,"YYYY-MM"),LEFT(B6313,7)))</f>
        <v/>
      </c>
    </row>
    <row r="6314">
      <c r="N6314" s="6">
        <f>IF(B6314="","",IF(ISNUMBER(B6314),TEXT(B6314,"YYYY-MM"),LEFT(B6314,7)))</f>
        <v/>
      </c>
    </row>
    <row r="6315">
      <c r="N6315" s="6">
        <f>IF(B6315="","",IF(ISNUMBER(B6315),TEXT(B6315,"YYYY-MM"),LEFT(B6315,7)))</f>
        <v/>
      </c>
    </row>
    <row r="6316">
      <c r="N6316" s="6">
        <f>IF(B6316="","",IF(ISNUMBER(B6316),TEXT(B6316,"YYYY-MM"),LEFT(B6316,7)))</f>
        <v/>
      </c>
    </row>
    <row r="6317">
      <c r="N6317" s="6">
        <f>IF(B6317="","",IF(ISNUMBER(B6317),TEXT(B6317,"YYYY-MM"),LEFT(B6317,7)))</f>
        <v/>
      </c>
    </row>
    <row r="6318">
      <c r="N6318" s="6">
        <f>IF(B6318="","",IF(ISNUMBER(B6318),TEXT(B6318,"YYYY-MM"),LEFT(B6318,7)))</f>
        <v/>
      </c>
    </row>
    <row r="6319">
      <c r="N6319" s="6">
        <f>IF(B6319="","",IF(ISNUMBER(B6319),TEXT(B6319,"YYYY-MM"),LEFT(B6319,7)))</f>
        <v/>
      </c>
    </row>
    <row r="6320">
      <c r="N6320" s="6">
        <f>IF(B6320="","",IF(ISNUMBER(B6320),TEXT(B6320,"YYYY-MM"),LEFT(B6320,7)))</f>
        <v/>
      </c>
    </row>
    <row r="6321">
      <c r="N6321" s="6">
        <f>IF(B6321="","",IF(ISNUMBER(B6321),TEXT(B6321,"YYYY-MM"),LEFT(B6321,7)))</f>
        <v/>
      </c>
    </row>
    <row r="6322">
      <c r="N6322" s="6">
        <f>IF(B6322="","",IF(ISNUMBER(B6322),TEXT(B6322,"YYYY-MM"),LEFT(B6322,7)))</f>
        <v/>
      </c>
    </row>
    <row r="6323">
      <c r="N6323" s="6">
        <f>IF(B6323="","",IF(ISNUMBER(B6323),TEXT(B6323,"YYYY-MM"),LEFT(B6323,7)))</f>
        <v/>
      </c>
    </row>
    <row r="6324">
      <c r="N6324" s="6">
        <f>IF(B6324="","",IF(ISNUMBER(B6324),TEXT(B6324,"YYYY-MM"),LEFT(B6324,7)))</f>
        <v/>
      </c>
    </row>
    <row r="6325">
      <c r="N6325" s="6">
        <f>IF(B6325="","",IF(ISNUMBER(B6325),TEXT(B6325,"YYYY-MM"),LEFT(B6325,7)))</f>
        <v/>
      </c>
    </row>
    <row r="6326">
      <c r="N6326" s="6">
        <f>IF(B6326="","",IF(ISNUMBER(B6326),TEXT(B6326,"YYYY-MM"),LEFT(B6326,7)))</f>
        <v/>
      </c>
    </row>
    <row r="6327">
      <c r="N6327" s="6">
        <f>IF(B6327="","",IF(ISNUMBER(B6327),TEXT(B6327,"YYYY-MM"),LEFT(B6327,7)))</f>
        <v/>
      </c>
    </row>
    <row r="6328">
      <c r="N6328" s="6">
        <f>IF(B6328="","",IF(ISNUMBER(B6328),TEXT(B6328,"YYYY-MM"),LEFT(B6328,7)))</f>
        <v/>
      </c>
    </row>
    <row r="6329">
      <c r="N6329" s="6">
        <f>IF(B6329="","",IF(ISNUMBER(B6329),TEXT(B6329,"YYYY-MM"),LEFT(B6329,7)))</f>
        <v/>
      </c>
    </row>
    <row r="6330">
      <c r="N6330" s="6">
        <f>IF(B6330="","",IF(ISNUMBER(B6330),TEXT(B6330,"YYYY-MM"),LEFT(B6330,7)))</f>
        <v/>
      </c>
    </row>
    <row r="6331">
      <c r="N6331" s="6">
        <f>IF(B6331="","",IF(ISNUMBER(B6331),TEXT(B6331,"YYYY-MM"),LEFT(B6331,7)))</f>
        <v/>
      </c>
    </row>
    <row r="6332">
      <c r="N6332" s="6">
        <f>IF(B6332="","",IF(ISNUMBER(B6332),TEXT(B6332,"YYYY-MM"),LEFT(B6332,7)))</f>
        <v/>
      </c>
    </row>
    <row r="6333">
      <c r="N6333" s="6">
        <f>IF(B6333="","",IF(ISNUMBER(B6333),TEXT(B6333,"YYYY-MM"),LEFT(B6333,7)))</f>
        <v/>
      </c>
    </row>
    <row r="6334">
      <c r="N6334" s="6">
        <f>IF(B6334="","",IF(ISNUMBER(B6334),TEXT(B6334,"YYYY-MM"),LEFT(B6334,7)))</f>
        <v/>
      </c>
    </row>
    <row r="6335">
      <c r="N6335" s="6">
        <f>IF(B6335="","",IF(ISNUMBER(B6335),TEXT(B6335,"YYYY-MM"),LEFT(B6335,7)))</f>
        <v/>
      </c>
    </row>
    <row r="6336">
      <c r="N6336" s="6">
        <f>IF(B6336="","",IF(ISNUMBER(B6336),TEXT(B6336,"YYYY-MM"),LEFT(B6336,7)))</f>
        <v/>
      </c>
    </row>
    <row r="6337">
      <c r="N6337" s="6">
        <f>IF(B6337="","",IF(ISNUMBER(B6337),TEXT(B6337,"YYYY-MM"),LEFT(B6337,7)))</f>
        <v/>
      </c>
    </row>
    <row r="6338">
      <c r="N6338" s="6">
        <f>IF(B6338="","",IF(ISNUMBER(B6338),TEXT(B6338,"YYYY-MM"),LEFT(B6338,7)))</f>
        <v/>
      </c>
    </row>
    <row r="6339">
      <c r="N6339" s="6">
        <f>IF(B6339="","",IF(ISNUMBER(B6339),TEXT(B6339,"YYYY-MM"),LEFT(B6339,7)))</f>
        <v/>
      </c>
    </row>
    <row r="6340">
      <c r="N6340" s="6">
        <f>IF(B6340="","",IF(ISNUMBER(B6340),TEXT(B6340,"YYYY-MM"),LEFT(B6340,7)))</f>
        <v/>
      </c>
    </row>
    <row r="6341">
      <c r="N6341" s="6">
        <f>IF(B6341="","",IF(ISNUMBER(B6341),TEXT(B6341,"YYYY-MM"),LEFT(B6341,7)))</f>
        <v/>
      </c>
    </row>
    <row r="6342">
      <c r="N6342" s="6">
        <f>IF(B6342="","",IF(ISNUMBER(B6342),TEXT(B6342,"YYYY-MM"),LEFT(B6342,7)))</f>
        <v/>
      </c>
    </row>
    <row r="6343">
      <c r="N6343" s="6">
        <f>IF(B6343="","",IF(ISNUMBER(B6343),TEXT(B6343,"YYYY-MM"),LEFT(B6343,7)))</f>
        <v/>
      </c>
    </row>
    <row r="6344">
      <c r="N6344" s="6">
        <f>IF(B6344="","",IF(ISNUMBER(B6344),TEXT(B6344,"YYYY-MM"),LEFT(B6344,7)))</f>
        <v/>
      </c>
    </row>
    <row r="6345">
      <c r="N6345" s="6">
        <f>IF(B6345="","",IF(ISNUMBER(B6345),TEXT(B6345,"YYYY-MM"),LEFT(B6345,7)))</f>
        <v/>
      </c>
    </row>
    <row r="6346">
      <c r="N6346" s="6">
        <f>IF(B6346="","",IF(ISNUMBER(B6346),TEXT(B6346,"YYYY-MM"),LEFT(B6346,7)))</f>
        <v/>
      </c>
    </row>
    <row r="6347">
      <c r="N6347" s="6">
        <f>IF(B6347="","",IF(ISNUMBER(B6347),TEXT(B6347,"YYYY-MM"),LEFT(B6347,7)))</f>
        <v/>
      </c>
    </row>
    <row r="6348">
      <c r="N6348" s="6">
        <f>IF(B6348="","",IF(ISNUMBER(B6348),TEXT(B6348,"YYYY-MM"),LEFT(B6348,7)))</f>
        <v/>
      </c>
    </row>
    <row r="6349">
      <c r="N6349" s="6">
        <f>IF(B6349="","",IF(ISNUMBER(B6349),TEXT(B6349,"YYYY-MM"),LEFT(B6349,7)))</f>
        <v/>
      </c>
    </row>
    <row r="6350">
      <c r="N6350" s="6">
        <f>IF(B6350="","",IF(ISNUMBER(B6350),TEXT(B6350,"YYYY-MM"),LEFT(B6350,7)))</f>
        <v/>
      </c>
    </row>
    <row r="6351">
      <c r="N6351" s="6">
        <f>IF(B6351="","",IF(ISNUMBER(B6351),TEXT(B6351,"YYYY-MM"),LEFT(B6351,7)))</f>
        <v/>
      </c>
    </row>
    <row r="6352">
      <c r="N6352" s="6">
        <f>IF(B6352="","",IF(ISNUMBER(B6352),TEXT(B6352,"YYYY-MM"),LEFT(B6352,7)))</f>
        <v/>
      </c>
    </row>
    <row r="6353">
      <c r="N6353" s="6">
        <f>IF(B6353="","",IF(ISNUMBER(B6353),TEXT(B6353,"YYYY-MM"),LEFT(B6353,7)))</f>
        <v/>
      </c>
    </row>
    <row r="6354">
      <c r="N6354" s="6">
        <f>IF(B6354="","",IF(ISNUMBER(B6354),TEXT(B6354,"YYYY-MM"),LEFT(B6354,7)))</f>
        <v/>
      </c>
    </row>
    <row r="6355">
      <c r="N6355" s="6">
        <f>IF(B6355="","",IF(ISNUMBER(B6355),TEXT(B6355,"YYYY-MM"),LEFT(B6355,7)))</f>
        <v/>
      </c>
    </row>
    <row r="6356">
      <c r="N6356" s="6">
        <f>IF(B6356="","",IF(ISNUMBER(B6356),TEXT(B6356,"YYYY-MM"),LEFT(B6356,7)))</f>
        <v/>
      </c>
    </row>
    <row r="6357">
      <c r="N6357" s="6">
        <f>IF(B6357="","",IF(ISNUMBER(B6357),TEXT(B6357,"YYYY-MM"),LEFT(B6357,7)))</f>
        <v/>
      </c>
    </row>
    <row r="6358">
      <c r="N6358" s="6">
        <f>IF(B6358="","",IF(ISNUMBER(B6358),TEXT(B6358,"YYYY-MM"),LEFT(B6358,7)))</f>
        <v/>
      </c>
    </row>
    <row r="6359">
      <c r="N6359" s="6">
        <f>IF(B6359="","",IF(ISNUMBER(B6359),TEXT(B6359,"YYYY-MM"),LEFT(B6359,7)))</f>
        <v/>
      </c>
    </row>
    <row r="6360">
      <c r="N6360" s="6">
        <f>IF(B6360="","",IF(ISNUMBER(B6360),TEXT(B6360,"YYYY-MM"),LEFT(B6360,7)))</f>
        <v/>
      </c>
    </row>
    <row r="6361">
      <c r="N6361" s="6">
        <f>IF(B6361="","",IF(ISNUMBER(B6361),TEXT(B6361,"YYYY-MM"),LEFT(B6361,7)))</f>
        <v/>
      </c>
    </row>
    <row r="6362">
      <c r="N6362" s="6">
        <f>IF(B6362="","",IF(ISNUMBER(B6362),TEXT(B6362,"YYYY-MM"),LEFT(B6362,7)))</f>
        <v/>
      </c>
    </row>
    <row r="6363">
      <c r="N6363" s="6">
        <f>IF(B6363="","",IF(ISNUMBER(B6363),TEXT(B6363,"YYYY-MM"),LEFT(B6363,7)))</f>
        <v/>
      </c>
    </row>
    <row r="6364">
      <c r="N6364" s="6">
        <f>IF(B6364="","",IF(ISNUMBER(B6364),TEXT(B6364,"YYYY-MM"),LEFT(B6364,7)))</f>
        <v/>
      </c>
    </row>
    <row r="6365">
      <c r="N6365" s="6">
        <f>IF(B6365="","",IF(ISNUMBER(B6365),TEXT(B6365,"YYYY-MM"),LEFT(B6365,7)))</f>
        <v/>
      </c>
    </row>
    <row r="6366">
      <c r="N6366" s="6">
        <f>IF(B6366="","",IF(ISNUMBER(B6366),TEXT(B6366,"YYYY-MM"),LEFT(B6366,7)))</f>
        <v/>
      </c>
    </row>
    <row r="6367">
      <c r="N6367" s="6">
        <f>IF(B6367="","",IF(ISNUMBER(B6367),TEXT(B6367,"YYYY-MM"),LEFT(B6367,7)))</f>
        <v/>
      </c>
    </row>
    <row r="6368">
      <c r="N6368" s="6">
        <f>IF(B6368="","",IF(ISNUMBER(B6368),TEXT(B6368,"YYYY-MM"),LEFT(B6368,7)))</f>
        <v/>
      </c>
    </row>
    <row r="6369">
      <c r="N6369" s="6">
        <f>IF(B6369="","",IF(ISNUMBER(B6369),TEXT(B6369,"YYYY-MM"),LEFT(B6369,7)))</f>
        <v/>
      </c>
    </row>
    <row r="6370">
      <c r="N6370" s="6">
        <f>IF(B6370="","",IF(ISNUMBER(B6370),TEXT(B6370,"YYYY-MM"),LEFT(B6370,7)))</f>
        <v/>
      </c>
    </row>
    <row r="6371">
      <c r="N6371" s="6">
        <f>IF(B6371="","",IF(ISNUMBER(B6371),TEXT(B6371,"YYYY-MM"),LEFT(B6371,7)))</f>
        <v/>
      </c>
    </row>
    <row r="6372">
      <c r="N6372" s="6">
        <f>IF(B6372="","",IF(ISNUMBER(B6372),TEXT(B6372,"YYYY-MM"),LEFT(B6372,7)))</f>
        <v/>
      </c>
    </row>
    <row r="6373">
      <c r="N6373" s="6">
        <f>IF(B6373="","",IF(ISNUMBER(B6373),TEXT(B6373,"YYYY-MM"),LEFT(B6373,7)))</f>
        <v/>
      </c>
    </row>
    <row r="6374">
      <c r="N6374" s="6">
        <f>IF(B6374="","",IF(ISNUMBER(B6374),TEXT(B6374,"YYYY-MM"),LEFT(B6374,7)))</f>
        <v/>
      </c>
    </row>
    <row r="6375">
      <c r="N6375" s="6">
        <f>IF(B6375="","",IF(ISNUMBER(B6375),TEXT(B6375,"YYYY-MM"),LEFT(B6375,7)))</f>
        <v/>
      </c>
    </row>
    <row r="6376">
      <c r="N6376" s="6">
        <f>IF(B6376="","",IF(ISNUMBER(B6376),TEXT(B6376,"YYYY-MM"),LEFT(B6376,7)))</f>
        <v/>
      </c>
    </row>
    <row r="6377">
      <c r="N6377" s="6">
        <f>IF(B6377="","",IF(ISNUMBER(B6377),TEXT(B6377,"YYYY-MM"),LEFT(B6377,7)))</f>
        <v/>
      </c>
    </row>
    <row r="6378">
      <c r="N6378" s="6">
        <f>IF(B6378="","",IF(ISNUMBER(B6378),TEXT(B6378,"YYYY-MM"),LEFT(B6378,7)))</f>
        <v/>
      </c>
    </row>
    <row r="6379">
      <c r="N6379" s="6">
        <f>IF(B6379="","",IF(ISNUMBER(B6379),TEXT(B6379,"YYYY-MM"),LEFT(B6379,7)))</f>
        <v/>
      </c>
    </row>
    <row r="6380">
      <c r="N6380" s="6">
        <f>IF(B6380="","",IF(ISNUMBER(B6380),TEXT(B6380,"YYYY-MM"),LEFT(B6380,7)))</f>
        <v/>
      </c>
    </row>
    <row r="6381">
      <c r="N6381" s="6">
        <f>IF(B6381="","",IF(ISNUMBER(B6381),TEXT(B6381,"YYYY-MM"),LEFT(B6381,7)))</f>
        <v/>
      </c>
    </row>
    <row r="6382">
      <c r="N6382" s="6">
        <f>IF(B6382="","",IF(ISNUMBER(B6382),TEXT(B6382,"YYYY-MM"),LEFT(B6382,7)))</f>
        <v/>
      </c>
    </row>
    <row r="6383">
      <c r="N6383" s="6">
        <f>IF(B6383="","",IF(ISNUMBER(B6383),TEXT(B6383,"YYYY-MM"),LEFT(B6383,7)))</f>
        <v/>
      </c>
    </row>
    <row r="6384">
      <c r="N6384" s="6">
        <f>IF(B6384="","",IF(ISNUMBER(B6384),TEXT(B6384,"YYYY-MM"),LEFT(B6384,7)))</f>
        <v/>
      </c>
    </row>
    <row r="6385">
      <c r="N6385" s="6">
        <f>IF(B6385="","",IF(ISNUMBER(B6385),TEXT(B6385,"YYYY-MM"),LEFT(B6385,7)))</f>
        <v/>
      </c>
    </row>
    <row r="6386">
      <c r="N6386" s="6">
        <f>IF(B6386="","",IF(ISNUMBER(B6386),TEXT(B6386,"YYYY-MM"),LEFT(B6386,7)))</f>
        <v/>
      </c>
    </row>
    <row r="6387">
      <c r="N6387" s="6">
        <f>IF(B6387="","",IF(ISNUMBER(B6387),TEXT(B6387,"YYYY-MM"),LEFT(B6387,7)))</f>
        <v/>
      </c>
    </row>
    <row r="6388">
      <c r="N6388" s="6">
        <f>IF(B6388="","",IF(ISNUMBER(B6388),TEXT(B6388,"YYYY-MM"),LEFT(B6388,7)))</f>
        <v/>
      </c>
    </row>
    <row r="6389">
      <c r="N6389" s="6">
        <f>IF(B6389="","",IF(ISNUMBER(B6389),TEXT(B6389,"YYYY-MM"),LEFT(B6389,7)))</f>
        <v/>
      </c>
    </row>
    <row r="6390">
      <c r="N6390" s="6">
        <f>IF(B6390="","",IF(ISNUMBER(B6390),TEXT(B6390,"YYYY-MM"),LEFT(B6390,7)))</f>
        <v/>
      </c>
    </row>
    <row r="6391">
      <c r="N6391" s="6">
        <f>IF(B6391="","",IF(ISNUMBER(B6391),TEXT(B6391,"YYYY-MM"),LEFT(B6391,7)))</f>
        <v/>
      </c>
    </row>
    <row r="6392">
      <c r="N6392" s="6">
        <f>IF(B6392="","",IF(ISNUMBER(B6392),TEXT(B6392,"YYYY-MM"),LEFT(B6392,7)))</f>
        <v/>
      </c>
    </row>
    <row r="6393">
      <c r="N6393" s="6">
        <f>IF(B6393="","",IF(ISNUMBER(B6393),TEXT(B6393,"YYYY-MM"),LEFT(B6393,7)))</f>
        <v/>
      </c>
    </row>
    <row r="6394">
      <c r="N6394" s="6">
        <f>IF(B6394="","",IF(ISNUMBER(B6394),TEXT(B6394,"YYYY-MM"),LEFT(B6394,7)))</f>
        <v/>
      </c>
    </row>
    <row r="6395">
      <c r="N6395" s="6">
        <f>IF(B6395="","",IF(ISNUMBER(B6395),TEXT(B6395,"YYYY-MM"),LEFT(B6395,7)))</f>
        <v/>
      </c>
    </row>
    <row r="6396">
      <c r="N6396" s="6">
        <f>IF(B6396="","",IF(ISNUMBER(B6396),TEXT(B6396,"YYYY-MM"),LEFT(B6396,7)))</f>
        <v/>
      </c>
    </row>
    <row r="6397">
      <c r="N6397" s="6">
        <f>IF(B6397="","",IF(ISNUMBER(B6397),TEXT(B6397,"YYYY-MM"),LEFT(B6397,7)))</f>
        <v/>
      </c>
    </row>
    <row r="6398">
      <c r="N6398" s="6">
        <f>IF(B6398="","",IF(ISNUMBER(B6398),TEXT(B6398,"YYYY-MM"),LEFT(B6398,7)))</f>
        <v/>
      </c>
    </row>
    <row r="6399">
      <c r="N6399" s="6">
        <f>IF(B6399="","",IF(ISNUMBER(B6399),TEXT(B6399,"YYYY-MM"),LEFT(B6399,7)))</f>
        <v/>
      </c>
    </row>
    <row r="6400">
      <c r="N6400" s="6">
        <f>IF(B6400="","",IF(ISNUMBER(B6400),TEXT(B6400,"YYYY-MM"),LEFT(B6400,7)))</f>
        <v/>
      </c>
    </row>
    <row r="6401">
      <c r="N6401" s="6">
        <f>IF(B6401="","",IF(ISNUMBER(B6401),TEXT(B6401,"YYYY-MM"),LEFT(B6401,7)))</f>
        <v/>
      </c>
    </row>
    <row r="6402">
      <c r="N6402" s="6">
        <f>IF(B6402="","",IF(ISNUMBER(B6402),TEXT(B6402,"YYYY-MM"),LEFT(B6402,7)))</f>
        <v/>
      </c>
    </row>
    <row r="6403">
      <c r="N6403" s="6">
        <f>IF(B6403="","",IF(ISNUMBER(B6403),TEXT(B6403,"YYYY-MM"),LEFT(B6403,7)))</f>
        <v/>
      </c>
    </row>
    <row r="6404">
      <c r="N6404" s="6">
        <f>IF(B6404="","",IF(ISNUMBER(B6404),TEXT(B6404,"YYYY-MM"),LEFT(B6404,7)))</f>
        <v/>
      </c>
    </row>
    <row r="6405">
      <c r="N6405" s="6">
        <f>IF(B6405="","",IF(ISNUMBER(B6405),TEXT(B6405,"YYYY-MM"),LEFT(B6405,7)))</f>
        <v/>
      </c>
    </row>
    <row r="6406">
      <c r="N6406" s="6">
        <f>IF(B6406="","",IF(ISNUMBER(B6406),TEXT(B6406,"YYYY-MM"),LEFT(B6406,7)))</f>
        <v/>
      </c>
    </row>
    <row r="6407">
      <c r="N6407" s="6">
        <f>IF(B6407="","",IF(ISNUMBER(B6407),TEXT(B6407,"YYYY-MM"),LEFT(B6407,7)))</f>
        <v/>
      </c>
    </row>
    <row r="6408">
      <c r="N6408" s="6">
        <f>IF(B6408="","",IF(ISNUMBER(B6408),TEXT(B6408,"YYYY-MM"),LEFT(B6408,7)))</f>
        <v/>
      </c>
    </row>
    <row r="6409">
      <c r="N6409" s="6">
        <f>IF(B6409="","",IF(ISNUMBER(B6409),TEXT(B6409,"YYYY-MM"),LEFT(B6409,7)))</f>
        <v/>
      </c>
    </row>
    <row r="6410">
      <c r="N6410" s="6">
        <f>IF(B6410="","",IF(ISNUMBER(B6410),TEXT(B6410,"YYYY-MM"),LEFT(B6410,7)))</f>
        <v/>
      </c>
    </row>
    <row r="6411">
      <c r="N6411" s="6">
        <f>IF(B6411="","",IF(ISNUMBER(B6411),TEXT(B6411,"YYYY-MM"),LEFT(B6411,7)))</f>
        <v/>
      </c>
    </row>
    <row r="6412">
      <c r="N6412" s="6">
        <f>IF(B6412="","",IF(ISNUMBER(B6412),TEXT(B6412,"YYYY-MM"),LEFT(B6412,7)))</f>
        <v/>
      </c>
    </row>
    <row r="6413">
      <c r="N6413" s="6">
        <f>IF(B6413="","",IF(ISNUMBER(B6413),TEXT(B6413,"YYYY-MM"),LEFT(B6413,7)))</f>
        <v/>
      </c>
    </row>
    <row r="6414">
      <c r="N6414" s="6">
        <f>IF(B6414="","",IF(ISNUMBER(B6414),TEXT(B6414,"YYYY-MM"),LEFT(B6414,7)))</f>
        <v/>
      </c>
    </row>
    <row r="6415">
      <c r="N6415" s="6">
        <f>IF(B6415="","",IF(ISNUMBER(B6415),TEXT(B6415,"YYYY-MM"),LEFT(B6415,7)))</f>
        <v/>
      </c>
    </row>
    <row r="6416">
      <c r="N6416" s="6">
        <f>IF(B6416="","",IF(ISNUMBER(B6416),TEXT(B6416,"YYYY-MM"),LEFT(B6416,7)))</f>
        <v/>
      </c>
    </row>
    <row r="6417">
      <c r="N6417" s="6">
        <f>IF(B6417="","",IF(ISNUMBER(B6417),TEXT(B6417,"YYYY-MM"),LEFT(B6417,7)))</f>
        <v/>
      </c>
    </row>
    <row r="6418">
      <c r="N6418" s="6">
        <f>IF(B6418="","",IF(ISNUMBER(B6418),TEXT(B6418,"YYYY-MM"),LEFT(B6418,7)))</f>
        <v/>
      </c>
    </row>
    <row r="6419">
      <c r="N6419" s="6">
        <f>IF(B6419="","",IF(ISNUMBER(B6419),TEXT(B6419,"YYYY-MM"),LEFT(B6419,7)))</f>
        <v/>
      </c>
    </row>
    <row r="6420">
      <c r="N6420" s="6">
        <f>IF(B6420="","",IF(ISNUMBER(B6420),TEXT(B6420,"YYYY-MM"),LEFT(B6420,7)))</f>
        <v/>
      </c>
    </row>
    <row r="6421">
      <c r="N6421" s="6">
        <f>IF(B6421="","",IF(ISNUMBER(B6421),TEXT(B6421,"YYYY-MM"),LEFT(B6421,7)))</f>
        <v/>
      </c>
    </row>
    <row r="6422">
      <c r="N6422" s="6">
        <f>IF(B6422="","",IF(ISNUMBER(B6422),TEXT(B6422,"YYYY-MM"),LEFT(B6422,7)))</f>
        <v/>
      </c>
    </row>
    <row r="6423">
      <c r="N6423" s="6">
        <f>IF(B6423="","",IF(ISNUMBER(B6423),TEXT(B6423,"YYYY-MM"),LEFT(B6423,7)))</f>
        <v/>
      </c>
    </row>
    <row r="6424">
      <c r="N6424" s="6">
        <f>IF(B6424="","",IF(ISNUMBER(B6424),TEXT(B6424,"YYYY-MM"),LEFT(B6424,7)))</f>
        <v/>
      </c>
    </row>
    <row r="6425">
      <c r="N6425" s="6">
        <f>IF(B6425="","",IF(ISNUMBER(B6425),TEXT(B6425,"YYYY-MM"),LEFT(B6425,7)))</f>
        <v/>
      </c>
    </row>
    <row r="6426">
      <c r="N6426" s="6">
        <f>IF(B6426="","",IF(ISNUMBER(B6426),TEXT(B6426,"YYYY-MM"),LEFT(B6426,7)))</f>
        <v/>
      </c>
    </row>
    <row r="6427">
      <c r="N6427" s="6">
        <f>IF(B6427="","",IF(ISNUMBER(B6427),TEXT(B6427,"YYYY-MM"),LEFT(B6427,7)))</f>
        <v/>
      </c>
    </row>
    <row r="6428">
      <c r="N6428" s="6">
        <f>IF(B6428="","",IF(ISNUMBER(B6428),TEXT(B6428,"YYYY-MM"),LEFT(B6428,7)))</f>
        <v/>
      </c>
    </row>
    <row r="6429">
      <c r="N6429" s="6">
        <f>IF(B6429="","",IF(ISNUMBER(B6429),TEXT(B6429,"YYYY-MM"),LEFT(B6429,7)))</f>
        <v/>
      </c>
    </row>
    <row r="6430">
      <c r="N6430" s="6">
        <f>IF(B6430="","",IF(ISNUMBER(B6430),TEXT(B6430,"YYYY-MM"),LEFT(B6430,7)))</f>
        <v/>
      </c>
    </row>
    <row r="6431">
      <c r="N6431" s="6">
        <f>IF(B6431="","",IF(ISNUMBER(B6431),TEXT(B6431,"YYYY-MM"),LEFT(B6431,7)))</f>
        <v/>
      </c>
    </row>
    <row r="6432">
      <c r="N6432" s="6">
        <f>IF(B6432="","",IF(ISNUMBER(B6432),TEXT(B6432,"YYYY-MM"),LEFT(B6432,7)))</f>
        <v/>
      </c>
    </row>
    <row r="6433">
      <c r="N6433" s="6">
        <f>IF(B6433="","",IF(ISNUMBER(B6433),TEXT(B6433,"YYYY-MM"),LEFT(B6433,7)))</f>
        <v/>
      </c>
    </row>
    <row r="6434">
      <c r="N6434" s="6">
        <f>IF(B6434="","",IF(ISNUMBER(B6434),TEXT(B6434,"YYYY-MM"),LEFT(B6434,7)))</f>
        <v/>
      </c>
    </row>
    <row r="6435">
      <c r="N6435" s="6">
        <f>IF(B6435="","",IF(ISNUMBER(B6435),TEXT(B6435,"YYYY-MM"),LEFT(B6435,7)))</f>
        <v/>
      </c>
    </row>
    <row r="6436">
      <c r="N6436" s="6">
        <f>IF(B6436="","",IF(ISNUMBER(B6436),TEXT(B6436,"YYYY-MM"),LEFT(B6436,7)))</f>
        <v/>
      </c>
    </row>
    <row r="6437">
      <c r="N6437" s="6">
        <f>IF(B6437="","",IF(ISNUMBER(B6437),TEXT(B6437,"YYYY-MM"),LEFT(B6437,7)))</f>
        <v/>
      </c>
    </row>
    <row r="6438">
      <c r="N6438" s="6">
        <f>IF(B6438="","",IF(ISNUMBER(B6438),TEXT(B6438,"YYYY-MM"),LEFT(B6438,7)))</f>
        <v/>
      </c>
    </row>
    <row r="6439">
      <c r="N6439" s="6">
        <f>IF(B6439="","",IF(ISNUMBER(B6439),TEXT(B6439,"YYYY-MM"),LEFT(B6439,7)))</f>
        <v/>
      </c>
    </row>
    <row r="6440">
      <c r="N6440" s="6">
        <f>IF(B6440="","",IF(ISNUMBER(B6440),TEXT(B6440,"YYYY-MM"),LEFT(B6440,7)))</f>
        <v/>
      </c>
    </row>
    <row r="6441">
      <c r="N6441" s="6">
        <f>IF(B6441="","",IF(ISNUMBER(B6441),TEXT(B6441,"YYYY-MM"),LEFT(B6441,7)))</f>
        <v/>
      </c>
    </row>
    <row r="6442">
      <c r="N6442" s="6">
        <f>IF(B6442="","",IF(ISNUMBER(B6442),TEXT(B6442,"YYYY-MM"),LEFT(B6442,7)))</f>
        <v/>
      </c>
    </row>
    <row r="6443">
      <c r="N6443" s="6">
        <f>IF(B6443="","",IF(ISNUMBER(B6443),TEXT(B6443,"YYYY-MM"),LEFT(B6443,7)))</f>
        <v/>
      </c>
    </row>
    <row r="6444">
      <c r="N6444" s="6">
        <f>IF(B6444="","",IF(ISNUMBER(B6444),TEXT(B6444,"YYYY-MM"),LEFT(B6444,7)))</f>
        <v/>
      </c>
    </row>
    <row r="6445">
      <c r="N6445" s="6">
        <f>IF(B6445="","",IF(ISNUMBER(B6445),TEXT(B6445,"YYYY-MM"),LEFT(B6445,7)))</f>
        <v/>
      </c>
    </row>
    <row r="6446">
      <c r="N6446" s="6">
        <f>IF(B6446="","",IF(ISNUMBER(B6446),TEXT(B6446,"YYYY-MM"),LEFT(B6446,7)))</f>
        <v/>
      </c>
    </row>
    <row r="6447">
      <c r="N6447" s="6">
        <f>IF(B6447="","",IF(ISNUMBER(B6447),TEXT(B6447,"YYYY-MM"),LEFT(B6447,7)))</f>
        <v/>
      </c>
    </row>
    <row r="6448">
      <c r="N6448" s="6">
        <f>IF(B6448="","",IF(ISNUMBER(B6448),TEXT(B6448,"YYYY-MM"),LEFT(B6448,7)))</f>
        <v/>
      </c>
    </row>
    <row r="6449">
      <c r="N6449" s="6">
        <f>IF(B6449="","",IF(ISNUMBER(B6449),TEXT(B6449,"YYYY-MM"),LEFT(B6449,7)))</f>
        <v/>
      </c>
    </row>
    <row r="6450">
      <c r="N6450" s="6">
        <f>IF(B6450="","",IF(ISNUMBER(B6450),TEXT(B6450,"YYYY-MM"),LEFT(B6450,7)))</f>
        <v/>
      </c>
    </row>
    <row r="6451">
      <c r="N6451" s="6">
        <f>IF(B6451="","",IF(ISNUMBER(B6451),TEXT(B6451,"YYYY-MM"),LEFT(B6451,7)))</f>
        <v/>
      </c>
    </row>
    <row r="6452">
      <c r="N6452" s="6">
        <f>IF(B6452="","",IF(ISNUMBER(B6452),TEXT(B6452,"YYYY-MM"),LEFT(B6452,7)))</f>
        <v/>
      </c>
    </row>
    <row r="6453">
      <c r="N6453" s="6">
        <f>IF(B6453="","",IF(ISNUMBER(B6453),TEXT(B6453,"YYYY-MM"),LEFT(B6453,7)))</f>
        <v/>
      </c>
    </row>
    <row r="6454">
      <c r="N6454" s="6">
        <f>IF(B6454="","",IF(ISNUMBER(B6454),TEXT(B6454,"YYYY-MM"),LEFT(B6454,7)))</f>
        <v/>
      </c>
    </row>
    <row r="6455">
      <c r="N6455" s="6">
        <f>IF(B6455="","",IF(ISNUMBER(B6455),TEXT(B6455,"YYYY-MM"),LEFT(B6455,7)))</f>
        <v/>
      </c>
    </row>
    <row r="6456">
      <c r="N6456" s="6">
        <f>IF(B6456="","",IF(ISNUMBER(B6456),TEXT(B6456,"YYYY-MM"),LEFT(B6456,7)))</f>
        <v/>
      </c>
    </row>
    <row r="6457">
      <c r="N6457" s="6">
        <f>IF(B6457="","",IF(ISNUMBER(B6457),TEXT(B6457,"YYYY-MM"),LEFT(B6457,7)))</f>
        <v/>
      </c>
    </row>
    <row r="6458">
      <c r="N6458" s="6">
        <f>IF(B6458="","",IF(ISNUMBER(B6458),TEXT(B6458,"YYYY-MM"),LEFT(B6458,7)))</f>
        <v/>
      </c>
    </row>
    <row r="6459">
      <c r="N6459" s="6">
        <f>IF(B6459="","",IF(ISNUMBER(B6459),TEXT(B6459,"YYYY-MM"),LEFT(B6459,7)))</f>
        <v/>
      </c>
    </row>
    <row r="6460">
      <c r="N6460" s="6">
        <f>IF(B6460="","",IF(ISNUMBER(B6460),TEXT(B6460,"YYYY-MM"),LEFT(B6460,7)))</f>
        <v/>
      </c>
    </row>
    <row r="6461">
      <c r="N6461" s="6">
        <f>IF(B6461="","",IF(ISNUMBER(B6461),TEXT(B6461,"YYYY-MM"),LEFT(B6461,7)))</f>
        <v/>
      </c>
    </row>
    <row r="6462">
      <c r="N6462" s="6">
        <f>IF(B6462="","",IF(ISNUMBER(B6462),TEXT(B6462,"YYYY-MM"),LEFT(B6462,7)))</f>
        <v/>
      </c>
    </row>
    <row r="6463">
      <c r="N6463" s="6">
        <f>IF(B6463="","",IF(ISNUMBER(B6463),TEXT(B6463,"YYYY-MM"),LEFT(B6463,7)))</f>
        <v/>
      </c>
    </row>
    <row r="6464">
      <c r="N6464" s="6">
        <f>IF(B6464="","",IF(ISNUMBER(B6464),TEXT(B6464,"YYYY-MM"),LEFT(B6464,7)))</f>
        <v/>
      </c>
    </row>
    <row r="6465">
      <c r="N6465" s="6">
        <f>IF(B6465="","",IF(ISNUMBER(B6465),TEXT(B6465,"YYYY-MM"),LEFT(B6465,7)))</f>
        <v/>
      </c>
    </row>
    <row r="6466">
      <c r="N6466" s="6">
        <f>IF(B6466="","",IF(ISNUMBER(B6466),TEXT(B6466,"YYYY-MM"),LEFT(B6466,7)))</f>
        <v/>
      </c>
    </row>
    <row r="6467">
      <c r="N6467" s="6">
        <f>IF(B6467="","",IF(ISNUMBER(B6467),TEXT(B6467,"YYYY-MM"),LEFT(B6467,7)))</f>
        <v/>
      </c>
    </row>
    <row r="6468">
      <c r="N6468" s="6">
        <f>IF(B6468="","",IF(ISNUMBER(B6468),TEXT(B6468,"YYYY-MM"),LEFT(B6468,7)))</f>
        <v/>
      </c>
    </row>
    <row r="6469">
      <c r="N6469" s="6">
        <f>IF(B6469="","",IF(ISNUMBER(B6469),TEXT(B6469,"YYYY-MM"),LEFT(B6469,7)))</f>
        <v/>
      </c>
    </row>
    <row r="6470">
      <c r="N6470" s="6">
        <f>IF(B6470="","",IF(ISNUMBER(B6470),TEXT(B6470,"YYYY-MM"),LEFT(B6470,7)))</f>
        <v/>
      </c>
    </row>
    <row r="6471">
      <c r="N6471" s="6">
        <f>IF(B6471="","",IF(ISNUMBER(B6471),TEXT(B6471,"YYYY-MM"),LEFT(B6471,7)))</f>
        <v/>
      </c>
    </row>
    <row r="6472">
      <c r="N6472" s="6">
        <f>IF(B6472="","",IF(ISNUMBER(B6472),TEXT(B6472,"YYYY-MM"),LEFT(B6472,7)))</f>
        <v/>
      </c>
    </row>
    <row r="6473">
      <c r="N6473" s="6">
        <f>IF(B6473="","",IF(ISNUMBER(B6473),TEXT(B6473,"YYYY-MM"),LEFT(B6473,7)))</f>
        <v/>
      </c>
    </row>
    <row r="6474">
      <c r="N6474" s="6">
        <f>IF(B6474="","",IF(ISNUMBER(B6474),TEXT(B6474,"YYYY-MM"),LEFT(B6474,7)))</f>
        <v/>
      </c>
    </row>
    <row r="6475">
      <c r="N6475" s="6">
        <f>IF(B6475="","",IF(ISNUMBER(B6475),TEXT(B6475,"YYYY-MM"),LEFT(B6475,7)))</f>
        <v/>
      </c>
    </row>
    <row r="6476">
      <c r="N6476" s="6">
        <f>IF(B6476="","",IF(ISNUMBER(B6476),TEXT(B6476,"YYYY-MM"),LEFT(B6476,7)))</f>
        <v/>
      </c>
    </row>
    <row r="6477">
      <c r="N6477" s="6">
        <f>IF(B6477="","",IF(ISNUMBER(B6477),TEXT(B6477,"YYYY-MM"),LEFT(B6477,7)))</f>
        <v/>
      </c>
    </row>
    <row r="6478">
      <c r="N6478" s="6">
        <f>IF(B6478="","",IF(ISNUMBER(B6478),TEXT(B6478,"YYYY-MM"),LEFT(B6478,7)))</f>
        <v/>
      </c>
    </row>
    <row r="6479">
      <c r="N6479" s="6">
        <f>IF(B6479="","",IF(ISNUMBER(B6479),TEXT(B6479,"YYYY-MM"),LEFT(B6479,7)))</f>
        <v/>
      </c>
    </row>
    <row r="6480">
      <c r="N6480" s="6">
        <f>IF(B6480="","",IF(ISNUMBER(B6480),TEXT(B6480,"YYYY-MM"),LEFT(B6480,7)))</f>
        <v/>
      </c>
    </row>
    <row r="6481">
      <c r="N6481" s="6">
        <f>IF(B6481="","",IF(ISNUMBER(B6481),TEXT(B6481,"YYYY-MM"),LEFT(B6481,7)))</f>
        <v/>
      </c>
    </row>
    <row r="6482">
      <c r="N6482" s="6">
        <f>IF(B6482="","",IF(ISNUMBER(B6482),TEXT(B6482,"YYYY-MM"),LEFT(B6482,7)))</f>
        <v/>
      </c>
    </row>
    <row r="6483">
      <c r="N6483" s="6">
        <f>IF(B6483="","",IF(ISNUMBER(B6483),TEXT(B6483,"YYYY-MM"),LEFT(B6483,7)))</f>
        <v/>
      </c>
    </row>
    <row r="6484">
      <c r="N6484" s="6">
        <f>IF(B6484="","",IF(ISNUMBER(B6484),TEXT(B6484,"YYYY-MM"),LEFT(B6484,7)))</f>
        <v/>
      </c>
    </row>
    <row r="6485">
      <c r="N6485" s="6">
        <f>IF(B6485="","",IF(ISNUMBER(B6485),TEXT(B6485,"YYYY-MM"),LEFT(B6485,7)))</f>
        <v/>
      </c>
    </row>
    <row r="6486">
      <c r="N6486" s="6">
        <f>IF(B6486="","",IF(ISNUMBER(B6486),TEXT(B6486,"YYYY-MM"),LEFT(B6486,7)))</f>
        <v/>
      </c>
    </row>
    <row r="6487">
      <c r="N6487" s="6">
        <f>IF(B6487="","",IF(ISNUMBER(B6487),TEXT(B6487,"YYYY-MM"),LEFT(B6487,7)))</f>
        <v/>
      </c>
    </row>
    <row r="6488">
      <c r="N6488" s="6">
        <f>IF(B6488="","",IF(ISNUMBER(B6488),TEXT(B6488,"YYYY-MM"),LEFT(B6488,7)))</f>
        <v/>
      </c>
    </row>
    <row r="6489">
      <c r="N6489" s="6">
        <f>IF(B6489="","",IF(ISNUMBER(B6489),TEXT(B6489,"YYYY-MM"),LEFT(B6489,7)))</f>
        <v/>
      </c>
    </row>
    <row r="6490">
      <c r="N6490" s="6">
        <f>IF(B6490="","",IF(ISNUMBER(B6490),TEXT(B6490,"YYYY-MM"),LEFT(B6490,7)))</f>
        <v/>
      </c>
    </row>
    <row r="6491">
      <c r="N6491" s="6">
        <f>IF(B6491="","",IF(ISNUMBER(B6491),TEXT(B6491,"YYYY-MM"),LEFT(B6491,7)))</f>
        <v/>
      </c>
    </row>
    <row r="6492">
      <c r="N6492" s="6">
        <f>IF(B6492="","",IF(ISNUMBER(B6492),TEXT(B6492,"YYYY-MM"),LEFT(B6492,7)))</f>
        <v/>
      </c>
    </row>
    <row r="6493">
      <c r="N6493" s="6">
        <f>IF(B6493="","",IF(ISNUMBER(B6493),TEXT(B6493,"YYYY-MM"),LEFT(B6493,7)))</f>
        <v/>
      </c>
    </row>
    <row r="6494">
      <c r="N6494" s="6">
        <f>IF(B6494="","",IF(ISNUMBER(B6494),TEXT(B6494,"YYYY-MM"),LEFT(B6494,7)))</f>
        <v/>
      </c>
    </row>
    <row r="6495">
      <c r="N6495" s="6">
        <f>IF(B6495="","",IF(ISNUMBER(B6495),TEXT(B6495,"YYYY-MM"),LEFT(B6495,7)))</f>
        <v/>
      </c>
    </row>
    <row r="6496">
      <c r="N6496" s="6">
        <f>IF(B6496="","",IF(ISNUMBER(B6496),TEXT(B6496,"YYYY-MM"),LEFT(B6496,7)))</f>
        <v/>
      </c>
    </row>
    <row r="6497">
      <c r="N6497" s="6">
        <f>IF(B6497="","",IF(ISNUMBER(B6497),TEXT(B6497,"YYYY-MM"),LEFT(B6497,7)))</f>
        <v/>
      </c>
    </row>
    <row r="6498">
      <c r="N6498" s="6">
        <f>IF(B6498="","",IF(ISNUMBER(B6498),TEXT(B6498,"YYYY-MM"),LEFT(B6498,7)))</f>
        <v/>
      </c>
    </row>
    <row r="6499">
      <c r="N6499" s="6">
        <f>IF(B6499="","",IF(ISNUMBER(B6499),TEXT(B6499,"YYYY-MM"),LEFT(B6499,7)))</f>
        <v/>
      </c>
    </row>
    <row r="6500">
      <c r="N6500" s="6">
        <f>IF(B6500="","",IF(ISNUMBER(B6500),TEXT(B6500,"YYYY-MM"),LEFT(B6500,7)))</f>
        <v/>
      </c>
    </row>
    <row r="6501">
      <c r="N6501" s="6">
        <f>IF(B6501="","",IF(ISNUMBER(B6501),TEXT(B6501,"YYYY-MM"),LEFT(B6501,7)))</f>
        <v/>
      </c>
    </row>
    <row r="6502">
      <c r="N6502" s="6">
        <f>IF(B6502="","",IF(ISNUMBER(B6502),TEXT(B6502,"YYYY-MM"),LEFT(B6502,7)))</f>
        <v/>
      </c>
    </row>
    <row r="6503">
      <c r="N6503" s="6">
        <f>IF(B6503="","",IF(ISNUMBER(B6503),TEXT(B6503,"YYYY-MM"),LEFT(B6503,7)))</f>
        <v/>
      </c>
    </row>
    <row r="6504">
      <c r="N6504" s="6">
        <f>IF(B6504="","",IF(ISNUMBER(B6504),TEXT(B6504,"YYYY-MM"),LEFT(B6504,7)))</f>
        <v/>
      </c>
    </row>
    <row r="6505">
      <c r="N6505" s="6">
        <f>IF(B6505="","",IF(ISNUMBER(B6505),TEXT(B6505,"YYYY-MM"),LEFT(B6505,7)))</f>
        <v/>
      </c>
    </row>
    <row r="6506">
      <c r="N6506" s="6">
        <f>IF(B6506="","",IF(ISNUMBER(B6506),TEXT(B6506,"YYYY-MM"),LEFT(B6506,7)))</f>
        <v/>
      </c>
    </row>
    <row r="6507">
      <c r="N6507" s="6">
        <f>IF(B6507="","",IF(ISNUMBER(B6507),TEXT(B6507,"YYYY-MM"),LEFT(B6507,7)))</f>
        <v/>
      </c>
    </row>
    <row r="6508">
      <c r="N6508" s="6">
        <f>IF(B6508="","",IF(ISNUMBER(B6508),TEXT(B6508,"YYYY-MM"),LEFT(B6508,7)))</f>
        <v/>
      </c>
    </row>
    <row r="6509">
      <c r="N6509" s="6">
        <f>IF(B6509="","",IF(ISNUMBER(B6509),TEXT(B6509,"YYYY-MM"),LEFT(B6509,7)))</f>
        <v/>
      </c>
    </row>
    <row r="6510">
      <c r="N6510" s="6">
        <f>IF(B6510="","",IF(ISNUMBER(B6510),TEXT(B6510,"YYYY-MM"),LEFT(B6510,7)))</f>
        <v/>
      </c>
    </row>
    <row r="6511">
      <c r="N6511" s="6">
        <f>IF(B6511="","",IF(ISNUMBER(B6511),TEXT(B6511,"YYYY-MM"),LEFT(B6511,7)))</f>
        <v/>
      </c>
    </row>
    <row r="6512">
      <c r="N6512" s="6">
        <f>IF(B6512="","",IF(ISNUMBER(B6512),TEXT(B6512,"YYYY-MM"),LEFT(B6512,7)))</f>
        <v/>
      </c>
    </row>
    <row r="6513">
      <c r="N6513" s="6">
        <f>IF(B6513="","",IF(ISNUMBER(B6513),TEXT(B6513,"YYYY-MM"),LEFT(B6513,7)))</f>
        <v/>
      </c>
    </row>
    <row r="6514">
      <c r="N6514" s="6">
        <f>IF(B6514="","",IF(ISNUMBER(B6514),TEXT(B6514,"YYYY-MM"),LEFT(B6514,7)))</f>
        <v/>
      </c>
    </row>
    <row r="6515">
      <c r="N6515" s="6">
        <f>IF(B6515="","",IF(ISNUMBER(B6515),TEXT(B6515,"YYYY-MM"),LEFT(B6515,7)))</f>
        <v/>
      </c>
    </row>
    <row r="6516">
      <c r="N6516" s="6">
        <f>IF(B6516="","",IF(ISNUMBER(B6516),TEXT(B6516,"YYYY-MM"),LEFT(B6516,7)))</f>
        <v/>
      </c>
    </row>
    <row r="6517">
      <c r="N6517" s="6">
        <f>IF(B6517="","",IF(ISNUMBER(B6517),TEXT(B6517,"YYYY-MM"),LEFT(B6517,7)))</f>
        <v/>
      </c>
    </row>
    <row r="6518">
      <c r="N6518" s="6">
        <f>IF(B6518="","",IF(ISNUMBER(B6518),TEXT(B6518,"YYYY-MM"),LEFT(B6518,7)))</f>
        <v/>
      </c>
    </row>
    <row r="6519">
      <c r="N6519" s="6">
        <f>IF(B6519="","",IF(ISNUMBER(B6519),TEXT(B6519,"YYYY-MM"),LEFT(B6519,7)))</f>
        <v/>
      </c>
    </row>
    <row r="6520">
      <c r="N6520" s="6">
        <f>IF(B6520="","",IF(ISNUMBER(B6520),TEXT(B6520,"YYYY-MM"),LEFT(B6520,7)))</f>
        <v/>
      </c>
    </row>
    <row r="6521">
      <c r="N6521" s="6">
        <f>IF(B6521="","",IF(ISNUMBER(B6521),TEXT(B6521,"YYYY-MM"),LEFT(B6521,7)))</f>
        <v/>
      </c>
    </row>
    <row r="6522">
      <c r="N6522" s="6">
        <f>IF(B6522="","",IF(ISNUMBER(B6522),TEXT(B6522,"YYYY-MM"),LEFT(B6522,7)))</f>
        <v/>
      </c>
    </row>
    <row r="6523">
      <c r="N6523" s="6">
        <f>IF(B6523="","",IF(ISNUMBER(B6523),TEXT(B6523,"YYYY-MM"),LEFT(B6523,7)))</f>
        <v/>
      </c>
    </row>
    <row r="6524">
      <c r="N6524" s="6">
        <f>IF(B6524="","",IF(ISNUMBER(B6524),TEXT(B6524,"YYYY-MM"),LEFT(B6524,7)))</f>
        <v/>
      </c>
    </row>
    <row r="6525">
      <c r="N6525" s="6">
        <f>IF(B6525="","",IF(ISNUMBER(B6525),TEXT(B6525,"YYYY-MM"),LEFT(B6525,7)))</f>
        <v/>
      </c>
    </row>
    <row r="6526">
      <c r="N6526" s="6">
        <f>IF(B6526="","",IF(ISNUMBER(B6526),TEXT(B6526,"YYYY-MM"),LEFT(B6526,7)))</f>
        <v/>
      </c>
    </row>
    <row r="6527">
      <c r="N6527" s="6">
        <f>IF(B6527="","",IF(ISNUMBER(B6527),TEXT(B6527,"YYYY-MM"),LEFT(B6527,7)))</f>
        <v/>
      </c>
    </row>
    <row r="6528">
      <c r="N6528" s="6">
        <f>IF(B6528="","",IF(ISNUMBER(B6528),TEXT(B6528,"YYYY-MM"),LEFT(B6528,7)))</f>
        <v/>
      </c>
    </row>
    <row r="6529">
      <c r="N6529" s="6">
        <f>IF(B6529="","",IF(ISNUMBER(B6529),TEXT(B6529,"YYYY-MM"),LEFT(B6529,7)))</f>
        <v/>
      </c>
    </row>
    <row r="6530">
      <c r="N6530" s="6">
        <f>IF(B6530="","",IF(ISNUMBER(B6530),TEXT(B6530,"YYYY-MM"),LEFT(B6530,7)))</f>
        <v/>
      </c>
    </row>
    <row r="6531">
      <c r="N6531" s="6">
        <f>IF(B6531="","",IF(ISNUMBER(B6531),TEXT(B6531,"YYYY-MM"),LEFT(B6531,7)))</f>
        <v/>
      </c>
    </row>
    <row r="6532">
      <c r="N6532" s="6">
        <f>IF(B6532="","",IF(ISNUMBER(B6532),TEXT(B6532,"YYYY-MM"),LEFT(B6532,7)))</f>
        <v/>
      </c>
    </row>
    <row r="6533">
      <c r="N6533" s="6">
        <f>IF(B6533="","",IF(ISNUMBER(B6533),TEXT(B6533,"YYYY-MM"),LEFT(B6533,7)))</f>
        <v/>
      </c>
    </row>
    <row r="6534">
      <c r="N6534" s="6">
        <f>IF(B6534="","",IF(ISNUMBER(B6534),TEXT(B6534,"YYYY-MM"),LEFT(B6534,7)))</f>
        <v/>
      </c>
    </row>
    <row r="6535">
      <c r="N6535" s="6">
        <f>IF(B6535="","",IF(ISNUMBER(B6535),TEXT(B6535,"YYYY-MM"),LEFT(B6535,7)))</f>
        <v/>
      </c>
    </row>
    <row r="6536">
      <c r="N6536" s="6">
        <f>IF(B6536="","",IF(ISNUMBER(B6536),TEXT(B6536,"YYYY-MM"),LEFT(B6536,7)))</f>
        <v/>
      </c>
    </row>
    <row r="6537">
      <c r="N6537" s="6">
        <f>IF(B6537="","",IF(ISNUMBER(B6537),TEXT(B6537,"YYYY-MM"),LEFT(B6537,7)))</f>
        <v/>
      </c>
    </row>
    <row r="6538">
      <c r="N6538" s="6">
        <f>IF(B6538="","",IF(ISNUMBER(B6538),TEXT(B6538,"YYYY-MM"),LEFT(B6538,7)))</f>
        <v/>
      </c>
    </row>
    <row r="6539">
      <c r="N6539" s="6">
        <f>IF(B6539="","",IF(ISNUMBER(B6539),TEXT(B6539,"YYYY-MM"),LEFT(B6539,7)))</f>
        <v/>
      </c>
    </row>
    <row r="6540">
      <c r="N6540" s="6">
        <f>IF(B6540="","",IF(ISNUMBER(B6540),TEXT(B6540,"YYYY-MM"),LEFT(B6540,7)))</f>
        <v/>
      </c>
    </row>
    <row r="6541">
      <c r="N6541" s="6">
        <f>IF(B6541="","",IF(ISNUMBER(B6541),TEXT(B6541,"YYYY-MM"),LEFT(B6541,7)))</f>
        <v/>
      </c>
    </row>
    <row r="6542">
      <c r="N6542" s="6">
        <f>IF(B6542="","",IF(ISNUMBER(B6542),TEXT(B6542,"YYYY-MM"),LEFT(B6542,7)))</f>
        <v/>
      </c>
    </row>
    <row r="6543">
      <c r="N6543" s="6">
        <f>IF(B6543="","",IF(ISNUMBER(B6543),TEXT(B6543,"YYYY-MM"),LEFT(B6543,7)))</f>
        <v/>
      </c>
    </row>
    <row r="6544">
      <c r="N6544" s="6">
        <f>IF(B6544="","",IF(ISNUMBER(B6544),TEXT(B6544,"YYYY-MM"),LEFT(B6544,7)))</f>
        <v/>
      </c>
    </row>
    <row r="6545">
      <c r="N6545" s="6">
        <f>IF(B6545="","",IF(ISNUMBER(B6545),TEXT(B6545,"YYYY-MM"),LEFT(B6545,7)))</f>
        <v/>
      </c>
    </row>
    <row r="6546">
      <c r="N6546" s="6">
        <f>IF(B6546="","",IF(ISNUMBER(B6546),TEXT(B6546,"YYYY-MM"),LEFT(B6546,7)))</f>
        <v/>
      </c>
    </row>
    <row r="6547">
      <c r="N6547" s="6">
        <f>IF(B6547="","",IF(ISNUMBER(B6547),TEXT(B6547,"YYYY-MM"),LEFT(B6547,7)))</f>
        <v/>
      </c>
    </row>
    <row r="6548">
      <c r="N6548" s="6">
        <f>IF(B6548="","",IF(ISNUMBER(B6548),TEXT(B6548,"YYYY-MM"),LEFT(B6548,7)))</f>
        <v/>
      </c>
    </row>
    <row r="6549">
      <c r="N6549" s="6">
        <f>IF(B6549="","",IF(ISNUMBER(B6549),TEXT(B6549,"YYYY-MM"),LEFT(B6549,7)))</f>
        <v/>
      </c>
    </row>
    <row r="6550">
      <c r="N6550" s="6">
        <f>IF(B6550="","",IF(ISNUMBER(B6550),TEXT(B6550,"YYYY-MM"),LEFT(B6550,7)))</f>
        <v/>
      </c>
    </row>
    <row r="6551">
      <c r="N6551" s="6">
        <f>IF(B6551="","",IF(ISNUMBER(B6551),TEXT(B6551,"YYYY-MM"),LEFT(B6551,7)))</f>
        <v/>
      </c>
    </row>
    <row r="6552">
      <c r="N6552" s="6">
        <f>IF(B6552="","",IF(ISNUMBER(B6552),TEXT(B6552,"YYYY-MM"),LEFT(B6552,7)))</f>
        <v/>
      </c>
    </row>
    <row r="6553">
      <c r="N6553" s="6">
        <f>IF(B6553="","",IF(ISNUMBER(B6553),TEXT(B6553,"YYYY-MM"),LEFT(B6553,7)))</f>
        <v/>
      </c>
    </row>
    <row r="6554">
      <c r="N6554" s="6">
        <f>IF(B6554="","",IF(ISNUMBER(B6554),TEXT(B6554,"YYYY-MM"),LEFT(B6554,7)))</f>
        <v/>
      </c>
    </row>
    <row r="6555">
      <c r="N6555" s="6">
        <f>IF(B6555="","",IF(ISNUMBER(B6555),TEXT(B6555,"YYYY-MM"),LEFT(B6555,7)))</f>
        <v/>
      </c>
    </row>
    <row r="6556">
      <c r="N6556" s="6">
        <f>IF(B6556="","",IF(ISNUMBER(B6556),TEXT(B6556,"YYYY-MM"),LEFT(B6556,7)))</f>
        <v/>
      </c>
    </row>
    <row r="6557">
      <c r="N6557" s="6">
        <f>IF(B6557="","",IF(ISNUMBER(B6557),TEXT(B6557,"YYYY-MM"),LEFT(B6557,7)))</f>
        <v/>
      </c>
    </row>
    <row r="6558">
      <c r="N6558" s="6">
        <f>IF(B6558="","",IF(ISNUMBER(B6558),TEXT(B6558,"YYYY-MM"),LEFT(B6558,7)))</f>
        <v/>
      </c>
    </row>
    <row r="6559">
      <c r="N6559" s="6">
        <f>IF(B6559="","",IF(ISNUMBER(B6559),TEXT(B6559,"YYYY-MM"),LEFT(B6559,7)))</f>
        <v/>
      </c>
    </row>
    <row r="6560">
      <c r="N6560" s="6">
        <f>IF(B6560="","",IF(ISNUMBER(B6560),TEXT(B6560,"YYYY-MM"),LEFT(B6560,7)))</f>
        <v/>
      </c>
    </row>
    <row r="6561">
      <c r="N6561" s="6">
        <f>IF(B6561="","",IF(ISNUMBER(B6561),TEXT(B6561,"YYYY-MM"),LEFT(B6561,7)))</f>
        <v/>
      </c>
    </row>
    <row r="6562">
      <c r="N6562" s="6">
        <f>IF(B6562="","",IF(ISNUMBER(B6562),TEXT(B6562,"YYYY-MM"),LEFT(B6562,7)))</f>
        <v/>
      </c>
    </row>
    <row r="6563">
      <c r="N6563" s="6">
        <f>IF(B6563="","",IF(ISNUMBER(B6563),TEXT(B6563,"YYYY-MM"),LEFT(B6563,7)))</f>
        <v/>
      </c>
    </row>
    <row r="6564">
      <c r="N6564" s="6">
        <f>IF(B6564="","",IF(ISNUMBER(B6564),TEXT(B6564,"YYYY-MM"),LEFT(B6564,7)))</f>
        <v/>
      </c>
    </row>
    <row r="6565">
      <c r="N6565" s="6">
        <f>IF(B6565="","",IF(ISNUMBER(B6565),TEXT(B6565,"YYYY-MM"),LEFT(B6565,7)))</f>
        <v/>
      </c>
    </row>
    <row r="6566">
      <c r="N6566" s="6">
        <f>IF(B6566="","",IF(ISNUMBER(B6566),TEXT(B6566,"YYYY-MM"),LEFT(B6566,7)))</f>
        <v/>
      </c>
    </row>
    <row r="6567">
      <c r="N6567" s="6">
        <f>IF(B6567="","",IF(ISNUMBER(B6567),TEXT(B6567,"YYYY-MM"),LEFT(B6567,7)))</f>
        <v/>
      </c>
    </row>
    <row r="6568">
      <c r="N6568" s="6">
        <f>IF(B6568="","",IF(ISNUMBER(B6568),TEXT(B6568,"YYYY-MM"),LEFT(B6568,7)))</f>
        <v/>
      </c>
    </row>
    <row r="6569">
      <c r="N6569" s="6">
        <f>IF(B6569="","",IF(ISNUMBER(B6569),TEXT(B6569,"YYYY-MM"),LEFT(B6569,7)))</f>
        <v/>
      </c>
    </row>
    <row r="6570">
      <c r="N6570" s="6">
        <f>IF(B6570="","",IF(ISNUMBER(B6570),TEXT(B6570,"YYYY-MM"),LEFT(B6570,7)))</f>
        <v/>
      </c>
    </row>
    <row r="6571">
      <c r="N6571" s="6">
        <f>IF(B6571="","",IF(ISNUMBER(B6571),TEXT(B6571,"YYYY-MM"),LEFT(B6571,7)))</f>
        <v/>
      </c>
    </row>
    <row r="6572">
      <c r="N6572" s="6">
        <f>IF(B6572="","",IF(ISNUMBER(B6572),TEXT(B6572,"YYYY-MM"),LEFT(B6572,7)))</f>
        <v/>
      </c>
    </row>
    <row r="6573">
      <c r="N6573" s="6">
        <f>IF(B6573="","",IF(ISNUMBER(B6573),TEXT(B6573,"YYYY-MM"),LEFT(B6573,7)))</f>
        <v/>
      </c>
    </row>
    <row r="6574">
      <c r="N6574" s="6">
        <f>IF(B6574="","",IF(ISNUMBER(B6574),TEXT(B6574,"YYYY-MM"),LEFT(B6574,7)))</f>
        <v/>
      </c>
    </row>
    <row r="6575">
      <c r="N6575" s="6">
        <f>IF(B6575="","",IF(ISNUMBER(B6575),TEXT(B6575,"YYYY-MM"),LEFT(B6575,7)))</f>
        <v/>
      </c>
    </row>
    <row r="6576">
      <c r="N6576" s="6">
        <f>IF(B6576="","",IF(ISNUMBER(B6576),TEXT(B6576,"YYYY-MM"),LEFT(B6576,7)))</f>
        <v/>
      </c>
    </row>
    <row r="6577">
      <c r="N6577" s="6">
        <f>IF(B6577="","",IF(ISNUMBER(B6577),TEXT(B6577,"YYYY-MM"),LEFT(B6577,7)))</f>
        <v/>
      </c>
    </row>
    <row r="6578">
      <c r="N6578" s="6">
        <f>IF(B6578="","",IF(ISNUMBER(B6578),TEXT(B6578,"YYYY-MM"),LEFT(B6578,7)))</f>
        <v/>
      </c>
    </row>
    <row r="6579">
      <c r="N6579" s="6">
        <f>IF(B6579="","",IF(ISNUMBER(B6579),TEXT(B6579,"YYYY-MM"),LEFT(B6579,7)))</f>
        <v/>
      </c>
    </row>
    <row r="6580">
      <c r="N6580" s="6">
        <f>IF(B6580="","",IF(ISNUMBER(B6580),TEXT(B6580,"YYYY-MM"),LEFT(B6580,7)))</f>
        <v/>
      </c>
    </row>
    <row r="6581">
      <c r="N6581" s="6">
        <f>IF(B6581="","",IF(ISNUMBER(B6581),TEXT(B6581,"YYYY-MM"),LEFT(B6581,7)))</f>
        <v/>
      </c>
    </row>
    <row r="6582">
      <c r="N6582" s="6">
        <f>IF(B6582="","",IF(ISNUMBER(B6582),TEXT(B6582,"YYYY-MM"),LEFT(B6582,7)))</f>
        <v/>
      </c>
    </row>
    <row r="6583">
      <c r="N6583" s="6">
        <f>IF(B6583="","",IF(ISNUMBER(B6583),TEXT(B6583,"YYYY-MM"),LEFT(B6583,7)))</f>
        <v/>
      </c>
    </row>
    <row r="6584">
      <c r="N6584" s="6">
        <f>IF(B6584="","",IF(ISNUMBER(B6584),TEXT(B6584,"YYYY-MM"),LEFT(B6584,7)))</f>
        <v/>
      </c>
    </row>
    <row r="6585">
      <c r="N6585" s="6">
        <f>IF(B6585="","",IF(ISNUMBER(B6585),TEXT(B6585,"YYYY-MM"),LEFT(B6585,7)))</f>
        <v/>
      </c>
    </row>
    <row r="6586">
      <c r="N6586" s="6">
        <f>IF(B6586="","",IF(ISNUMBER(B6586),TEXT(B6586,"YYYY-MM"),LEFT(B6586,7)))</f>
        <v/>
      </c>
    </row>
    <row r="6587">
      <c r="N6587" s="6">
        <f>IF(B6587="","",IF(ISNUMBER(B6587),TEXT(B6587,"YYYY-MM"),LEFT(B6587,7)))</f>
        <v/>
      </c>
    </row>
    <row r="6588">
      <c r="N6588" s="6">
        <f>IF(B6588="","",IF(ISNUMBER(B6588),TEXT(B6588,"YYYY-MM"),LEFT(B6588,7)))</f>
        <v/>
      </c>
    </row>
    <row r="6589">
      <c r="N6589" s="6">
        <f>IF(B6589="","",IF(ISNUMBER(B6589),TEXT(B6589,"YYYY-MM"),LEFT(B6589,7)))</f>
        <v/>
      </c>
    </row>
    <row r="6590">
      <c r="N6590" s="6">
        <f>IF(B6590="","",IF(ISNUMBER(B6590),TEXT(B6590,"YYYY-MM"),LEFT(B6590,7)))</f>
        <v/>
      </c>
    </row>
    <row r="6591">
      <c r="N6591" s="6">
        <f>IF(B6591="","",IF(ISNUMBER(B6591),TEXT(B6591,"YYYY-MM"),LEFT(B6591,7)))</f>
        <v/>
      </c>
    </row>
    <row r="6592">
      <c r="N6592" s="6">
        <f>IF(B6592="","",IF(ISNUMBER(B6592),TEXT(B6592,"YYYY-MM"),LEFT(B6592,7)))</f>
        <v/>
      </c>
    </row>
    <row r="6593">
      <c r="N6593" s="6">
        <f>IF(B6593="","",IF(ISNUMBER(B6593),TEXT(B6593,"YYYY-MM"),LEFT(B6593,7)))</f>
        <v/>
      </c>
    </row>
    <row r="6594">
      <c r="N6594" s="6">
        <f>IF(B6594="","",IF(ISNUMBER(B6594),TEXT(B6594,"YYYY-MM"),LEFT(B6594,7)))</f>
        <v/>
      </c>
    </row>
    <row r="6595">
      <c r="N6595" s="6">
        <f>IF(B6595="","",IF(ISNUMBER(B6595),TEXT(B6595,"YYYY-MM"),LEFT(B6595,7)))</f>
        <v/>
      </c>
    </row>
    <row r="6596">
      <c r="N6596" s="6">
        <f>IF(B6596="","",IF(ISNUMBER(B6596),TEXT(B6596,"YYYY-MM"),LEFT(B6596,7)))</f>
        <v/>
      </c>
    </row>
    <row r="6597">
      <c r="N6597" s="6">
        <f>IF(B6597="","",IF(ISNUMBER(B6597),TEXT(B6597,"YYYY-MM"),LEFT(B6597,7)))</f>
        <v/>
      </c>
    </row>
    <row r="6598">
      <c r="N6598" s="6">
        <f>IF(B6598="","",IF(ISNUMBER(B6598),TEXT(B6598,"YYYY-MM"),LEFT(B6598,7)))</f>
        <v/>
      </c>
    </row>
    <row r="6599">
      <c r="N6599" s="6">
        <f>IF(B6599="","",IF(ISNUMBER(B6599),TEXT(B6599,"YYYY-MM"),LEFT(B6599,7)))</f>
        <v/>
      </c>
    </row>
    <row r="6600">
      <c r="N6600" s="6">
        <f>IF(B6600="","",IF(ISNUMBER(B6600),TEXT(B6600,"YYYY-MM"),LEFT(B6600,7)))</f>
        <v/>
      </c>
    </row>
    <row r="6601">
      <c r="N6601" s="6">
        <f>IF(B6601="","",IF(ISNUMBER(B6601),TEXT(B6601,"YYYY-MM"),LEFT(B6601,7)))</f>
        <v/>
      </c>
    </row>
    <row r="6602">
      <c r="N6602" s="6">
        <f>IF(B6602="","",IF(ISNUMBER(B6602),TEXT(B6602,"YYYY-MM"),LEFT(B6602,7)))</f>
        <v/>
      </c>
    </row>
    <row r="6603">
      <c r="N6603" s="6">
        <f>IF(B6603="","",IF(ISNUMBER(B6603),TEXT(B6603,"YYYY-MM"),LEFT(B6603,7)))</f>
        <v/>
      </c>
    </row>
    <row r="6604">
      <c r="N6604" s="6">
        <f>IF(B6604="","",IF(ISNUMBER(B6604),TEXT(B6604,"YYYY-MM"),LEFT(B6604,7)))</f>
        <v/>
      </c>
    </row>
    <row r="6605">
      <c r="N6605" s="6">
        <f>IF(B6605="","",IF(ISNUMBER(B6605),TEXT(B6605,"YYYY-MM"),LEFT(B6605,7)))</f>
        <v/>
      </c>
    </row>
    <row r="6606">
      <c r="N6606" s="6">
        <f>IF(B6606="","",IF(ISNUMBER(B6606),TEXT(B6606,"YYYY-MM"),LEFT(B6606,7)))</f>
        <v/>
      </c>
    </row>
    <row r="6607">
      <c r="N6607" s="6">
        <f>IF(B6607="","",IF(ISNUMBER(B6607),TEXT(B6607,"YYYY-MM"),LEFT(B6607,7)))</f>
        <v/>
      </c>
    </row>
    <row r="6608">
      <c r="N6608" s="6">
        <f>IF(B6608="","",IF(ISNUMBER(B6608),TEXT(B6608,"YYYY-MM"),LEFT(B6608,7)))</f>
        <v/>
      </c>
    </row>
    <row r="6609">
      <c r="N6609" s="6">
        <f>IF(B6609="","",IF(ISNUMBER(B6609),TEXT(B6609,"YYYY-MM"),LEFT(B6609,7)))</f>
        <v/>
      </c>
    </row>
    <row r="6610">
      <c r="N6610" s="6">
        <f>IF(B6610="","",IF(ISNUMBER(B6610),TEXT(B6610,"YYYY-MM"),LEFT(B6610,7)))</f>
        <v/>
      </c>
    </row>
    <row r="6611">
      <c r="N6611" s="6">
        <f>IF(B6611="","",IF(ISNUMBER(B6611),TEXT(B6611,"YYYY-MM"),LEFT(B6611,7)))</f>
        <v/>
      </c>
    </row>
    <row r="6612">
      <c r="N6612" s="6">
        <f>IF(B6612="","",IF(ISNUMBER(B6612),TEXT(B6612,"YYYY-MM"),LEFT(B6612,7)))</f>
        <v/>
      </c>
    </row>
    <row r="6613">
      <c r="N6613" s="6">
        <f>IF(B6613="","",IF(ISNUMBER(B6613),TEXT(B6613,"YYYY-MM"),LEFT(B6613,7)))</f>
        <v/>
      </c>
    </row>
    <row r="6614">
      <c r="N6614" s="6">
        <f>IF(B6614="","",IF(ISNUMBER(B6614),TEXT(B6614,"YYYY-MM"),LEFT(B6614,7)))</f>
        <v/>
      </c>
    </row>
    <row r="6615">
      <c r="N6615" s="6">
        <f>IF(B6615="","",IF(ISNUMBER(B6615),TEXT(B6615,"YYYY-MM"),LEFT(B6615,7)))</f>
        <v/>
      </c>
    </row>
    <row r="6616">
      <c r="N6616" s="6">
        <f>IF(B6616="","",IF(ISNUMBER(B6616),TEXT(B6616,"YYYY-MM"),LEFT(B6616,7)))</f>
        <v/>
      </c>
    </row>
    <row r="6617">
      <c r="N6617" s="6">
        <f>IF(B6617="","",IF(ISNUMBER(B6617),TEXT(B6617,"YYYY-MM"),LEFT(B6617,7)))</f>
        <v/>
      </c>
    </row>
    <row r="6618">
      <c r="N6618" s="6">
        <f>IF(B6618="","",IF(ISNUMBER(B6618),TEXT(B6618,"YYYY-MM"),LEFT(B6618,7)))</f>
        <v/>
      </c>
    </row>
    <row r="6619">
      <c r="N6619" s="6">
        <f>IF(B6619="","",IF(ISNUMBER(B6619),TEXT(B6619,"YYYY-MM"),LEFT(B6619,7)))</f>
        <v/>
      </c>
    </row>
    <row r="6620">
      <c r="N6620" s="6">
        <f>IF(B6620="","",IF(ISNUMBER(B6620),TEXT(B6620,"YYYY-MM"),LEFT(B6620,7)))</f>
        <v/>
      </c>
    </row>
    <row r="6621">
      <c r="N6621" s="6">
        <f>IF(B6621="","",IF(ISNUMBER(B6621),TEXT(B6621,"YYYY-MM"),LEFT(B6621,7)))</f>
        <v/>
      </c>
    </row>
    <row r="6622">
      <c r="N6622" s="6">
        <f>IF(B6622="","",IF(ISNUMBER(B6622),TEXT(B6622,"YYYY-MM"),LEFT(B6622,7)))</f>
        <v/>
      </c>
    </row>
    <row r="6623">
      <c r="N6623" s="6">
        <f>IF(B6623="","",IF(ISNUMBER(B6623),TEXT(B6623,"YYYY-MM"),LEFT(B6623,7)))</f>
        <v/>
      </c>
    </row>
    <row r="6624">
      <c r="N6624" s="6">
        <f>IF(B6624="","",IF(ISNUMBER(B6624),TEXT(B6624,"YYYY-MM"),LEFT(B6624,7)))</f>
        <v/>
      </c>
    </row>
    <row r="6625">
      <c r="N6625" s="6">
        <f>IF(B6625="","",IF(ISNUMBER(B6625),TEXT(B6625,"YYYY-MM"),LEFT(B6625,7)))</f>
        <v/>
      </c>
    </row>
    <row r="6626">
      <c r="N6626" s="6">
        <f>IF(B6626="","",IF(ISNUMBER(B6626),TEXT(B6626,"YYYY-MM"),LEFT(B6626,7)))</f>
        <v/>
      </c>
    </row>
    <row r="6627">
      <c r="N6627" s="6">
        <f>IF(B6627="","",IF(ISNUMBER(B6627),TEXT(B6627,"YYYY-MM"),LEFT(B6627,7)))</f>
        <v/>
      </c>
    </row>
    <row r="6628">
      <c r="N6628" s="6">
        <f>IF(B6628="","",IF(ISNUMBER(B6628),TEXT(B6628,"YYYY-MM"),LEFT(B6628,7)))</f>
        <v/>
      </c>
    </row>
    <row r="6629">
      <c r="N6629" s="6">
        <f>IF(B6629="","",IF(ISNUMBER(B6629),TEXT(B6629,"YYYY-MM"),LEFT(B6629,7)))</f>
        <v/>
      </c>
    </row>
    <row r="6630">
      <c r="N6630" s="6">
        <f>IF(B6630="","",IF(ISNUMBER(B6630),TEXT(B6630,"YYYY-MM"),LEFT(B6630,7)))</f>
        <v/>
      </c>
    </row>
    <row r="6631">
      <c r="N6631" s="6">
        <f>IF(B6631="","",IF(ISNUMBER(B6631),TEXT(B6631,"YYYY-MM"),LEFT(B6631,7)))</f>
        <v/>
      </c>
    </row>
    <row r="6632">
      <c r="N6632" s="6">
        <f>IF(B6632="","",IF(ISNUMBER(B6632),TEXT(B6632,"YYYY-MM"),LEFT(B6632,7)))</f>
        <v/>
      </c>
    </row>
    <row r="6633">
      <c r="N6633" s="6">
        <f>IF(B6633="","",IF(ISNUMBER(B6633),TEXT(B6633,"YYYY-MM"),LEFT(B6633,7)))</f>
        <v/>
      </c>
    </row>
    <row r="6634">
      <c r="N6634" s="6">
        <f>IF(B6634="","",IF(ISNUMBER(B6634),TEXT(B6634,"YYYY-MM"),LEFT(B6634,7)))</f>
        <v/>
      </c>
    </row>
    <row r="6635">
      <c r="N6635" s="6">
        <f>IF(B6635="","",IF(ISNUMBER(B6635),TEXT(B6635,"YYYY-MM"),LEFT(B6635,7)))</f>
        <v/>
      </c>
    </row>
    <row r="6636">
      <c r="N6636" s="6">
        <f>IF(B6636="","",IF(ISNUMBER(B6636),TEXT(B6636,"YYYY-MM"),LEFT(B6636,7)))</f>
        <v/>
      </c>
    </row>
    <row r="6637">
      <c r="N6637" s="6">
        <f>IF(B6637="","",IF(ISNUMBER(B6637),TEXT(B6637,"YYYY-MM"),LEFT(B6637,7)))</f>
        <v/>
      </c>
    </row>
    <row r="6638">
      <c r="N6638" s="6">
        <f>IF(B6638="","",IF(ISNUMBER(B6638),TEXT(B6638,"YYYY-MM"),LEFT(B6638,7)))</f>
        <v/>
      </c>
    </row>
    <row r="6639">
      <c r="N6639" s="6">
        <f>IF(B6639="","",IF(ISNUMBER(B6639),TEXT(B6639,"YYYY-MM"),LEFT(B6639,7)))</f>
        <v/>
      </c>
    </row>
    <row r="6640">
      <c r="N6640" s="6">
        <f>IF(B6640="","",IF(ISNUMBER(B6640),TEXT(B6640,"YYYY-MM"),LEFT(B6640,7)))</f>
        <v/>
      </c>
    </row>
    <row r="6641">
      <c r="N6641" s="6">
        <f>IF(B6641="","",IF(ISNUMBER(B6641),TEXT(B6641,"YYYY-MM"),LEFT(B6641,7)))</f>
        <v/>
      </c>
    </row>
    <row r="6642">
      <c r="N6642" s="6">
        <f>IF(B6642="","",IF(ISNUMBER(B6642),TEXT(B6642,"YYYY-MM"),LEFT(B6642,7)))</f>
        <v/>
      </c>
    </row>
    <row r="6643">
      <c r="N6643" s="6">
        <f>IF(B6643="","",IF(ISNUMBER(B6643),TEXT(B6643,"YYYY-MM"),LEFT(B6643,7)))</f>
        <v/>
      </c>
    </row>
    <row r="6644">
      <c r="N6644" s="6">
        <f>IF(B6644="","",IF(ISNUMBER(B6644),TEXT(B6644,"YYYY-MM"),LEFT(B6644,7)))</f>
        <v/>
      </c>
    </row>
    <row r="6645">
      <c r="N6645" s="6">
        <f>IF(B6645="","",IF(ISNUMBER(B6645),TEXT(B6645,"YYYY-MM"),LEFT(B6645,7)))</f>
        <v/>
      </c>
    </row>
    <row r="6646">
      <c r="N6646" s="6">
        <f>IF(B6646="","",IF(ISNUMBER(B6646),TEXT(B6646,"YYYY-MM"),LEFT(B6646,7)))</f>
        <v/>
      </c>
    </row>
    <row r="6647">
      <c r="N6647" s="6">
        <f>IF(B6647="","",IF(ISNUMBER(B6647),TEXT(B6647,"YYYY-MM"),LEFT(B6647,7)))</f>
        <v/>
      </c>
    </row>
    <row r="6648">
      <c r="N6648" s="6">
        <f>IF(B6648="","",IF(ISNUMBER(B6648),TEXT(B6648,"YYYY-MM"),LEFT(B6648,7)))</f>
        <v/>
      </c>
    </row>
    <row r="6649">
      <c r="N6649" s="6">
        <f>IF(B6649="","",IF(ISNUMBER(B6649),TEXT(B6649,"YYYY-MM"),LEFT(B6649,7)))</f>
        <v/>
      </c>
    </row>
    <row r="6650">
      <c r="N6650" s="6">
        <f>IF(B6650="","",IF(ISNUMBER(B6650),TEXT(B6650,"YYYY-MM"),LEFT(B6650,7)))</f>
        <v/>
      </c>
    </row>
    <row r="6651">
      <c r="N6651" s="6">
        <f>IF(B6651="","",IF(ISNUMBER(B6651),TEXT(B6651,"YYYY-MM"),LEFT(B6651,7)))</f>
        <v/>
      </c>
    </row>
    <row r="6652">
      <c r="N6652" s="6">
        <f>IF(B6652="","",IF(ISNUMBER(B6652),TEXT(B6652,"YYYY-MM"),LEFT(B6652,7)))</f>
        <v/>
      </c>
    </row>
    <row r="6653">
      <c r="N6653" s="6">
        <f>IF(B6653="","",IF(ISNUMBER(B6653),TEXT(B6653,"YYYY-MM"),LEFT(B6653,7)))</f>
        <v/>
      </c>
    </row>
    <row r="6654">
      <c r="N6654" s="6">
        <f>IF(B6654="","",IF(ISNUMBER(B6654),TEXT(B6654,"YYYY-MM"),LEFT(B6654,7)))</f>
        <v/>
      </c>
    </row>
    <row r="6655">
      <c r="N6655" s="6">
        <f>IF(B6655="","",IF(ISNUMBER(B6655),TEXT(B6655,"YYYY-MM"),LEFT(B6655,7)))</f>
        <v/>
      </c>
    </row>
    <row r="6656">
      <c r="N6656" s="6">
        <f>IF(B6656="","",IF(ISNUMBER(B6656),TEXT(B6656,"YYYY-MM"),LEFT(B6656,7)))</f>
        <v/>
      </c>
    </row>
    <row r="6657">
      <c r="N6657" s="6">
        <f>IF(B6657="","",IF(ISNUMBER(B6657),TEXT(B6657,"YYYY-MM"),LEFT(B6657,7)))</f>
        <v/>
      </c>
    </row>
    <row r="6658">
      <c r="N6658" s="6">
        <f>IF(B6658="","",IF(ISNUMBER(B6658),TEXT(B6658,"YYYY-MM"),LEFT(B6658,7)))</f>
        <v/>
      </c>
    </row>
    <row r="6659">
      <c r="N6659" s="6">
        <f>IF(B6659="","",IF(ISNUMBER(B6659),TEXT(B6659,"YYYY-MM"),LEFT(B6659,7)))</f>
        <v/>
      </c>
    </row>
    <row r="6660">
      <c r="N6660" s="6">
        <f>IF(B6660="","",IF(ISNUMBER(B6660),TEXT(B6660,"YYYY-MM"),LEFT(B6660,7)))</f>
        <v/>
      </c>
    </row>
    <row r="6661">
      <c r="N6661" s="6">
        <f>IF(B6661="","",IF(ISNUMBER(B6661),TEXT(B6661,"YYYY-MM"),LEFT(B6661,7)))</f>
        <v/>
      </c>
    </row>
    <row r="6662">
      <c r="N6662" s="6">
        <f>IF(B6662="","",IF(ISNUMBER(B6662),TEXT(B6662,"YYYY-MM"),LEFT(B6662,7)))</f>
        <v/>
      </c>
    </row>
    <row r="6663">
      <c r="N6663" s="6">
        <f>IF(B6663="","",IF(ISNUMBER(B6663),TEXT(B6663,"YYYY-MM"),LEFT(B6663,7)))</f>
        <v/>
      </c>
    </row>
    <row r="6664">
      <c r="N6664" s="6">
        <f>IF(B6664="","",IF(ISNUMBER(B6664),TEXT(B6664,"YYYY-MM"),LEFT(B6664,7)))</f>
        <v/>
      </c>
    </row>
    <row r="6665">
      <c r="N6665" s="6">
        <f>IF(B6665="","",IF(ISNUMBER(B6665),TEXT(B6665,"YYYY-MM"),LEFT(B6665,7)))</f>
        <v/>
      </c>
    </row>
    <row r="6666">
      <c r="N6666" s="6">
        <f>IF(B6666="","",IF(ISNUMBER(B6666),TEXT(B6666,"YYYY-MM"),LEFT(B6666,7)))</f>
        <v/>
      </c>
    </row>
    <row r="6667">
      <c r="N6667" s="6">
        <f>IF(B6667="","",IF(ISNUMBER(B6667),TEXT(B6667,"YYYY-MM"),LEFT(B6667,7)))</f>
        <v/>
      </c>
    </row>
    <row r="6668">
      <c r="N6668" s="6">
        <f>IF(B6668="","",IF(ISNUMBER(B6668),TEXT(B6668,"YYYY-MM"),LEFT(B6668,7)))</f>
        <v/>
      </c>
    </row>
    <row r="6669">
      <c r="N6669" s="6">
        <f>IF(B6669="","",IF(ISNUMBER(B6669),TEXT(B6669,"YYYY-MM"),LEFT(B6669,7)))</f>
        <v/>
      </c>
    </row>
    <row r="6670">
      <c r="N6670" s="6">
        <f>IF(B6670="","",IF(ISNUMBER(B6670),TEXT(B6670,"YYYY-MM"),LEFT(B6670,7)))</f>
        <v/>
      </c>
    </row>
    <row r="6671">
      <c r="N6671" s="6">
        <f>IF(B6671="","",IF(ISNUMBER(B6671),TEXT(B6671,"YYYY-MM"),LEFT(B6671,7)))</f>
        <v/>
      </c>
    </row>
    <row r="6672">
      <c r="N6672" s="6">
        <f>IF(B6672="","",IF(ISNUMBER(B6672),TEXT(B6672,"YYYY-MM"),LEFT(B6672,7)))</f>
        <v/>
      </c>
    </row>
    <row r="6673">
      <c r="N6673" s="6">
        <f>IF(B6673="","",IF(ISNUMBER(B6673),TEXT(B6673,"YYYY-MM"),LEFT(B6673,7)))</f>
        <v/>
      </c>
    </row>
    <row r="6674">
      <c r="N6674" s="6">
        <f>IF(B6674="","",IF(ISNUMBER(B6674),TEXT(B6674,"YYYY-MM"),LEFT(B6674,7)))</f>
        <v/>
      </c>
    </row>
    <row r="6675">
      <c r="N6675" s="6">
        <f>IF(B6675="","",IF(ISNUMBER(B6675),TEXT(B6675,"YYYY-MM"),LEFT(B6675,7)))</f>
        <v/>
      </c>
    </row>
    <row r="6676">
      <c r="N6676" s="6">
        <f>IF(B6676="","",IF(ISNUMBER(B6676),TEXT(B6676,"YYYY-MM"),LEFT(B6676,7)))</f>
        <v/>
      </c>
    </row>
    <row r="6677">
      <c r="N6677" s="6">
        <f>IF(B6677="","",IF(ISNUMBER(B6677),TEXT(B6677,"YYYY-MM"),LEFT(B6677,7)))</f>
        <v/>
      </c>
    </row>
    <row r="6678">
      <c r="N6678" s="6">
        <f>IF(B6678="","",IF(ISNUMBER(B6678),TEXT(B6678,"YYYY-MM"),LEFT(B6678,7)))</f>
        <v/>
      </c>
    </row>
    <row r="6679">
      <c r="N6679" s="6">
        <f>IF(B6679="","",IF(ISNUMBER(B6679),TEXT(B6679,"YYYY-MM"),LEFT(B6679,7)))</f>
        <v/>
      </c>
    </row>
    <row r="6680">
      <c r="N6680" s="6">
        <f>IF(B6680="","",IF(ISNUMBER(B6680),TEXT(B6680,"YYYY-MM"),LEFT(B6680,7)))</f>
        <v/>
      </c>
    </row>
    <row r="6681">
      <c r="N6681" s="6">
        <f>IF(B6681="","",IF(ISNUMBER(B6681),TEXT(B6681,"YYYY-MM"),LEFT(B6681,7)))</f>
        <v/>
      </c>
    </row>
    <row r="6682">
      <c r="N6682" s="6">
        <f>IF(B6682="","",IF(ISNUMBER(B6682),TEXT(B6682,"YYYY-MM"),LEFT(B6682,7)))</f>
        <v/>
      </c>
    </row>
    <row r="6683">
      <c r="N6683" s="6">
        <f>IF(B6683="","",IF(ISNUMBER(B6683),TEXT(B6683,"YYYY-MM"),LEFT(B6683,7)))</f>
        <v/>
      </c>
    </row>
    <row r="6684">
      <c r="N6684" s="6">
        <f>IF(B6684="","",IF(ISNUMBER(B6684),TEXT(B6684,"YYYY-MM"),LEFT(B6684,7)))</f>
        <v/>
      </c>
    </row>
    <row r="6685">
      <c r="N6685" s="6">
        <f>IF(B6685="","",IF(ISNUMBER(B6685),TEXT(B6685,"YYYY-MM"),LEFT(B6685,7)))</f>
        <v/>
      </c>
    </row>
    <row r="6686">
      <c r="N6686" s="6">
        <f>IF(B6686="","",IF(ISNUMBER(B6686),TEXT(B6686,"YYYY-MM"),LEFT(B6686,7)))</f>
        <v/>
      </c>
    </row>
    <row r="6687">
      <c r="N6687" s="6">
        <f>IF(B6687="","",IF(ISNUMBER(B6687),TEXT(B6687,"YYYY-MM"),LEFT(B6687,7)))</f>
        <v/>
      </c>
    </row>
    <row r="6688">
      <c r="N6688" s="6">
        <f>IF(B6688="","",IF(ISNUMBER(B6688),TEXT(B6688,"YYYY-MM"),LEFT(B6688,7)))</f>
        <v/>
      </c>
    </row>
    <row r="6689">
      <c r="N6689" s="6">
        <f>IF(B6689="","",IF(ISNUMBER(B6689),TEXT(B6689,"YYYY-MM"),LEFT(B6689,7)))</f>
        <v/>
      </c>
    </row>
    <row r="6690">
      <c r="N6690" s="6">
        <f>IF(B6690="","",IF(ISNUMBER(B6690),TEXT(B6690,"YYYY-MM"),LEFT(B6690,7)))</f>
        <v/>
      </c>
    </row>
    <row r="6691">
      <c r="N6691" s="6">
        <f>IF(B6691="","",IF(ISNUMBER(B6691),TEXT(B6691,"YYYY-MM"),LEFT(B6691,7)))</f>
        <v/>
      </c>
    </row>
    <row r="6692">
      <c r="N6692" s="6">
        <f>IF(B6692="","",IF(ISNUMBER(B6692),TEXT(B6692,"YYYY-MM"),LEFT(B6692,7)))</f>
        <v/>
      </c>
    </row>
    <row r="6693">
      <c r="N6693" s="6">
        <f>IF(B6693="","",IF(ISNUMBER(B6693),TEXT(B6693,"YYYY-MM"),LEFT(B6693,7)))</f>
        <v/>
      </c>
    </row>
    <row r="6694">
      <c r="N6694" s="6">
        <f>IF(B6694="","",IF(ISNUMBER(B6694),TEXT(B6694,"YYYY-MM"),LEFT(B6694,7)))</f>
        <v/>
      </c>
    </row>
    <row r="6695">
      <c r="N6695" s="6">
        <f>IF(B6695="","",IF(ISNUMBER(B6695),TEXT(B6695,"YYYY-MM"),LEFT(B6695,7)))</f>
        <v/>
      </c>
    </row>
    <row r="6696">
      <c r="N6696" s="6">
        <f>IF(B6696="","",IF(ISNUMBER(B6696),TEXT(B6696,"YYYY-MM"),LEFT(B6696,7)))</f>
        <v/>
      </c>
    </row>
    <row r="6697">
      <c r="N6697" s="6">
        <f>IF(B6697="","",IF(ISNUMBER(B6697),TEXT(B6697,"YYYY-MM"),LEFT(B6697,7)))</f>
        <v/>
      </c>
    </row>
    <row r="6698">
      <c r="N6698" s="6">
        <f>IF(B6698="","",IF(ISNUMBER(B6698),TEXT(B6698,"YYYY-MM"),LEFT(B6698,7)))</f>
        <v/>
      </c>
    </row>
    <row r="6699">
      <c r="N6699" s="6">
        <f>IF(B6699="","",IF(ISNUMBER(B6699),TEXT(B6699,"YYYY-MM"),LEFT(B6699,7)))</f>
        <v/>
      </c>
    </row>
    <row r="6700">
      <c r="N6700" s="6">
        <f>IF(B6700="","",IF(ISNUMBER(B6700),TEXT(B6700,"YYYY-MM"),LEFT(B6700,7)))</f>
        <v/>
      </c>
    </row>
    <row r="6701">
      <c r="N6701" s="6">
        <f>IF(B6701="","",IF(ISNUMBER(B6701),TEXT(B6701,"YYYY-MM"),LEFT(B6701,7)))</f>
        <v/>
      </c>
    </row>
    <row r="6702">
      <c r="N6702" s="6">
        <f>IF(B6702="","",IF(ISNUMBER(B6702),TEXT(B6702,"YYYY-MM"),LEFT(B6702,7)))</f>
        <v/>
      </c>
    </row>
    <row r="6703">
      <c r="N6703" s="6">
        <f>IF(B6703="","",IF(ISNUMBER(B6703),TEXT(B6703,"YYYY-MM"),LEFT(B6703,7)))</f>
        <v/>
      </c>
    </row>
    <row r="6704">
      <c r="N6704" s="6">
        <f>IF(B6704="","",IF(ISNUMBER(B6704),TEXT(B6704,"YYYY-MM"),LEFT(B6704,7)))</f>
        <v/>
      </c>
    </row>
    <row r="6705">
      <c r="N6705" s="6">
        <f>IF(B6705="","",IF(ISNUMBER(B6705),TEXT(B6705,"YYYY-MM"),LEFT(B6705,7)))</f>
        <v/>
      </c>
    </row>
    <row r="6706">
      <c r="N6706" s="6">
        <f>IF(B6706="","",IF(ISNUMBER(B6706),TEXT(B6706,"YYYY-MM"),LEFT(B6706,7)))</f>
        <v/>
      </c>
    </row>
    <row r="6707">
      <c r="N6707" s="6">
        <f>IF(B6707="","",IF(ISNUMBER(B6707),TEXT(B6707,"YYYY-MM"),LEFT(B6707,7)))</f>
        <v/>
      </c>
    </row>
    <row r="6708">
      <c r="N6708" s="6">
        <f>IF(B6708="","",IF(ISNUMBER(B6708),TEXT(B6708,"YYYY-MM"),LEFT(B6708,7)))</f>
        <v/>
      </c>
    </row>
    <row r="6709">
      <c r="N6709" s="6">
        <f>IF(B6709="","",IF(ISNUMBER(B6709),TEXT(B6709,"YYYY-MM"),LEFT(B6709,7)))</f>
        <v/>
      </c>
    </row>
    <row r="6710">
      <c r="N6710" s="6">
        <f>IF(B6710="","",IF(ISNUMBER(B6710),TEXT(B6710,"YYYY-MM"),LEFT(B6710,7)))</f>
        <v/>
      </c>
    </row>
    <row r="6711">
      <c r="N6711" s="6">
        <f>IF(B6711="","",IF(ISNUMBER(B6711),TEXT(B6711,"YYYY-MM"),LEFT(B6711,7)))</f>
        <v/>
      </c>
    </row>
    <row r="6712">
      <c r="N6712" s="6">
        <f>IF(B6712="","",IF(ISNUMBER(B6712),TEXT(B6712,"YYYY-MM"),LEFT(B6712,7)))</f>
        <v/>
      </c>
    </row>
    <row r="6713">
      <c r="N6713" s="6">
        <f>IF(B6713="","",IF(ISNUMBER(B6713),TEXT(B6713,"YYYY-MM"),LEFT(B6713,7)))</f>
        <v/>
      </c>
    </row>
    <row r="6714">
      <c r="N6714" s="6">
        <f>IF(B6714="","",IF(ISNUMBER(B6714),TEXT(B6714,"YYYY-MM"),LEFT(B6714,7)))</f>
        <v/>
      </c>
    </row>
    <row r="6715">
      <c r="N6715" s="6">
        <f>IF(B6715="","",IF(ISNUMBER(B6715),TEXT(B6715,"YYYY-MM"),LEFT(B6715,7)))</f>
        <v/>
      </c>
    </row>
    <row r="6716">
      <c r="N6716" s="6">
        <f>IF(B6716="","",IF(ISNUMBER(B6716),TEXT(B6716,"YYYY-MM"),LEFT(B6716,7)))</f>
        <v/>
      </c>
    </row>
    <row r="6717">
      <c r="N6717" s="6">
        <f>IF(B6717="","",IF(ISNUMBER(B6717),TEXT(B6717,"YYYY-MM"),LEFT(B6717,7)))</f>
        <v/>
      </c>
    </row>
    <row r="6718">
      <c r="N6718" s="6">
        <f>IF(B6718="","",IF(ISNUMBER(B6718),TEXT(B6718,"YYYY-MM"),LEFT(B6718,7)))</f>
        <v/>
      </c>
    </row>
    <row r="6719">
      <c r="N6719" s="6">
        <f>IF(B6719="","",IF(ISNUMBER(B6719),TEXT(B6719,"YYYY-MM"),LEFT(B6719,7)))</f>
        <v/>
      </c>
    </row>
    <row r="6720">
      <c r="N6720" s="6">
        <f>IF(B6720="","",IF(ISNUMBER(B6720),TEXT(B6720,"YYYY-MM"),LEFT(B6720,7)))</f>
        <v/>
      </c>
    </row>
    <row r="6721">
      <c r="N6721" s="6">
        <f>IF(B6721="","",IF(ISNUMBER(B6721),TEXT(B6721,"YYYY-MM"),LEFT(B6721,7)))</f>
        <v/>
      </c>
    </row>
    <row r="6722">
      <c r="N6722" s="6">
        <f>IF(B6722="","",IF(ISNUMBER(B6722),TEXT(B6722,"YYYY-MM"),LEFT(B6722,7)))</f>
        <v/>
      </c>
    </row>
    <row r="6723">
      <c r="N6723" s="6">
        <f>IF(B6723="","",IF(ISNUMBER(B6723),TEXT(B6723,"YYYY-MM"),LEFT(B6723,7)))</f>
        <v/>
      </c>
    </row>
    <row r="6724">
      <c r="N6724" s="6">
        <f>IF(B6724="","",IF(ISNUMBER(B6724),TEXT(B6724,"YYYY-MM"),LEFT(B6724,7)))</f>
        <v/>
      </c>
    </row>
    <row r="6725">
      <c r="N6725" s="6">
        <f>IF(B6725="","",IF(ISNUMBER(B6725),TEXT(B6725,"YYYY-MM"),LEFT(B6725,7)))</f>
        <v/>
      </c>
    </row>
    <row r="6726">
      <c r="N6726" s="6">
        <f>IF(B6726="","",IF(ISNUMBER(B6726),TEXT(B6726,"YYYY-MM"),LEFT(B6726,7)))</f>
        <v/>
      </c>
    </row>
    <row r="6727">
      <c r="N6727" s="6">
        <f>IF(B6727="","",IF(ISNUMBER(B6727),TEXT(B6727,"YYYY-MM"),LEFT(B6727,7)))</f>
        <v/>
      </c>
    </row>
    <row r="6728">
      <c r="N6728" s="6">
        <f>IF(B6728="","",IF(ISNUMBER(B6728),TEXT(B6728,"YYYY-MM"),LEFT(B6728,7)))</f>
        <v/>
      </c>
    </row>
    <row r="6729">
      <c r="N6729" s="6">
        <f>IF(B6729="","",IF(ISNUMBER(B6729),TEXT(B6729,"YYYY-MM"),LEFT(B6729,7)))</f>
        <v/>
      </c>
    </row>
    <row r="6730">
      <c r="N6730" s="6">
        <f>IF(B6730="","",IF(ISNUMBER(B6730),TEXT(B6730,"YYYY-MM"),LEFT(B6730,7)))</f>
        <v/>
      </c>
    </row>
    <row r="6731">
      <c r="N6731" s="6">
        <f>IF(B6731="","",IF(ISNUMBER(B6731),TEXT(B6731,"YYYY-MM"),LEFT(B6731,7)))</f>
        <v/>
      </c>
    </row>
    <row r="6732">
      <c r="N6732" s="6">
        <f>IF(B6732="","",IF(ISNUMBER(B6732),TEXT(B6732,"YYYY-MM"),LEFT(B6732,7)))</f>
        <v/>
      </c>
    </row>
    <row r="6733">
      <c r="N6733" s="6">
        <f>IF(B6733="","",IF(ISNUMBER(B6733),TEXT(B6733,"YYYY-MM"),LEFT(B6733,7)))</f>
        <v/>
      </c>
    </row>
    <row r="6734">
      <c r="N6734" s="6">
        <f>IF(B6734="","",IF(ISNUMBER(B6734),TEXT(B6734,"YYYY-MM"),LEFT(B6734,7)))</f>
        <v/>
      </c>
    </row>
    <row r="6735">
      <c r="N6735" s="6">
        <f>IF(B6735="","",IF(ISNUMBER(B6735),TEXT(B6735,"YYYY-MM"),LEFT(B6735,7)))</f>
        <v/>
      </c>
    </row>
    <row r="6736">
      <c r="N6736" s="6">
        <f>IF(B6736="","",IF(ISNUMBER(B6736),TEXT(B6736,"YYYY-MM"),LEFT(B6736,7)))</f>
        <v/>
      </c>
    </row>
    <row r="6737">
      <c r="N6737" s="6">
        <f>IF(B6737="","",IF(ISNUMBER(B6737),TEXT(B6737,"YYYY-MM"),LEFT(B6737,7)))</f>
        <v/>
      </c>
    </row>
    <row r="6738">
      <c r="N6738" s="6">
        <f>IF(B6738="","",IF(ISNUMBER(B6738),TEXT(B6738,"YYYY-MM"),LEFT(B6738,7)))</f>
        <v/>
      </c>
    </row>
    <row r="6739">
      <c r="N6739" s="6">
        <f>IF(B6739="","",IF(ISNUMBER(B6739),TEXT(B6739,"YYYY-MM"),LEFT(B6739,7)))</f>
        <v/>
      </c>
    </row>
    <row r="6740">
      <c r="N6740" s="6">
        <f>IF(B6740="","",IF(ISNUMBER(B6740),TEXT(B6740,"YYYY-MM"),LEFT(B6740,7)))</f>
        <v/>
      </c>
    </row>
    <row r="6741">
      <c r="N6741" s="6">
        <f>IF(B6741="","",IF(ISNUMBER(B6741),TEXT(B6741,"YYYY-MM"),LEFT(B6741,7)))</f>
        <v/>
      </c>
    </row>
    <row r="6742">
      <c r="N6742" s="6">
        <f>IF(B6742="","",IF(ISNUMBER(B6742),TEXT(B6742,"YYYY-MM"),LEFT(B6742,7)))</f>
        <v/>
      </c>
    </row>
    <row r="6743">
      <c r="N6743" s="6">
        <f>IF(B6743="","",IF(ISNUMBER(B6743),TEXT(B6743,"YYYY-MM"),LEFT(B6743,7)))</f>
        <v/>
      </c>
    </row>
    <row r="6744">
      <c r="N6744" s="6">
        <f>IF(B6744="","",IF(ISNUMBER(B6744),TEXT(B6744,"YYYY-MM"),LEFT(B6744,7)))</f>
        <v/>
      </c>
    </row>
    <row r="6745">
      <c r="N6745" s="6">
        <f>IF(B6745="","",IF(ISNUMBER(B6745),TEXT(B6745,"YYYY-MM"),LEFT(B6745,7)))</f>
        <v/>
      </c>
    </row>
    <row r="6746">
      <c r="N6746" s="6">
        <f>IF(B6746="","",IF(ISNUMBER(B6746),TEXT(B6746,"YYYY-MM"),LEFT(B6746,7)))</f>
        <v/>
      </c>
    </row>
    <row r="6747">
      <c r="N6747" s="6">
        <f>IF(B6747="","",IF(ISNUMBER(B6747),TEXT(B6747,"YYYY-MM"),LEFT(B6747,7)))</f>
        <v/>
      </c>
    </row>
    <row r="6748">
      <c r="N6748" s="6">
        <f>IF(B6748="","",IF(ISNUMBER(B6748),TEXT(B6748,"YYYY-MM"),LEFT(B6748,7)))</f>
        <v/>
      </c>
    </row>
    <row r="6749">
      <c r="N6749" s="6">
        <f>IF(B6749="","",IF(ISNUMBER(B6749),TEXT(B6749,"YYYY-MM"),LEFT(B6749,7)))</f>
        <v/>
      </c>
    </row>
    <row r="6750">
      <c r="N6750" s="6">
        <f>IF(B6750="","",IF(ISNUMBER(B6750),TEXT(B6750,"YYYY-MM"),LEFT(B6750,7)))</f>
        <v/>
      </c>
    </row>
    <row r="6751">
      <c r="N6751" s="6">
        <f>IF(B6751="","",IF(ISNUMBER(B6751),TEXT(B6751,"YYYY-MM"),LEFT(B6751,7)))</f>
        <v/>
      </c>
    </row>
    <row r="6752">
      <c r="N6752" s="6">
        <f>IF(B6752="","",IF(ISNUMBER(B6752),TEXT(B6752,"YYYY-MM"),LEFT(B6752,7)))</f>
        <v/>
      </c>
    </row>
    <row r="6753">
      <c r="N6753" s="6">
        <f>IF(B6753="","",IF(ISNUMBER(B6753),TEXT(B6753,"YYYY-MM"),LEFT(B6753,7)))</f>
        <v/>
      </c>
    </row>
    <row r="6754">
      <c r="N6754" s="6">
        <f>IF(B6754="","",IF(ISNUMBER(B6754),TEXT(B6754,"YYYY-MM"),LEFT(B6754,7)))</f>
        <v/>
      </c>
    </row>
    <row r="6755">
      <c r="N6755" s="6">
        <f>IF(B6755="","",IF(ISNUMBER(B6755),TEXT(B6755,"YYYY-MM"),LEFT(B6755,7)))</f>
        <v/>
      </c>
    </row>
    <row r="6756">
      <c r="N6756" s="6">
        <f>IF(B6756="","",IF(ISNUMBER(B6756),TEXT(B6756,"YYYY-MM"),LEFT(B6756,7)))</f>
        <v/>
      </c>
    </row>
    <row r="6757">
      <c r="N6757" s="6">
        <f>IF(B6757="","",IF(ISNUMBER(B6757),TEXT(B6757,"YYYY-MM"),LEFT(B6757,7)))</f>
        <v/>
      </c>
    </row>
    <row r="6758">
      <c r="N6758" s="6">
        <f>IF(B6758="","",IF(ISNUMBER(B6758),TEXT(B6758,"YYYY-MM"),LEFT(B6758,7)))</f>
        <v/>
      </c>
    </row>
    <row r="6759">
      <c r="N6759" s="6">
        <f>IF(B6759="","",IF(ISNUMBER(B6759),TEXT(B6759,"YYYY-MM"),LEFT(B6759,7)))</f>
        <v/>
      </c>
    </row>
    <row r="6760">
      <c r="N6760" s="6">
        <f>IF(B6760="","",IF(ISNUMBER(B6760),TEXT(B6760,"YYYY-MM"),LEFT(B6760,7)))</f>
        <v/>
      </c>
    </row>
    <row r="6761">
      <c r="N6761" s="6">
        <f>IF(B6761="","",IF(ISNUMBER(B6761),TEXT(B6761,"YYYY-MM"),LEFT(B6761,7)))</f>
        <v/>
      </c>
    </row>
    <row r="6762">
      <c r="N6762" s="6">
        <f>IF(B6762="","",IF(ISNUMBER(B6762),TEXT(B6762,"YYYY-MM"),LEFT(B6762,7)))</f>
        <v/>
      </c>
    </row>
    <row r="6763">
      <c r="N6763" s="6">
        <f>IF(B6763="","",IF(ISNUMBER(B6763),TEXT(B6763,"YYYY-MM"),LEFT(B6763,7)))</f>
        <v/>
      </c>
    </row>
    <row r="6764">
      <c r="N6764" s="6">
        <f>IF(B6764="","",IF(ISNUMBER(B6764),TEXT(B6764,"YYYY-MM"),LEFT(B6764,7)))</f>
        <v/>
      </c>
    </row>
    <row r="6765">
      <c r="N6765" s="6">
        <f>IF(B6765="","",IF(ISNUMBER(B6765),TEXT(B6765,"YYYY-MM"),LEFT(B6765,7)))</f>
        <v/>
      </c>
    </row>
    <row r="6766">
      <c r="N6766" s="6">
        <f>IF(B6766="","",IF(ISNUMBER(B6766),TEXT(B6766,"YYYY-MM"),LEFT(B6766,7)))</f>
        <v/>
      </c>
    </row>
    <row r="6767">
      <c r="N6767" s="6">
        <f>IF(B6767="","",IF(ISNUMBER(B6767),TEXT(B6767,"YYYY-MM"),LEFT(B6767,7)))</f>
        <v/>
      </c>
    </row>
    <row r="6768">
      <c r="N6768" s="6">
        <f>IF(B6768="","",IF(ISNUMBER(B6768),TEXT(B6768,"YYYY-MM"),LEFT(B6768,7)))</f>
        <v/>
      </c>
    </row>
    <row r="6769">
      <c r="N6769" s="6">
        <f>IF(B6769="","",IF(ISNUMBER(B6769),TEXT(B6769,"YYYY-MM"),LEFT(B6769,7)))</f>
        <v/>
      </c>
    </row>
    <row r="6770">
      <c r="N6770" s="6">
        <f>IF(B6770="","",IF(ISNUMBER(B6770),TEXT(B6770,"YYYY-MM"),LEFT(B6770,7)))</f>
        <v/>
      </c>
    </row>
    <row r="6771">
      <c r="N6771" s="6">
        <f>IF(B6771="","",IF(ISNUMBER(B6771),TEXT(B6771,"YYYY-MM"),LEFT(B6771,7)))</f>
        <v/>
      </c>
    </row>
    <row r="6772">
      <c r="N6772" s="6">
        <f>IF(B6772="","",IF(ISNUMBER(B6772),TEXT(B6772,"YYYY-MM"),LEFT(B6772,7)))</f>
        <v/>
      </c>
    </row>
    <row r="6773">
      <c r="N6773" s="6">
        <f>IF(B6773="","",IF(ISNUMBER(B6773),TEXT(B6773,"YYYY-MM"),LEFT(B6773,7)))</f>
        <v/>
      </c>
    </row>
    <row r="6774">
      <c r="N6774" s="6">
        <f>IF(B6774="","",IF(ISNUMBER(B6774),TEXT(B6774,"YYYY-MM"),LEFT(B6774,7)))</f>
        <v/>
      </c>
    </row>
    <row r="6775">
      <c r="N6775" s="6">
        <f>IF(B6775="","",IF(ISNUMBER(B6775),TEXT(B6775,"YYYY-MM"),LEFT(B6775,7)))</f>
        <v/>
      </c>
    </row>
    <row r="6776">
      <c r="N6776" s="6">
        <f>IF(B6776="","",IF(ISNUMBER(B6776),TEXT(B6776,"YYYY-MM"),LEFT(B6776,7)))</f>
        <v/>
      </c>
    </row>
    <row r="6777">
      <c r="N6777" s="6">
        <f>IF(B6777="","",IF(ISNUMBER(B6777),TEXT(B6777,"YYYY-MM"),LEFT(B6777,7)))</f>
        <v/>
      </c>
    </row>
    <row r="6778">
      <c r="N6778" s="6">
        <f>IF(B6778="","",IF(ISNUMBER(B6778),TEXT(B6778,"YYYY-MM"),LEFT(B6778,7)))</f>
        <v/>
      </c>
    </row>
    <row r="6779">
      <c r="N6779" s="6">
        <f>IF(B6779="","",IF(ISNUMBER(B6779),TEXT(B6779,"YYYY-MM"),LEFT(B6779,7)))</f>
        <v/>
      </c>
    </row>
    <row r="6780">
      <c r="N6780" s="6">
        <f>IF(B6780="","",IF(ISNUMBER(B6780),TEXT(B6780,"YYYY-MM"),LEFT(B6780,7)))</f>
        <v/>
      </c>
    </row>
    <row r="6781">
      <c r="N6781" s="6">
        <f>IF(B6781="","",IF(ISNUMBER(B6781),TEXT(B6781,"YYYY-MM"),LEFT(B6781,7)))</f>
        <v/>
      </c>
    </row>
    <row r="6782">
      <c r="N6782" s="6">
        <f>IF(B6782="","",IF(ISNUMBER(B6782),TEXT(B6782,"YYYY-MM"),LEFT(B6782,7)))</f>
        <v/>
      </c>
    </row>
    <row r="6783">
      <c r="N6783" s="6">
        <f>IF(B6783="","",IF(ISNUMBER(B6783),TEXT(B6783,"YYYY-MM"),LEFT(B6783,7)))</f>
        <v/>
      </c>
    </row>
    <row r="6784">
      <c r="N6784" s="6">
        <f>IF(B6784="","",IF(ISNUMBER(B6784),TEXT(B6784,"YYYY-MM"),LEFT(B6784,7)))</f>
        <v/>
      </c>
    </row>
    <row r="6785">
      <c r="N6785" s="6">
        <f>IF(B6785="","",IF(ISNUMBER(B6785),TEXT(B6785,"YYYY-MM"),LEFT(B6785,7)))</f>
        <v/>
      </c>
    </row>
    <row r="6786">
      <c r="N6786" s="6">
        <f>IF(B6786="","",IF(ISNUMBER(B6786),TEXT(B6786,"YYYY-MM"),LEFT(B6786,7)))</f>
        <v/>
      </c>
    </row>
    <row r="6787">
      <c r="N6787" s="6">
        <f>IF(B6787="","",IF(ISNUMBER(B6787),TEXT(B6787,"YYYY-MM"),LEFT(B6787,7)))</f>
        <v/>
      </c>
    </row>
    <row r="6788">
      <c r="N6788" s="6">
        <f>IF(B6788="","",IF(ISNUMBER(B6788),TEXT(B6788,"YYYY-MM"),LEFT(B6788,7)))</f>
        <v/>
      </c>
    </row>
    <row r="6789">
      <c r="N6789" s="6">
        <f>IF(B6789="","",IF(ISNUMBER(B6789),TEXT(B6789,"YYYY-MM"),LEFT(B6789,7)))</f>
        <v/>
      </c>
    </row>
    <row r="6790">
      <c r="N6790" s="6">
        <f>IF(B6790="","",IF(ISNUMBER(B6790),TEXT(B6790,"YYYY-MM"),LEFT(B6790,7)))</f>
        <v/>
      </c>
    </row>
    <row r="6791">
      <c r="N6791" s="6">
        <f>IF(B6791="","",IF(ISNUMBER(B6791),TEXT(B6791,"YYYY-MM"),LEFT(B6791,7)))</f>
        <v/>
      </c>
    </row>
    <row r="6792">
      <c r="N6792" s="6">
        <f>IF(B6792="","",IF(ISNUMBER(B6792),TEXT(B6792,"YYYY-MM"),LEFT(B6792,7)))</f>
        <v/>
      </c>
    </row>
    <row r="6793">
      <c r="N6793" s="6">
        <f>IF(B6793="","",IF(ISNUMBER(B6793),TEXT(B6793,"YYYY-MM"),LEFT(B6793,7)))</f>
        <v/>
      </c>
    </row>
    <row r="6794">
      <c r="N6794" s="6">
        <f>IF(B6794="","",IF(ISNUMBER(B6794),TEXT(B6794,"YYYY-MM"),LEFT(B6794,7)))</f>
        <v/>
      </c>
    </row>
    <row r="6795">
      <c r="N6795" s="6">
        <f>IF(B6795="","",IF(ISNUMBER(B6795),TEXT(B6795,"YYYY-MM"),LEFT(B6795,7)))</f>
        <v/>
      </c>
    </row>
    <row r="6796">
      <c r="N6796" s="6">
        <f>IF(B6796="","",IF(ISNUMBER(B6796),TEXT(B6796,"YYYY-MM"),LEFT(B6796,7)))</f>
        <v/>
      </c>
    </row>
    <row r="6797">
      <c r="N6797" s="6">
        <f>IF(B6797="","",IF(ISNUMBER(B6797),TEXT(B6797,"YYYY-MM"),LEFT(B6797,7)))</f>
        <v/>
      </c>
    </row>
    <row r="6798">
      <c r="N6798" s="6">
        <f>IF(B6798="","",IF(ISNUMBER(B6798),TEXT(B6798,"YYYY-MM"),LEFT(B6798,7)))</f>
        <v/>
      </c>
    </row>
    <row r="6799">
      <c r="N6799" s="6">
        <f>IF(B6799="","",IF(ISNUMBER(B6799),TEXT(B6799,"YYYY-MM"),LEFT(B6799,7)))</f>
        <v/>
      </c>
    </row>
    <row r="6800">
      <c r="N6800" s="6">
        <f>IF(B6800="","",IF(ISNUMBER(B6800),TEXT(B6800,"YYYY-MM"),LEFT(B6800,7)))</f>
        <v/>
      </c>
    </row>
    <row r="6801">
      <c r="N6801" s="6">
        <f>IF(B6801="","",IF(ISNUMBER(B6801),TEXT(B6801,"YYYY-MM"),LEFT(B6801,7)))</f>
        <v/>
      </c>
    </row>
    <row r="6802">
      <c r="N6802" s="6">
        <f>IF(B6802="","",IF(ISNUMBER(B6802),TEXT(B6802,"YYYY-MM"),LEFT(B6802,7)))</f>
        <v/>
      </c>
    </row>
    <row r="6803">
      <c r="N6803" s="6">
        <f>IF(B6803="","",IF(ISNUMBER(B6803),TEXT(B6803,"YYYY-MM"),LEFT(B6803,7)))</f>
        <v/>
      </c>
    </row>
    <row r="6804">
      <c r="N6804" s="6">
        <f>IF(B6804="","",IF(ISNUMBER(B6804),TEXT(B6804,"YYYY-MM"),LEFT(B6804,7)))</f>
        <v/>
      </c>
    </row>
    <row r="6805">
      <c r="N6805" s="6">
        <f>IF(B6805="","",IF(ISNUMBER(B6805),TEXT(B6805,"YYYY-MM"),LEFT(B6805,7)))</f>
        <v/>
      </c>
    </row>
    <row r="6806">
      <c r="N6806" s="6">
        <f>IF(B6806="","",IF(ISNUMBER(B6806),TEXT(B6806,"YYYY-MM"),LEFT(B6806,7)))</f>
        <v/>
      </c>
    </row>
    <row r="6807">
      <c r="N6807" s="6">
        <f>IF(B6807="","",IF(ISNUMBER(B6807),TEXT(B6807,"YYYY-MM"),LEFT(B6807,7)))</f>
        <v/>
      </c>
    </row>
    <row r="6808">
      <c r="N6808" s="6">
        <f>IF(B6808="","",IF(ISNUMBER(B6808),TEXT(B6808,"YYYY-MM"),LEFT(B6808,7)))</f>
        <v/>
      </c>
    </row>
    <row r="6809">
      <c r="N6809" s="6">
        <f>IF(B6809="","",IF(ISNUMBER(B6809),TEXT(B6809,"YYYY-MM"),LEFT(B6809,7)))</f>
        <v/>
      </c>
    </row>
    <row r="6810">
      <c r="N6810" s="6">
        <f>IF(B6810="","",IF(ISNUMBER(B6810),TEXT(B6810,"YYYY-MM"),LEFT(B6810,7)))</f>
        <v/>
      </c>
    </row>
    <row r="6811">
      <c r="N6811" s="6">
        <f>IF(B6811="","",IF(ISNUMBER(B6811),TEXT(B6811,"YYYY-MM"),LEFT(B6811,7)))</f>
        <v/>
      </c>
    </row>
    <row r="6812">
      <c r="N6812" s="6">
        <f>IF(B6812="","",IF(ISNUMBER(B6812),TEXT(B6812,"YYYY-MM"),LEFT(B6812,7)))</f>
        <v/>
      </c>
    </row>
    <row r="6813">
      <c r="N6813" s="6">
        <f>IF(B6813="","",IF(ISNUMBER(B6813),TEXT(B6813,"YYYY-MM"),LEFT(B6813,7)))</f>
        <v/>
      </c>
    </row>
    <row r="6814">
      <c r="N6814" s="6">
        <f>IF(B6814="","",IF(ISNUMBER(B6814),TEXT(B6814,"YYYY-MM"),LEFT(B6814,7)))</f>
        <v/>
      </c>
    </row>
    <row r="6815">
      <c r="N6815" s="6">
        <f>IF(B6815="","",IF(ISNUMBER(B6815),TEXT(B6815,"YYYY-MM"),LEFT(B6815,7)))</f>
        <v/>
      </c>
    </row>
    <row r="6816">
      <c r="N6816" s="6">
        <f>IF(B6816="","",IF(ISNUMBER(B6816),TEXT(B6816,"YYYY-MM"),LEFT(B6816,7)))</f>
        <v/>
      </c>
    </row>
    <row r="6817">
      <c r="N6817" s="6">
        <f>IF(B6817="","",IF(ISNUMBER(B6817),TEXT(B6817,"YYYY-MM"),LEFT(B6817,7)))</f>
        <v/>
      </c>
    </row>
    <row r="6818">
      <c r="N6818" s="6">
        <f>IF(B6818="","",IF(ISNUMBER(B6818),TEXT(B6818,"YYYY-MM"),LEFT(B6818,7)))</f>
        <v/>
      </c>
    </row>
    <row r="6819">
      <c r="N6819" s="6">
        <f>IF(B6819="","",IF(ISNUMBER(B6819),TEXT(B6819,"YYYY-MM"),LEFT(B6819,7)))</f>
        <v/>
      </c>
    </row>
    <row r="6820">
      <c r="N6820" s="6">
        <f>IF(B6820="","",IF(ISNUMBER(B6820),TEXT(B6820,"YYYY-MM"),LEFT(B6820,7)))</f>
        <v/>
      </c>
    </row>
    <row r="6821">
      <c r="N6821" s="6">
        <f>IF(B6821="","",IF(ISNUMBER(B6821),TEXT(B6821,"YYYY-MM"),LEFT(B6821,7)))</f>
        <v/>
      </c>
    </row>
    <row r="6822">
      <c r="N6822" s="6">
        <f>IF(B6822="","",IF(ISNUMBER(B6822),TEXT(B6822,"YYYY-MM"),LEFT(B6822,7)))</f>
        <v/>
      </c>
    </row>
    <row r="6823">
      <c r="N6823" s="6">
        <f>IF(B6823="","",IF(ISNUMBER(B6823),TEXT(B6823,"YYYY-MM"),LEFT(B6823,7)))</f>
        <v/>
      </c>
    </row>
    <row r="6824">
      <c r="N6824" s="6">
        <f>IF(B6824="","",IF(ISNUMBER(B6824),TEXT(B6824,"YYYY-MM"),LEFT(B6824,7)))</f>
        <v/>
      </c>
    </row>
    <row r="6825">
      <c r="N6825" s="6">
        <f>IF(B6825="","",IF(ISNUMBER(B6825),TEXT(B6825,"YYYY-MM"),LEFT(B6825,7)))</f>
        <v/>
      </c>
    </row>
    <row r="6826">
      <c r="N6826" s="6">
        <f>IF(B6826="","",IF(ISNUMBER(B6826),TEXT(B6826,"YYYY-MM"),LEFT(B6826,7)))</f>
        <v/>
      </c>
    </row>
    <row r="6827">
      <c r="N6827" s="6">
        <f>IF(B6827="","",IF(ISNUMBER(B6827),TEXT(B6827,"YYYY-MM"),LEFT(B6827,7)))</f>
        <v/>
      </c>
    </row>
    <row r="6828">
      <c r="N6828" s="6">
        <f>IF(B6828="","",IF(ISNUMBER(B6828),TEXT(B6828,"YYYY-MM"),LEFT(B6828,7)))</f>
        <v/>
      </c>
    </row>
    <row r="6829">
      <c r="N6829" s="6">
        <f>IF(B6829="","",IF(ISNUMBER(B6829),TEXT(B6829,"YYYY-MM"),LEFT(B6829,7)))</f>
        <v/>
      </c>
    </row>
    <row r="6830">
      <c r="N6830" s="6">
        <f>IF(B6830="","",IF(ISNUMBER(B6830),TEXT(B6830,"YYYY-MM"),LEFT(B6830,7)))</f>
        <v/>
      </c>
    </row>
    <row r="6831">
      <c r="N6831" s="6">
        <f>IF(B6831="","",IF(ISNUMBER(B6831),TEXT(B6831,"YYYY-MM"),LEFT(B6831,7)))</f>
        <v/>
      </c>
    </row>
    <row r="6832">
      <c r="N6832" s="6">
        <f>IF(B6832="","",IF(ISNUMBER(B6832),TEXT(B6832,"YYYY-MM"),LEFT(B6832,7)))</f>
        <v/>
      </c>
    </row>
    <row r="6833">
      <c r="N6833" s="6">
        <f>IF(B6833="","",IF(ISNUMBER(B6833),TEXT(B6833,"YYYY-MM"),LEFT(B6833,7)))</f>
        <v/>
      </c>
    </row>
    <row r="6834">
      <c r="N6834" s="6">
        <f>IF(B6834="","",IF(ISNUMBER(B6834),TEXT(B6834,"YYYY-MM"),LEFT(B6834,7)))</f>
        <v/>
      </c>
    </row>
    <row r="6835">
      <c r="N6835" s="6">
        <f>IF(B6835="","",IF(ISNUMBER(B6835),TEXT(B6835,"YYYY-MM"),LEFT(B6835,7)))</f>
        <v/>
      </c>
    </row>
    <row r="6836">
      <c r="N6836" s="6">
        <f>IF(B6836="","",IF(ISNUMBER(B6836),TEXT(B6836,"YYYY-MM"),LEFT(B6836,7)))</f>
        <v/>
      </c>
    </row>
    <row r="6837">
      <c r="N6837" s="6">
        <f>IF(B6837="","",IF(ISNUMBER(B6837),TEXT(B6837,"YYYY-MM"),LEFT(B6837,7)))</f>
        <v/>
      </c>
    </row>
    <row r="6838">
      <c r="N6838" s="6">
        <f>IF(B6838="","",IF(ISNUMBER(B6838),TEXT(B6838,"YYYY-MM"),LEFT(B6838,7)))</f>
        <v/>
      </c>
    </row>
    <row r="6839">
      <c r="N6839" s="6">
        <f>IF(B6839="","",IF(ISNUMBER(B6839),TEXT(B6839,"YYYY-MM"),LEFT(B6839,7)))</f>
        <v/>
      </c>
    </row>
    <row r="6840">
      <c r="N6840" s="6">
        <f>IF(B6840="","",IF(ISNUMBER(B6840),TEXT(B6840,"YYYY-MM"),LEFT(B6840,7)))</f>
        <v/>
      </c>
    </row>
    <row r="6841">
      <c r="N6841" s="6">
        <f>IF(B6841="","",IF(ISNUMBER(B6841),TEXT(B6841,"YYYY-MM"),LEFT(B6841,7)))</f>
        <v/>
      </c>
    </row>
    <row r="6842">
      <c r="N6842" s="6">
        <f>IF(B6842="","",IF(ISNUMBER(B6842),TEXT(B6842,"YYYY-MM"),LEFT(B6842,7)))</f>
        <v/>
      </c>
    </row>
    <row r="6843">
      <c r="N6843" s="6">
        <f>IF(B6843="","",IF(ISNUMBER(B6843),TEXT(B6843,"YYYY-MM"),LEFT(B6843,7)))</f>
        <v/>
      </c>
    </row>
    <row r="6844">
      <c r="N6844" s="6">
        <f>IF(B6844="","",IF(ISNUMBER(B6844),TEXT(B6844,"YYYY-MM"),LEFT(B6844,7)))</f>
        <v/>
      </c>
    </row>
    <row r="6845">
      <c r="N6845" s="6">
        <f>IF(B6845="","",IF(ISNUMBER(B6845),TEXT(B6845,"YYYY-MM"),LEFT(B6845,7)))</f>
        <v/>
      </c>
    </row>
    <row r="6846">
      <c r="N6846" s="6">
        <f>IF(B6846="","",IF(ISNUMBER(B6846),TEXT(B6846,"YYYY-MM"),LEFT(B6846,7)))</f>
        <v/>
      </c>
    </row>
    <row r="6847">
      <c r="N6847" s="6">
        <f>IF(B6847="","",IF(ISNUMBER(B6847),TEXT(B6847,"YYYY-MM"),LEFT(B6847,7)))</f>
        <v/>
      </c>
    </row>
    <row r="6848">
      <c r="N6848" s="6">
        <f>IF(B6848="","",IF(ISNUMBER(B6848),TEXT(B6848,"YYYY-MM"),LEFT(B6848,7)))</f>
        <v/>
      </c>
    </row>
    <row r="6849">
      <c r="N6849" s="6">
        <f>IF(B6849="","",IF(ISNUMBER(B6849),TEXT(B6849,"YYYY-MM"),LEFT(B6849,7)))</f>
        <v/>
      </c>
    </row>
    <row r="6850">
      <c r="N6850" s="6">
        <f>IF(B6850="","",IF(ISNUMBER(B6850),TEXT(B6850,"YYYY-MM"),LEFT(B6850,7)))</f>
        <v/>
      </c>
    </row>
    <row r="6851">
      <c r="N6851" s="6">
        <f>IF(B6851="","",IF(ISNUMBER(B6851),TEXT(B6851,"YYYY-MM"),LEFT(B6851,7)))</f>
        <v/>
      </c>
    </row>
    <row r="6852">
      <c r="N6852" s="6">
        <f>IF(B6852="","",IF(ISNUMBER(B6852),TEXT(B6852,"YYYY-MM"),LEFT(B6852,7)))</f>
        <v/>
      </c>
    </row>
    <row r="6853">
      <c r="N6853" s="6">
        <f>IF(B6853="","",IF(ISNUMBER(B6853),TEXT(B6853,"YYYY-MM"),LEFT(B6853,7)))</f>
        <v/>
      </c>
    </row>
    <row r="6854">
      <c r="N6854" s="6">
        <f>IF(B6854="","",IF(ISNUMBER(B6854),TEXT(B6854,"YYYY-MM"),LEFT(B6854,7)))</f>
        <v/>
      </c>
    </row>
    <row r="6855">
      <c r="N6855" s="6">
        <f>IF(B6855="","",IF(ISNUMBER(B6855),TEXT(B6855,"YYYY-MM"),LEFT(B6855,7)))</f>
        <v/>
      </c>
    </row>
    <row r="6856">
      <c r="N6856" s="6">
        <f>IF(B6856="","",IF(ISNUMBER(B6856),TEXT(B6856,"YYYY-MM"),LEFT(B6856,7)))</f>
        <v/>
      </c>
    </row>
    <row r="6857">
      <c r="N6857" s="6">
        <f>IF(B6857="","",IF(ISNUMBER(B6857),TEXT(B6857,"YYYY-MM"),LEFT(B6857,7)))</f>
        <v/>
      </c>
    </row>
    <row r="6858">
      <c r="N6858" s="6">
        <f>IF(B6858="","",IF(ISNUMBER(B6858),TEXT(B6858,"YYYY-MM"),LEFT(B6858,7)))</f>
        <v/>
      </c>
    </row>
    <row r="6859">
      <c r="N6859" s="6">
        <f>IF(B6859="","",IF(ISNUMBER(B6859),TEXT(B6859,"YYYY-MM"),LEFT(B6859,7)))</f>
        <v/>
      </c>
    </row>
    <row r="6860">
      <c r="N6860" s="6">
        <f>IF(B6860="","",IF(ISNUMBER(B6860),TEXT(B6860,"YYYY-MM"),LEFT(B6860,7)))</f>
        <v/>
      </c>
    </row>
    <row r="6861">
      <c r="N6861" s="6">
        <f>IF(B6861="","",IF(ISNUMBER(B6861),TEXT(B6861,"YYYY-MM"),LEFT(B6861,7)))</f>
        <v/>
      </c>
    </row>
    <row r="6862">
      <c r="N6862" s="6">
        <f>IF(B6862="","",IF(ISNUMBER(B6862),TEXT(B6862,"YYYY-MM"),LEFT(B6862,7)))</f>
        <v/>
      </c>
    </row>
    <row r="6863">
      <c r="N6863" s="6">
        <f>IF(B6863="","",IF(ISNUMBER(B6863),TEXT(B6863,"YYYY-MM"),LEFT(B6863,7)))</f>
        <v/>
      </c>
    </row>
    <row r="6864">
      <c r="N6864" s="6">
        <f>IF(B6864="","",IF(ISNUMBER(B6864),TEXT(B6864,"YYYY-MM"),LEFT(B6864,7)))</f>
        <v/>
      </c>
    </row>
    <row r="6865">
      <c r="N6865" s="6">
        <f>IF(B6865="","",IF(ISNUMBER(B6865),TEXT(B6865,"YYYY-MM"),LEFT(B6865,7)))</f>
        <v/>
      </c>
    </row>
    <row r="6866">
      <c r="N6866" s="6">
        <f>IF(B6866="","",IF(ISNUMBER(B6866),TEXT(B6866,"YYYY-MM"),LEFT(B6866,7)))</f>
        <v/>
      </c>
    </row>
    <row r="6867">
      <c r="N6867" s="6">
        <f>IF(B6867="","",IF(ISNUMBER(B6867),TEXT(B6867,"YYYY-MM"),LEFT(B6867,7)))</f>
        <v/>
      </c>
    </row>
    <row r="6868">
      <c r="N6868" s="6">
        <f>IF(B6868="","",IF(ISNUMBER(B6868),TEXT(B6868,"YYYY-MM"),LEFT(B6868,7)))</f>
        <v/>
      </c>
    </row>
    <row r="6869">
      <c r="N6869" s="6">
        <f>IF(B6869="","",IF(ISNUMBER(B6869),TEXT(B6869,"YYYY-MM"),LEFT(B6869,7)))</f>
        <v/>
      </c>
    </row>
    <row r="6870">
      <c r="N6870" s="6">
        <f>IF(B6870="","",IF(ISNUMBER(B6870),TEXT(B6870,"YYYY-MM"),LEFT(B6870,7)))</f>
        <v/>
      </c>
    </row>
    <row r="6871">
      <c r="N6871" s="6">
        <f>IF(B6871="","",IF(ISNUMBER(B6871),TEXT(B6871,"YYYY-MM"),LEFT(B6871,7)))</f>
        <v/>
      </c>
    </row>
    <row r="6872">
      <c r="N6872" s="6">
        <f>IF(B6872="","",IF(ISNUMBER(B6872),TEXT(B6872,"YYYY-MM"),LEFT(B6872,7)))</f>
        <v/>
      </c>
    </row>
    <row r="6873">
      <c r="N6873" s="6">
        <f>IF(B6873="","",IF(ISNUMBER(B6873),TEXT(B6873,"YYYY-MM"),LEFT(B6873,7)))</f>
        <v/>
      </c>
    </row>
    <row r="6874">
      <c r="N6874" s="6">
        <f>IF(B6874="","",IF(ISNUMBER(B6874),TEXT(B6874,"YYYY-MM"),LEFT(B6874,7)))</f>
        <v/>
      </c>
    </row>
    <row r="6875">
      <c r="N6875" s="6">
        <f>IF(B6875="","",IF(ISNUMBER(B6875),TEXT(B6875,"YYYY-MM"),LEFT(B6875,7)))</f>
        <v/>
      </c>
    </row>
    <row r="6876">
      <c r="N6876" s="6">
        <f>IF(B6876="","",IF(ISNUMBER(B6876),TEXT(B6876,"YYYY-MM"),LEFT(B6876,7)))</f>
        <v/>
      </c>
    </row>
    <row r="6877">
      <c r="N6877" s="6">
        <f>IF(B6877="","",IF(ISNUMBER(B6877),TEXT(B6877,"YYYY-MM"),LEFT(B6877,7)))</f>
        <v/>
      </c>
    </row>
    <row r="6878">
      <c r="N6878" s="6">
        <f>IF(B6878="","",IF(ISNUMBER(B6878),TEXT(B6878,"YYYY-MM"),LEFT(B6878,7)))</f>
        <v/>
      </c>
    </row>
    <row r="6879">
      <c r="N6879" s="6">
        <f>IF(B6879="","",IF(ISNUMBER(B6879),TEXT(B6879,"YYYY-MM"),LEFT(B6879,7)))</f>
        <v/>
      </c>
    </row>
    <row r="6880">
      <c r="N6880" s="6">
        <f>IF(B6880="","",IF(ISNUMBER(B6880),TEXT(B6880,"YYYY-MM"),LEFT(B6880,7)))</f>
        <v/>
      </c>
    </row>
    <row r="6881">
      <c r="N6881" s="6">
        <f>IF(B6881="","",IF(ISNUMBER(B6881),TEXT(B6881,"YYYY-MM"),LEFT(B6881,7)))</f>
        <v/>
      </c>
    </row>
    <row r="6882">
      <c r="N6882" s="6">
        <f>IF(B6882="","",IF(ISNUMBER(B6882),TEXT(B6882,"YYYY-MM"),LEFT(B6882,7)))</f>
        <v/>
      </c>
    </row>
    <row r="6883">
      <c r="N6883" s="6">
        <f>IF(B6883="","",IF(ISNUMBER(B6883),TEXT(B6883,"YYYY-MM"),LEFT(B6883,7)))</f>
        <v/>
      </c>
    </row>
    <row r="6884">
      <c r="N6884" s="6">
        <f>IF(B6884="","",IF(ISNUMBER(B6884),TEXT(B6884,"YYYY-MM"),LEFT(B6884,7)))</f>
        <v/>
      </c>
    </row>
    <row r="6885">
      <c r="N6885" s="6">
        <f>IF(B6885="","",IF(ISNUMBER(B6885),TEXT(B6885,"YYYY-MM"),LEFT(B6885,7)))</f>
        <v/>
      </c>
    </row>
    <row r="6886">
      <c r="N6886" s="6">
        <f>IF(B6886="","",IF(ISNUMBER(B6886),TEXT(B6886,"YYYY-MM"),LEFT(B6886,7)))</f>
        <v/>
      </c>
    </row>
    <row r="6887">
      <c r="N6887" s="6">
        <f>IF(B6887="","",IF(ISNUMBER(B6887),TEXT(B6887,"YYYY-MM"),LEFT(B6887,7)))</f>
        <v/>
      </c>
    </row>
    <row r="6888">
      <c r="N6888" s="6">
        <f>IF(B6888="","",IF(ISNUMBER(B6888),TEXT(B6888,"YYYY-MM"),LEFT(B6888,7)))</f>
        <v/>
      </c>
    </row>
    <row r="6889">
      <c r="N6889" s="6">
        <f>IF(B6889="","",IF(ISNUMBER(B6889),TEXT(B6889,"YYYY-MM"),LEFT(B6889,7)))</f>
        <v/>
      </c>
    </row>
    <row r="6890">
      <c r="N6890" s="6">
        <f>IF(B6890="","",IF(ISNUMBER(B6890),TEXT(B6890,"YYYY-MM"),LEFT(B6890,7)))</f>
        <v/>
      </c>
    </row>
    <row r="6891">
      <c r="N6891" s="6">
        <f>IF(B6891="","",IF(ISNUMBER(B6891),TEXT(B6891,"YYYY-MM"),LEFT(B6891,7)))</f>
        <v/>
      </c>
    </row>
    <row r="6892">
      <c r="N6892" s="6">
        <f>IF(B6892="","",IF(ISNUMBER(B6892),TEXT(B6892,"YYYY-MM"),LEFT(B6892,7)))</f>
        <v/>
      </c>
    </row>
    <row r="6893">
      <c r="N6893" s="6">
        <f>IF(B6893="","",IF(ISNUMBER(B6893),TEXT(B6893,"YYYY-MM"),LEFT(B6893,7)))</f>
        <v/>
      </c>
    </row>
    <row r="6894">
      <c r="N6894" s="6">
        <f>IF(B6894="","",IF(ISNUMBER(B6894),TEXT(B6894,"YYYY-MM"),LEFT(B6894,7)))</f>
        <v/>
      </c>
    </row>
    <row r="6895">
      <c r="N6895" s="6">
        <f>IF(B6895="","",IF(ISNUMBER(B6895),TEXT(B6895,"YYYY-MM"),LEFT(B6895,7)))</f>
        <v/>
      </c>
    </row>
    <row r="6896">
      <c r="N6896" s="6">
        <f>IF(B6896="","",IF(ISNUMBER(B6896),TEXT(B6896,"YYYY-MM"),LEFT(B6896,7)))</f>
        <v/>
      </c>
    </row>
    <row r="6897">
      <c r="N6897" s="6">
        <f>IF(B6897="","",IF(ISNUMBER(B6897),TEXT(B6897,"YYYY-MM"),LEFT(B6897,7)))</f>
        <v/>
      </c>
    </row>
    <row r="6898">
      <c r="N6898" s="6">
        <f>IF(B6898="","",IF(ISNUMBER(B6898),TEXT(B6898,"YYYY-MM"),LEFT(B6898,7)))</f>
        <v/>
      </c>
    </row>
    <row r="6899">
      <c r="N6899" s="6">
        <f>IF(B6899="","",IF(ISNUMBER(B6899),TEXT(B6899,"YYYY-MM"),LEFT(B6899,7)))</f>
        <v/>
      </c>
    </row>
    <row r="6900">
      <c r="N6900" s="6">
        <f>IF(B6900="","",IF(ISNUMBER(B6900),TEXT(B6900,"YYYY-MM"),LEFT(B6900,7)))</f>
        <v/>
      </c>
    </row>
    <row r="6901">
      <c r="N6901" s="6">
        <f>IF(B6901="","",IF(ISNUMBER(B6901),TEXT(B6901,"YYYY-MM"),LEFT(B6901,7)))</f>
        <v/>
      </c>
    </row>
    <row r="6902">
      <c r="N6902" s="6">
        <f>IF(B6902="","",IF(ISNUMBER(B6902),TEXT(B6902,"YYYY-MM"),LEFT(B6902,7)))</f>
        <v/>
      </c>
    </row>
    <row r="6903">
      <c r="N6903" s="6">
        <f>IF(B6903="","",IF(ISNUMBER(B6903),TEXT(B6903,"YYYY-MM"),LEFT(B6903,7)))</f>
        <v/>
      </c>
    </row>
    <row r="6904">
      <c r="N6904" s="6">
        <f>IF(B6904="","",IF(ISNUMBER(B6904),TEXT(B6904,"YYYY-MM"),LEFT(B6904,7)))</f>
        <v/>
      </c>
    </row>
    <row r="6905">
      <c r="N6905" s="6">
        <f>IF(B6905="","",IF(ISNUMBER(B6905),TEXT(B6905,"YYYY-MM"),LEFT(B6905,7)))</f>
        <v/>
      </c>
    </row>
    <row r="6906">
      <c r="N6906" s="6">
        <f>IF(B6906="","",IF(ISNUMBER(B6906),TEXT(B6906,"YYYY-MM"),LEFT(B6906,7)))</f>
        <v/>
      </c>
    </row>
    <row r="6907">
      <c r="N6907" s="6">
        <f>IF(B6907="","",IF(ISNUMBER(B6907),TEXT(B6907,"YYYY-MM"),LEFT(B6907,7)))</f>
        <v/>
      </c>
    </row>
    <row r="6908">
      <c r="N6908" s="6">
        <f>IF(B6908="","",IF(ISNUMBER(B6908),TEXT(B6908,"YYYY-MM"),LEFT(B6908,7)))</f>
        <v/>
      </c>
    </row>
    <row r="6909">
      <c r="N6909" s="6">
        <f>IF(B6909="","",IF(ISNUMBER(B6909),TEXT(B6909,"YYYY-MM"),LEFT(B6909,7)))</f>
        <v/>
      </c>
    </row>
    <row r="6910">
      <c r="N6910" s="6">
        <f>IF(B6910="","",IF(ISNUMBER(B6910),TEXT(B6910,"YYYY-MM"),LEFT(B6910,7)))</f>
        <v/>
      </c>
    </row>
    <row r="6911">
      <c r="N6911" s="6">
        <f>IF(B6911="","",IF(ISNUMBER(B6911),TEXT(B6911,"YYYY-MM"),LEFT(B6911,7)))</f>
        <v/>
      </c>
    </row>
    <row r="6912">
      <c r="N6912" s="6">
        <f>IF(B6912="","",IF(ISNUMBER(B6912),TEXT(B6912,"YYYY-MM"),LEFT(B6912,7)))</f>
        <v/>
      </c>
    </row>
    <row r="6913">
      <c r="N6913" s="6">
        <f>IF(B6913="","",IF(ISNUMBER(B6913),TEXT(B6913,"YYYY-MM"),LEFT(B6913,7)))</f>
        <v/>
      </c>
    </row>
    <row r="6914">
      <c r="N6914" s="6">
        <f>IF(B6914="","",IF(ISNUMBER(B6914),TEXT(B6914,"YYYY-MM"),LEFT(B6914,7)))</f>
        <v/>
      </c>
    </row>
    <row r="6915">
      <c r="N6915" s="6">
        <f>IF(B6915="","",IF(ISNUMBER(B6915),TEXT(B6915,"YYYY-MM"),LEFT(B6915,7)))</f>
        <v/>
      </c>
    </row>
    <row r="6916">
      <c r="N6916" s="6">
        <f>IF(B6916="","",IF(ISNUMBER(B6916),TEXT(B6916,"YYYY-MM"),LEFT(B6916,7)))</f>
        <v/>
      </c>
    </row>
    <row r="6917">
      <c r="N6917" s="6">
        <f>IF(B6917="","",IF(ISNUMBER(B6917),TEXT(B6917,"YYYY-MM"),LEFT(B6917,7)))</f>
        <v/>
      </c>
    </row>
    <row r="6918">
      <c r="N6918" s="6">
        <f>IF(B6918="","",IF(ISNUMBER(B6918),TEXT(B6918,"YYYY-MM"),LEFT(B6918,7)))</f>
        <v/>
      </c>
    </row>
    <row r="6919">
      <c r="N6919" s="6">
        <f>IF(B6919="","",IF(ISNUMBER(B6919),TEXT(B6919,"YYYY-MM"),LEFT(B6919,7)))</f>
        <v/>
      </c>
    </row>
    <row r="6920">
      <c r="N6920" s="6">
        <f>IF(B6920="","",IF(ISNUMBER(B6920),TEXT(B6920,"YYYY-MM"),LEFT(B6920,7)))</f>
        <v/>
      </c>
    </row>
    <row r="6921">
      <c r="N6921" s="6">
        <f>IF(B6921="","",IF(ISNUMBER(B6921),TEXT(B6921,"YYYY-MM"),LEFT(B6921,7)))</f>
        <v/>
      </c>
    </row>
    <row r="6922">
      <c r="N6922" s="6">
        <f>IF(B6922="","",IF(ISNUMBER(B6922),TEXT(B6922,"YYYY-MM"),LEFT(B6922,7)))</f>
        <v/>
      </c>
    </row>
    <row r="6923">
      <c r="N6923" s="6">
        <f>IF(B6923="","",IF(ISNUMBER(B6923),TEXT(B6923,"YYYY-MM"),LEFT(B6923,7)))</f>
        <v/>
      </c>
    </row>
    <row r="6924">
      <c r="N6924" s="6">
        <f>IF(B6924="","",IF(ISNUMBER(B6924),TEXT(B6924,"YYYY-MM"),LEFT(B6924,7)))</f>
        <v/>
      </c>
    </row>
    <row r="6925">
      <c r="N6925" s="6">
        <f>IF(B6925="","",IF(ISNUMBER(B6925),TEXT(B6925,"YYYY-MM"),LEFT(B6925,7)))</f>
        <v/>
      </c>
    </row>
    <row r="6926">
      <c r="N6926" s="6">
        <f>IF(B6926="","",IF(ISNUMBER(B6926),TEXT(B6926,"YYYY-MM"),LEFT(B6926,7)))</f>
        <v/>
      </c>
    </row>
    <row r="6927">
      <c r="N6927" s="6">
        <f>IF(B6927="","",IF(ISNUMBER(B6927),TEXT(B6927,"YYYY-MM"),LEFT(B6927,7)))</f>
        <v/>
      </c>
    </row>
    <row r="6928">
      <c r="N6928" s="6">
        <f>IF(B6928="","",IF(ISNUMBER(B6928),TEXT(B6928,"YYYY-MM"),LEFT(B6928,7)))</f>
        <v/>
      </c>
    </row>
    <row r="6929">
      <c r="N6929" s="6">
        <f>IF(B6929="","",IF(ISNUMBER(B6929),TEXT(B6929,"YYYY-MM"),LEFT(B6929,7)))</f>
        <v/>
      </c>
    </row>
    <row r="6930">
      <c r="N6930" s="6">
        <f>IF(B6930="","",IF(ISNUMBER(B6930),TEXT(B6930,"YYYY-MM"),LEFT(B6930,7)))</f>
        <v/>
      </c>
    </row>
    <row r="6931">
      <c r="N6931" s="6">
        <f>IF(B6931="","",IF(ISNUMBER(B6931),TEXT(B6931,"YYYY-MM"),LEFT(B6931,7)))</f>
        <v/>
      </c>
    </row>
    <row r="6932">
      <c r="N6932" s="6">
        <f>IF(B6932="","",IF(ISNUMBER(B6932),TEXT(B6932,"YYYY-MM"),LEFT(B6932,7)))</f>
        <v/>
      </c>
    </row>
    <row r="6933">
      <c r="N6933" s="6">
        <f>IF(B6933="","",IF(ISNUMBER(B6933),TEXT(B6933,"YYYY-MM"),LEFT(B6933,7)))</f>
        <v/>
      </c>
    </row>
    <row r="6934">
      <c r="N6934" s="6">
        <f>IF(B6934="","",IF(ISNUMBER(B6934),TEXT(B6934,"YYYY-MM"),LEFT(B6934,7)))</f>
        <v/>
      </c>
    </row>
    <row r="6935">
      <c r="N6935" s="6">
        <f>IF(B6935="","",IF(ISNUMBER(B6935),TEXT(B6935,"YYYY-MM"),LEFT(B6935,7)))</f>
        <v/>
      </c>
    </row>
    <row r="6936">
      <c r="N6936" s="6">
        <f>IF(B6936="","",IF(ISNUMBER(B6936),TEXT(B6936,"YYYY-MM"),LEFT(B6936,7)))</f>
        <v/>
      </c>
    </row>
    <row r="6937">
      <c r="N6937" s="6">
        <f>IF(B6937="","",IF(ISNUMBER(B6937),TEXT(B6937,"YYYY-MM"),LEFT(B6937,7)))</f>
        <v/>
      </c>
    </row>
    <row r="6938">
      <c r="N6938" s="6">
        <f>IF(B6938="","",IF(ISNUMBER(B6938),TEXT(B6938,"YYYY-MM"),LEFT(B6938,7)))</f>
        <v/>
      </c>
    </row>
    <row r="6939">
      <c r="N6939" s="6">
        <f>IF(B6939="","",IF(ISNUMBER(B6939),TEXT(B6939,"YYYY-MM"),LEFT(B6939,7)))</f>
        <v/>
      </c>
    </row>
    <row r="6940">
      <c r="N6940" s="6">
        <f>IF(B6940="","",IF(ISNUMBER(B6940),TEXT(B6940,"YYYY-MM"),LEFT(B6940,7)))</f>
        <v/>
      </c>
    </row>
    <row r="6941">
      <c r="N6941" s="6">
        <f>IF(B6941="","",IF(ISNUMBER(B6941),TEXT(B6941,"YYYY-MM"),LEFT(B6941,7)))</f>
        <v/>
      </c>
    </row>
    <row r="6942">
      <c r="N6942" s="6">
        <f>IF(B6942="","",IF(ISNUMBER(B6942),TEXT(B6942,"YYYY-MM"),LEFT(B6942,7)))</f>
        <v/>
      </c>
    </row>
    <row r="6943">
      <c r="N6943" s="6">
        <f>IF(B6943="","",IF(ISNUMBER(B6943),TEXT(B6943,"YYYY-MM"),LEFT(B6943,7)))</f>
        <v/>
      </c>
    </row>
    <row r="6944">
      <c r="N6944" s="6">
        <f>IF(B6944="","",IF(ISNUMBER(B6944),TEXT(B6944,"YYYY-MM"),LEFT(B6944,7)))</f>
        <v/>
      </c>
    </row>
    <row r="6945">
      <c r="N6945" s="6">
        <f>IF(B6945="","",IF(ISNUMBER(B6945),TEXT(B6945,"YYYY-MM"),LEFT(B6945,7)))</f>
        <v/>
      </c>
    </row>
    <row r="6946">
      <c r="N6946" s="6">
        <f>IF(B6946="","",IF(ISNUMBER(B6946),TEXT(B6946,"YYYY-MM"),LEFT(B6946,7)))</f>
        <v/>
      </c>
    </row>
    <row r="6947">
      <c r="N6947" s="6">
        <f>IF(B6947="","",IF(ISNUMBER(B6947),TEXT(B6947,"YYYY-MM"),LEFT(B6947,7)))</f>
        <v/>
      </c>
    </row>
    <row r="6948">
      <c r="N6948" s="6">
        <f>IF(B6948="","",IF(ISNUMBER(B6948),TEXT(B6948,"YYYY-MM"),LEFT(B6948,7)))</f>
        <v/>
      </c>
    </row>
    <row r="6949">
      <c r="N6949" s="6">
        <f>IF(B6949="","",IF(ISNUMBER(B6949),TEXT(B6949,"YYYY-MM"),LEFT(B6949,7)))</f>
        <v/>
      </c>
    </row>
    <row r="6950">
      <c r="N6950" s="6">
        <f>IF(B6950="","",IF(ISNUMBER(B6950),TEXT(B6950,"YYYY-MM"),LEFT(B6950,7)))</f>
        <v/>
      </c>
    </row>
    <row r="6951">
      <c r="N6951" s="6">
        <f>IF(B6951="","",IF(ISNUMBER(B6951),TEXT(B6951,"YYYY-MM"),LEFT(B6951,7)))</f>
        <v/>
      </c>
    </row>
    <row r="6952">
      <c r="N6952" s="6">
        <f>IF(B6952="","",IF(ISNUMBER(B6952),TEXT(B6952,"YYYY-MM"),LEFT(B6952,7)))</f>
        <v/>
      </c>
    </row>
    <row r="6953">
      <c r="N6953" s="6">
        <f>IF(B6953="","",IF(ISNUMBER(B6953),TEXT(B6953,"YYYY-MM"),LEFT(B6953,7)))</f>
        <v/>
      </c>
    </row>
    <row r="6954">
      <c r="N6954" s="6">
        <f>IF(B6954="","",IF(ISNUMBER(B6954),TEXT(B6954,"YYYY-MM"),LEFT(B6954,7)))</f>
        <v/>
      </c>
    </row>
    <row r="6955">
      <c r="N6955" s="6">
        <f>IF(B6955="","",IF(ISNUMBER(B6955),TEXT(B6955,"YYYY-MM"),LEFT(B6955,7)))</f>
        <v/>
      </c>
    </row>
    <row r="6956">
      <c r="N6956" s="6">
        <f>IF(B6956="","",IF(ISNUMBER(B6956),TEXT(B6956,"YYYY-MM"),LEFT(B6956,7)))</f>
        <v/>
      </c>
    </row>
    <row r="6957">
      <c r="N6957" s="6">
        <f>IF(B6957="","",IF(ISNUMBER(B6957),TEXT(B6957,"YYYY-MM"),LEFT(B6957,7)))</f>
        <v/>
      </c>
    </row>
    <row r="6958">
      <c r="N6958" s="6">
        <f>IF(B6958="","",IF(ISNUMBER(B6958),TEXT(B6958,"YYYY-MM"),LEFT(B6958,7)))</f>
        <v/>
      </c>
    </row>
    <row r="6959">
      <c r="N6959" s="6">
        <f>IF(B6959="","",IF(ISNUMBER(B6959),TEXT(B6959,"YYYY-MM"),LEFT(B6959,7)))</f>
        <v/>
      </c>
    </row>
    <row r="6960">
      <c r="N6960" s="6">
        <f>IF(B6960="","",IF(ISNUMBER(B6960),TEXT(B6960,"YYYY-MM"),LEFT(B6960,7)))</f>
        <v/>
      </c>
    </row>
    <row r="6961">
      <c r="N6961" s="6">
        <f>IF(B6961="","",IF(ISNUMBER(B6961),TEXT(B6961,"YYYY-MM"),LEFT(B6961,7)))</f>
        <v/>
      </c>
    </row>
    <row r="6962">
      <c r="N6962" s="6">
        <f>IF(B6962="","",IF(ISNUMBER(B6962),TEXT(B6962,"YYYY-MM"),LEFT(B6962,7)))</f>
        <v/>
      </c>
    </row>
    <row r="6963">
      <c r="N6963" s="6">
        <f>IF(B6963="","",IF(ISNUMBER(B6963),TEXT(B6963,"YYYY-MM"),LEFT(B6963,7)))</f>
        <v/>
      </c>
    </row>
    <row r="6964">
      <c r="N6964" s="6">
        <f>IF(B6964="","",IF(ISNUMBER(B6964),TEXT(B6964,"YYYY-MM"),LEFT(B6964,7)))</f>
        <v/>
      </c>
    </row>
    <row r="6965">
      <c r="N6965" s="6">
        <f>IF(B6965="","",IF(ISNUMBER(B6965),TEXT(B6965,"YYYY-MM"),LEFT(B6965,7)))</f>
        <v/>
      </c>
    </row>
    <row r="6966">
      <c r="N6966" s="6">
        <f>IF(B6966="","",IF(ISNUMBER(B6966),TEXT(B6966,"YYYY-MM"),LEFT(B6966,7)))</f>
        <v/>
      </c>
    </row>
    <row r="6967">
      <c r="N6967" s="6">
        <f>IF(B6967="","",IF(ISNUMBER(B6967),TEXT(B6967,"YYYY-MM"),LEFT(B6967,7)))</f>
        <v/>
      </c>
    </row>
    <row r="6968">
      <c r="N6968" s="6">
        <f>IF(B6968="","",IF(ISNUMBER(B6968),TEXT(B6968,"YYYY-MM"),LEFT(B6968,7)))</f>
        <v/>
      </c>
    </row>
    <row r="6969">
      <c r="N6969" s="6">
        <f>IF(B6969="","",IF(ISNUMBER(B6969),TEXT(B6969,"YYYY-MM"),LEFT(B6969,7)))</f>
        <v/>
      </c>
    </row>
    <row r="6970">
      <c r="N6970" s="6">
        <f>IF(B6970="","",IF(ISNUMBER(B6970),TEXT(B6970,"YYYY-MM"),LEFT(B6970,7)))</f>
        <v/>
      </c>
    </row>
    <row r="6971">
      <c r="N6971" s="6">
        <f>IF(B6971="","",IF(ISNUMBER(B6971),TEXT(B6971,"YYYY-MM"),LEFT(B6971,7)))</f>
        <v/>
      </c>
    </row>
    <row r="6972">
      <c r="N6972" s="6">
        <f>IF(B6972="","",IF(ISNUMBER(B6972),TEXT(B6972,"YYYY-MM"),LEFT(B6972,7)))</f>
        <v/>
      </c>
    </row>
    <row r="6973">
      <c r="N6973" s="6">
        <f>IF(B6973="","",IF(ISNUMBER(B6973),TEXT(B6973,"YYYY-MM"),LEFT(B6973,7)))</f>
        <v/>
      </c>
    </row>
    <row r="6974">
      <c r="N6974" s="6">
        <f>IF(B6974="","",IF(ISNUMBER(B6974),TEXT(B6974,"YYYY-MM"),LEFT(B6974,7)))</f>
        <v/>
      </c>
    </row>
    <row r="6975">
      <c r="N6975" s="6">
        <f>IF(B6975="","",IF(ISNUMBER(B6975),TEXT(B6975,"YYYY-MM"),LEFT(B6975,7)))</f>
        <v/>
      </c>
    </row>
    <row r="6976">
      <c r="N6976" s="6">
        <f>IF(B6976="","",IF(ISNUMBER(B6976),TEXT(B6976,"YYYY-MM"),LEFT(B6976,7)))</f>
        <v/>
      </c>
    </row>
    <row r="6977">
      <c r="N6977" s="6">
        <f>IF(B6977="","",IF(ISNUMBER(B6977),TEXT(B6977,"YYYY-MM"),LEFT(B6977,7)))</f>
        <v/>
      </c>
    </row>
    <row r="6978">
      <c r="N6978" s="6">
        <f>IF(B6978="","",IF(ISNUMBER(B6978),TEXT(B6978,"YYYY-MM"),LEFT(B6978,7)))</f>
        <v/>
      </c>
    </row>
    <row r="6979">
      <c r="N6979" s="6">
        <f>IF(B6979="","",IF(ISNUMBER(B6979),TEXT(B6979,"YYYY-MM"),LEFT(B6979,7)))</f>
        <v/>
      </c>
    </row>
    <row r="6980">
      <c r="N6980" s="6">
        <f>IF(B6980="","",IF(ISNUMBER(B6980),TEXT(B6980,"YYYY-MM"),LEFT(B6980,7)))</f>
        <v/>
      </c>
    </row>
    <row r="6981">
      <c r="N6981" s="6">
        <f>IF(B6981="","",IF(ISNUMBER(B6981),TEXT(B6981,"YYYY-MM"),LEFT(B6981,7)))</f>
        <v/>
      </c>
    </row>
    <row r="6982">
      <c r="N6982" s="6">
        <f>IF(B6982="","",IF(ISNUMBER(B6982),TEXT(B6982,"YYYY-MM"),LEFT(B6982,7)))</f>
        <v/>
      </c>
    </row>
    <row r="6983">
      <c r="N6983" s="6">
        <f>IF(B6983="","",IF(ISNUMBER(B6983),TEXT(B6983,"YYYY-MM"),LEFT(B6983,7)))</f>
        <v/>
      </c>
    </row>
    <row r="6984">
      <c r="N6984" s="6">
        <f>IF(B6984="","",IF(ISNUMBER(B6984),TEXT(B6984,"YYYY-MM"),LEFT(B6984,7)))</f>
        <v/>
      </c>
    </row>
    <row r="6985">
      <c r="N6985" s="6">
        <f>IF(B6985="","",IF(ISNUMBER(B6985),TEXT(B6985,"YYYY-MM"),LEFT(B6985,7)))</f>
        <v/>
      </c>
    </row>
    <row r="6986">
      <c r="N6986" s="6">
        <f>IF(B6986="","",IF(ISNUMBER(B6986),TEXT(B6986,"YYYY-MM"),LEFT(B6986,7)))</f>
        <v/>
      </c>
    </row>
    <row r="6987">
      <c r="N6987" s="6">
        <f>IF(B6987="","",IF(ISNUMBER(B6987),TEXT(B6987,"YYYY-MM"),LEFT(B6987,7)))</f>
        <v/>
      </c>
    </row>
    <row r="6988">
      <c r="N6988" s="6">
        <f>IF(B6988="","",IF(ISNUMBER(B6988),TEXT(B6988,"YYYY-MM"),LEFT(B6988,7)))</f>
        <v/>
      </c>
    </row>
    <row r="6989">
      <c r="N6989" s="6">
        <f>IF(B6989="","",IF(ISNUMBER(B6989),TEXT(B6989,"YYYY-MM"),LEFT(B6989,7)))</f>
        <v/>
      </c>
    </row>
    <row r="6990">
      <c r="N6990" s="6">
        <f>IF(B6990="","",IF(ISNUMBER(B6990),TEXT(B6990,"YYYY-MM"),LEFT(B6990,7)))</f>
        <v/>
      </c>
    </row>
    <row r="6991">
      <c r="N6991" s="6">
        <f>IF(B6991="","",IF(ISNUMBER(B6991),TEXT(B6991,"YYYY-MM"),LEFT(B6991,7)))</f>
        <v/>
      </c>
    </row>
    <row r="6992">
      <c r="N6992" s="6">
        <f>IF(B6992="","",IF(ISNUMBER(B6992),TEXT(B6992,"YYYY-MM"),LEFT(B6992,7)))</f>
        <v/>
      </c>
    </row>
    <row r="6993">
      <c r="N6993" s="6">
        <f>IF(B6993="","",IF(ISNUMBER(B6993),TEXT(B6993,"YYYY-MM"),LEFT(B6993,7)))</f>
        <v/>
      </c>
    </row>
    <row r="6994">
      <c r="N6994" s="6">
        <f>IF(B6994="","",IF(ISNUMBER(B6994),TEXT(B6994,"YYYY-MM"),LEFT(B6994,7)))</f>
        <v/>
      </c>
    </row>
    <row r="6995">
      <c r="N6995" s="6">
        <f>IF(B6995="","",IF(ISNUMBER(B6995),TEXT(B6995,"YYYY-MM"),LEFT(B6995,7)))</f>
        <v/>
      </c>
    </row>
    <row r="6996">
      <c r="N6996" s="6">
        <f>IF(B6996="","",IF(ISNUMBER(B6996),TEXT(B6996,"YYYY-MM"),LEFT(B6996,7)))</f>
        <v/>
      </c>
    </row>
    <row r="6997">
      <c r="N6997" s="6">
        <f>IF(B6997="","",IF(ISNUMBER(B6997),TEXT(B6997,"YYYY-MM"),LEFT(B6997,7)))</f>
        <v/>
      </c>
    </row>
    <row r="6998">
      <c r="N6998" s="6">
        <f>IF(B6998="","",IF(ISNUMBER(B6998),TEXT(B6998,"YYYY-MM"),LEFT(B6998,7)))</f>
        <v/>
      </c>
    </row>
    <row r="6999">
      <c r="N6999" s="6">
        <f>IF(B6999="","",IF(ISNUMBER(B6999),TEXT(B6999,"YYYY-MM"),LEFT(B6999,7)))</f>
        <v/>
      </c>
    </row>
    <row r="7000">
      <c r="N7000" s="6">
        <f>IF(B7000="","",IF(ISNUMBER(B7000),TEXT(B7000,"YYYY-MM"),LEFT(B7000,7)))</f>
        <v/>
      </c>
    </row>
    <row r="7001">
      <c r="N7001" s="6">
        <f>IF(B7001="","",IF(ISNUMBER(B7001),TEXT(B7001,"YYYY-MM"),LEFT(B7001,7)))</f>
        <v/>
      </c>
    </row>
    <row r="7002">
      <c r="N7002" s="6">
        <f>IF(B7002="","",IF(ISNUMBER(B7002),TEXT(B7002,"YYYY-MM"),LEFT(B7002,7)))</f>
        <v/>
      </c>
    </row>
    <row r="7003">
      <c r="N7003" s="6">
        <f>IF(B7003="","",IF(ISNUMBER(B7003),TEXT(B7003,"YYYY-MM"),LEFT(B7003,7)))</f>
        <v/>
      </c>
    </row>
    <row r="7004">
      <c r="N7004" s="6">
        <f>IF(B7004="","",IF(ISNUMBER(B7004),TEXT(B7004,"YYYY-MM"),LEFT(B7004,7)))</f>
        <v/>
      </c>
    </row>
    <row r="7005">
      <c r="N7005" s="6">
        <f>IF(B7005="","",IF(ISNUMBER(B7005),TEXT(B7005,"YYYY-MM"),LEFT(B7005,7)))</f>
        <v/>
      </c>
    </row>
    <row r="7006">
      <c r="N7006" s="6">
        <f>IF(B7006="","",IF(ISNUMBER(B7006),TEXT(B7006,"YYYY-MM"),LEFT(B7006,7)))</f>
        <v/>
      </c>
    </row>
    <row r="7007">
      <c r="N7007" s="6">
        <f>IF(B7007="","",IF(ISNUMBER(B7007),TEXT(B7007,"YYYY-MM"),LEFT(B7007,7)))</f>
        <v/>
      </c>
    </row>
    <row r="7008">
      <c r="N7008" s="6">
        <f>IF(B7008="","",IF(ISNUMBER(B7008),TEXT(B7008,"YYYY-MM"),LEFT(B7008,7)))</f>
        <v/>
      </c>
    </row>
    <row r="7009">
      <c r="N7009" s="6">
        <f>IF(B7009="","",IF(ISNUMBER(B7009),TEXT(B7009,"YYYY-MM"),LEFT(B7009,7)))</f>
        <v/>
      </c>
    </row>
    <row r="7010">
      <c r="N7010" s="6">
        <f>IF(B7010="","",IF(ISNUMBER(B7010),TEXT(B7010,"YYYY-MM"),LEFT(B7010,7)))</f>
        <v/>
      </c>
    </row>
    <row r="7011">
      <c r="N7011" s="6">
        <f>IF(B7011="","",IF(ISNUMBER(B7011),TEXT(B7011,"YYYY-MM"),LEFT(B7011,7)))</f>
        <v/>
      </c>
    </row>
    <row r="7012">
      <c r="N7012" s="6">
        <f>IF(B7012="","",IF(ISNUMBER(B7012),TEXT(B7012,"YYYY-MM"),LEFT(B7012,7)))</f>
        <v/>
      </c>
    </row>
    <row r="7013">
      <c r="N7013" s="6">
        <f>IF(B7013="","",IF(ISNUMBER(B7013),TEXT(B7013,"YYYY-MM"),LEFT(B7013,7)))</f>
        <v/>
      </c>
    </row>
    <row r="7014">
      <c r="N7014" s="6">
        <f>IF(B7014="","",IF(ISNUMBER(B7014),TEXT(B7014,"YYYY-MM"),LEFT(B7014,7)))</f>
        <v/>
      </c>
    </row>
    <row r="7015">
      <c r="N7015" s="6">
        <f>IF(B7015="","",IF(ISNUMBER(B7015),TEXT(B7015,"YYYY-MM"),LEFT(B7015,7)))</f>
        <v/>
      </c>
    </row>
    <row r="7016">
      <c r="N7016" s="6">
        <f>IF(B7016="","",IF(ISNUMBER(B7016),TEXT(B7016,"YYYY-MM"),LEFT(B7016,7)))</f>
        <v/>
      </c>
    </row>
    <row r="7017">
      <c r="N7017" s="6">
        <f>IF(B7017="","",IF(ISNUMBER(B7017),TEXT(B7017,"YYYY-MM"),LEFT(B7017,7)))</f>
        <v/>
      </c>
    </row>
    <row r="7018">
      <c r="N7018" s="6">
        <f>IF(B7018="","",IF(ISNUMBER(B7018),TEXT(B7018,"YYYY-MM"),LEFT(B7018,7)))</f>
        <v/>
      </c>
    </row>
    <row r="7019">
      <c r="N7019" s="6">
        <f>IF(B7019="","",IF(ISNUMBER(B7019),TEXT(B7019,"YYYY-MM"),LEFT(B7019,7)))</f>
        <v/>
      </c>
    </row>
    <row r="7020">
      <c r="N7020" s="6">
        <f>IF(B7020="","",IF(ISNUMBER(B7020),TEXT(B7020,"YYYY-MM"),LEFT(B7020,7)))</f>
        <v/>
      </c>
    </row>
    <row r="7021">
      <c r="N7021" s="6">
        <f>IF(B7021="","",IF(ISNUMBER(B7021),TEXT(B7021,"YYYY-MM"),LEFT(B7021,7)))</f>
        <v/>
      </c>
    </row>
    <row r="7022">
      <c r="N7022" s="6">
        <f>IF(B7022="","",IF(ISNUMBER(B7022),TEXT(B7022,"YYYY-MM"),LEFT(B7022,7)))</f>
        <v/>
      </c>
    </row>
    <row r="7023">
      <c r="N7023" s="6">
        <f>IF(B7023="","",IF(ISNUMBER(B7023),TEXT(B7023,"YYYY-MM"),LEFT(B7023,7)))</f>
        <v/>
      </c>
    </row>
    <row r="7024">
      <c r="N7024" s="6">
        <f>IF(B7024="","",IF(ISNUMBER(B7024),TEXT(B7024,"YYYY-MM"),LEFT(B7024,7)))</f>
        <v/>
      </c>
    </row>
    <row r="7025">
      <c r="N7025" s="6">
        <f>IF(B7025="","",IF(ISNUMBER(B7025),TEXT(B7025,"YYYY-MM"),LEFT(B7025,7)))</f>
        <v/>
      </c>
    </row>
    <row r="7026">
      <c r="N7026" s="6">
        <f>IF(B7026="","",IF(ISNUMBER(B7026),TEXT(B7026,"YYYY-MM"),LEFT(B7026,7)))</f>
        <v/>
      </c>
    </row>
    <row r="7027">
      <c r="N7027" s="6">
        <f>IF(B7027="","",IF(ISNUMBER(B7027),TEXT(B7027,"YYYY-MM"),LEFT(B7027,7)))</f>
        <v/>
      </c>
    </row>
    <row r="7028">
      <c r="N7028" s="6">
        <f>IF(B7028="","",IF(ISNUMBER(B7028),TEXT(B7028,"YYYY-MM"),LEFT(B7028,7)))</f>
        <v/>
      </c>
    </row>
    <row r="7029">
      <c r="N7029" s="6">
        <f>IF(B7029="","",IF(ISNUMBER(B7029),TEXT(B7029,"YYYY-MM"),LEFT(B7029,7)))</f>
        <v/>
      </c>
    </row>
    <row r="7030">
      <c r="N7030" s="6">
        <f>IF(B7030="","",IF(ISNUMBER(B7030),TEXT(B7030,"YYYY-MM"),LEFT(B7030,7)))</f>
        <v/>
      </c>
    </row>
    <row r="7031">
      <c r="N7031" s="6">
        <f>IF(B7031="","",IF(ISNUMBER(B7031),TEXT(B7031,"YYYY-MM"),LEFT(B7031,7)))</f>
        <v/>
      </c>
    </row>
    <row r="7032">
      <c r="N7032" s="6">
        <f>IF(B7032="","",IF(ISNUMBER(B7032),TEXT(B7032,"YYYY-MM"),LEFT(B7032,7)))</f>
        <v/>
      </c>
    </row>
    <row r="7033">
      <c r="N7033" s="6">
        <f>IF(B7033="","",IF(ISNUMBER(B7033),TEXT(B7033,"YYYY-MM"),LEFT(B7033,7)))</f>
        <v/>
      </c>
    </row>
    <row r="7034">
      <c r="N7034" s="6">
        <f>IF(B7034="","",IF(ISNUMBER(B7034),TEXT(B7034,"YYYY-MM"),LEFT(B7034,7)))</f>
        <v/>
      </c>
    </row>
    <row r="7035">
      <c r="N7035" s="6">
        <f>IF(B7035="","",IF(ISNUMBER(B7035),TEXT(B7035,"YYYY-MM"),LEFT(B7035,7)))</f>
        <v/>
      </c>
    </row>
    <row r="7036">
      <c r="N7036" s="6">
        <f>IF(B7036="","",IF(ISNUMBER(B7036),TEXT(B7036,"YYYY-MM"),LEFT(B7036,7)))</f>
        <v/>
      </c>
    </row>
    <row r="7037">
      <c r="N7037" s="6">
        <f>IF(B7037="","",IF(ISNUMBER(B7037),TEXT(B7037,"YYYY-MM"),LEFT(B7037,7)))</f>
        <v/>
      </c>
    </row>
    <row r="7038">
      <c r="N7038" s="6">
        <f>IF(B7038="","",IF(ISNUMBER(B7038),TEXT(B7038,"YYYY-MM"),LEFT(B7038,7)))</f>
        <v/>
      </c>
    </row>
    <row r="7039">
      <c r="N7039" s="6">
        <f>IF(B7039="","",IF(ISNUMBER(B7039),TEXT(B7039,"YYYY-MM"),LEFT(B7039,7)))</f>
        <v/>
      </c>
    </row>
    <row r="7040">
      <c r="N7040" s="6">
        <f>IF(B7040="","",IF(ISNUMBER(B7040),TEXT(B7040,"YYYY-MM"),LEFT(B7040,7)))</f>
        <v/>
      </c>
    </row>
    <row r="7041">
      <c r="N7041" s="6">
        <f>IF(B7041="","",IF(ISNUMBER(B7041),TEXT(B7041,"YYYY-MM"),LEFT(B7041,7)))</f>
        <v/>
      </c>
    </row>
    <row r="7042">
      <c r="N7042" s="6">
        <f>IF(B7042="","",IF(ISNUMBER(B7042),TEXT(B7042,"YYYY-MM"),LEFT(B7042,7)))</f>
        <v/>
      </c>
    </row>
    <row r="7043">
      <c r="N7043" s="6">
        <f>IF(B7043="","",IF(ISNUMBER(B7043),TEXT(B7043,"YYYY-MM"),LEFT(B7043,7)))</f>
        <v/>
      </c>
    </row>
    <row r="7044">
      <c r="N7044" s="6">
        <f>IF(B7044="","",IF(ISNUMBER(B7044),TEXT(B7044,"YYYY-MM"),LEFT(B7044,7)))</f>
        <v/>
      </c>
    </row>
    <row r="7045">
      <c r="N7045" s="6">
        <f>IF(B7045="","",IF(ISNUMBER(B7045),TEXT(B7045,"YYYY-MM"),LEFT(B7045,7)))</f>
        <v/>
      </c>
    </row>
    <row r="7046">
      <c r="N7046" s="6">
        <f>IF(B7046="","",IF(ISNUMBER(B7046),TEXT(B7046,"YYYY-MM"),LEFT(B7046,7)))</f>
        <v/>
      </c>
    </row>
    <row r="7047">
      <c r="N7047" s="6">
        <f>IF(B7047="","",IF(ISNUMBER(B7047),TEXT(B7047,"YYYY-MM"),LEFT(B7047,7)))</f>
        <v/>
      </c>
    </row>
    <row r="7048">
      <c r="N7048" s="6">
        <f>IF(B7048="","",IF(ISNUMBER(B7048),TEXT(B7048,"YYYY-MM"),LEFT(B7048,7)))</f>
        <v/>
      </c>
    </row>
    <row r="7049">
      <c r="N7049" s="6">
        <f>IF(B7049="","",IF(ISNUMBER(B7049),TEXT(B7049,"YYYY-MM"),LEFT(B7049,7)))</f>
        <v/>
      </c>
    </row>
    <row r="7050">
      <c r="N7050" s="6">
        <f>IF(B7050="","",IF(ISNUMBER(B7050),TEXT(B7050,"YYYY-MM"),LEFT(B7050,7)))</f>
        <v/>
      </c>
    </row>
    <row r="7051">
      <c r="N7051" s="6">
        <f>IF(B7051="","",IF(ISNUMBER(B7051),TEXT(B7051,"YYYY-MM"),LEFT(B7051,7)))</f>
        <v/>
      </c>
    </row>
    <row r="7052">
      <c r="N7052" s="6">
        <f>IF(B7052="","",IF(ISNUMBER(B7052),TEXT(B7052,"YYYY-MM"),LEFT(B7052,7)))</f>
        <v/>
      </c>
    </row>
    <row r="7053">
      <c r="N7053" s="6">
        <f>IF(B7053="","",IF(ISNUMBER(B7053),TEXT(B7053,"YYYY-MM"),LEFT(B7053,7)))</f>
        <v/>
      </c>
    </row>
    <row r="7054">
      <c r="N7054" s="6">
        <f>IF(B7054="","",IF(ISNUMBER(B7054),TEXT(B7054,"YYYY-MM"),LEFT(B7054,7)))</f>
        <v/>
      </c>
    </row>
    <row r="7055">
      <c r="N7055" s="6">
        <f>IF(B7055="","",IF(ISNUMBER(B7055),TEXT(B7055,"YYYY-MM"),LEFT(B7055,7)))</f>
        <v/>
      </c>
    </row>
    <row r="7056">
      <c r="N7056" s="6">
        <f>IF(B7056="","",IF(ISNUMBER(B7056),TEXT(B7056,"YYYY-MM"),LEFT(B7056,7)))</f>
        <v/>
      </c>
    </row>
    <row r="7057">
      <c r="N7057" s="6">
        <f>IF(B7057="","",IF(ISNUMBER(B7057),TEXT(B7057,"YYYY-MM"),LEFT(B7057,7)))</f>
        <v/>
      </c>
    </row>
    <row r="7058">
      <c r="N7058" s="6">
        <f>IF(B7058="","",IF(ISNUMBER(B7058),TEXT(B7058,"YYYY-MM"),LEFT(B7058,7)))</f>
        <v/>
      </c>
    </row>
    <row r="7059">
      <c r="N7059" s="6">
        <f>IF(B7059="","",IF(ISNUMBER(B7059),TEXT(B7059,"YYYY-MM"),LEFT(B7059,7)))</f>
        <v/>
      </c>
    </row>
    <row r="7060">
      <c r="N7060" s="6">
        <f>IF(B7060="","",IF(ISNUMBER(B7060),TEXT(B7060,"YYYY-MM"),LEFT(B7060,7)))</f>
        <v/>
      </c>
    </row>
    <row r="7061">
      <c r="N7061" s="6">
        <f>IF(B7061="","",IF(ISNUMBER(B7061),TEXT(B7061,"YYYY-MM"),LEFT(B7061,7)))</f>
        <v/>
      </c>
    </row>
    <row r="7062">
      <c r="N7062" s="6">
        <f>IF(B7062="","",IF(ISNUMBER(B7062),TEXT(B7062,"YYYY-MM"),LEFT(B7062,7)))</f>
        <v/>
      </c>
    </row>
    <row r="7063">
      <c r="N7063" s="6">
        <f>IF(B7063="","",IF(ISNUMBER(B7063),TEXT(B7063,"YYYY-MM"),LEFT(B7063,7)))</f>
        <v/>
      </c>
    </row>
    <row r="7064">
      <c r="N7064" s="6">
        <f>IF(B7064="","",IF(ISNUMBER(B7064),TEXT(B7064,"YYYY-MM"),LEFT(B7064,7)))</f>
        <v/>
      </c>
    </row>
    <row r="7065">
      <c r="N7065" s="6">
        <f>IF(B7065="","",IF(ISNUMBER(B7065),TEXT(B7065,"YYYY-MM"),LEFT(B7065,7)))</f>
        <v/>
      </c>
    </row>
    <row r="7066">
      <c r="N7066" s="6">
        <f>IF(B7066="","",IF(ISNUMBER(B7066),TEXT(B7066,"YYYY-MM"),LEFT(B7066,7)))</f>
        <v/>
      </c>
    </row>
    <row r="7067">
      <c r="N7067" s="6">
        <f>IF(B7067="","",IF(ISNUMBER(B7067),TEXT(B7067,"YYYY-MM"),LEFT(B7067,7)))</f>
        <v/>
      </c>
    </row>
    <row r="7068">
      <c r="N7068" s="6">
        <f>IF(B7068="","",IF(ISNUMBER(B7068),TEXT(B7068,"YYYY-MM"),LEFT(B7068,7)))</f>
        <v/>
      </c>
    </row>
    <row r="7069">
      <c r="N7069" s="6">
        <f>IF(B7069="","",IF(ISNUMBER(B7069),TEXT(B7069,"YYYY-MM"),LEFT(B7069,7)))</f>
        <v/>
      </c>
    </row>
    <row r="7070">
      <c r="N7070" s="6">
        <f>IF(B7070="","",IF(ISNUMBER(B7070),TEXT(B7070,"YYYY-MM"),LEFT(B7070,7)))</f>
        <v/>
      </c>
    </row>
    <row r="7071">
      <c r="N7071" s="6">
        <f>IF(B7071="","",IF(ISNUMBER(B7071),TEXT(B7071,"YYYY-MM"),LEFT(B7071,7)))</f>
        <v/>
      </c>
    </row>
    <row r="7072">
      <c r="N7072" s="6">
        <f>IF(B7072="","",IF(ISNUMBER(B7072),TEXT(B7072,"YYYY-MM"),LEFT(B7072,7)))</f>
        <v/>
      </c>
    </row>
    <row r="7073">
      <c r="N7073" s="6">
        <f>IF(B7073="","",IF(ISNUMBER(B7073),TEXT(B7073,"YYYY-MM"),LEFT(B7073,7)))</f>
        <v/>
      </c>
    </row>
    <row r="7074">
      <c r="N7074" s="6">
        <f>IF(B7074="","",IF(ISNUMBER(B7074),TEXT(B7074,"YYYY-MM"),LEFT(B7074,7)))</f>
        <v/>
      </c>
    </row>
    <row r="7075">
      <c r="N7075" s="6">
        <f>IF(B7075="","",IF(ISNUMBER(B7075),TEXT(B7075,"YYYY-MM"),LEFT(B7075,7)))</f>
        <v/>
      </c>
    </row>
    <row r="7076">
      <c r="N7076" s="6">
        <f>IF(B7076="","",IF(ISNUMBER(B7076),TEXT(B7076,"YYYY-MM"),LEFT(B7076,7)))</f>
        <v/>
      </c>
    </row>
    <row r="7077">
      <c r="N7077" s="6">
        <f>IF(B7077="","",IF(ISNUMBER(B7077),TEXT(B7077,"YYYY-MM"),LEFT(B7077,7)))</f>
        <v/>
      </c>
    </row>
    <row r="7078">
      <c r="N7078" s="6">
        <f>IF(B7078="","",IF(ISNUMBER(B7078),TEXT(B7078,"YYYY-MM"),LEFT(B7078,7)))</f>
        <v/>
      </c>
    </row>
    <row r="7079">
      <c r="N7079" s="6">
        <f>IF(B7079="","",IF(ISNUMBER(B7079),TEXT(B7079,"YYYY-MM"),LEFT(B7079,7)))</f>
        <v/>
      </c>
    </row>
    <row r="7080">
      <c r="N7080" s="6">
        <f>IF(B7080="","",IF(ISNUMBER(B7080),TEXT(B7080,"YYYY-MM"),LEFT(B7080,7)))</f>
        <v/>
      </c>
    </row>
    <row r="7081">
      <c r="N7081" s="6">
        <f>IF(B7081="","",IF(ISNUMBER(B7081),TEXT(B7081,"YYYY-MM"),LEFT(B7081,7)))</f>
        <v/>
      </c>
    </row>
    <row r="7082">
      <c r="N7082" s="6">
        <f>IF(B7082="","",IF(ISNUMBER(B7082),TEXT(B7082,"YYYY-MM"),LEFT(B7082,7)))</f>
        <v/>
      </c>
    </row>
    <row r="7083">
      <c r="N7083" s="6">
        <f>IF(B7083="","",IF(ISNUMBER(B7083),TEXT(B7083,"YYYY-MM"),LEFT(B7083,7)))</f>
        <v/>
      </c>
    </row>
    <row r="7084">
      <c r="N7084" s="6">
        <f>IF(B7084="","",IF(ISNUMBER(B7084),TEXT(B7084,"YYYY-MM"),LEFT(B7084,7)))</f>
        <v/>
      </c>
    </row>
    <row r="7085">
      <c r="N7085" s="6">
        <f>IF(B7085="","",IF(ISNUMBER(B7085),TEXT(B7085,"YYYY-MM"),LEFT(B7085,7)))</f>
        <v/>
      </c>
    </row>
    <row r="7086">
      <c r="N7086" s="6">
        <f>IF(B7086="","",IF(ISNUMBER(B7086),TEXT(B7086,"YYYY-MM"),LEFT(B7086,7)))</f>
        <v/>
      </c>
    </row>
    <row r="7087">
      <c r="N7087" s="6">
        <f>IF(B7087="","",IF(ISNUMBER(B7087),TEXT(B7087,"YYYY-MM"),LEFT(B7087,7)))</f>
        <v/>
      </c>
    </row>
    <row r="7088">
      <c r="N7088" s="6">
        <f>IF(B7088="","",IF(ISNUMBER(B7088),TEXT(B7088,"YYYY-MM"),LEFT(B7088,7)))</f>
        <v/>
      </c>
    </row>
    <row r="7089">
      <c r="N7089" s="6">
        <f>IF(B7089="","",IF(ISNUMBER(B7089),TEXT(B7089,"YYYY-MM"),LEFT(B7089,7)))</f>
        <v/>
      </c>
    </row>
    <row r="7090">
      <c r="N7090" s="6">
        <f>IF(B7090="","",IF(ISNUMBER(B7090),TEXT(B7090,"YYYY-MM"),LEFT(B7090,7)))</f>
        <v/>
      </c>
    </row>
    <row r="7091">
      <c r="N7091" s="6">
        <f>IF(B7091="","",IF(ISNUMBER(B7091),TEXT(B7091,"YYYY-MM"),LEFT(B7091,7)))</f>
        <v/>
      </c>
    </row>
    <row r="7092">
      <c r="N7092" s="6">
        <f>IF(B7092="","",IF(ISNUMBER(B7092),TEXT(B7092,"YYYY-MM"),LEFT(B7092,7)))</f>
        <v/>
      </c>
    </row>
    <row r="7093">
      <c r="N7093" s="6">
        <f>IF(B7093="","",IF(ISNUMBER(B7093),TEXT(B7093,"YYYY-MM"),LEFT(B7093,7)))</f>
        <v/>
      </c>
    </row>
    <row r="7094">
      <c r="N7094" s="6">
        <f>IF(B7094="","",IF(ISNUMBER(B7094),TEXT(B7094,"YYYY-MM"),LEFT(B7094,7)))</f>
        <v/>
      </c>
    </row>
    <row r="7095">
      <c r="N7095" s="6">
        <f>IF(B7095="","",IF(ISNUMBER(B7095),TEXT(B7095,"YYYY-MM"),LEFT(B7095,7)))</f>
        <v/>
      </c>
    </row>
    <row r="7096">
      <c r="N7096" s="6">
        <f>IF(B7096="","",IF(ISNUMBER(B7096),TEXT(B7096,"YYYY-MM"),LEFT(B7096,7)))</f>
        <v/>
      </c>
    </row>
    <row r="7097">
      <c r="N7097" s="6">
        <f>IF(B7097="","",IF(ISNUMBER(B7097),TEXT(B7097,"YYYY-MM"),LEFT(B7097,7)))</f>
        <v/>
      </c>
    </row>
    <row r="7098">
      <c r="N7098" s="6">
        <f>IF(B7098="","",IF(ISNUMBER(B7098),TEXT(B7098,"YYYY-MM"),LEFT(B7098,7)))</f>
        <v/>
      </c>
    </row>
    <row r="7099">
      <c r="N7099" s="6">
        <f>IF(B7099="","",IF(ISNUMBER(B7099),TEXT(B7099,"YYYY-MM"),LEFT(B7099,7)))</f>
        <v/>
      </c>
    </row>
    <row r="7100">
      <c r="N7100" s="6">
        <f>IF(B7100="","",IF(ISNUMBER(B7100),TEXT(B7100,"YYYY-MM"),LEFT(B7100,7)))</f>
        <v/>
      </c>
    </row>
    <row r="7101">
      <c r="N7101" s="6">
        <f>IF(B7101="","",IF(ISNUMBER(B7101),TEXT(B7101,"YYYY-MM"),LEFT(B7101,7)))</f>
        <v/>
      </c>
    </row>
    <row r="7102">
      <c r="N7102" s="6">
        <f>IF(B7102="","",IF(ISNUMBER(B7102),TEXT(B7102,"YYYY-MM"),LEFT(B7102,7)))</f>
        <v/>
      </c>
    </row>
    <row r="7103">
      <c r="N7103" s="6">
        <f>IF(B7103="","",IF(ISNUMBER(B7103),TEXT(B7103,"YYYY-MM"),LEFT(B7103,7)))</f>
        <v/>
      </c>
    </row>
    <row r="7104">
      <c r="N7104" s="6">
        <f>IF(B7104="","",IF(ISNUMBER(B7104),TEXT(B7104,"YYYY-MM"),LEFT(B7104,7)))</f>
        <v/>
      </c>
    </row>
    <row r="7105">
      <c r="N7105" s="6">
        <f>IF(B7105="","",IF(ISNUMBER(B7105),TEXT(B7105,"YYYY-MM"),LEFT(B7105,7)))</f>
        <v/>
      </c>
    </row>
    <row r="7106">
      <c r="N7106" s="6">
        <f>IF(B7106="","",IF(ISNUMBER(B7106),TEXT(B7106,"YYYY-MM"),LEFT(B7106,7)))</f>
        <v/>
      </c>
    </row>
    <row r="7107">
      <c r="N7107" s="6">
        <f>IF(B7107="","",IF(ISNUMBER(B7107),TEXT(B7107,"YYYY-MM"),LEFT(B7107,7)))</f>
        <v/>
      </c>
    </row>
    <row r="7108">
      <c r="N7108" s="6">
        <f>IF(B7108="","",IF(ISNUMBER(B7108),TEXT(B7108,"YYYY-MM"),LEFT(B7108,7)))</f>
        <v/>
      </c>
    </row>
    <row r="7109">
      <c r="N7109" s="6">
        <f>IF(B7109="","",IF(ISNUMBER(B7109),TEXT(B7109,"YYYY-MM"),LEFT(B7109,7)))</f>
        <v/>
      </c>
    </row>
    <row r="7110">
      <c r="N7110" s="6">
        <f>IF(B7110="","",IF(ISNUMBER(B7110),TEXT(B7110,"YYYY-MM"),LEFT(B7110,7)))</f>
        <v/>
      </c>
    </row>
    <row r="7111">
      <c r="N7111" s="6">
        <f>IF(B7111="","",IF(ISNUMBER(B7111),TEXT(B7111,"YYYY-MM"),LEFT(B7111,7)))</f>
        <v/>
      </c>
    </row>
    <row r="7112">
      <c r="N7112" s="6">
        <f>IF(B7112="","",IF(ISNUMBER(B7112),TEXT(B7112,"YYYY-MM"),LEFT(B7112,7)))</f>
        <v/>
      </c>
    </row>
    <row r="7113">
      <c r="N7113" s="6">
        <f>IF(B7113="","",IF(ISNUMBER(B7113),TEXT(B7113,"YYYY-MM"),LEFT(B7113,7)))</f>
        <v/>
      </c>
    </row>
    <row r="7114">
      <c r="N7114" s="6">
        <f>IF(B7114="","",IF(ISNUMBER(B7114),TEXT(B7114,"YYYY-MM"),LEFT(B7114,7)))</f>
        <v/>
      </c>
    </row>
    <row r="7115">
      <c r="N7115" s="6">
        <f>IF(B7115="","",IF(ISNUMBER(B7115),TEXT(B7115,"YYYY-MM"),LEFT(B7115,7)))</f>
        <v/>
      </c>
    </row>
    <row r="7116">
      <c r="N7116" s="6">
        <f>IF(B7116="","",IF(ISNUMBER(B7116),TEXT(B7116,"YYYY-MM"),LEFT(B7116,7)))</f>
        <v/>
      </c>
    </row>
    <row r="7117">
      <c r="N7117" s="6">
        <f>IF(B7117="","",IF(ISNUMBER(B7117),TEXT(B7117,"YYYY-MM"),LEFT(B7117,7)))</f>
        <v/>
      </c>
    </row>
    <row r="7118">
      <c r="N7118" s="6">
        <f>IF(B7118="","",IF(ISNUMBER(B7118),TEXT(B7118,"YYYY-MM"),LEFT(B7118,7)))</f>
        <v/>
      </c>
    </row>
    <row r="7119">
      <c r="N7119" s="6">
        <f>IF(B7119="","",IF(ISNUMBER(B7119),TEXT(B7119,"YYYY-MM"),LEFT(B7119,7)))</f>
        <v/>
      </c>
    </row>
    <row r="7120">
      <c r="N7120" s="6">
        <f>IF(B7120="","",IF(ISNUMBER(B7120),TEXT(B7120,"YYYY-MM"),LEFT(B7120,7)))</f>
        <v/>
      </c>
    </row>
    <row r="7121">
      <c r="N7121" s="6">
        <f>IF(B7121="","",IF(ISNUMBER(B7121),TEXT(B7121,"YYYY-MM"),LEFT(B7121,7)))</f>
        <v/>
      </c>
    </row>
    <row r="7122">
      <c r="N7122" s="6">
        <f>IF(B7122="","",IF(ISNUMBER(B7122),TEXT(B7122,"YYYY-MM"),LEFT(B7122,7)))</f>
        <v/>
      </c>
    </row>
    <row r="7123">
      <c r="N7123" s="6">
        <f>IF(B7123="","",IF(ISNUMBER(B7123),TEXT(B7123,"YYYY-MM"),LEFT(B7123,7)))</f>
        <v/>
      </c>
    </row>
    <row r="7124">
      <c r="N7124" s="6">
        <f>IF(B7124="","",IF(ISNUMBER(B7124),TEXT(B7124,"YYYY-MM"),LEFT(B7124,7)))</f>
        <v/>
      </c>
    </row>
    <row r="7125">
      <c r="N7125" s="6">
        <f>IF(B7125="","",IF(ISNUMBER(B7125),TEXT(B7125,"YYYY-MM"),LEFT(B7125,7)))</f>
        <v/>
      </c>
    </row>
    <row r="7126">
      <c r="N7126" s="6">
        <f>IF(B7126="","",IF(ISNUMBER(B7126),TEXT(B7126,"YYYY-MM"),LEFT(B7126,7)))</f>
        <v/>
      </c>
    </row>
    <row r="7127">
      <c r="N7127" s="6">
        <f>IF(B7127="","",IF(ISNUMBER(B7127),TEXT(B7127,"YYYY-MM"),LEFT(B7127,7)))</f>
        <v/>
      </c>
    </row>
    <row r="7128">
      <c r="N7128" s="6">
        <f>IF(B7128="","",IF(ISNUMBER(B7128),TEXT(B7128,"YYYY-MM"),LEFT(B7128,7)))</f>
        <v/>
      </c>
    </row>
    <row r="7129">
      <c r="N7129" s="6">
        <f>IF(B7129="","",IF(ISNUMBER(B7129),TEXT(B7129,"YYYY-MM"),LEFT(B7129,7)))</f>
        <v/>
      </c>
    </row>
    <row r="7130">
      <c r="N7130" s="6">
        <f>IF(B7130="","",IF(ISNUMBER(B7130),TEXT(B7130,"YYYY-MM"),LEFT(B7130,7)))</f>
        <v/>
      </c>
    </row>
    <row r="7131">
      <c r="N7131" s="6">
        <f>IF(B7131="","",IF(ISNUMBER(B7131),TEXT(B7131,"YYYY-MM"),LEFT(B7131,7)))</f>
        <v/>
      </c>
    </row>
    <row r="7132">
      <c r="N7132" s="6">
        <f>IF(B7132="","",IF(ISNUMBER(B7132),TEXT(B7132,"YYYY-MM"),LEFT(B7132,7)))</f>
        <v/>
      </c>
    </row>
    <row r="7133">
      <c r="N7133" s="6">
        <f>IF(B7133="","",IF(ISNUMBER(B7133),TEXT(B7133,"YYYY-MM"),LEFT(B7133,7)))</f>
        <v/>
      </c>
    </row>
    <row r="7134">
      <c r="N7134" s="6">
        <f>IF(B7134="","",IF(ISNUMBER(B7134),TEXT(B7134,"YYYY-MM"),LEFT(B7134,7)))</f>
        <v/>
      </c>
    </row>
    <row r="7135">
      <c r="N7135" s="6">
        <f>IF(B7135="","",IF(ISNUMBER(B7135),TEXT(B7135,"YYYY-MM"),LEFT(B7135,7)))</f>
        <v/>
      </c>
    </row>
    <row r="7136">
      <c r="N7136" s="6">
        <f>IF(B7136="","",IF(ISNUMBER(B7136),TEXT(B7136,"YYYY-MM"),LEFT(B7136,7)))</f>
        <v/>
      </c>
    </row>
    <row r="7137">
      <c r="N7137" s="6">
        <f>IF(B7137="","",IF(ISNUMBER(B7137),TEXT(B7137,"YYYY-MM"),LEFT(B7137,7)))</f>
        <v/>
      </c>
    </row>
    <row r="7138">
      <c r="N7138" s="6">
        <f>IF(B7138="","",IF(ISNUMBER(B7138),TEXT(B7138,"YYYY-MM"),LEFT(B7138,7)))</f>
        <v/>
      </c>
    </row>
    <row r="7139">
      <c r="N7139" s="6">
        <f>IF(B7139="","",IF(ISNUMBER(B7139),TEXT(B7139,"YYYY-MM"),LEFT(B7139,7)))</f>
        <v/>
      </c>
    </row>
    <row r="7140">
      <c r="N7140" s="6">
        <f>IF(B7140="","",IF(ISNUMBER(B7140),TEXT(B7140,"YYYY-MM"),LEFT(B7140,7)))</f>
        <v/>
      </c>
    </row>
    <row r="7141">
      <c r="N7141" s="6">
        <f>IF(B7141="","",IF(ISNUMBER(B7141),TEXT(B7141,"YYYY-MM"),LEFT(B7141,7)))</f>
        <v/>
      </c>
    </row>
    <row r="7142">
      <c r="N7142" s="6">
        <f>IF(B7142="","",IF(ISNUMBER(B7142),TEXT(B7142,"YYYY-MM"),LEFT(B7142,7)))</f>
        <v/>
      </c>
    </row>
    <row r="7143">
      <c r="N7143" s="6">
        <f>IF(B7143="","",IF(ISNUMBER(B7143),TEXT(B7143,"YYYY-MM"),LEFT(B7143,7)))</f>
        <v/>
      </c>
    </row>
    <row r="7144">
      <c r="N7144" s="6">
        <f>IF(B7144="","",IF(ISNUMBER(B7144),TEXT(B7144,"YYYY-MM"),LEFT(B7144,7)))</f>
        <v/>
      </c>
    </row>
    <row r="7145">
      <c r="N7145" s="6">
        <f>IF(B7145="","",IF(ISNUMBER(B7145),TEXT(B7145,"YYYY-MM"),LEFT(B7145,7)))</f>
        <v/>
      </c>
    </row>
    <row r="7146">
      <c r="N7146" s="6">
        <f>IF(B7146="","",IF(ISNUMBER(B7146),TEXT(B7146,"YYYY-MM"),LEFT(B7146,7)))</f>
        <v/>
      </c>
    </row>
    <row r="7147">
      <c r="N7147" s="6">
        <f>IF(B7147="","",IF(ISNUMBER(B7147),TEXT(B7147,"YYYY-MM"),LEFT(B7147,7)))</f>
        <v/>
      </c>
    </row>
    <row r="7148">
      <c r="N7148" s="6">
        <f>IF(B7148="","",IF(ISNUMBER(B7148),TEXT(B7148,"YYYY-MM"),LEFT(B7148,7)))</f>
        <v/>
      </c>
    </row>
    <row r="7149">
      <c r="N7149" s="6">
        <f>IF(B7149="","",IF(ISNUMBER(B7149),TEXT(B7149,"YYYY-MM"),LEFT(B7149,7)))</f>
        <v/>
      </c>
    </row>
    <row r="7150">
      <c r="N7150" s="6">
        <f>IF(B7150="","",IF(ISNUMBER(B7150),TEXT(B7150,"YYYY-MM"),LEFT(B7150,7)))</f>
        <v/>
      </c>
    </row>
    <row r="7151">
      <c r="N7151" s="6">
        <f>IF(B7151="","",IF(ISNUMBER(B7151),TEXT(B7151,"YYYY-MM"),LEFT(B7151,7)))</f>
        <v/>
      </c>
    </row>
    <row r="7152">
      <c r="N7152" s="6">
        <f>IF(B7152="","",IF(ISNUMBER(B7152),TEXT(B7152,"YYYY-MM"),LEFT(B7152,7)))</f>
        <v/>
      </c>
    </row>
    <row r="7153">
      <c r="N7153" s="6">
        <f>IF(B7153="","",IF(ISNUMBER(B7153),TEXT(B7153,"YYYY-MM"),LEFT(B7153,7)))</f>
        <v/>
      </c>
    </row>
    <row r="7154">
      <c r="N7154" s="6">
        <f>IF(B7154="","",IF(ISNUMBER(B7154),TEXT(B7154,"YYYY-MM"),LEFT(B7154,7)))</f>
        <v/>
      </c>
    </row>
    <row r="7155">
      <c r="N7155" s="6">
        <f>IF(B7155="","",IF(ISNUMBER(B7155),TEXT(B7155,"YYYY-MM"),LEFT(B7155,7)))</f>
        <v/>
      </c>
    </row>
    <row r="7156">
      <c r="N7156" s="6">
        <f>IF(B7156="","",IF(ISNUMBER(B7156),TEXT(B7156,"YYYY-MM"),LEFT(B7156,7)))</f>
        <v/>
      </c>
    </row>
    <row r="7157">
      <c r="N7157" s="6">
        <f>IF(B7157="","",IF(ISNUMBER(B7157),TEXT(B7157,"YYYY-MM"),LEFT(B7157,7)))</f>
        <v/>
      </c>
    </row>
    <row r="7158">
      <c r="N7158" s="6">
        <f>IF(B7158="","",IF(ISNUMBER(B7158),TEXT(B7158,"YYYY-MM"),LEFT(B7158,7)))</f>
        <v/>
      </c>
    </row>
    <row r="7159">
      <c r="N7159" s="6">
        <f>IF(B7159="","",IF(ISNUMBER(B7159),TEXT(B7159,"YYYY-MM"),LEFT(B7159,7)))</f>
        <v/>
      </c>
    </row>
    <row r="7160">
      <c r="N7160" s="6">
        <f>IF(B7160="","",IF(ISNUMBER(B7160),TEXT(B7160,"YYYY-MM"),LEFT(B7160,7)))</f>
        <v/>
      </c>
    </row>
    <row r="7161">
      <c r="N7161" s="6">
        <f>IF(B7161="","",IF(ISNUMBER(B7161),TEXT(B7161,"YYYY-MM"),LEFT(B7161,7)))</f>
        <v/>
      </c>
    </row>
    <row r="7162">
      <c r="N7162" s="6">
        <f>IF(B7162="","",IF(ISNUMBER(B7162),TEXT(B7162,"YYYY-MM"),LEFT(B7162,7)))</f>
        <v/>
      </c>
    </row>
    <row r="7163">
      <c r="N7163" s="6">
        <f>IF(B7163="","",IF(ISNUMBER(B7163),TEXT(B7163,"YYYY-MM"),LEFT(B7163,7)))</f>
        <v/>
      </c>
    </row>
    <row r="7164">
      <c r="N7164" s="6">
        <f>IF(B7164="","",IF(ISNUMBER(B7164),TEXT(B7164,"YYYY-MM"),LEFT(B7164,7)))</f>
        <v/>
      </c>
    </row>
    <row r="7165">
      <c r="N7165" s="6">
        <f>IF(B7165="","",IF(ISNUMBER(B7165),TEXT(B7165,"YYYY-MM"),LEFT(B7165,7)))</f>
        <v/>
      </c>
    </row>
    <row r="7166">
      <c r="N7166" s="6">
        <f>IF(B7166="","",IF(ISNUMBER(B7166),TEXT(B7166,"YYYY-MM"),LEFT(B7166,7)))</f>
        <v/>
      </c>
    </row>
    <row r="7167">
      <c r="N7167" s="6">
        <f>IF(B7167="","",IF(ISNUMBER(B7167),TEXT(B7167,"YYYY-MM"),LEFT(B7167,7)))</f>
        <v/>
      </c>
    </row>
    <row r="7168">
      <c r="N7168" s="6">
        <f>IF(B7168="","",IF(ISNUMBER(B7168),TEXT(B7168,"YYYY-MM"),LEFT(B7168,7)))</f>
        <v/>
      </c>
    </row>
    <row r="7169">
      <c r="N7169" s="6">
        <f>IF(B7169="","",IF(ISNUMBER(B7169),TEXT(B7169,"YYYY-MM"),LEFT(B7169,7)))</f>
        <v/>
      </c>
    </row>
    <row r="7170">
      <c r="N7170" s="6">
        <f>IF(B7170="","",IF(ISNUMBER(B7170),TEXT(B7170,"YYYY-MM"),LEFT(B7170,7)))</f>
        <v/>
      </c>
    </row>
    <row r="7171">
      <c r="N7171" s="6">
        <f>IF(B7171="","",IF(ISNUMBER(B7171),TEXT(B7171,"YYYY-MM"),LEFT(B7171,7)))</f>
        <v/>
      </c>
    </row>
    <row r="7172">
      <c r="N7172" s="6">
        <f>IF(B7172="","",IF(ISNUMBER(B7172),TEXT(B7172,"YYYY-MM"),LEFT(B7172,7)))</f>
        <v/>
      </c>
    </row>
    <row r="7173">
      <c r="N7173" s="6">
        <f>IF(B7173="","",IF(ISNUMBER(B7173),TEXT(B7173,"YYYY-MM"),LEFT(B7173,7)))</f>
        <v/>
      </c>
    </row>
    <row r="7174">
      <c r="N7174" s="6">
        <f>IF(B7174="","",IF(ISNUMBER(B7174),TEXT(B7174,"YYYY-MM"),LEFT(B7174,7)))</f>
        <v/>
      </c>
    </row>
    <row r="7175">
      <c r="N7175" s="6">
        <f>IF(B7175="","",IF(ISNUMBER(B7175),TEXT(B7175,"YYYY-MM"),LEFT(B7175,7)))</f>
        <v/>
      </c>
    </row>
    <row r="7176">
      <c r="N7176" s="6">
        <f>IF(B7176="","",IF(ISNUMBER(B7176),TEXT(B7176,"YYYY-MM"),LEFT(B7176,7)))</f>
        <v/>
      </c>
    </row>
    <row r="7177">
      <c r="N7177" s="6">
        <f>IF(B7177="","",IF(ISNUMBER(B7177),TEXT(B7177,"YYYY-MM"),LEFT(B7177,7)))</f>
        <v/>
      </c>
    </row>
    <row r="7178">
      <c r="N7178" s="6">
        <f>IF(B7178="","",IF(ISNUMBER(B7178),TEXT(B7178,"YYYY-MM"),LEFT(B7178,7)))</f>
        <v/>
      </c>
    </row>
    <row r="7179">
      <c r="N7179" s="6">
        <f>IF(B7179="","",IF(ISNUMBER(B7179),TEXT(B7179,"YYYY-MM"),LEFT(B7179,7)))</f>
        <v/>
      </c>
    </row>
    <row r="7180">
      <c r="N7180" s="6">
        <f>IF(B7180="","",IF(ISNUMBER(B7180),TEXT(B7180,"YYYY-MM"),LEFT(B7180,7)))</f>
        <v/>
      </c>
    </row>
    <row r="7181">
      <c r="N7181" s="6">
        <f>IF(B7181="","",IF(ISNUMBER(B7181),TEXT(B7181,"YYYY-MM"),LEFT(B7181,7)))</f>
        <v/>
      </c>
    </row>
    <row r="7182">
      <c r="N7182" s="6">
        <f>IF(B7182="","",IF(ISNUMBER(B7182),TEXT(B7182,"YYYY-MM"),LEFT(B7182,7)))</f>
        <v/>
      </c>
    </row>
    <row r="7183">
      <c r="N7183" s="6">
        <f>IF(B7183="","",IF(ISNUMBER(B7183),TEXT(B7183,"YYYY-MM"),LEFT(B7183,7)))</f>
        <v/>
      </c>
    </row>
    <row r="7184">
      <c r="N7184" s="6">
        <f>IF(B7184="","",IF(ISNUMBER(B7184),TEXT(B7184,"YYYY-MM"),LEFT(B7184,7)))</f>
        <v/>
      </c>
    </row>
    <row r="7185">
      <c r="N7185" s="6">
        <f>IF(B7185="","",IF(ISNUMBER(B7185),TEXT(B7185,"YYYY-MM"),LEFT(B7185,7)))</f>
        <v/>
      </c>
    </row>
    <row r="7186">
      <c r="N7186" s="6">
        <f>IF(B7186="","",IF(ISNUMBER(B7186),TEXT(B7186,"YYYY-MM"),LEFT(B7186,7)))</f>
        <v/>
      </c>
    </row>
    <row r="7187">
      <c r="N7187" s="6">
        <f>IF(B7187="","",IF(ISNUMBER(B7187),TEXT(B7187,"YYYY-MM"),LEFT(B7187,7)))</f>
        <v/>
      </c>
    </row>
    <row r="7188">
      <c r="N7188" s="6">
        <f>IF(B7188="","",IF(ISNUMBER(B7188),TEXT(B7188,"YYYY-MM"),LEFT(B7188,7)))</f>
        <v/>
      </c>
    </row>
    <row r="7189">
      <c r="N7189" s="6">
        <f>IF(B7189="","",IF(ISNUMBER(B7189),TEXT(B7189,"YYYY-MM"),LEFT(B7189,7)))</f>
        <v/>
      </c>
    </row>
    <row r="7190">
      <c r="N7190" s="6">
        <f>IF(B7190="","",IF(ISNUMBER(B7190),TEXT(B7190,"YYYY-MM"),LEFT(B7190,7)))</f>
        <v/>
      </c>
    </row>
    <row r="7191">
      <c r="N7191" s="6">
        <f>IF(B7191="","",IF(ISNUMBER(B7191),TEXT(B7191,"YYYY-MM"),LEFT(B7191,7)))</f>
        <v/>
      </c>
    </row>
    <row r="7192">
      <c r="N7192" s="6">
        <f>IF(B7192="","",IF(ISNUMBER(B7192),TEXT(B7192,"YYYY-MM"),LEFT(B7192,7)))</f>
        <v/>
      </c>
    </row>
    <row r="7193">
      <c r="N7193" s="6">
        <f>IF(B7193="","",IF(ISNUMBER(B7193),TEXT(B7193,"YYYY-MM"),LEFT(B7193,7)))</f>
        <v/>
      </c>
    </row>
    <row r="7194">
      <c r="N7194" s="6">
        <f>IF(B7194="","",IF(ISNUMBER(B7194),TEXT(B7194,"YYYY-MM"),LEFT(B7194,7)))</f>
        <v/>
      </c>
    </row>
    <row r="7195">
      <c r="N7195" s="6">
        <f>IF(B7195="","",IF(ISNUMBER(B7195),TEXT(B7195,"YYYY-MM"),LEFT(B7195,7)))</f>
        <v/>
      </c>
    </row>
    <row r="7196">
      <c r="N7196" s="6">
        <f>IF(B7196="","",IF(ISNUMBER(B7196),TEXT(B7196,"YYYY-MM"),LEFT(B7196,7)))</f>
        <v/>
      </c>
    </row>
    <row r="7197">
      <c r="N7197" s="6">
        <f>IF(B7197="","",IF(ISNUMBER(B7197),TEXT(B7197,"YYYY-MM"),LEFT(B7197,7)))</f>
        <v/>
      </c>
    </row>
    <row r="7198">
      <c r="N7198" s="6">
        <f>IF(B7198="","",IF(ISNUMBER(B7198),TEXT(B7198,"YYYY-MM"),LEFT(B7198,7)))</f>
        <v/>
      </c>
    </row>
    <row r="7199">
      <c r="N7199" s="6">
        <f>IF(B7199="","",IF(ISNUMBER(B7199),TEXT(B7199,"YYYY-MM"),LEFT(B7199,7)))</f>
        <v/>
      </c>
    </row>
    <row r="7200">
      <c r="N7200" s="6">
        <f>IF(B7200="","",IF(ISNUMBER(B7200),TEXT(B7200,"YYYY-MM"),LEFT(B7200,7)))</f>
        <v/>
      </c>
    </row>
    <row r="7201">
      <c r="N7201" s="6">
        <f>IF(B7201="","",IF(ISNUMBER(B7201),TEXT(B7201,"YYYY-MM"),LEFT(B7201,7)))</f>
        <v/>
      </c>
    </row>
    <row r="7202">
      <c r="N7202" s="6">
        <f>IF(B7202="","",IF(ISNUMBER(B7202),TEXT(B7202,"YYYY-MM"),LEFT(B7202,7)))</f>
        <v/>
      </c>
    </row>
    <row r="7203">
      <c r="N7203" s="6">
        <f>IF(B7203="","",IF(ISNUMBER(B7203),TEXT(B7203,"YYYY-MM"),LEFT(B7203,7)))</f>
        <v/>
      </c>
    </row>
    <row r="7204">
      <c r="N7204" s="6">
        <f>IF(B7204="","",IF(ISNUMBER(B7204),TEXT(B7204,"YYYY-MM"),LEFT(B7204,7)))</f>
        <v/>
      </c>
    </row>
    <row r="7205">
      <c r="N7205" s="6">
        <f>IF(B7205="","",IF(ISNUMBER(B7205),TEXT(B7205,"YYYY-MM"),LEFT(B7205,7)))</f>
        <v/>
      </c>
    </row>
    <row r="7206">
      <c r="N7206" s="6">
        <f>IF(B7206="","",IF(ISNUMBER(B7206),TEXT(B7206,"YYYY-MM"),LEFT(B7206,7)))</f>
        <v/>
      </c>
    </row>
    <row r="7207">
      <c r="N7207" s="6">
        <f>IF(B7207="","",IF(ISNUMBER(B7207),TEXT(B7207,"YYYY-MM"),LEFT(B7207,7)))</f>
        <v/>
      </c>
    </row>
    <row r="7208">
      <c r="N7208" s="6">
        <f>IF(B7208="","",IF(ISNUMBER(B7208),TEXT(B7208,"YYYY-MM"),LEFT(B7208,7)))</f>
        <v/>
      </c>
    </row>
    <row r="7209">
      <c r="N7209" s="6">
        <f>IF(B7209="","",IF(ISNUMBER(B7209),TEXT(B7209,"YYYY-MM"),LEFT(B7209,7)))</f>
        <v/>
      </c>
    </row>
    <row r="7210">
      <c r="N7210" s="6">
        <f>IF(B7210="","",IF(ISNUMBER(B7210),TEXT(B7210,"YYYY-MM"),LEFT(B7210,7)))</f>
        <v/>
      </c>
    </row>
    <row r="7211">
      <c r="N7211" s="6">
        <f>IF(B7211="","",IF(ISNUMBER(B7211),TEXT(B7211,"YYYY-MM"),LEFT(B7211,7)))</f>
        <v/>
      </c>
    </row>
    <row r="7212">
      <c r="N7212" s="6">
        <f>IF(B7212="","",IF(ISNUMBER(B7212),TEXT(B7212,"YYYY-MM"),LEFT(B7212,7)))</f>
        <v/>
      </c>
    </row>
    <row r="7213">
      <c r="N7213" s="6">
        <f>IF(B7213="","",IF(ISNUMBER(B7213),TEXT(B7213,"YYYY-MM"),LEFT(B7213,7)))</f>
        <v/>
      </c>
    </row>
    <row r="7214">
      <c r="N7214" s="6">
        <f>IF(B7214="","",IF(ISNUMBER(B7214),TEXT(B7214,"YYYY-MM"),LEFT(B7214,7)))</f>
        <v/>
      </c>
    </row>
    <row r="7215">
      <c r="N7215" s="6">
        <f>IF(B7215="","",IF(ISNUMBER(B7215),TEXT(B7215,"YYYY-MM"),LEFT(B7215,7)))</f>
        <v/>
      </c>
    </row>
    <row r="7216">
      <c r="N7216" s="6">
        <f>IF(B7216="","",IF(ISNUMBER(B7216),TEXT(B7216,"YYYY-MM"),LEFT(B7216,7)))</f>
        <v/>
      </c>
    </row>
    <row r="7217">
      <c r="N7217" s="6">
        <f>IF(B7217="","",IF(ISNUMBER(B7217),TEXT(B7217,"YYYY-MM"),LEFT(B7217,7)))</f>
        <v/>
      </c>
    </row>
    <row r="7218">
      <c r="N7218" s="6">
        <f>IF(B7218="","",IF(ISNUMBER(B7218),TEXT(B7218,"YYYY-MM"),LEFT(B7218,7)))</f>
        <v/>
      </c>
    </row>
    <row r="7219">
      <c r="N7219" s="6">
        <f>IF(B7219="","",IF(ISNUMBER(B7219),TEXT(B7219,"YYYY-MM"),LEFT(B7219,7)))</f>
        <v/>
      </c>
    </row>
    <row r="7220">
      <c r="N7220" s="6">
        <f>IF(B7220="","",IF(ISNUMBER(B7220),TEXT(B7220,"YYYY-MM"),LEFT(B7220,7)))</f>
        <v/>
      </c>
    </row>
    <row r="7221">
      <c r="N7221" s="6">
        <f>IF(B7221="","",IF(ISNUMBER(B7221),TEXT(B7221,"YYYY-MM"),LEFT(B7221,7)))</f>
        <v/>
      </c>
    </row>
    <row r="7222">
      <c r="N7222" s="6">
        <f>IF(B7222="","",IF(ISNUMBER(B7222),TEXT(B7222,"YYYY-MM"),LEFT(B7222,7)))</f>
        <v/>
      </c>
    </row>
    <row r="7223">
      <c r="N7223" s="6">
        <f>IF(B7223="","",IF(ISNUMBER(B7223),TEXT(B7223,"YYYY-MM"),LEFT(B7223,7)))</f>
        <v/>
      </c>
    </row>
    <row r="7224">
      <c r="N7224" s="6">
        <f>IF(B7224="","",IF(ISNUMBER(B7224),TEXT(B7224,"YYYY-MM"),LEFT(B7224,7)))</f>
        <v/>
      </c>
    </row>
    <row r="7225">
      <c r="N7225" s="6">
        <f>IF(B7225="","",IF(ISNUMBER(B7225),TEXT(B7225,"YYYY-MM"),LEFT(B7225,7)))</f>
        <v/>
      </c>
    </row>
    <row r="7226">
      <c r="N7226" s="6">
        <f>IF(B7226="","",IF(ISNUMBER(B7226),TEXT(B7226,"YYYY-MM"),LEFT(B7226,7)))</f>
        <v/>
      </c>
    </row>
    <row r="7227">
      <c r="N7227" s="6">
        <f>IF(B7227="","",IF(ISNUMBER(B7227),TEXT(B7227,"YYYY-MM"),LEFT(B7227,7)))</f>
        <v/>
      </c>
    </row>
    <row r="7228">
      <c r="N7228" s="6">
        <f>IF(B7228="","",IF(ISNUMBER(B7228),TEXT(B7228,"YYYY-MM"),LEFT(B7228,7)))</f>
        <v/>
      </c>
    </row>
    <row r="7229">
      <c r="N7229" s="6">
        <f>IF(B7229="","",IF(ISNUMBER(B7229),TEXT(B7229,"YYYY-MM"),LEFT(B7229,7)))</f>
        <v/>
      </c>
    </row>
    <row r="7230">
      <c r="N7230" s="6">
        <f>IF(B7230="","",IF(ISNUMBER(B7230),TEXT(B7230,"YYYY-MM"),LEFT(B7230,7)))</f>
        <v/>
      </c>
    </row>
    <row r="7231">
      <c r="N7231" s="6">
        <f>IF(B7231="","",IF(ISNUMBER(B7231),TEXT(B7231,"YYYY-MM"),LEFT(B7231,7)))</f>
        <v/>
      </c>
    </row>
    <row r="7232">
      <c r="N7232" s="6">
        <f>IF(B7232="","",IF(ISNUMBER(B7232),TEXT(B7232,"YYYY-MM"),LEFT(B7232,7)))</f>
        <v/>
      </c>
    </row>
    <row r="7233">
      <c r="N7233" s="6">
        <f>IF(B7233="","",IF(ISNUMBER(B7233),TEXT(B7233,"YYYY-MM"),LEFT(B7233,7)))</f>
        <v/>
      </c>
    </row>
    <row r="7234">
      <c r="N7234" s="6">
        <f>IF(B7234="","",IF(ISNUMBER(B7234),TEXT(B7234,"YYYY-MM"),LEFT(B7234,7)))</f>
        <v/>
      </c>
    </row>
    <row r="7235">
      <c r="N7235" s="6">
        <f>IF(B7235="","",IF(ISNUMBER(B7235),TEXT(B7235,"YYYY-MM"),LEFT(B7235,7)))</f>
        <v/>
      </c>
    </row>
    <row r="7236">
      <c r="N7236" s="6">
        <f>IF(B7236="","",IF(ISNUMBER(B7236),TEXT(B7236,"YYYY-MM"),LEFT(B7236,7)))</f>
        <v/>
      </c>
    </row>
    <row r="7237">
      <c r="N7237" s="6">
        <f>IF(B7237="","",IF(ISNUMBER(B7237),TEXT(B7237,"YYYY-MM"),LEFT(B7237,7)))</f>
        <v/>
      </c>
    </row>
    <row r="7238">
      <c r="N7238" s="6">
        <f>IF(B7238="","",IF(ISNUMBER(B7238),TEXT(B7238,"YYYY-MM"),LEFT(B7238,7)))</f>
        <v/>
      </c>
    </row>
    <row r="7239">
      <c r="N7239" s="6">
        <f>IF(B7239="","",IF(ISNUMBER(B7239),TEXT(B7239,"YYYY-MM"),LEFT(B7239,7)))</f>
        <v/>
      </c>
    </row>
    <row r="7240">
      <c r="N7240" s="6">
        <f>IF(B7240="","",IF(ISNUMBER(B7240),TEXT(B7240,"YYYY-MM"),LEFT(B7240,7)))</f>
        <v/>
      </c>
    </row>
    <row r="7241">
      <c r="N7241" s="6">
        <f>IF(B7241="","",IF(ISNUMBER(B7241),TEXT(B7241,"YYYY-MM"),LEFT(B7241,7)))</f>
        <v/>
      </c>
    </row>
    <row r="7242">
      <c r="N7242" s="6">
        <f>IF(B7242="","",IF(ISNUMBER(B7242),TEXT(B7242,"YYYY-MM"),LEFT(B7242,7)))</f>
        <v/>
      </c>
    </row>
    <row r="7243">
      <c r="N7243" s="6">
        <f>IF(B7243="","",IF(ISNUMBER(B7243),TEXT(B7243,"YYYY-MM"),LEFT(B7243,7)))</f>
        <v/>
      </c>
    </row>
    <row r="7244">
      <c r="N7244" s="6">
        <f>IF(B7244="","",IF(ISNUMBER(B7244),TEXT(B7244,"YYYY-MM"),LEFT(B7244,7)))</f>
        <v/>
      </c>
    </row>
    <row r="7245">
      <c r="N7245" s="6">
        <f>IF(B7245="","",IF(ISNUMBER(B7245),TEXT(B7245,"YYYY-MM"),LEFT(B7245,7)))</f>
        <v/>
      </c>
    </row>
    <row r="7246">
      <c r="N7246" s="6">
        <f>IF(B7246="","",IF(ISNUMBER(B7246),TEXT(B7246,"YYYY-MM"),LEFT(B7246,7)))</f>
        <v/>
      </c>
    </row>
    <row r="7247">
      <c r="N7247" s="6">
        <f>IF(B7247="","",IF(ISNUMBER(B7247),TEXT(B7247,"YYYY-MM"),LEFT(B7247,7)))</f>
        <v/>
      </c>
    </row>
    <row r="7248">
      <c r="N7248" s="6">
        <f>IF(B7248="","",IF(ISNUMBER(B7248),TEXT(B7248,"YYYY-MM"),LEFT(B7248,7)))</f>
        <v/>
      </c>
    </row>
    <row r="7249">
      <c r="N7249" s="6">
        <f>IF(B7249="","",IF(ISNUMBER(B7249),TEXT(B7249,"YYYY-MM"),LEFT(B7249,7)))</f>
        <v/>
      </c>
    </row>
    <row r="7250">
      <c r="N7250" s="6">
        <f>IF(B7250="","",IF(ISNUMBER(B7250),TEXT(B7250,"YYYY-MM"),LEFT(B7250,7)))</f>
        <v/>
      </c>
    </row>
    <row r="7251">
      <c r="N7251" s="6">
        <f>IF(B7251="","",IF(ISNUMBER(B7251),TEXT(B7251,"YYYY-MM"),LEFT(B7251,7)))</f>
        <v/>
      </c>
    </row>
    <row r="7252">
      <c r="N7252" s="6">
        <f>IF(B7252="","",IF(ISNUMBER(B7252),TEXT(B7252,"YYYY-MM"),LEFT(B7252,7)))</f>
        <v/>
      </c>
    </row>
    <row r="7253">
      <c r="N7253" s="6">
        <f>IF(B7253="","",IF(ISNUMBER(B7253),TEXT(B7253,"YYYY-MM"),LEFT(B7253,7)))</f>
        <v/>
      </c>
    </row>
    <row r="7254">
      <c r="N7254" s="6">
        <f>IF(B7254="","",IF(ISNUMBER(B7254),TEXT(B7254,"YYYY-MM"),LEFT(B7254,7)))</f>
        <v/>
      </c>
    </row>
    <row r="7255">
      <c r="N7255" s="6">
        <f>IF(B7255="","",IF(ISNUMBER(B7255),TEXT(B7255,"YYYY-MM"),LEFT(B7255,7)))</f>
        <v/>
      </c>
    </row>
    <row r="7256">
      <c r="N7256" s="6">
        <f>IF(B7256="","",IF(ISNUMBER(B7256),TEXT(B7256,"YYYY-MM"),LEFT(B7256,7)))</f>
        <v/>
      </c>
    </row>
    <row r="7257">
      <c r="N7257" s="6">
        <f>IF(B7257="","",IF(ISNUMBER(B7257),TEXT(B7257,"YYYY-MM"),LEFT(B7257,7)))</f>
        <v/>
      </c>
    </row>
    <row r="7258">
      <c r="N7258" s="6">
        <f>IF(B7258="","",IF(ISNUMBER(B7258),TEXT(B7258,"YYYY-MM"),LEFT(B7258,7)))</f>
        <v/>
      </c>
    </row>
    <row r="7259">
      <c r="N7259" s="6">
        <f>IF(B7259="","",IF(ISNUMBER(B7259),TEXT(B7259,"YYYY-MM"),LEFT(B7259,7)))</f>
        <v/>
      </c>
    </row>
    <row r="7260">
      <c r="N7260" s="6">
        <f>IF(B7260="","",IF(ISNUMBER(B7260),TEXT(B7260,"YYYY-MM"),LEFT(B7260,7)))</f>
        <v/>
      </c>
    </row>
    <row r="7261">
      <c r="N7261" s="6">
        <f>IF(B7261="","",IF(ISNUMBER(B7261),TEXT(B7261,"YYYY-MM"),LEFT(B7261,7)))</f>
        <v/>
      </c>
    </row>
    <row r="7262">
      <c r="N7262" s="6">
        <f>IF(B7262="","",IF(ISNUMBER(B7262),TEXT(B7262,"YYYY-MM"),LEFT(B7262,7)))</f>
        <v/>
      </c>
    </row>
    <row r="7263">
      <c r="N7263" s="6">
        <f>IF(B7263="","",IF(ISNUMBER(B7263),TEXT(B7263,"YYYY-MM"),LEFT(B7263,7)))</f>
        <v/>
      </c>
    </row>
    <row r="7264">
      <c r="N7264" s="6">
        <f>IF(B7264="","",IF(ISNUMBER(B7264),TEXT(B7264,"YYYY-MM"),LEFT(B7264,7)))</f>
        <v/>
      </c>
    </row>
    <row r="7265">
      <c r="N7265" s="6">
        <f>IF(B7265="","",IF(ISNUMBER(B7265),TEXT(B7265,"YYYY-MM"),LEFT(B7265,7)))</f>
        <v/>
      </c>
    </row>
    <row r="7266">
      <c r="N7266" s="6">
        <f>IF(B7266="","",IF(ISNUMBER(B7266),TEXT(B7266,"YYYY-MM"),LEFT(B7266,7)))</f>
        <v/>
      </c>
    </row>
    <row r="7267">
      <c r="N7267" s="6">
        <f>IF(B7267="","",IF(ISNUMBER(B7267),TEXT(B7267,"YYYY-MM"),LEFT(B7267,7)))</f>
        <v/>
      </c>
    </row>
    <row r="7268">
      <c r="N7268" s="6">
        <f>IF(B7268="","",IF(ISNUMBER(B7268),TEXT(B7268,"YYYY-MM"),LEFT(B7268,7)))</f>
        <v/>
      </c>
    </row>
    <row r="7269">
      <c r="N7269" s="6">
        <f>IF(B7269="","",IF(ISNUMBER(B7269),TEXT(B7269,"YYYY-MM"),LEFT(B7269,7)))</f>
        <v/>
      </c>
    </row>
    <row r="7270">
      <c r="N7270" s="6">
        <f>IF(B7270="","",IF(ISNUMBER(B7270),TEXT(B7270,"YYYY-MM"),LEFT(B7270,7)))</f>
        <v/>
      </c>
    </row>
    <row r="7271">
      <c r="N7271" s="6">
        <f>IF(B7271="","",IF(ISNUMBER(B7271),TEXT(B7271,"YYYY-MM"),LEFT(B7271,7)))</f>
        <v/>
      </c>
    </row>
    <row r="7272">
      <c r="N7272" s="6">
        <f>IF(B7272="","",IF(ISNUMBER(B7272),TEXT(B7272,"YYYY-MM"),LEFT(B7272,7)))</f>
        <v/>
      </c>
    </row>
    <row r="7273">
      <c r="N7273" s="6">
        <f>IF(B7273="","",IF(ISNUMBER(B7273),TEXT(B7273,"YYYY-MM"),LEFT(B7273,7)))</f>
        <v/>
      </c>
    </row>
    <row r="7274">
      <c r="N7274" s="6">
        <f>IF(B7274="","",IF(ISNUMBER(B7274),TEXT(B7274,"YYYY-MM"),LEFT(B7274,7)))</f>
        <v/>
      </c>
    </row>
    <row r="7275">
      <c r="N7275" s="6">
        <f>IF(B7275="","",IF(ISNUMBER(B7275),TEXT(B7275,"YYYY-MM"),LEFT(B7275,7)))</f>
        <v/>
      </c>
    </row>
    <row r="7276">
      <c r="N7276" s="6">
        <f>IF(B7276="","",IF(ISNUMBER(B7276),TEXT(B7276,"YYYY-MM"),LEFT(B7276,7)))</f>
        <v/>
      </c>
    </row>
    <row r="7277">
      <c r="N7277" s="6">
        <f>IF(B7277="","",IF(ISNUMBER(B7277),TEXT(B7277,"YYYY-MM"),LEFT(B7277,7)))</f>
        <v/>
      </c>
    </row>
    <row r="7278">
      <c r="N7278" s="6">
        <f>IF(B7278="","",IF(ISNUMBER(B7278),TEXT(B7278,"YYYY-MM"),LEFT(B7278,7)))</f>
        <v/>
      </c>
    </row>
    <row r="7279">
      <c r="N7279" s="6">
        <f>IF(B7279="","",IF(ISNUMBER(B7279),TEXT(B7279,"YYYY-MM"),LEFT(B7279,7)))</f>
        <v/>
      </c>
    </row>
    <row r="7280">
      <c r="N7280" s="6">
        <f>IF(B7280="","",IF(ISNUMBER(B7280),TEXT(B7280,"YYYY-MM"),LEFT(B7280,7)))</f>
        <v/>
      </c>
    </row>
    <row r="7281">
      <c r="N7281" s="6">
        <f>IF(B7281="","",IF(ISNUMBER(B7281),TEXT(B7281,"YYYY-MM"),LEFT(B7281,7)))</f>
        <v/>
      </c>
    </row>
    <row r="7282">
      <c r="N7282" s="6">
        <f>IF(B7282="","",IF(ISNUMBER(B7282),TEXT(B7282,"YYYY-MM"),LEFT(B7282,7)))</f>
        <v/>
      </c>
    </row>
    <row r="7283">
      <c r="N7283" s="6">
        <f>IF(B7283="","",IF(ISNUMBER(B7283),TEXT(B7283,"YYYY-MM"),LEFT(B7283,7)))</f>
        <v/>
      </c>
    </row>
    <row r="7284">
      <c r="N7284" s="6">
        <f>IF(B7284="","",IF(ISNUMBER(B7284),TEXT(B7284,"YYYY-MM"),LEFT(B7284,7)))</f>
        <v/>
      </c>
    </row>
    <row r="7285">
      <c r="N7285" s="6">
        <f>IF(B7285="","",IF(ISNUMBER(B7285),TEXT(B7285,"YYYY-MM"),LEFT(B7285,7)))</f>
        <v/>
      </c>
    </row>
    <row r="7286">
      <c r="N7286" s="6">
        <f>IF(B7286="","",IF(ISNUMBER(B7286),TEXT(B7286,"YYYY-MM"),LEFT(B7286,7)))</f>
        <v/>
      </c>
    </row>
    <row r="7287">
      <c r="N7287" s="6">
        <f>IF(B7287="","",IF(ISNUMBER(B7287),TEXT(B7287,"YYYY-MM"),LEFT(B7287,7)))</f>
        <v/>
      </c>
    </row>
    <row r="7288">
      <c r="N7288" s="6">
        <f>IF(B7288="","",IF(ISNUMBER(B7288),TEXT(B7288,"YYYY-MM"),LEFT(B7288,7)))</f>
        <v/>
      </c>
    </row>
    <row r="7289">
      <c r="N7289" s="6">
        <f>IF(B7289="","",IF(ISNUMBER(B7289),TEXT(B7289,"YYYY-MM"),LEFT(B7289,7)))</f>
        <v/>
      </c>
    </row>
    <row r="7290">
      <c r="N7290" s="6">
        <f>IF(B7290="","",IF(ISNUMBER(B7290),TEXT(B7290,"YYYY-MM"),LEFT(B7290,7)))</f>
        <v/>
      </c>
    </row>
    <row r="7291">
      <c r="N7291" s="6">
        <f>IF(B7291="","",IF(ISNUMBER(B7291),TEXT(B7291,"YYYY-MM"),LEFT(B7291,7)))</f>
        <v/>
      </c>
    </row>
    <row r="7292">
      <c r="N7292" s="6">
        <f>IF(B7292="","",IF(ISNUMBER(B7292),TEXT(B7292,"YYYY-MM"),LEFT(B7292,7)))</f>
        <v/>
      </c>
    </row>
    <row r="7293">
      <c r="N7293" s="6">
        <f>IF(B7293="","",IF(ISNUMBER(B7293),TEXT(B7293,"YYYY-MM"),LEFT(B7293,7)))</f>
        <v/>
      </c>
    </row>
    <row r="7294">
      <c r="N7294" s="6">
        <f>IF(B7294="","",IF(ISNUMBER(B7294),TEXT(B7294,"YYYY-MM"),LEFT(B7294,7)))</f>
        <v/>
      </c>
    </row>
    <row r="7295">
      <c r="N7295" s="6">
        <f>IF(B7295="","",IF(ISNUMBER(B7295),TEXT(B7295,"YYYY-MM"),LEFT(B7295,7)))</f>
        <v/>
      </c>
    </row>
    <row r="7296">
      <c r="N7296" s="6">
        <f>IF(B7296="","",IF(ISNUMBER(B7296),TEXT(B7296,"YYYY-MM"),LEFT(B7296,7)))</f>
        <v/>
      </c>
    </row>
    <row r="7297">
      <c r="N7297" s="6">
        <f>IF(B7297="","",IF(ISNUMBER(B7297),TEXT(B7297,"YYYY-MM"),LEFT(B7297,7)))</f>
        <v/>
      </c>
    </row>
    <row r="7298">
      <c r="N7298" s="6">
        <f>IF(B7298="","",IF(ISNUMBER(B7298),TEXT(B7298,"YYYY-MM"),LEFT(B7298,7)))</f>
        <v/>
      </c>
    </row>
    <row r="7299">
      <c r="N7299" s="6">
        <f>IF(B7299="","",IF(ISNUMBER(B7299),TEXT(B7299,"YYYY-MM"),LEFT(B7299,7)))</f>
        <v/>
      </c>
    </row>
    <row r="7300">
      <c r="N7300" s="6">
        <f>IF(B7300="","",IF(ISNUMBER(B7300),TEXT(B7300,"YYYY-MM"),LEFT(B7300,7)))</f>
        <v/>
      </c>
    </row>
    <row r="7301">
      <c r="N7301" s="6">
        <f>IF(B7301="","",IF(ISNUMBER(B7301),TEXT(B7301,"YYYY-MM"),LEFT(B7301,7)))</f>
        <v/>
      </c>
    </row>
    <row r="7302">
      <c r="N7302" s="6">
        <f>IF(B7302="","",IF(ISNUMBER(B7302),TEXT(B7302,"YYYY-MM"),LEFT(B7302,7)))</f>
        <v/>
      </c>
    </row>
    <row r="7303">
      <c r="N7303" s="6">
        <f>IF(B7303="","",IF(ISNUMBER(B7303),TEXT(B7303,"YYYY-MM"),LEFT(B7303,7)))</f>
        <v/>
      </c>
    </row>
    <row r="7304">
      <c r="N7304" s="6">
        <f>IF(B7304="","",IF(ISNUMBER(B7304),TEXT(B7304,"YYYY-MM"),LEFT(B7304,7)))</f>
        <v/>
      </c>
    </row>
    <row r="7305">
      <c r="N7305" s="6">
        <f>IF(B7305="","",IF(ISNUMBER(B7305),TEXT(B7305,"YYYY-MM"),LEFT(B7305,7)))</f>
        <v/>
      </c>
    </row>
    <row r="7306">
      <c r="N7306" s="6">
        <f>IF(B7306="","",IF(ISNUMBER(B7306),TEXT(B7306,"YYYY-MM"),LEFT(B7306,7)))</f>
        <v/>
      </c>
    </row>
    <row r="7307">
      <c r="N7307" s="6">
        <f>IF(B7307="","",IF(ISNUMBER(B7307),TEXT(B7307,"YYYY-MM"),LEFT(B7307,7)))</f>
        <v/>
      </c>
    </row>
    <row r="7308">
      <c r="N7308" s="6">
        <f>IF(B7308="","",IF(ISNUMBER(B7308),TEXT(B7308,"YYYY-MM"),LEFT(B7308,7)))</f>
        <v/>
      </c>
    </row>
    <row r="7309">
      <c r="N7309" s="6">
        <f>IF(B7309="","",IF(ISNUMBER(B7309),TEXT(B7309,"YYYY-MM"),LEFT(B7309,7)))</f>
        <v/>
      </c>
    </row>
    <row r="7310">
      <c r="N7310" s="6">
        <f>IF(B7310="","",IF(ISNUMBER(B7310),TEXT(B7310,"YYYY-MM"),LEFT(B7310,7)))</f>
        <v/>
      </c>
    </row>
    <row r="7311">
      <c r="N7311" s="6">
        <f>IF(B7311="","",IF(ISNUMBER(B7311),TEXT(B7311,"YYYY-MM"),LEFT(B7311,7)))</f>
        <v/>
      </c>
    </row>
    <row r="7312">
      <c r="N7312" s="6">
        <f>IF(B7312="","",IF(ISNUMBER(B7312),TEXT(B7312,"YYYY-MM"),LEFT(B7312,7)))</f>
        <v/>
      </c>
    </row>
    <row r="7313">
      <c r="N7313" s="6">
        <f>IF(B7313="","",IF(ISNUMBER(B7313),TEXT(B7313,"YYYY-MM"),LEFT(B7313,7)))</f>
        <v/>
      </c>
    </row>
    <row r="7314">
      <c r="N7314" s="6">
        <f>IF(B7314="","",IF(ISNUMBER(B7314),TEXT(B7314,"YYYY-MM"),LEFT(B7314,7)))</f>
        <v/>
      </c>
    </row>
    <row r="7315">
      <c r="N7315" s="6">
        <f>IF(B7315="","",IF(ISNUMBER(B7315),TEXT(B7315,"YYYY-MM"),LEFT(B7315,7)))</f>
        <v/>
      </c>
    </row>
    <row r="7316">
      <c r="N7316" s="6">
        <f>IF(B7316="","",IF(ISNUMBER(B7316),TEXT(B7316,"YYYY-MM"),LEFT(B7316,7)))</f>
        <v/>
      </c>
    </row>
    <row r="7317">
      <c r="N7317" s="6">
        <f>IF(B7317="","",IF(ISNUMBER(B7317),TEXT(B7317,"YYYY-MM"),LEFT(B7317,7)))</f>
        <v/>
      </c>
    </row>
    <row r="7318">
      <c r="N7318" s="6">
        <f>IF(B7318="","",IF(ISNUMBER(B7318),TEXT(B7318,"YYYY-MM"),LEFT(B7318,7)))</f>
        <v/>
      </c>
    </row>
    <row r="7319">
      <c r="N7319" s="6">
        <f>IF(B7319="","",IF(ISNUMBER(B7319),TEXT(B7319,"YYYY-MM"),LEFT(B7319,7)))</f>
        <v/>
      </c>
    </row>
    <row r="7320">
      <c r="N7320" s="6">
        <f>IF(B7320="","",IF(ISNUMBER(B7320),TEXT(B7320,"YYYY-MM"),LEFT(B7320,7)))</f>
        <v/>
      </c>
    </row>
    <row r="7321">
      <c r="N7321" s="6">
        <f>IF(B7321="","",IF(ISNUMBER(B7321),TEXT(B7321,"YYYY-MM"),LEFT(B7321,7)))</f>
        <v/>
      </c>
    </row>
    <row r="7322">
      <c r="N7322" s="6">
        <f>IF(B7322="","",IF(ISNUMBER(B7322),TEXT(B7322,"YYYY-MM"),LEFT(B7322,7)))</f>
        <v/>
      </c>
    </row>
    <row r="7323">
      <c r="N7323" s="6">
        <f>IF(B7323="","",IF(ISNUMBER(B7323),TEXT(B7323,"YYYY-MM"),LEFT(B7323,7)))</f>
        <v/>
      </c>
    </row>
    <row r="7324">
      <c r="N7324" s="6">
        <f>IF(B7324="","",IF(ISNUMBER(B7324),TEXT(B7324,"YYYY-MM"),LEFT(B7324,7)))</f>
        <v/>
      </c>
    </row>
    <row r="7325">
      <c r="N7325" s="6">
        <f>IF(B7325="","",IF(ISNUMBER(B7325),TEXT(B7325,"YYYY-MM"),LEFT(B7325,7)))</f>
        <v/>
      </c>
    </row>
    <row r="7326">
      <c r="N7326" s="6">
        <f>IF(B7326="","",IF(ISNUMBER(B7326),TEXT(B7326,"YYYY-MM"),LEFT(B7326,7)))</f>
        <v/>
      </c>
    </row>
    <row r="7327">
      <c r="N7327" s="6">
        <f>IF(B7327="","",IF(ISNUMBER(B7327),TEXT(B7327,"YYYY-MM"),LEFT(B7327,7)))</f>
        <v/>
      </c>
    </row>
    <row r="7328">
      <c r="N7328" s="6">
        <f>IF(B7328="","",IF(ISNUMBER(B7328),TEXT(B7328,"YYYY-MM"),LEFT(B7328,7)))</f>
        <v/>
      </c>
    </row>
    <row r="7329">
      <c r="N7329" s="6">
        <f>IF(B7329="","",IF(ISNUMBER(B7329),TEXT(B7329,"YYYY-MM"),LEFT(B7329,7)))</f>
        <v/>
      </c>
    </row>
    <row r="7330">
      <c r="N7330" s="6">
        <f>IF(B7330="","",IF(ISNUMBER(B7330),TEXT(B7330,"YYYY-MM"),LEFT(B7330,7)))</f>
        <v/>
      </c>
    </row>
    <row r="7331">
      <c r="N7331" s="6">
        <f>IF(B7331="","",IF(ISNUMBER(B7331),TEXT(B7331,"YYYY-MM"),LEFT(B7331,7)))</f>
        <v/>
      </c>
    </row>
    <row r="7332">
      <c r="N7332" s="6">
        <f>IF(B7332="","",IF(ISNUMBER(B7332),TEXT(B7332,"YYYY-MM"),LEFT(B7332,7)))</f>
        <v/>
      </c>
    </row>
    <row r="7333">
      <c r="N7333" s="6">
        <f>IF(B7333="","",IF(ISNUMBER(B7333),TEXT(B7333,"YYYY-MM"),LEFT(B7333,7)))</f>
        <v/>
      </c>
    </row>
    <row r="7334">
      <c r="N7334" s="6">
        <f>IF(B7334="","",IF(ISNUMBER(B7334),TEXT(B7334,"YYYY-MM"),LEFT(B7334,7)))</f>
        <v/>
      </c>
    </row>
    <row r="7335">
      <c r="N7335" s="6">
        <f>IF(B7335="","",IF(ISNUMBER(B7335),TEXT(B7335,"YYYY-MM"),LEFT(B7335,7)))</f>
        <v/>
      </c>
    </row>
    <row r="7336">
      <c r="N7336" s="6">
        <f>IF(B7336="","",IF(ISNUMBER(B7336),TEXT(B7336,"YYYY-MM"),LEFT(B7336,7)))</f>
        <v/>
      </c>
    </row>
    <row r="7337">
      <c r="N7337" s="6">
        <f>IF(B7337="","",IF(ISNUMBER(B7337),TEXT(B7337,"YYYY-MM"),LEFT(B7337,7)))</f>
        <v/>
      </c>
    </row>
    <row r="7338">
      <c r="N7338" s="6">
        <f>IF(B7338="","",IF(ISNUMBER(B7338),TEXT(B7338,"YYYY-MM"),LEFT(B7338,7)))</f>
        <v/>
      </c>
    </row>
    <row r="7339">
      <c r="N7339" s="6">
        <f>IF(B7339="","",IF(ISNUMBER(B7339),TEXT(B7339,"YYYY-MM"),LEFT(B7339,7)))</f>
        <v/>
      </c>
    </row>
    <row r="7340">
      <c r="N7340" s="6">
        <f>IF(B7340="","",IF(ISNUMBER(B7340),TEXT(B7340,"YYYY-MM"),LEFT(B7340,7)))</f>
        <v/>
      </c>
    </row>
    <row r="7341">
      <c r="N7341" s="6">
        <f>IF(B7341="","",IF(ISNUMBER(B7341),TEXT(B7341,"YYYY-MM"),LEFT(B7341,7)))</f>
        <v/>
      </c>
    </row>
    <row r="7342">
      <c r="N7342" s="6">
        <f>IF(B7342="","",IF(ISNUMBER(B7342),TEXT(B7342,"YYYY-MM"),LEFT(B7342,7)))</f>
        <v/>
      </c>
    </row>
    <row r="7343">
      <c r="N7343" s="6">
        <f>IF(B7343="","",IF(ISNUMBER(B7343),TEXT(B7343,"YYYY-MM"),LEFT(B7343,7)))</f>
        <v/>
      </c>
    </row>
    <row r="7344">
      <c r="N7344" s="6">
        <f>IF(B7344="","",IF(ISNUMBER(B7344),TEXT(B7344,"YYYY-MM"),LEFT(B7344,7)))</f>
        <v/>
      </c>
    </row>
    <row r="7345">
      <c r="N7345" s="6">
        <f>IF(B7345="","",IF(ISNUMBER(B7345),TEXT(B7345,"YYYY-MM"),LEFT(B7345,7)))</f>
        <v/>
      </c>
    </row>
    <row r="7346">
      <c r="N7346" s="6">
        <f>IF(B7346="","",IF(ISNUMBER(B7346),TEXT(B7346,"YYYY-MM"),LEFT(B7346,7)))</f>
        <v/>
      </c>
    </row>
    <row r="7347">
      <c r="N7347" s="6">
        <f>IF(B7347="","",IF(ISNUMBER(B7347),TEXT(B7347,"YYYY-MM"),LEFT(B7347,7)))</f>
        <v/>
      </c>
    </row>
    <row r="7348">
      <c r="N7348" s="6">
        <f>IF(B7348="","",IF(ISNUMBER(B7348),TEXT(B7348,"YYYY-MM"),LEFT(B7348,7)))</f>
        <v/>
      </c>
    </row>
    <row r="7349">
      <c r="N7349" s="6">
        <f>IF(B7349="","",IF(ISNUMBER(B7349),TEXT(B7349,"YYYY-MM"),LEFT(B7349,7)))</f>
        <v/>
      </c>
    </row>
    <row r="7350">
      <c r="N7350" s="6">
        <f>IF(B7350="","",IF(ISNUMBER(B7350),TEXT(B7350,"YYYY-MM"),LEFT(B7350,7)))</f>
        <v/>
      </c>
    </row>
    <row r="7351">
      <c r="N7351" s="6">
        <f>IF(B7351="","",IF(ISNUMBER(B7351),TEXT(B7351,"YYYY-MM"),LEFT(B7351,7)))</f>
        <v/>
      </c>
    </row>
    <row r="7352">
      <c r="N7352" s="6">
        <f>IF(B7352="","",IF(ISNUMBER(B7352),TEXT(B7352,"YYYY-MM"),LEFT(B7352,7)))</f>
        <v/>
      </c>
    </row>
    <row r="7353">
      <c r="N7353" s="6">
        <f>IF(B7353="","",IF(ISNUMBER(B7353),TEXT(B7353,"YYYY-MM"),LEFT(B7353,7)))</f>
        <v/>
      </c>
    </row>
    <row r="7354">
      <c r="N7354" s="6">
        <f>IF(B7354="","",IF(ISNUMBER(B7354),TEXT(B7354,"YYYY-MM"),LEFT(B7354,7)))</f>
        <v/>
      </c>
    </row>
    <row r="7355">
      <c r="N7355" s="6">
        <f>IF(B7355="","",IF(ISNUMBER(B7355),TEXT(B7355,"YYYY-MM"),LEFT(B7355,7)))</f>
        <v/>
      </c>
    </row>
    <row r="7356">
      <c r="N7356" s="6">
        <f>IF(B7356="","",IF(ISNUMBER(B7356),TEXT(B7356,"YYYY-MM"),LEFT(B7356,7)))</f>
        <v/>
      </c>
    </row>
    <row r="7357">
      <c r="N7357" s="6">
        <f>IF(B7357="","",IF(ISNUMBER(B7357),TEXT(B7357,"YYYY-MM"),LEFT(B7357,7)))</f>
        <v/>
      </c>
    </row>
    <row r="7358">
      <c r="N7358" s="6">
        <f>IF(B7358="","",IF(ISNUMBER(B7358),TEXT(B7358,"YYYY-MM"),LEFT(B7358,7)))</f>
        <v/>
      </c>
    </row>
    <row r="7359">
      <c r="N7359" s="6">
        <f>IF(B7359="","",IF(ISNUMBER(B7359),TEXT(B7359,"YYYY-MM"),LEFT(B7359,7)))</f>
        <v/>
      </c>
    </row>
    <row r="7360">
      <c r="N7360" s="6">
        <f>IF(B7360="","",IF(ISNUMBER(B7360),TEXT(B7360,"YYYY-MM"),LEFT(B7360,7)))</f>
        <v/>
      </c>
    </row>
    <row r="7361">
      <c r="N7361" s="6">
        <f>IF(B7361="","",IF(ISNUMBER(B7361),TEXT(B7361,"YYYY-MM"),LEFT(B7361,7)))</f>
        <v/>
      </c>
    </row>
    <row r="7362">
      <c r="N7362" s="6">
        <f>IF(B7362="","",IF(ISNUMBER(B7362),TEXT(B7362,"YYYY-MM"),LEFT(B7362,7)))</f>
        <v/>
      </c>
    </row>
    <row r="7363">
      <c r="N7363" s="6">
        <f>IF(B7363="","",IF(ISNUMBER(B7363),TEXT(B7363,"YYYY-MM"),LEFT(B7363,7)))</f>
        <v/>
      </c>
    </row>
    <row r="7364">
      <c r="N7364" s="6">
        <f>IF(B7364="","",IF(ISNUMBER(B7364),TEXT(B7364,"YYYY-MM"),LEFT(B7364,7)))</f>
        <v/>
      </c>
    </row>
    <row r="7365">
      <c r="N7365" s="6">
        <f>IF(B7365="","",IF(ISNUMBER(B7365),TEXT(B7365,"YYYY-MM"),LEFT(B7365,7)))</f>
        <v/>
      </c>
    </row>
    <row r="7366">
      <c r="N7366" s="6">
        <f>IF(B7366="","",IF(ISNUMBER(B7366),TEXT(B7366,"YYYY-MM"),LEFT(B7366,7)))</f>
        <v/>
      </c>
    </row>
    <row r="7367">
      <c r="N7367" s="6">
        <f>IF(B7367="","",IF(ISNUMBER(B7367),TEXT(B7367,"YYYY-MM"),LEFT(B7367,7)))</f>
        <v/>
      </c>
    </row>
    <row r="7368">
      <c r="N7368" s="6">
        <f>IF(B7368="","",IF(ISNUMBER(B7368),TEXT(B7368,"YYYY-MM"),LEFT(B7368,7)))</f>
        <v/>
      </c>
    </row>
    <row r="7369">
      <c r="N7369" s="6">
        <f>IF(B7369="","",IF(ISNUMBER(B7369),TEXT(B7369,"YYYY-MM"),LEFT(B7369,7)))</f>
        <v/>
      </c>
    </row>
    <row r="7370">
      <c r="N7370" s="6">
        <f>IF(B7370="","",IF(ISNUMBER(B7370),TEXT(B7370,"YYYY-MM"),LEFT(B7370,7)))</f>
        <v/>
      </c>
    </row>
    <row r="7371">
      <c r="N7371" s="6">
        <f>IF(B7371="","",IF(ISNUMBER(B7371),TEXT(B7371,"YYYY-MM"),LEFT(B7371,7)))</f>
        <v/>
      </c>
    </row>
    <row r="7372">
      <c r="N7372" s="6">
        <f>IF(B7372="","",IF(ISNUMBER(B7372),TEXT(B7372,"YYYY-MM"),LEFT(B7372,7)))</f>
        <v/>
      </c>
    </row>
    <row r="7373">
      <c r="N7373" s="6">
        <f>IF(B7373="","",IF(ISNUMBER(B7373),TEXT(B7373,"YYYY-MM"),LEFT(B7373,7)))</f>
        <v/>
      </c>
    </row>
    <row r="7374">
      <c r="N7374" s="6">
        <f>IF(B7374="","",IF(ISNUMBER(B7374),TEXT(B7374,"YYYY-MM"),LEFT(B7374,7)))</f>
        <v/>
      </c>
    </row>
    <row r="7375">
      <c r="N7375" s="6">
        <f>IF(B7375="","",IF(ISNUMBER(B7375),TEXT(B7375,"YYYY-MM"),LEFT(B7375,7)))</f>
        <v/>
      </c>
    </row>
    <row r="7376">
      <c r="N7376" s="6">
        <f>IF(B7376="","",IF(ISNUMBER(B7376),TEXT(B7376,"YYYY-MM"),LEFT(B7376,7)))</f>
        <v/>
      </c>
    </row>
    <row r="7377">
      <c r="N7377" s="6">
        <f>IF(B7377="","",IF(ISNUMBER(B7377),TEXT(B7377,"YYYY-MM"),LEFT(B7377,7)))</f>
        <v/>
      </c>
    </row>
    <row r="7378">
      <c r="N7378" s="6">
        <f>IF(B7378="","",IF(ISNUMBER(B7378),TEXT(B7378,"YYYY-MM"),LEFT(B7378,7)))</f>
        <v/>
      </c>
    </row>
    <row r="7379">
      <c r="N7379" s="6">
        <f>IF(B7379="","",IF(ISNUMBER(B7379),TEXT(B7379,"YYYY-MM"),LEFT(B7379,7)))</f>
        <v/>
      </c>
    </row>
    <row r="7380">
      <c r="N7380" s="6">
        <f>IF(B7380="","",IF(ISNUMBER(B7380),TEXT(B7380,"YYYY-MM"),LEFT(B7380,7)))</f>
        <v/>
      </c>
    </row>
    <row r="7381">
      <c r="N7381" s="6">
        <f>IF(B7381="","",IF(ISNUMBER(B7381),TEXT(B7381,"YYYY-MM"),LEFT(B7381,7)))</f>
        <v/>
      </c>
    </row>
    <row r="7382">
      <c r="N7382" s="6">
        <f>IF(B7382="","",IF(ISNUMBER(B7382),TEXT(B7382,"YYYY-MM"),LEFT(B7382,7)))</f>
        <v/>
      </c>
    </row>
    <row r="7383">
      <c r="N7383" s="6">
        <f>IF(B7383="","",IF(ISNUMBER(B7383),TEXT(B7383,"YYYY-MM"),LEFT(B7383,7)))</f>
        <v/>
      </c>
    </row>
    <row r="7384">
      <c r="N7384" s="6">
        <f>IF(B7384="","",IF(ISNUMBER(B7384),TEXT(B7384,"YYYY-MM"),LEFT(B7384,7)))</f>
        <v/>
      </c>
    </row>
    <row r="7385">
      <c r="N7385" s="6">
        <f>IF(B7385="","",IF(ISNUMBER(B7385),TEXT(B7385,"YYYY-MM"),LEFT(B7385,7)))</f>
        <v/>
      </c>
    </row>
    <row r="7386">
      <c r="N7386" s="6">
        <f>IF(B7386="","",IF(ISNUMBER(B7386),TEXT(B7386,"YYYY-MM"),LEFT(B7386,7)))</f>
        <v/>
      </c>
    </row>
    <row r="7387">
      <c r="N7387" s="6">
        <f>IF(B7387="","",IF(ISNUMBER(B7387),TEXT(B7387,"YYYY-MM"),LEFT(B7387,7)))</f>
        <v/>
      </c>
    </row>
    <row r="7388">
      <c r="N7388" s="6">
        <f>IF(B7388="","",IF(ISNUMBER(B7388),TEXT(B7388,"YYYY-MM"),LEFT(B7388,7)))</f>
        <v/>
      </c>
    </row>
    <row r="7389">
      <c r="N7389" s="6">
        <f>IF(B7389="","",IF(ISNUMBER(B7389),TEXT(B7389,"YYYY-MM"),LEFT(B7389,7)))</f>
        <v/>
      </c>
    </row>
    <row r="7390">
      <c r="N7390" s="6">
        <f>IF(B7390="","",IF(ISNUMBER(B7390),TEXT(B7390,"YYYY-MM"),LEFT(B7390,7)))</f>
        <v/>
      </c>
    </row>
    <row r="7391">
      <c r="N7391" s="6">
        <f>IF(B7391="","",IF(ISNUMBER(B7391),TEXT(B7391,"YYYY-MM"),LEFT(B7391,7)))</f>
        <v/>
      </c>
    </row>
    <row r="7392">
      <c r="N7392" s="6">
        <f>IF(B7392="","",IF(ISNUMBER(B7392),TEXT(B7392,"YYYY-MM"),LEFT(B7392,7)))</f>
        <v/>
      </c>
    </row>
    <row r="7393">
      <c r="N7393" s="6">
        <f>IF(B7393="","",IF(ISNUMBER(B7393),TEXT(B7393,"YYYY-MM"),LEFT(B7393,7)))</f>
        <v/>
      </c>
    </row>
    <row r="7394">
      <c r="N7394" s="6">
        <f>IF(B7394="","",IF(ISNUMBER(B7394),TEXT(B7394,"YYYY-MM"),LEFT(B7394,7)))</f>
        <v/>
      </c>
    </row>
    <row r="7395">
      <c r="N7395" s="6">
        <f>IF(B7395="","",IF(ISNUMBER(B7395),TEXT(B7395,"YYYY-MM"),LEFT(B7395,7)))</f>
        <v/>
      </c>
    </row>
    <row r="7396">
      <c r="N7396" s="6">
        <f>IF(B7396="","",IF(ISNUMBER(B7396),TEXT(B7396,"YYYY-MM"),LEFT(B7396,7)))</f>
        <v/>
      </c>
    </row>
    <row r="7397">
      <c r="N7397" s="6">
        <f>IF(B7397="","",IF(ISNUMBER(B7397),TEXT(B7397,"YYYY-MM"),LEFT(B7397,7)))</f>
        <v/>
      </c>
    </row>
    <row r="7398">
      <c r="N7398" s="6">
        <f>IF(B7398="","",IF(ISNUMBER(B7398),TEXT(B7398,"YYYY-MM"),LEFT(B7398,7)))</f>
        <v/>
      </c>
    </row>
    <row r="7399">
      <c r="N7399" s="6">
        <f>IF(B7399="","",IF(ISNUMBER(B7399),TEXT(B7399,"YYYY-MM"),LEFT(B7399,7)))</f>
        <v/>
      </c>
    </row>
    <row r="7400">
      <c r="N7400" s="6">
        <f>IF(B7400="","",IF(ISNUMBER(B7400),TEXT(B7400,"YYYY-MM"),LEFT(B7400,7)))</f>
        <v/>
      </c>
    </row>
    <row r="7401">
      <c r="N7401" s="6">
        <f>IF(B7401="","",IF(ISNUMBER(B7401),TEXT(B7401,"YYYY-MM"),LEFT(B7401,7)))</f>
        <v/>
      </c>
    </row>
    <row r="7402">
      <c r="N7402" s="6">
        <f>IF(B7402="","",IF(ISNUMBER(B7402),TEXT(B7402,"YYYY-MM"),LEFT(B7402,7)))</f>
        <v/>
      </c>
    </row>
    <row r="7403">
      <c r="N7403" s="6">
        <f>IF(B7403="","",IF(ISNUMBER(B7403),TEXT(B7403,"YYYY-MM"),LEFT(B7403,7)))</f>
        <v/>
      </c>
    </row>
    <row r="7404">
      <c r="N7404" s="6">
        <f>IF(B7404="","",IF(ISNUMBER(B7404),TEXT(B7404,"YYYY-MM"),LEFT(B7404,7)))</f>
        <v/>
      </c>
    </row>
    <row r="7405">
      <c r="N7405" s="6">
        <f>IF(B7405="","",IF(ISNUMBER(B7405),TEXT(B7405,"YYYY-MM"),LEFT(B7405,7)))</f>
        <v/>
      </c>
    </row>
    <row r="7406">
      <c r="N7406" s="6">
        <f>IF(B7406="","",IF(ISNUMBER(B7406),TEXT(B7406,"YYYY-MM"),LEFT(B7406,7)))</f>
        <v/>
      </c>
    </row>
    <row r="7407">
      <c r="N7407" s="6">
        <f>IF(B7407="","",IF(ISNUMBER(B7407),TEXT(B7407,"YYYY-MM"),LEFT(B7407,7)))</f>
        <v/>
      </c>
    </row>
    <row r="7408">
      <c r="N7408" s="6">
        <f>IF(B7408="","",IF(ISNUMBER(B7408),TEXT(B7408,"YYYY-MM"),LEFT(B7408,7)))</f>
        <v/>
      </c>
    </row>
    <row r="7409">
      <c r="N7409" s="6">
        <f>IF(B7409="","",IF(ISNUMBER(B7409),TEXT(B7409,"YYYY-MM"),LEFT(B7409,7)))</f>
        <v/>
      </c>
    </row>
    <row r="7410">
      <c r="N7410" s="6">
        <f>IF(B7410="","",IF(ISNUMBER(B7410),TEXT(B7410,"YYYY-MM"),LEFT(B7410,7)))</f>
        <v/>
      </c>
    </row>
    <row r="7411">
      <c r="N7411" s="6">
        <f>IF(B7411="","",IF(ISNUMBER(B7411),TEXT(B7411,"YYYY-MM"),LEFT(B7411,7)))</f>
        <v/>
      </c>
    </row>
    <row r="7412">
      <c r="N7412" s="6">
        <f>IF(B7412="","",IF(ISNUMBER(B7412),TEXT(B7412,"YYYY-MM"),LEFT(B7412,7)))</f>
        <v/>
      </c>
    </row>
    <row r="7413">
      <c r="N7413" s="6">
        <f>IF(B7413="","",IF(ISNUMBER(B7413),TEXT(B7413,"YYYY-MM"),LEFT(B7413,7)))</f>
        <v/>
      </c>
    </row>
    <row r="7414">
      <c r="N7414" s="6">
        <f>IF(B7414="","",IF(ISNUMBER(B7414),TEXT(B7414,"YYYY-MM"),LEFT(B7414,7)))</f>
        <v/>
      </c>
    </row>
    <row r="7415">
      <c r="N7415" s="6">
        <f>IF(B7415="","",IF(ISNUMBER(B7415),TEXT(B7415,"YYYY-MM"),LEFT(B7415,7)))</f>
        <v/>
      </c>
    </row>
    <row r="7416">
      <c r="N7416" s="6">
        <f>IF(B7416="","",IF(ISNUMBER(B7416),TEXT(B7416,"YYYY-MM"),LEFT(B7416,7)))</f>
        <v/>
      </c>
    </row>
    <row r="7417">
      <c r="N7417" s="6">
        <f>IF(B7417="","",IF(ISNUMBER(B7417),TEXT(B7417,"YYYY-MM"),LEFT(B7417,7)))</f>
        <v/>
      </c>
    </row>
    <row r="7418">
      <c r="N7418" s="6">
        <f>IF(B7418="","",IF(ISNUMBER(B7418),TEXT(B7418,"YYYY-MM"),LEFT(B7418,7)))</f>
        <v/>
      </c>
    </row>
    <row r="7419">
      <c r="N7419" s="6">
        <f>IF(B7419="","",IF(ISNUMBER(B7419),TEXT(B7419,"YYYY-MM"),LEFT(B7419,7)))</f>
        <v/>
      </c>
    </row>
    <row r="7420">
      <c r="N7420" s="6">
        <f>IF(B7420="","",IF(ISNUMBER(B7420),TEXT(B7420,"YYYY-MM"),LEFT(B7420,7)))</f>
        <v/>
      </c>
    </row>
    <row r="7421">
      <c r="N7421" s="6">
        <f>IF(B7421="","",IF(ISNUMBER(B7421),TEXT(B7421,"YYYY-MM"),LEFT(B7421,7)))</f>
        <v/>
      </c>
    </row>
    <row r="7422">
      <c r="N7422" s="6">
        <f>IF(B7422="","",IF(ISNUMBER(B7422),TEXT(B7422,"YYYY-MM"),LEFT(B7422,7)))</f>
        <v/>
      </c>
    </row>
    <row r="7423">
      <c r="N7423" s="6">
        <f>IF(B7423="","",IF(ISNUMBER(B7423),TEXT(B7423,"YYYY-MM"),LEFT(B7423,7)))</f>
        <v/>
      </c>
    </row>
    <row r="7424">
      <c r="N7424" s="6">
        <f>IF(B7424="","",IF(ISNUMBER(B7424),TEXT(B7424,"YYYY-MM"),LEFT(B7424,7)))</f>
        <v/>
      </c>
    </row>
    <row r="7425">
      <c r="N7425" s="6">
        <f>IF(B7425="","",IF(ISNUMBER(B7425),TEXT(B7425,"YYYY-MM"),LEFT(B7425,7)))</f>
        <v/>
      </c>
    </row>
    <row r="7426">
      <c r="N7426" s="6">
        <f>IF(B7426="","",IF(ISNUMBER(B7426),TEXT(B7426,"YYYY-MM"),LEFT(B7426,7)))</f>
        <v/>
      </c>
    </row>
    <row r="7427">
      <c r="N7427" s="6">
        <f>IF(B7427="","",IF(ISNUMBER(B7427),TEXT(B7427,"YYYY-MM"),LEFT(B7427,7)))</f>
        <v/>
      </c>
    </row>
    <row r="7428">
      <c r="N7428" s="6">
        <f>IF(B7428="","",IF(ISNUMBER(B7428),TEXT(B7428,"YYYY-MM"),LEFT(B7428,7)))</f>
        <v/>
      </c>
    </row>
    <row r="7429">
      <c r="N7429" s="6">
        <f>IF(B7429="","",IF(ISNUMBER(B7429),TEXT(B7429,"YYYY-MM"),LEFT(B7429,7)))</f>
        <v/>
      </c>
    </row>
    <row r="7430">
      <c r="N7430" s="6">
        <f>IF(B7430="","",IF(ISNUMBER(B7430),TEXT(B7430,"YYYY-MM"),LEFT(B7430,7)))</f>
        <v/>
      </c>
    </row>
    <row r="7431">
      <c r="N7431" s="6">
        <f>IF(B7431="","",IF(ISNUMBER(B7431),TEXT(B7431,"YYYY-MM"),LEFT(B7431,7)))</f>
        <v/>
      </c>
    </row>
    <row r="7432">
      <c r="N7432" s="6">
        <f>IF(B7432="","",IF(ISNUMBER(B7432),TEXT(B7432,"YYYY-MM"),LEFT(B7432,7)))</f>
        <v/>
      </c>
    </row>
    <row r="7433">
      <c r="N7433" s="6">
        <f>IF(B7433="","",IF(ISNUMBER(B7433),TEXT(B7433,"YYYY-MM"),LEFT(B7433,7)))</f>
        <v/>
      </c>
    </row>
    <row r="7434">
      <c r="N7434" s="6">
        <f>IF(B7434="","",IF(ISNUMBER(B7434),TEXT(B7434,"YYYY-MM"),LEFT(B7434,7)))</f>
        <v/>
      </c>
    </row>
    <row r="7435">
      <c r="N7435" s="6">
        <f>IF(B7435="","",IF(ISNUMBER(B7435),TEXT(B7435,"YYYY-MM"),LEFT(B7435,7)))</f>
        <v/>
      </c>
    </row>
    <row r="7436">
      <c r="N7436" s="6">
        <f>IF(B7436="","",IF(ISNUMBER(B7436),TEXT(B7436,"YYYY-MM"),LEFT(B7436,7)))</f>
        <v/>
      </c>
    </row>
    <row r="7437">
      <c r="N7437" s="6">
        <f>IF(B7437="","",IF(ISNUMBER(B7437),TEXT(B7437,"YYYY-MM"),LEFT(B7437,7)))</f>
        <v/>
      </c>
    </row>
    <row r="7438">
      <c r="N7438" s="6">
        <f>IF(B7438="","",IF(ISNUMBER(B7438),TEXT(B7438,"YYYY-MM"),LEFT(B7438,7)))</f>
        <v/>
      </c>
    </row>
    <row r="7439">
      <c r="N7439" s="6">
        <f>IF(B7439="","",IF(ISNUMBER(B7439),TEXT(B7439,"YYYY-MM"),LEFT(B7439,7)))</f>
        <v/>
      </c>
    </row>
    <row r="7440">
      <c r="N7440" s="6">
        <f>IF(B7440="","",IF(ISNUMBER(B7440),TEXT(B7440,"YYYY-MM"),LEFT(B7440,7)))</f>
        <v/>
      </c>
    </row>
    <row r="7441">
      <c r="N7441" s="6">
        <f>IF(B7441="","",IF(ISNUMBER(B7441),TEXT(B7441,"YYYY-MM"),LEFT(B7441,7)))</f>
        <v/>
      </c>
    </row>
    <row r="7442">
      <c r="N7442" s="6">
        <f>IF(B7442="","",IF(ISNUMBER(B7442),TEXT(B7442,"YYYY-MM"),LEFT(B7442,7)))</f>
        <v/>
      </c>
    </row>
    <row r="7443">
      <c r="N7443" s="6">
        <f>IF(B7443="","",IF(ISNUMBER(B7443),TEXT(B7443,"YYYY-MM"),LEFT(B7443,7)))</f>
        <v/>
      </c>
    </row>
    <row r="7444">
      <c r="N7444" s="6">
        <f>IF(B7444="","",IF(ISNUMBER(B7444),TEXT(B7444,"YYYY-MM"),LEFT(B7444,7)))</f>
        <v/>
      </c>
    </row>
    <row r="7445">
      <c r="N7445" s="6">
        <f>IF(B7445="","",IF(ISNUMBER(B7445),TEXT(B7445,"YYYY-MM"),LEFT(B7445,7)))</f>
        <v/>
      </c>
    </row>
    <row r="7446">
      <c r="N7446" s="6">
        <f>IF(B7446="","",IF(ISNUMBER(B7446),TEXT(B7446,"YYYY-MM"),LEFT(B7446,7)))</f>
        <v/>
      </c>
    </row>
    <row r="7447">
      <c r="N7447" s="6">
        <f>IF(B7447="","",IF(ISNUMBER(B7447),TEXT(B7447,"YYYY-MM"),LEFT(B7447,7)))</f>
        <v/>
      </c>
    </row>
    <row r="7448">
      <c r="N7448" s="6">
        <f>IF(B7448="","",IF(ISNUMBER(B7448),TEXT(B7448,"YYYY-MM"),LEFT(B7448,7)))</f>
        <v/>
      </c>
    </row>
    <row r="7449">
      <c r="N7449" s="6">
        <f>IF(B7449="","",IF(ISNUMBER(B7449),TEXT(B7449,"YYYY-MM"),LEFT(B7449,7)))</f>
        <v/>
      </c>
    </row>
    <row r="7450">
      <c r="N7450" s="6">
        <f>IF(B7450="","",IF(ISNUMBER(B7450),TEXT(B7450,"YYYY-MM"),LEFT(B7450,7)))</f>
        <v/>
      </c>
    </row>
    <row r="7451">
      <c r="N7451" s="6">
        <f>IF(B7451="","",IF(ISNUMBER(B7451),TEXT(B7451,"YYYY-MM"),LEFT(B7451,7)))</f>
        <v/>
      </c>
    </row>
    <row r="7452">
      <c r="N7452" s="6">
        <f>IF(B7452="","",IF(ISNUMBER(B7452),TEXT(B7452,"YYYY-MM"),LEFT(B7452,7)))</f>
        <v/>
      </c>
    </row>
    <row r="7453">
      <c r="N7453" s="6">
        <f>IF(B7453="","",IF(ISNUMBER(B7453),TEXT(B7453,"YYYY-MM"),LEFT(B7453,7)))</f>
        <v/>
      </c>
    </row>
    <row r="7454">
      <c r="N7454" s="6">
        <f>IF(B7454="","",IF(ISNUMBER(B7454),TEXT(B7454,"YYYY-MM"),LEFT(B7454,7)))</f>
        <v/>
      </c>
    </row>
    <row r="7455">
      <c r="N7455" s="6">
        <f>IF(B7455="","",IF(ISNUMBER(B7455),TEXT(B7455,"YYYY-MM"),LEFT(B7455,7)))</f>
        <v/>
      </c>
    </row>
    <row r="7456">
      <c r="N7456" s="6">
        <f>IF(B7456="","",IF(ISNUMBER(B7456),TEXT(B7456,"YYYY-MM"),LEFT(B7456,7)))</f>
        <v/>
      </c>
    </row>
    <row r="7457">
      <c r="N7457" s="6">
        <f>IF(B7457="","",IF(ISNUMBER(B7457),TEXT(B7457,"YYYY-MM"),LEFT(B7457,7)))</f>
        <v/>
      </c>
    </row>
    <row r="7458">
      <c r="N7458" s="6">
        <f>IF(B7458="","",IF(ISNUMBER(B7458),TEXT(B7458,"YYYY-MM"),LEFT(B7458,7)))</f>
        <v/>
      </c>
    </row>
    <row r="7459">
      <c r="N7459" s="6">
        <f>IF(B7459="","",IF(ISNUMBER(B7459),TEXT(B7459,"YYYY-MM"),LEFT(B7459,7)))</f>
        <v/>
      </c>
    </row>
    <row r="7460">
      <c r="N7460" s="6">
        <f>IF(B7460="","",IF(ISNUMBER(B7460),TEXT(B7460,"YYYY-MM"),LEFT(B7460,7)))</f>
        <v/>
      </c>
    </row>
    <row r="7461">
      <c r="N7461" s="6">
        <f>IF(B7461="","",IF(ISNUMBER(B7461),TEXT(B7461,"YYYY-MM"),LEFT(B7461,7)))</f>
        <v/>
      </c>
    </row>
    <row r="7462">
      <c r="N7462" s="6">
        <f>IF(B7462="","",IF(ISNUMBER(B7462),TEXT(B7462,"YYYY-MM"),LEFT(B7462,7)))</f>
        <v/>
      </c>
    </row>
    <row r="7463">
      <c r="N7463" s="6">
        <f>IF(B7463="","",IF(ISNUMBER(B7463),TEXT(B7463,"YYYY-MM"),LEFT(B7463,7)))</f>
        <v/>
      </c>
    </row>
    <row r="7464">
      <c r="N7464" s="6">
        <f>IF(B7464="","",IF(ISNUMBER(B7464),TEXT(B7464,"YYYY-MM"),LEFT(B7464,7)))</f>
        <v/>
      </c>
    </row>
    <row r="7465">
      <c r="N7465" s="6">
        <f>IF(B7465="","",IF(ISNUMBER(B7465),TEXT(B7465,"YYYY-MM"),LEFT(B7465,7)))</f>
        <v/>
      </c>
    </row>
    <row r="7466">
      <c r="N7466" s="6">
        <f>IF(B7466="","",IF(ISNUMBER(B7466),TEXT(B7466,"YYYY-MM"),LEFT(B7466,7)))</f>
        <v/>
      </c>
    </row>
    <row r="7467">
      <c r="N7467" s="6">
        <f>IF(B7467="","",IF(ISNUMBER(B7467),TEXT(B7467,"YYYY-MM"),LEFT(B7467,7)))</f>
        <v/>
      </c>
    </row>
    <row r="7468">
      <c r="N7468" s="6">
        <f>IF(B7468="","",IF(ISNUMBER(B7468),TEXT(B7468,"YYYY-MM"),LEFT(B7468,7)))</f>
        <v/>
      </c>
    </row>
    <row r="7469">
      <c r="N7469" s="6">
        <f>IF(B7469="","",IF(ISNUMBER(B7469),TEXT(B7469,"YYYY-MM"),LEFT(B7469,7)))</f>
        <v/>
      </c>
    </row>
    <row r="7470">
      <c r="N7470" s="6">
        <f>IF(B7470="","",IF(ISNUMBER(B7470),TEXT(B7470,"YYYY-MM"),LEFT(B7470,7)))</f>
        <v/>
      </c>
    </row>
    <row r="7471">
      <c r="N7471" s="6">
        <f>IF(B7471="","",IF(ISNUMBER(B7471),TEXT(B7471,"YYYY-MM"),LEFT(B7471,7)))</f>
        <v/>
      </c>
    </row>
    <row r="7472">
      <c r="N7472" s="6">
        <f>IF(B7472="","",IF(ISNUMBER(B7472),TEXT(B7472,"YYYY-MM"),LEFT(B7472,7)))</f>
        <v/>
      </c>
    </row>
    <row r="7473">
      <c r="N7473" s="6">
        <f>IF(B7473="","",IF(ISNUMBER(B7473),TEXT(B7473,"YYYY-MM"),LEFT(B7473,7)))</f>
        <v/>
      </c>
    </row>
    <row r="7474">
      <c r="N7474" s="6">
        <f>IF(B7474="","",IF(ISNUMBER(B7474),TEXT(B7474,"YYYY-MM"),LEFT(B7474,7)))</f>
        <v/>
      </c>
    </row>
    <row r="7475">
      <c r="N7475" s="6">
        <f>IF(B7475="","",IF(ISNUMBER(B7475),TEXT(B7475,"YYYY-MM"),LEFT(B7475,7)))</f>
        <v/>
      </c>
    </row>
    <row r="7476">
      <c r="N7476" s="6">
        <f>IF(B7476="","",IF(ISNUMBER(B7476),TEXT(B7476,"YYYY-MM"),LEFT(B7476,7)))</f>
        <v/>
      </c>
    </row>
    <row r="7477">
      <c r="N7477" s="6">
        <f>IF(B7477="","",IF(ISNUMBER(B7477),TEXT(B7477,"YYYY-MM"),LEFT(B7477,7)))</f>
        <v/>
      </c>
    </row>
    <row r="7478">
      <c r="N7478" s="6">
        <f>IF(B7478="","",IF(ISNUMBER(B7478),TEXT(B7478,"YYYY-MM"),LEFT(B7478,7)))</f>
        <v/>
      </c>
    </row>
    <row r="7479">
      <c r="N7479" s="6">
        <f>IF(B7479="","",IF(ISNUMBER(B7479),TEXT(B7479,"YYYY-MM"),LEFT(B7479,7)))</f>
        <v/>
      </c>
    </row>
    <row r="7480">
      <c r="N7480" s="6">
        <f>IF(B7480="","",IF(ISNUMBER(B7480),TEXT(B7480,"YYYY-MM"),LEFT(B7480,7)))</f>
        <v/>
      </c>
    </row>
    <row r="7481">
      <c r="N7481" s="6">
        <f>IF(B7481="","",IF(ISNUMBER(B7481),TEXT(B7481,"YYYY-MM"),LEFT(B7481,7)))</f>
        <v/>
      </c>
    </row>
    <row r="7482">
      <c r="N7482" s="6">
        <f>IF(B7482="","",IF(ISNUMBER(B7482),TEXT(B7482,"YYYY-MM"),LEFT(B7482,7)))</f>
        <v/>
      </c>
    </row>
    <row r="7483">
      <c r="N7483" s="6">
        <f>IF(B7483="","",IF(ISNUMBER(B7483),TEXT(B7483,"YYYY-MM"),LEFT(B7483,7)))</f>
        <v/>
      </c>
    </row>
    <row r="7484">
      <c r="N7484" s="6">
        <f>IF(B7484="","",IF(ISNUMBER(B7484),TEXT(B7484,"YYYY-MM"),LEFT(B7484,7)))</f>
        <v/>
      </c>
    </row>
    <row r="7485">
      <c r="N7485" s="6">
        <f>IF(B7485="","",IF(ISNUMBER(B7485),TEXT(B7485,"YYYY-MM"),LEFT(B7485,7)))</f>
        <v/>
      </c>
    </row>
    <row r="7486">
      <c r="N7486" s="6">
        <f>IF(B7486="","",IF(ISNUMBER(B7486),TEXT(B7486,"YYYY-MM"),LEFT(B7486,7)))</f>
        <v/>
      </c>
    </row>
    <row r="7487">
      <c r="N7487" s="6">
        <f>IF(B7487="","",IF(ISNUMBER(B7487),TEXT(B7487,"YYYY-MM"),LEFT(B7487,7)))</f>
        <v/>
      </c>
    </row>
    <row r="7488">
      <c r="N7488" s="6">
        <f>IF(B7488="","",IF(ISNUMBER(B7488),TEXT(B7488,"YYYY-MM"),LEFT(B7488,7)))</f>
        <v/>
      </c>
    </row>
    <row r="7489">
      <c r="N7489" s="6">
        <f>IF(B7489="","",IF(ISNUMBER(B7489),TEXT(B7489,"YYYY-MM"),LEFT(B7489,7)))</f>
        <v/>
      </c>
    </row>
    <row r="7490">
      <c r="N7490" s="6">
        <f>IF(B7490="","",IF(ISNUMBER(B7490),TEXT(B7490,"YYYY-MM"),LEFT(B7490,7)))</f>
        <v/>
      </c>
    </row>
    <row r="7491">
      <c r="N7491" s="6">
        <f>IF(B7491="","",IF(ISNUMBER(B7491),TEXT(B7491,"YYYY-MM"),LEFT(B7491,7)))</f>
        <v/>
      </c>
    </row>
    <row r="7492">
      <c r="N7492" s="6">
        <f>IF(B7492="","",IF(ISNUMBER(B7492),TEXT(B7492,"YYYY-MM"),LEFT(B7492,7)))</f>
        <v/>
      </c>
    </row>
    <row r="7493">
      <c r="N7493" s="6">
        <f>IF(B7493="","",IF(ISNUMBER(B7493),TEXT(B7493,"YYYY-MM"),LEFT(B7493,7)))</f>
        <v/>
      </c>
    </row>
    <row r="7494">
      <c r="N7494" s="6">
        <f>IF(B7494="","",IF(ISNUMBER(B7494),TEXT(B7494,"YYYY-MM"),LEFT(B7494,7)))</f>
        <v/>
      </c>
    </row>
    <row r="7495">
      <c r="N7495" s="6">
        <f>IF(B7495="","",IF(ISNUMBER(B7495),TEXT(B7495,"YYYY-MM"),LEFT(B7495,7)))</f>
        <v/>
      </c>
    </row>
    <row r="7496">
      <c r="N7496" s="6">
        <f>IF(B7496="","",IF(ISNUMBER(B7496),TEXT(B7496,"YYYY-MM"),LEFT(B7496,7)))</f>
        <v/>
      </c>
    </row>
    <row r="7497">
      <c r="N7497" s="6">
        <f>IF(B7497="","",IF(ISNUMBER(B7497),TEXT(B7497,"YYYY-MM"),LEFT(B7497,7)))</f>
        <v/>
      </c>
    </row>
    <row r="7498">
      <c r="N7498" s="6">
        <f>IF(B7498="","",IF(ISNUMBER(B7498),TEXT(B7498,"YYYY-MM"),LEFT(B7498,7)))</f>
        <v/>
      </c>
    </row>
    <row r="7499">
      <c r="N7499" s="6">
        <f>IF(B7499="","",IF(ISNUMBER(B7499),TEXT(B7499,"YYYY-MM"),LEFT(B7499,7)))</f>
        <v/>
      </c>
    </row>
    <row r="7500">
      <c r="N7500" s="6">
        <f>IF(B7500="","",IF(ISNUMBER(B7500),TEXT(B7500,"YYYY-MM"),LEFT(B7500,7)))</f>
        <v/>
      </c>
    </row>
    <row r="7501">
      <c r="N7501" s="6">
        <f>IF(B7501="","",IF(ISNUMBER(B7501),TEXT(B7501,"YYYY-MM"),LEFT(B7501,7)))</f>
        <v/>
      </c>
    </row>
    <row r="7502">
      <c r="N7502" s="6">
        <f>IF(B7502="","",IF(ISNUMBER(B7502),TEXT(B7502,"YYYY-MM"),LEFT(B7502,7)))</f>
        <v/>
      </c>
    </row>
    <row r="7503">
      <c r="N7503" s="6">
        <f>IF(B7503="","",IF(ISNUMBER(B7503),TEXT(B7503,"YYYY-MM"),LEFT(B7503,7)))</f>
        <v/>
      </c>
    </row>
    <row r="7504">
      <c r="N7504" s="6">
        <f>IF(B7504="","",IF(ISNUMBER(B7504),TEXT(B7504,"YYYY-MM"),LEFT(B7504,7)))</f>
        <v/>
      </c>
    </row>
    <row r="7505">
      <c r="N7505" s="6">
        <f>IF(B7505="","",IF(ISNUMBER(B7505),TEXT(B7505,"YYYY-MM"),LEFT(B7505,7)))</f>
        <v/>
      </c>
    </row>
    <row r="7506">
      <c r="N7506" s="6">
        <f>IF(B7506="","",IF(ISNUMBER(B7506),TEXT(B7506,"YYYY-MM"),LEFT(B7506,7)))</f>
        <v/>
      </c>
    </row>
    <row r="7507">
      <c r="N7507" s="6">
        <f>IF(B7507="","",IF(ISNUMBER(B7507),TEXT(B7507,"YYYY-MM"),LEFT(B7507,7)))</f>
        <v/>
      </c>
    </row>
    <row r="7508">
      <c r="N7508" s="6">
        <f>IF(B7508="","",IF(ISNUMBER(B7508),TEXT(B7508,"YYYY-MM"),LEFT(B7508,7)))</f>
        <v/>
      </c>
    </row>
    <row r="7509">
      <c r="N7509" s="6">
        <f>IF(B7509="","",IF(ISNUMBER(B7509),TEXT(B7509,"YYYY-MM"),LEFT(B7509,7)))</f>
        <v/>
      </c>
    </row>
    <row r="7510">
      <c r="N7510" s="6">
        <f>IF(B7510="","",IF(ISNUMBER(B7510),TEXT(B7510,"YYYY-MM"),LEFT(B7510,7)))</f>
        <v/>
      </c>
    </row>
    <row r="7511">
      <c r="N7511" s="6">
        <f>IF(B7511="","",IF(ISNUMBER(B7511),TEXT(B7511,"YYYY-MM"),LEFT(B7511,7)))</f>
        <v/>
      </c>
    </row>
    <row r="7512">
      <c r="N7512" s="6">
        <f>IF(B7512="","",IF(ISNUMBER(B7512),TEXT(B7512,"YYYY-MM"),LEFT(B7512,7)))</f>
        <v/>
      </c>
    </row>
    <row r="7513">
      <c r="N7513" s="6">
        <f>IF(B7513="","",IF(ISNUMBER(B7513),TEXT(B7513,"YYYY-MM"),LEFT(B7513,7)))</f>
        <v/>
      </c>
    </row>
    <row r="7514">
      <c r="N7514" s="6">
        <f>IF(B7514="","",IF(ISNUMBER(B7514),TEXT(B7514,"YYYY-MM"),LEFT(B7514,7)))</f>
        <v/>
      </c>
    </row>
    <row r="7515">
      <c r="N7515" s="6">
        <f>IF(B7515="","",IF(ISNUMBER(B7515),TEXT(B7515,"YYYY-MM"),LEFT(B7515,7)))</f>
        <v/>
      </c>
    </row>
    <row r="7516">
      <c r="N7516" s="6">
        <f>IF(B7516="","",IF(ISNUMBER(B7516),TEXT(B7516,"YYYY-MM"),LEFT(B7516,7)))</f>
        <v/>
      </c>
    </row>
    <row r="7517">
      <c r="N7517" s="6">
        <f>IF(B7517="","",IF(ISNUMBER(B7517),TEXT(B7517,"YYYY-MM"),LEFT(B7517,7)))</f>
        <v/>
      </c>
    </row>
    <row r="7518">
      <c r="N7518" s="6">
        <f>IF(B7518="","",IF(ISNUMBER(B7518),TEXT(B7518,"YYYY-MM"),LEFT(B7518,7)))</f>
        <v/>
      </c>
    </row>
    <row r="7519">
      <c r="N7519" s="6">
        <f>IF(B7519="","",IF(ISNUMBER(B7519),TEXT(B7519,"YYYY-MM"),LEFT(B7519,7)))</f>
        <v/>
      </c>
    </row>
    <row r="7520">
      <c r="N7520" s="6">
        <f>IF(B7520="","",IF(ISNUMBER(B7520),TEXT(B7520,"YYYY-MM"),LEFT(B7520,7)))</f>
        <v/>
      </c>
    </row>
    <row r="7521">
      <c r="N7521" s="6">
        <f>IF(B7521="","",IF(ISNUMBER(B7521),TEXT(B7521,"YYYY-MM"),LEFT(B7521,7)))</f>
        <v/>
      </c>
    </row>
    <row r="7522">
      <c r="N7522" s="6">
        <f>IF(B7522="","",IF(ISNUMBER(B7522),TEXT(B7522,"YYYY-MM"),LEFT(B7522,7)))</f>
        <v/>
      </c>
    </row>
    <row r="7523">
      <c r="N7523" s="6">
        <f>IF(B7523="","",IF(ISNUMBER(B7523),TEXT(B7523,"YYYY-MM"),LEFT(B7523,7)))</f>
        <v/>
      </c>
    </row>
    <row r="7524">
      <c r="N7524" s="6">
        <f>IF(B7524="","",IF(ISNUMBER(B7524),TEXT(B7524,"YYYY-MM"),LEFT(B7524,7)))</f>
        <v/>
      </c>
    </row>
    <row r="7525">
      <c r="N7525" s="6">
        <f>IF(B7525="","",IF(ISNUMBER(B7525),TEXT(B7525,"YYYY-MM"),LEFT(B7525,7)))</f>
        <v/>
      </c>
    </row>
    <row r="7526">
      <c r="N7526" s="6">
        <f>IF(B7526="","",IF(ISNUMBER(B7526),TEXT(B7526,"YYYY-MM"),LEFT(B7526,7)))</f>
        <v/>
      </c>
    </row>
    <row r="7527">
      <c r="N7527" s="6">
        <f>IF(B7527="","",IF(ISNUMBER(B7527),TEXT(B7527,"YYYY-MM"),LEFT(B7527,7)))</f>
        <v/>
      </c>
    </row>
    <row r="7528">
      <c r="N7528" s="6">
        <f>IF(B7528="","",IF(ISNUMBER(B7528),TEXT(B7528,"YYYY-MM"),LEFT(B7528,7)))</f>
        <v/>
      </c>
    </row>
    <row r="7529">
      <c r="N7529" s="6">
        <f>IF(B7529="","",IF(ISNUMBER(B7529),TEXT(B7529,"YYYY-MM"),LEFT(B7529,7)))</f>
        <v/>
      </c>
    </row>
    <row r="7530">
      <c r="N7530" s="6">
        <f>IF(B7530="","",IF(ISNUMBER(B7530),TEXT(B7530,"YYYY-MM"),LEFT(B7530,7)))</f>
        <v/>
      </c>
    </row>
    <row r="7531">
      <c r="N7531" s="6">
        <f>IF(B7531="","",IF(ISNUMBER(B7531),TEXT(B7531,"YYYY-MM"),LEFT(B7531,7)))</f>
        <v/>
      </c>
    </row>
    <row r="7532">
      <c r="N7532" s="6">
        <f>IF(B7532="","",IF(ISNUMBER(B7532),TEXT(B7532,"YYYY-MM"),LEFT(B7532,7)))</f>
        <v/>
      </c>
    </row>
    <row r="7533">
      <c r="N7533" s="6">
        <f>IF(B7533="","",IF(ISNUMBER(B7533),TEXT(B7533,"YYYY-MM"),LEFT(B7533,7)))</f>
        <v/>
      </c>
    </row>
    <row r="7534">
      <c r="N7534" s="6">
        <f>IF(B7534="","",IF(ISNUMBER(B7534),TEXT(B7534,"YYYY-MM"),LEFT(B7534,7)))</f>
        <v/>
      </c>
    </row>
    <row r="7535">
      <c r="N7535" s="6">
        <f>IF(B7535="","",IF(ISNUMBER(B7535),TEXT(B7535,"YYYY-MM"),LEFT(B7535,7)))</f>
        <v/>
      </c>
    </row>
    <row r="7536">
      <c r="N7536" s="6">
        <f>IF(B7536="","",IF(ISNUMBER(B7536),TEXT(B7536,"YYYY-MM"),LEFT(B7536,7)))</f>
        <v/>
      </c>
    </row>
    <row r="7537">
      <c r="N7537" s="6">
        <f>IF(B7537="","",IF(ISNUMBER(B7537),TEXT(B7537,"YYYY-MM"),LEFT(B7537,7)))</f>
        <v/>
      </c>
    </row>
    <row r="7538">
      <c r="N7538" s="6">
        <f>IF(B7538="","",IF(ISNUMBER(B7538),TEXT(B7538,"YYYY-MM"),LEFT(B7538,7)))</f>
        <v/>
      </c>
    </row>
    <row r="7539">
      <c r="N7539" s="6">
        <f>IF(B7539="","",IF(ISNUMBER(B7539),TEXT(B7539,"YYYY-MM"),LEFT(B7539,7)))</f>
        <v/>
      </c>
    </row>
    <row r="7540">
      <c r="N7540" s="6">
        <f>IF(B7540="","",IF(ISNUMBER(B7540),TEXT(B7540,"YYYY-MM"),LEFT(B7540,7)))</f>
        <v/>
      </c>
    </row>
    <row r="7541">
      <c r="N7541" s="6">
        <f>IF(B7541="","",IF(ISNUMBER(B7541),TEXT(B7541,"YYYY-MM"),LEFT(B7541,7)))</f>
        <v/>
      </c>
    </row>
    <row r="7542">
      <c r="N7542" s="6">
        <f>IF(B7542="","",IF(ISNUMBER(B7542),TEXT(B7542,"YYYY-MM"),LEFT(B7542,7)))</f>
        <v/>
      </c>
    </row>
    <row r="7543">
      <c r="N7543" s="6">
        <f>IF(B7543="","",IF(ISNUMBER(B7543),TEXT(B7543,"YYYY-MM"),LEFT(B7543,7)))</f>
        <v/>
      </c>
    </row>
    <row r="7544">
      <c r="N7544" s="6">
        <f>IF(B7544="","",IF(ISNUMBER(B7544),TEXT(B7544,"YYYY-MM"),LEFT(B7544,7)))</f>
        <v/>
      </c>
    </row>
    <row r="7545">
      <c r="N7545" s="6">
        <f>IF(B7545="","",IF(ISNUMBER(B7545),TEXT(B7545,"YYYY-MM"),LEFT(B7545,7)))</f>
        <v/>
      </c>
    </row>
    <row r="7546">
      <c r="N7546" s="6">
        <f>IF(B7546="","",IF(ISNUMBER(B7546),TEXT(B7546,"YYYY-MM"),LEFT(B7546,7)))</f>
        <v/>
      </c>
    </row>
    <row r="7547">
      <c r="N7547" s="6">
        <f>IF(B7547="","",IF(ISNUMBER(B7547),TEXT(B7547,"YYYY-MM"),LEFT(B7547,7)))</f>
        <v/>
      </c>
    </row>
    <row r="7548">
      <c r="N7548" s="6">
        <f>IF(B7548="","",IF(ISNUMBER(B7548),TEXT(B7548,"YYYY-MM"),LEFT(B7548,7)))</f>
        <v/>
      </c>
    </row>
    <row r="7549">
      <c r="N7549" s="6">
        <f>IF(B7549="","",IF(ISNUMBER(B7549),TEXT(B7549,"YYYY-MM"),LEFT(B7549,7)))</f>
        <v/>
      </c>
    </row>
    <row r="7550">
      <c r="N7550" s="6">
        <f>IF(B7550="","",IF(ISNUMBER(B7550),TEXT(B7550,"YYYY-MM"),LEFT(B7550,7)))</f>
        <v/>
      </c>
    </row>
    <row r="7551">
      <c r="N7551" s="6">
        <f>IF(B7551="","",IF(ISNUMBER(B7551),TEXT(B7551,"YYYY-MM"),LEFT(B7551,7)))</f>
        <v/>
      </c>
    </row>
    <row r="7552">
      <c r="N7552" s="6">
        <f>IF(B7552="","",IF(ISNUMBER(B7552),TEXT(B7552,"YYYY-MM"),LEFT(B7552,7)))</f>
        <v/>
      </c>
    </row>
    <row r="7553">
      <c r="N7553" s="6">
        <f>IF(B7553="","",IF(ISNUMBER(B7553),TEXT(B7553,"YYYY-MM"),LEFT(B7553,7)))</f>
        <v/>
      </c>
    </row>
    <row r="7554">
      <c r="N7554" s="6">
        <f>IF(B7554="","",IF(ISNUMBER(B7554),TEXT(B7554,"YYYY-MM"),LEFT(B7554,7)))</f>
        <v/>
      </c>
    </row>
    <row r="7555">
      <c r="N7555" s="6">
        <f>IF(B7555="","",IF(ISNUMBER(B7555),TEXT(B7555,"YYYY-MM"),LEFT(B7555,7)))</f>
        <v/>
      </c>
    </row>
    <row r="7556">
      <c r="N7556" s="6">
        <f>IF(B7556="","",IF(ISNUMBER(B7556),TEXT(B7556,"YYYY-MM"),LEFT(B7556,7)))</f>
        <v/>
      </c>
    </row>
    <row r="7557">
      <c r="N7557" s="6">
        <f>IF(B7557="","",IF(ISNUMBER(B7557),TEXT(B7557,"YYYY-MM"),LEFT(B7557,7)))</f>
        <v/>
      </c>
    </row>
    <row r="7558">
      <c r="N7558" s="6">
        <f>IF(B7558="","",IF(ISNUMBER(B7558),TEXT(B7558,"YYYY-MM"),LEFT(B7558,7)))</f>
        <v/>
      </c>
    </row>
    <row r="7559">
      <c r="N7559" s="6">
        <f>IF(B7559="","",IF(ISNUMBER(B7559),TEXT(B7559,"YYYY-MM"),LEFT(B7559,7)))</f>
        <v/>
      </c>
    </row>
    <row r="7560">
      <c r="N7560" s="6">
        <f>IF(B7560="","",IF(ISNUMBER(B7560),TEXT(B7560,"YYYY-MM"),LEFT(B7560,7)))</f>
        <v/>
      </c>
    </row>
    <row r="7561">
      <c r="N7561" s="6">
        <f>IF(B7561="","",IF(ISNUMBER(B7561),TEXT(B7561,"YYYY-MM"),LEFT(B7561,7)))</f>
        <v/>
      </c>
    </row>
    <row r="7562">
      <c r="N7562" s="6">
        <f>IF(B7562="","",IF(ISNUMBER(B7562),TEXT(B7562,"YYYY-MM"),LEFT(B7562,7)))</f>
        <v/>
      </c>
    </row>
    <row r="7563">
      <c r="N7563" s="6">
        <f>IF(B7563="","",IF(ISNUMBER(B7563),TEXT(B7563,"YYYY-MM"),LEFT(B7563,7)))</f>
        <v/>
      </c>
    </row>
    <row r="7564">
      <c r="N7564" s="6">
        <f>IF(B7564="","",IF(ISNUMBER(B7564),TEXT(B7564,"YYYY-MM"),LEFT(B7564,7)))</f>
        <v/>
      </c>
    </row>
    <row r="7565">
      <c r="N7565" s="6">
        <f>IF(B7565="","",IF(ISNUMBER(B7565),TEXT(B7565,"YYYY-MM"),LEFT(B7565,7)))</f>
        <v/>
      </c>
    </row>
    <row r="7566">
      <c r="N7566" s="6">
        <f>IF(B7566="","",IF(ISNUMBER(B7566),TEXT(B7566,"YYYY-MM"),LEFT(B7566,7)))</f>
        <v/>
      </c>
    </row>
    <row r="7567">
      <c r="N7567" s="6">
        <f>IF(B7567="","",IF(ISNUMBER(B7567),TEXT(B7567,"YYYY-MM"),LEFT(B7567,7)))</f>
        <v/>
      </c>
    </row>
    <row r="7568">
      <c r="N7568" s="6">
        <f>IF(B7568="","",IF(ISNUMBER(B7568),TEXT(B7568,"YYYY-MM"),LEFT(B7568,7)))</f>
        <v/>
      </c>
    </row>
    <row r="7569">
      <c r="N7569" s="6">
        <f>IF(B7569="","",IF(ISNUMBER(B7569),TEXT(B7569,"YYYY-MM"),LEFT(B7569,7)))</f>
        <v/>
      </c>
    </row>
    <row r="7570">
      <c r="N7570" s="6">
        <f>IF(B7570="","",IF(ISNUMBER(B7570),TEXT(B7570,"YYYY-MM"),LEFT(B7570,7)))</f>
        <v/>
      </c>
    </row>
    <row r="7571">
      <c r="N7571" s="6">
        <f>IF(B7571="","",IF(ISNUMBER(B7571),TEXT(B7571,"YYYY-MM"),LEFT(B7571,7)))</f>
        <v/>
      </c>
    </row>
    <row r="7572">
      <c r="N7572" s="6">
        <f>IF(B7572="","",IF(ISNUMBER(B7572),TEXT(B7572,"YYYY-MM"),LEFT(B7572,7)))</f>
        <v/>
      </c>
    </row>
    <row r="7573">
      <c r="N7573" s="6">
        <f>IF(B7573="","",IF(ISNUMBER(B7573),TEXT(B7573,"YYYY-MM"),LEFT(B7573,7)))</f>
        <v/>
      </c>
    </row>
    <row r="7574">
      <c r="N7574" s="6">
        <f>IF(B7574="","",IF(ISNUMBER(B7574),TEXT(B7574,"YYYY-MM"),LEFT(B7574,7)))</f>
        <v/>
      </c>
    </row>
    <row r="7575">
      <c r="N7575" s="6">
        <f>IF(B7575="","",IF(ISNUMBER(B7575),TEXT(B7575,"YYYY-MM"),LEFT(B7575,7)))</f>
        <v/>
      </c>
    </row>
    <row r="7576">
      <c r="N7576" s="6">
        <f>IF(B7576="","",IF(ISNUMBER(B7576),TEXT(B7576,"YYYY-MM"),LEFT(B7576,7)))</f>
        <v/>
      </c>
    </row>
    <row r="7577">
      <c r="N7577" s="6">
        <f>IF(B7577="","",IF(ISNUMBER(B7577),TEXT(B7577,"YYYY-MM"),LEFT(B7577,7)))</f>
        <v/>
      </c>
    </row>
    <row r="7578">
      <c r="N7578" s="6">
        <f>IF(B7578="","",IF(ISNUMBER(B7578),TEXT(B7578,"YYYY-MM"),LEFT(B7578,7)))</f>
        <v/>
      </c>
    </row>
    <row r="7579">
      <c r="N7579" s="6">
        <f>IF(B7579="","",IF(ISNUMBER(B7579),TEXT(B7579,"YYYY-MM"),LEFT(B7579,7)))</f>
        <v/>
      </c>
    </row>
    <row r="7580">
      <c r="N7580" s="6">
        <f>IF(B7580="","",IF(ISNUMBER(B7580),TEXT(B7580,"YYYY-MM"),LEFT(B7580,7)))</f>
        <v/>
      </c>
    </row>
    <row r="7581">
      <c r="N7581" s="6">
        <f>IF(B7581="","",IF(ISNUMBER(B7581),TEXT(B7581,"YYYY-MM"),LEFT(B7581,7)))</f>
        <v/>
      </c>
    </row>
    <row r="7582">
      <c r="N7582" s="6">
        <f>IF(B7582="","",IF(ISNUMBER(B7582),TEXT(B7582,"YYYY-MM"),LEFT(B7582,7)))</f>
        <v/>
      </c>
    </row>
    <row r="7583">
      <c r="N7583" s="6">
        <f>IF(B7583="","",IF(ISNUMBER(B7583),TEXT(B7583,"YYYY-MM"),LEFT(B7583,7)))</f>
        <v/>
      </c>
    </row>
    <row r="7584">
      <c r="N7584" s="6">
        <f>IF(B7584="","",IF(ISNUMBER(B7584),TEXT(B7584,"YYYY-MM"),LEFT(B7584,7)))</f>
        <v/>
      </c>
    </row>
    <row r="7585">
      <c r="N7585" s="6">
        <f>IF(B7585="","",IF(ISNUMBER(B7585),TEXT(B7585,"YYYY-MM"),LEFT(B7585,7)))</f>
        <v/>
      </c>
    </row>
    <row r="7586">
      <c r="N7586" s="6">
        <f>IF(B7586="","",IF(ISNUMBER(B7586),TEXT(B7586,"YYYY-MM"),LEFT(B7586,7)))</f>
        <v/>
      </c>
    </row>
    <row r="7587">
      <c r="N7587" s="6">
        <f>IF(B7587="","",IF(ISNUMBER(B7587),TEXT(B7587,"YYYY-MM"),LEFT(B7587,7)))</f>
        <v/>
      </c>
    </row>
    <row r="7588">
      <c r="N7588" s="6">
        <f>IF(B7588="","",IF(ISNUMBER(B7588),TEXT(B7588,"YYYY-MM"),LEFT(B7588,7)))</f>
        <v/>
      </c>
    </row>
    <row r="7589">
      <c r="N7589" s="6">
        <f>IF(B7589="","",IF(ISNUMBER(B7589),TEXT(B7589,"YYYY-MM"),LEFT(B7589,7)))</f>
        <v/>
      </c>
    </row>
    <row r="7590">
      <c r="N7590" s="6">
        <f>IF(B7590="","",IF(ISNUMBER(B7590),TEXT(B7590,"YYYY-MM"),LEFT(B7590,7)))</f>
        <v/>
      </c>
    </row>
    <row r="7591">
      <c r="N7591" s="6">
        <f>IF(B7591="","",IF(ISNUMBER(B7591),TEXT(B7591,"YYYY-MM"),LEFT(B7591,7)))</f>
        <v/>
      </c>
    </row>
    <row r="7592">
      <c r="N7592" s="6">
        <f>IF(B7592="","",IF(ISNUMBER(B7592),TEXT(B7592,"YYYY-MM"),LEFT(B7592,7)))</f>
        <v/>
      </c>
    </row>
    <row r="7593">
      <c r="N7593" s="6">
        <f>IF(B7593="","",IF(ISNUMBER(B7593),TEXT(B7593,"YYYY-MM"),LEFT(B7593,7)))</f>
        <v/>
      </c>
    </row>
    <row r="7594">
      <c r="N7594" s="6">
        <f>IF(B7594="","",IF(ISNUMBER(B7594),TEXT(B7594,"YYYY-MM"),LEFT(B7594,7)))</f>
        <v/>
      </c>
    </row>
    <row r="7595">
      <c r="N7595" s="6">
        <f>IF(B7595="","",IF(ISNUMBER(B7595),TEXT(B7595,"YYYY-MM"),LEFT(B7595,7)))</f>
        <v/>
      </c>
    </row>
    <row r="7596">
      <c r="N7596" s="6">
        <f>IF(B7596="","",IF(ISNUMBER(B7596),TEXT(B7596,"YYYY-MM"),LEFT(B7596,7)))</f>
        <v/>
      </c>
    </row>
    <row r="7597">
      <c r="N7597" s="6">
        <f>IF(B7597="","",IF(ISNUMBER(B7597),TEXT(B7597,"YYYY-MM"),LEFT(B7597,7)))</f>
        <v/>
      </c>
    </row>
    <row r="7598">
      <c r="N7598" s="6">
        <f>IF(B7598="","",IF(ISNUMBER(B7598),TEXT(B7598,"YYYY-MM"),LEFT(B7598,7)))</f>
        <v/>
      </c>
    </row>
    <row r="7599">
      <c r="N7599" s="6">
        <f>IF(B7599="","",IF(ISNUMBER(B7599),TEXT(B7599,"YYYY-MM"),LEFT(B7599,7)))</f>
        <v/>
      </c>
    </row>
    <row r="7600">
      <c r="N7600" s="6">
        <f>IF(B7600="","",IF(ISNUMBER(B7600),TEXT(B7600,"YYYY-MM"),LEFT(B7600,7)))</f>
        <v/>
      </c>
    </row>
    <row r="7601">
      <c r="N7601" s="6">
        <f>IF(B7601="","",IF(ISNUMBER(B7601),TEXT(B7601,"YYYY-MM"),LEFT(B7601,7)))</f>
        <v/>
      </c>
    </row>
    <row r="7602">
      <c r="N7602" s="6">
        <f>IF(B7602="","",IF(ISNUMBER(B7602),TEXT(B7602,"YYYY-MM"),LEFT(B7602,7)))</f>
        <v/>
      </c>
    </row>
    <row r="7603">
      <c r="N7603" s="6">
        <f>IF(B7603="","",IF(ISNUMBER(B7603),TEXT(B7603,"YYYY-MM"),LEFT(B7603,7)))</f>
        <v/>
      </c>
    </row>
    <row r="7604">
      <c r="N7604" s="6">
        <f>IF(B7604="","",IF(ISNUMBER(B7604),TEXT(B7604,"YYYY-MM"),LEFT(B7604,7)))</f>
        <v/>
      </c>
    </row>
    <row r="7605">
      <c r="N7605" s="6">
        <f>IF(B7605="","",IF(ISNUMBER(B7605),TEXT(B7605,"YYYY-MM"),LEFT(B7605,7)))</f>
        <v/>
      </c>
    </row>
    <row r="7606">
      <c r="N7606" s="6">
        <f>IF(B7606="","",IF(ISNUMBER(B7606),TEXT(B7606,"YYYY-MM"),LEFT(B7606,7)))</f>
        <v/>
      </c>
    </row>
    <row r="7607">
      <c r="N7607" s="6">
        <f>IF(B7607="","",IF(ISNUMBER(B7607),TEXT(B7607,"YYYY-MM"),LEFT(B7607,7)))</f>
        <v/>
      </c>
    </row>
    <row r="7608">
      <c r="N7608" s="6">
        <f>IF(B7608="","",IF(ISNUMBER(B7608),TEXT(B7608,"YYYY-MM"),LEFT(B7608,7)))</f>
        <v/>
      </c>
    </row>
    <row r="7609">
      <c r="N7609" s="6">
        <f>IF(B7609="","",IF(ISNUMBER(B7609),TEXT(B7609,"YYYY-MM"),LEFT(B7609,7)))</f>
        <v/>
      </c>
    </row>
    <row r="7610">
      <c r="N7610" s="6">
        <f>IF(B7610="","",IF(ISNUMBER(B7610),TEXT(B7610,"YYYY-MM"),LEFT(B7610,7)))</f>
        <v/>
      </c>
    </row>
    <row r="7611">
      <c r="N7611" s="6">
        <f>IF(B7611="","",IF(ISNUMBER(B7611),TEXT(B7611,"YYYY-MM"),LEFT(B7611,7)))</f>
        <v/>
      </c>
    </row>
    <row r="7612">
      <c r="N7612" s="6">
        <f>IF(B7612="","",IF(ISNUMBER(B7612),TEXT(B7612,"YYYY-MM"),LEFT(B7612,7)))</f>
        <v/>
      </c>
    </row>
    <row r="7613">
      <c r="N7613" s="6">
        <f>IF(B7613="","",IF(ISNUMBER(B7613),TEXT(B7613,"YYYY-MM"),LEFT(B7613,7)))</f>
        <v/>
      </c>
    </row>
    <row r="7614">
      <c r="N7614" s="6">
        <f>IF(B7614="","",IF(ISNUMBER(B7614),TEXT(B7614,"YYYY-MM"),LEFT(B7614,7)))</f>
        <v/>
      </c>
    </row>
    <row r="7615">
      <c r="N7615" s="6">
        <f>IF(B7615="","",IF(ISNUMBER(B7615),TEXT(B7615,"YYYY-MM"),LEFT(B7615,7)))</f>
        <v/>
      </c>
    </row>
    <row r="7616">
      <c r="N7616" s="6">
        <f>IF(B7616="","",IF(ISNUMBER(B7616),TEXT(B7616,"YYYY-MM"),LEFT(B7616,7)))</f>
        <v/>
      </c>
    </row>
    <row r="7617">
      <c r="N7617" s="6">
        <f>IF(B7617="","",IF(ISNUMBER(B7617),TEXT(B7617,"YYYY-MM"),LEFT(B7617,7)))</f>
        <v/>
      </c>
    </row>
    <row r="7618">
      <c r="N7618" s="6">
        <f>IF(B7618="","",IF(ISNUMBER(B7618),TEXT(B7618,"YYYY-MM"),LEFT(B7618,7)))</f>
        <v/>
      </c>
    </row>
    <row r="7619">
      <c r="N7619" s="6">
        <f>IF(B7619="","",IF(ISNUMBER(B7619),TEXT(B7619,"YYYY-MM"),LEFT(B7619,7)))</f>
        <v/>
      </c>
    </row>
    <row r="7620">
      <c r="N7620" s="6">
        <f>IF(B7620="","",IF(ISNUMBER(B7620),TEXT(B7620,"YYYY-MM"),LEFT(B7620,7)))</f>
        <v/>
      </c>
    </row>
    <row r="7621">
      <c r="N7621" s="6">
        <f>IF(B7621="","",IF(ISNUMBER(B7621),TEXT(B7621,"YYYY-MM"),LEFT(B7621,7)))</f>
        <v/>
      </c>
    </row>
    <row r="7622">
      <c r="N7622" s="6">
        <f>IF(B7622="","",IF(ISNUMBER(B7622),TEXT(B7622,"YYYY-MM"),LEFT(B7622,7)))</f>
        <v/>
      </c>
    </row>
    <row r="7623">
      <c r="N7623" s="6">
        <f>IF(B7623="","",IF(ISNUMBER(B7623),TEXT(B7623,"YYYY-MM"),LEFT(B7623,7)))</f>
        <v/>
      </c>
    </row>
    <row r="7624">
      <c r="N7624" s="6">
        <f>IF(B7624="","",IF(ISNUMBER(B7624),TEXT(B7624,"YYYY-MM"),LEFT(B7624,7)))</f>
        <v/>
      </c>
    </row>
    <row r="7625">
      <c r="N7625" s="6">
        <f>IF(B7625="","",IF(ISNUMBER(B7625),TEXT(B7625,"YYYY-MM"),LEFT(B7625,7)))</f>
        <v/>
      </c>
    </row>
    <row r="7626">
      <c r="N7626" s="6">
        <f>IF(B7626="","",IF(ISNUMBER(B7626),TEXT(B7626,"YYYY-MM"),LEFT(B7626,7)))</f>
        <v/>
      </c>
    </row>
    <row r="7627">
      <c r="N7627" s="6">
        <f>IF(B7627="","",IF(ISNUMBER(B7627),TEXT(B7627,"YYYY-MM"),LEFT(B7627,7)))</f>
        <v/>
      </c>
    </row>
    <row r="7628">
      <c r="N7628" s="6">
        <f>IF(B7628="","",IF(ISNUMBER(B7628),TEXT(B7628,"YYYY-MM"),LEFT(B7628,7)))</f>
        <v/>
      </c>
    </row>
    <row r="7629">
      <c r="N7629" s="6">
        <f>IF(B7629="","",IF(ISNUMBER(B7629),TEXT(B7629,"YYYY-MM"),LEFT(B7629,7)))</f>
        <v/>
      </c>
    </row>
    <row r="7630">
      <c r="N7630" s="6">
        <f>IF(B7630="","",IF(ISNUMBER(B7630),TEXT(B7630,"YYYY-MM"),LEFT(B7630,7)))</f>
        <v/>
      </c>
    </row>
    <row r="7631">
      <c r="N7631" s="6">
        <f>IF(B7631="","",IF(ISNUMBER(B7631),TEXT(B7631,"YYYY-MM"),LEFT(B7631,7)))</f>
        <v/>
      </c>
    </row>
    <row r="7632">
      <c r="N7632" s="6">
        <f>IF(B7632="","",IF(ISNUMBER(B7632),TEXT(B7632,"YYYY-MM"),LEFT(B7632,7)))</f>
        <v/>
      </c>
    </row>
    <row r="7633">
      <c r="N7633" s="6">
        <f>IF(B7633="","",IF(ISNUMBER(B7633),TEXT(B7633,"YYYY-MM"),LEFT(B7633,7)))</f>
        <v/>
      </c>
    </row>
    <row r="7634">
      <c r="N7634" s="6">
        <f>IF(B7634="","",IF(ISNUMBER(B7634),TEXT(B7634,"YYYY-MM"),LEFT(B7634,7)))</f>
        <v/>
      </c>
    </row>
    <row r="7635">
      <c r="N7635" s="6">
        <f>IF(B7635="","",IF(ISNUMBER(B7635),TEXT(B7635,"YYYY-MM"),LEFT(B7635,7)))</f>
        <v/>
      </c>
    </row>
    <row r="7636">
      <c r="N7636" s="6">
        <f>IF(B7636="","",IF(ISNUMBER(B7636),TEXT(B7636,"YYYY-MM"),LEFT(B7636,7)))</f>
        <v/>
      </c>
    </row>
    <row r="7637">
      <c r="N7637" s="6">
        <f>IF(B7637="","",IF(ISNUMBER(B7637),TEXT(B7637,"YYYY-MM"),LEFT(B7637,7)))</f>
        <v/>
      </c>
    </row>
    <row r="7638">
      <c r="N7638" s="6">
        <f>IF(B7638="","",IF(ISNUMBER(B7638),TEXT(B7638,"YYYY-MM"),LEFT(B7638,7)))</f>
        <v/>
      </c>
    </row>
    <row r="7639">
      <c r="N7639" s="6">
        <f>IF(B7639="","",IF(ISNUMBER(B7639),TEXT(B7639,"YYYY-MM"),LEFT(B7639,7)))</f>
        <v/>
      </c>
    </row>
    <row r="7640">
      <c r="N7640" s="6">
        <f>IF(B7640="","",IF(ISNUMBER(B7640),TEXT(B7640,"YYYY-MM"),LEFT(B7640,7)))</f>
        <v/>
      </c>
    </row>
    <row r="7641">
      <c r="N7641" s="6">
        <f>IF(B7641="","",IF(ISNUMBER(B7641),TEXT(B7641,"YYYY-MM"),LEFT(B7641,7)))</f>
        <v/>
      </c>
    </row>
    <row r="7642">
      <c r="N7642" s="6">
        <f>IF(B7642="","",IF(ISNUMBER(B7642),TEXT(B7642,"YYYY-MM"),LEFT(B7642,7)))</f>
        <v/>
      </c>
    </row>
    <row r="7643">
      <c r="N7643" s="6">
        <f>IF(B7643="","",IF(ISNUMBER(B7643),TEXT(B7643,"YYYY-MM"),LEFT(B7643,7)))</f>
        <v/>
      </c>
    </row>
    <row r="7644">
      <c r="N7644" s="6">
        <f>IF(B7644="","",IF(ISNUMBER(B7644),TEXT(B7644,"YYYY-MM"),LEFT(B7644,7)))</f>
        <v/>
      </c>
    </row>
    <row r="7645">
      <c r="N7645" s="6">
        <f>IF(B7645="","",IF(ISNUMBER(B7645),TEXT(B7645,"YYYY-MM"),LEFT(B7645,7)))</f>
        <v/>
      </c>
    </row>
    <row r="7646">
      <c r="N7646" s="6">
        <f>IF(B7646="","",IF(ISNUMBER(B7646),TEXT(B7646,"YYYY-MM"),LEFT(B7646,7)))</f>
        <v/>
      </c>
    </row>
    <row r="7647">
      <c r="N7647" s="6">
        <f>IF(B7647="","",IF(ISNUMBER(B7647),TEXT(B7647,"YYYY-MM"),LEFT(B7647,7)))</f>
        <v/>
      </c>
    </row>
    <row r="7648">
      <c r="N7648" s="6">
        <f>IF(B7648="","",IF(ISNUMBER(B7648),TEXT(B7648,"YYYY-MM"),LEFT(B7648,7)))</f>
        <v/>
      </c>
    </row>
    <row r="7649">
      <c r="N7649" s="6">
        <f>IF(B7649="","",IF(ISNUMBER(B7649),TEXT(B7649,"YYYY-MM"),LEFT(B7649,7)))</f>
        <v/>
      </c>
    </row>
    <row r="7650">
      <c r="N7650" s="6">
        <f>IF(B7650="","",IF(ISNUMBER(B7650),TEXT(B7650,"YYYY-MM"),LEFT(B7650,7)))</f>
        <v/>
      </c>
    </row>
    <row r="7651">
      <c r="N7651" s="6">
        <f>IF(B7651="","",IF(ISNUMBER(B7651),TEXT(B7651,"YYYY-MM"),LEFT(B7651,7)))</f>
        <v/>
      </c>
    </row>
    <row r="7652">
      <c r="N7652" s="6">
        <f>IF(B7652="","",IF(ISNUMBER(B7652),TEXT(B7652,"YYYY-MM"),LEFT(B7652,7)))</f>
        <v/>
      </c>
    </row>
    <row r="7653">
      <c r="N7653" s="6">
        <f>IF(B7653="","",IF(ISNUMBER(B7653),TEXT(B7653,"YYYY-MM"),LEFT(B7653,7)))</f>
        <v/>
      </c>
    </row>
    <row r="7654">
      <c r="N7654" s="6">
        <f>IF(B7654="","",IF(ISNUMBER(B7654),TEXT(B7654,"YYYY-MM"),LEFT(B7654,7)))</f>
        <v/>
      </c>
    </row>
    <row r="7655">
      <c r="N7655" s="6">
        <f>IF(B7655="","",IF(ISNUMBER(B7655),TEXT(B7655,"YYYY-MM"),LEFT(B7655,7)))</f>
        <v/>
      </c>
    </row>
    <row r="7656">
      <c r="N7656" s="6">
        <f>IF(B7656="","",IF(ISNUMBER(B7656),TEXT(B7656,"YYYY-MM"),LEFT(B7656,7)))</f>
        <v/>
      </c>
    </row>
    <row r="7657">
      <c r="N7657" s="6">
        <f>IF(B7657="","",IF(ISNUMBER(B7657),TEXT(B7657,"YYYY-MM"),LEFT(B7657,7)))</f>
        <v/>
      </c>
    </row>
    <row r="7658">
      <c r="N7658" s="6">
        <f>IF(B7658="","",IF(ISNUMBER(B7658),TEXT(B7658,"YYYY-MM"),LEFT(B7658,7)))</f>
        <v/>
      </c>
    </row>
    <row r="7659">
      <c r="N7659" s="6">
        <f>IF(B7659="","",IF(ISNUMBER(B7659),TEXT(B7659,"YYYY-MM"),LEFT(B7659,7)))</f>
        <v/>
      </c>
    </row>
    <row r="7660">
      <c r="N7660" s="6">
        <f>IF(B7660="","",IF(ISNUMBER(B7660),TEXT(B7660,"YYYY-MM"),LEFT(B7660,7)))</f>
        <v/>
      </c>
    </row>
    <row r="7661">
      <c r="N7661" s="6">
        <f>IF(B7661="","",IF(ISNUMBER(B7661),TEXT(B7661,"YYYY-MM"),LEFT(B7661,7)))</f>
        <v/>
      </c>
    </row>
    <row r="7662">
      <c r="N7662" s="6">
        <f>IF(B7662="","",IF(ISNUMBER(B7662),TEXT(B7662,"YYYY-MM"),LEFT(B7662,7)))</f>
        <v/>
      </c>
    </row>
    <row r="7663">
      <c r="N7663" s="6">
        <f>IF(B7663="","",IF(ISNUMBER(B7663),TEXT(B7663,"YYYY-MM"),LEFT(B7663,7)))</f>
        <v/>
      </c>
    </row>
    <row r="7664">
      <c r="N7664" s="6">
        <f>IF(B7664="","",IF(ISNUMBER(B7664),TEXT(B7664,"YYYY-MM"),LEFT(B7664,7)))</f>
        <v/>
      </c>
    </row>
    <row r="7665">
      <c r="N7665" s="6">
        <f>IF(B7665="","",IF(ISNUMBER(B7665),TEXT(B7665,"YYYY-MM"),LEFT(B7665,7)))</f>
        <v/>
      </c>
    </row>
    <row r="7666">
      <c r="N7666" s="6">
        <f>IF(B7666="","",IF(ISNUMBER(B7666),TEXT(B7666,"YYYY-MM"),LEFT(B7666,7)))</f>
        <v/>
      </c>
    </row>
    <row r="7667">
      <c r="N7667" s="6">
        <f>IF(B7667="","",IF(ISNUMBER(B7667),TEXT(B7667,"YYYY-MM"),LEFT(B7667,7)))</f>
        <v/>
      </c>
    </row>
    <row r="7668">
      <c r="N7668" s="6">
        <f>IF(B7668="","",IF(ISNUMBER(B7668),TEXT(B7668,"YYYY-MM"),LEFT(B7668,7)))</f>
        <v/>
      </c>
    </row>
    <row r="7669">
      <c r="N7669" s="6">
        <f>IF(B7669="","",IF(ISNUMBER(B7669),TEXT(B7669,"YYYY-MM"),LEFT(B7669,7)))</f>
        <v/>
      </c>
    </row>
    <row r="7670">
      <c r="N7670" s="6">
        <f>IF(B7670="","",IF(ISNUMBER(B7670),TEXT(B7670,"YYYY-MM"),LEFT(B7670,7)))</f>
        <v/>
      </c>
    </row>
    <row r="7671">
      <c r="N7671" s="6">
        <f>IF(B7671="","",IF(ISNUMBER(B7671),TEXT(B7671,"YYYY-MM"),LEFT(B7671,7)))</f>
        <v/>
      </c>
    </row>
    <row r="7672">
      <c r="N7672" s="6">
        <f>IF(B7672="","",IF(ISNUMBER(B7672),TEXT(B7672,"YYYY-MM"),LEFT(B7672,7)))</f>
        <v/>
      </c>
    </row>
    <row r="7673">
      <c r="N7673" s="6">
        <f>IF(B7673="","",IF(ISNUMBER(B7673),TEXT(B7673,"YYYY-MM"),LEFT(B7673,7)))</f>
        <v/>
      </c>
    </row>
    <row r="7674">
      <c r="N7674" s="6">
        <f>IF(B7674="","",IF(ISNUMBER(B7674),TEXT(B7674,"YYYY-MM"),LEFT(B7674,7)))</f>
        <v/>
      </c>
    </row>
    <row r="7675">
      <c r="N7675" s="6">
        <f>IF(B7675="","",IF(ISNUMBER(B7675),TEXT(B7675,"YYYY-MM"),LEFT(B7675,7)))</f>
        <v/>
      </c>
    </row>
    <row r="7676">
      <c r="N7676" s="6">
        <f>IF(B7676="","",IF(ISNUMBER(B7676),TEXT(B7676,"YYYY-MM"),LEFT(B7676,7)))</f>
        <v/>
      </c>
    </row>
    <row r="7677">
      <c r="N7677" s="6">
        <f>IF(B7677="","",IF(ISNUMBER(B7677),TEXT(B7677,"YYYY-MM"),LEFT(B7677,7)))</f>
        <v/>
      </c>
    </row>
    <row r="7678">
      <c r="N7678" s="6">
        <f>IF(B7678="","",IF(ISNUMBER(B7678),TEXT(B7678,"YYYY-MM"),LEFT(B7678,7)))</f>
        <v/>
      </c>
    </row>
    <row r="7679">
      <c r="N7679" s="6">
        <f>IF(B7679="","",IF(ISNUMBER(B7679),TEXT(B7679,"YYYY-MM"),LEFT(B7679,7)))</f>
        <v/>
      </c>
    </row>
    <row r="7680">
      <c r="N7680" s="6">
        <f>IF(B7680="","",IF(ISNUMBER(B7680),TEXT(B7680,"YYYY-MM"),LEFT(B7680,7)))</f>
        <v/>
      </c>
    </row>
    <row r="7681">
      <c r="N7681" s="6">
        <f>IF(B7681="","",IF(ISNUMBER(B7681),TEXT(B7681,"YYYY-MM"),LEFT(B7681,7)))</f>
        <v/>
      </c>
    </row>
    <row r="7682">
      <c r="N7682" s="6">
        <f>IF(B7682="","",IF(ISNUMBER(B7682),TEXT(B7682,"YYYY-MM"),LEFT(B7682,7)))</f>
        <v/>
      </c>
    </row>
    <row r="7683">
      <c r="N7683" s="6">
        <f>IF(B7683="","",IF(ISNUMBER(B7683),TEXT(B7683,"YYYY-MM"),LEFT(B7683,7)))</f>
        <v/>
      </c>
    </row>
    <row r="7684">
      <c r="N7684" s="6">
        <f>IF(B7684="","",IF(ISNUMBER(B7684),TEXT(B7684,"YYYY-MM"),LEFT(B7684,7)))</f>
        <v/>
      </c>
    </row>
    <row r="7685">
      <c r="N7685" s="6">
        <f>IF(B7685="","",IF(ISNUMBER(B7685),TEXT(B7685,"YYYY-MM"),LEFT(B7685,7)))</f>
        <v/>
      </c>
    </row>
    <row r="7686">
      <c r="N7686" s="6">
        <f>IF(B7686="","",IF(ISNUMBER(B7686),TEXT(B7686,"YYYY-MM"),LEFT(B7686,7)))</f>
        <v/>
      </c>
    </row>
    <row r="7687">
      <c r="N7687" s="6">
        <f>IF(B7687="","",IF(ISNUMBER(B7687),TEXT(B7687,"YYYY-MM"),LEFT(B7687,7)))</f>
        <v/>
      </c>
    </row>
    <row r="7688">
      <c r="N7688" s="6">
        <f>IF(B7688="","",IF(ISNUMBER(B7688),TEXT(B7688,"YYYY-MM"),LEFT(B7688,7)))</f>
        <v/>
      </c>
    </row>
    <row r="7689">
      <c r="N7689" s="6">
        <f>IF(B7689="","",IF(ISNUMBER(B7689),TEXT(B7689,"YYYY-MM"),LEFT(B7689,7)))</f>
        <v/>
      </c>
    </row>
    <row r="7690">
      <c r="N7690" s="6">
        <f>IF(B7690="","",IF(ISNUMBER(B7690),TEXT(B7690,"YYYY-MM"),LEFT(B7690,7)))</f>
        <v/>
      </c>
    </row>
    <row r="7691">
      <c r="N7691" s="6">
        <f>IF(B7691="","",IF(ISNUMBER(B7691),TEXT(B7691,"YYYY-MM"),LEFT(B7691,7)))</f>
        <v/>
      </c>
    </row>
    <row r="7692">
      <c r="N7692" s="6">
        <f>IF(B7692="","",IF(ISNUMBER(B7692),TEXT(B7692,"YYYY-MM"),LEFT(B7692,7)))</f>
        <v/>
      </c>
    </row>
    <row r="7693">
      <c r="N7693" s="6">
        <f>IF(B7693="","",IF(ISNUMBER(B7693),TEXT(B7693,"YYYY-MM"),LEFT(B7693,7)))</f>
        <v/>
      </c>
    </row>
    <row r="7694">
      <c r="N7694" s="6">
        <f>IF(B7694="","",IF(ISNUMBER(B7694),TEXT(B7694,"YYYY-MM"),LEFT(B7694,7)))</f>
        <v/>
      </c>
    </row>
    <row r="7695">
      <c r="N7695" s="6">
        <f>IF(B7695="","",IF(ISNUMBER(B7695),TEXT(B7695,"YYYY-MM"),LEFT(B7695,7)))</f>
        <v/>
      </c>
    </row>
    <row r="7696">
      <c r="N7696" s="6">
        <f>IF(B7696="","",IF(ISNUMBER(B7696),TEXT(B7696,"YYYY-MM"),LEFT(B7696,7)))</f>
        <v/>
      </c>
    </row>
    <row r="7697">
      <c r="N7697" s="6">
        <f>IF(B7697="","",IF(ISNUMBER(B7697),TEXT(B7697,"YYYY-MM"),LEFT(B7697,7)))</f>
        <v/>
      </c>
    </row>
    <row r="7698">
      <c r="N7698" s="6">
        <f>IF(B7698="","",IF(ISNUMBER(B7698),TEXT(B7698,"YYYY-MM"),LEFT(B7698,7)))</f>
        <v/>
      </c>
    </row>
    <row r="7699">
      <c r="N7699" s="6">
        <f>IF(B7699="","",IF(ISNUMBER(B7699),TEXT(B7699,"YYYY-MM"),LEFT(B7699,7)))</f>
        <v/>
      </c>
    </row>
    <row r="7700">
      <c r="N7700" s="6">
        <f>IF(B7700="","",IF(ISNUMBER(B7700),TEXT(B7700,"YYYY-MM"),LEFT(B7700,7)))</f>
        <v/>
      </c>
    </row>
    <row r="7701">
      <c r="N7701" s="6">
        <f>IF(B7701="","",IF(ISNUMBER(B7701),TEXT(B7701,"YYYY-MM"),LEFT(B7701,7)))</f>
        <v/>
      </c>
    </row>
    <row r="7702">
      <c r="N7702" s="6">
        <f>IF(B7702="","",IF(ISNUMBER(B7702),TEXT(B7702,"YYYY-MM"),LEFT(B7702,7)))</f>
        <v/>
      </c>
    </row>
    <row r="7703">
      <c r="N7703" s="6">
        <f>IF(B7703="","",IF(ISNUMBER(B7703),TEXT(B7703,"YYYY-MM"),LEFT(B7703,7)))</f>
        <v/>
      </c>
    </row>
    <row r="7704">
      <c r="N7704" s="6">
        <f>IF(B7704="","",IF(ISNUMBER(B7704),TEXT(B7704,"YYYY-MM"),LEFT(B7704,7)))</f>
        <v/>
      </c>
    </row>
    <row r="7705">
      <c r="N7705" s="6">
        <f>IF(B7705="","",IF(ISNUMBER(B7705),TEXT(B7705,"YYYY-MM"),LEFT(B7705,7)))</f>
        <v/>
      </c>
    </row>
    <row r="7706">
      <c r="N7706" s="6">
        <f>IF(B7706="","",IF(ISNUMBER(B7706),TEXT(B7706,"YYYY-MM"),LEFT(B7706,7)))</f>
        <v/>
      </c>
    </row>
    <row r="7707">
      <c r="N7707" s="6">
        <f>IF(B7707="","",IF(ISNUMBER(B7707),TEXT(B7707,"YYYY-MM"),LEFT(B7707,7)))</f>
        <v/>
      </c>
    </row>
    <row r="7708">
      <c r="N7708" s="6">
        <f>IF(B7708="","",IF(ISNUMBER(B7708),TEXT(B7708,"YYYY-MM"),LEFT(B7708,7)))</f>
        <v/>
      </c>
    </row>
    <row r="7709">
      <c r="N7709" s="6">
        <f>IF(B7709="","",IF(ISNUMBER(B7709),TEXT(B7709,"YYYY-MM"),LEFT(B7709,7)))</f>
        <v/>
      </c>
    </row>
    <row r="7710">
      <c r="N7710" s="6">
        <f>IF(B7710="","",IF(ISNUMBER(B7710),TEXT(B7710,"YYYY-MM"),LEFT(B7710,7)))</f>
        <v/>
      </c>
    </row>
    <row r="7711">
      <c r="N7711" s="6">
        <f>IF(B7711="","",IF(ISNUMBER(B7711),TEXT(B7711,"YYYY-MM"),LEFT(B7711,7)))</f>
        <v/>
      </c>
    </row>
    <row r="7712">
      <c r="N7712" s="6">
        <f>IF(B7712="","",IF(ISNUMBER(B7712),TEXT(B7712,"YYYY-MM"),LEFT(B7712,7)))</f>
        <v/>
      </c>
    </row>
    <row r="7713">
      <c r="N7713" s="6">
        <f>IF(B7713="","",IF(ISNUMBER(B7713),TEXT(B7713,"YYYY-MM"),LEFT(B7713,7)))</f>
        <v/>
      </c>
    </row>
    <row r="7714">
      <c r="N7714" s="6">
        <f>IF(B7714="","",IF(ISNUMBER(B7714),TEXT(B7714,"YYYY-MM"),LEFT(B7714,7)))</f>
        <v/>
      </c>
    </row>
    <row r="7715">
      <c r="N7715" s="6">
        <f>IF(B7715="","",IF(ISNUMBER(B7715),TEXT(B7715,"YYYY-MM"),LEFT(B7715,7)))</f>
        <v/>
      </c>
    </row>
    <row r="7716">
      <c r="N7716" s="6">
        <f>IF(B7716="","",IF(ISNUMBER(B7716),TEXT(B7716,"YYYY-MM"),LEFT(B7716,7)))</f>
        <v/>
      </c>
    </row>
    <row r="7717">
      <c r="N7717" s="6">
        <f>IF(B7717="","",IF(ISNUMBER(B7717),TEXT(B7717,"YYYY-MM"),LEFT(B7717,7)))</f>
        <v/>
      </c>
    </row>
    <row r="7718">
      <c r="N7718" s="6">
        <f>IF(B7718="","",IF(ISNUMBER(B7718),TEXT(B7718,"YYYY-MM"),LEFT(B7718,7)))</f>
        <v/>
      </c>
    </row>
    <row r="7719">
      <c r="N7719" s="6">
        <f>IF(B7719="","",IF(ISNUMBER(B7719),TEXT(B7719,"YYYY-MM"),LEFT(B7719,7)))</f>
        <v/>
      </c>
    </row>
    <row r="7720">
      <c r="N7720" s="6">
        <f>IF(B7720="","",IF(ISNUMBER(B7720),TEXT(B7720,"YYYY-MM"),LEFT(B7720,7)))</f>
        <v/>
      </c>
    </row>
    <row r="7721">
      <c r="N7721" s="6">
        <f>IF(B7721="","",IF(ISNUMBER(B7721),TEXT(B7721,"YYYY-MM"),LEFT(B7721,7)))</f>
        <v/>
      </c>
    </row>
    <row r="7722">
      <c r="N7722" s="6">
        <f>IF(B7722="","",IF(ISNUMBER(B7722),TEXT(B7722,"YYYY-MM"),LEFT(B7722,7)))</f>
        <v/>
      </c>
    </row>
    <row r="7723">
      <c r="N7723" s="6">
        <f>IF(B7723="","",IF(ISNUMBER(B7723),TEXT(B7723,"YYYY-MM"),LEFT(B7723,7)))</f>
        <v/>
      </c>
    </row>
    <row r="7724">
      <c r="N7724" s="6">
        <f>IF(B7724="","",IF(ISNUMBER(B7724),TEXT(B7724,"YYYY-MM"),LEFT(B7724,7)))</f>
        <v/>
      </c>
    </row>
    <row r="7725">
      <c r="N7725" s="6">
        <f>IF(B7725="","",IF(ISNUMBER(B7725),TEXT(B7725,"YYYY-MM"),LEFT(B7725,7)))</f>
        <v/>
      </c>
    </row>
    <row r="7726">
      <c r="N7726" s="6">
        <f>IF(B7726="","",IF(ISNUMBER(B7726),TEXT(B7726,"YYYY-MM"),LEFT(B7726,7)))</f>
        <v/>
      </c>
    </row>
    <row r="7727">
      <c r="N7727" s="6">
        <f>IF(B7727="","",IF(ISNUMBER(B7727),TEXT(B7727,"YYYY-MM"),LEFT(B7727,7)))</f>
        <v/>
      </c>
    </row>
    <row r="7728">
      <c r="N7728" s="6">
        <f>IF(B7728="","",IF(ISNUMBER(B7728),TEXT(B7728,"YYYY-MM"),LEFT(B7728,7)))</f>
        <v/>
      </c>
    </row>
    <row r="7729">
      <c r="N7729" s="6">
        <f>IF(B7729="","",IF(ISNUMBER(B7729),TEXT(B7729,"YYYY-MM"),LEFT(B7729,7)))</f>
        <v/>
      </c>
    </row>
    <row r="7730">
      <c r="N7730" s="6">
        <f>IF(B7730="","",IF(ISNUMBER(B7730),TEXT(B7730,"YYYY-MM"),LEFT(B7730,7)))</f>
        <v/>
      </c>
    </row>
    <row r="7731">
      <c r="N7731" s="6">
        <f>IF(B7731="","",IF(ISNUMBER(B7731),TEXT(B7731,"YYYY-MM"),LEFT(B7731,7)))</f>
        <v/>
      </c>
    </row>
    <row r="7732">
      <c r="N7732" s="6">
        <f>IF(B7732="","",IF(ISNUMBER(B7732),TEXT(B7732,"YYYY-MM"),LEFT(B7732,7)))</f>
        <v/>
      </c>
    </row>
    <row r="7733">
      <c r="N7733" s="6">
        <f>IF(B7733="","",IF(ISNUMBER(B7733),TEXT(B7733,"YYYY-MM"),LEFT(B7733,7)))</f>
        <v/>
      </c>
    </row>
    <row r="7734">
      <c r="N7734" s="6">
        <f>IF(B7734="","",IF(ISNUMBER(B7734),TEXT(B7734,"YYYY-MM"),LEFT(B7734,7)))</f>
        <v/>
      </c>
    </row>
    <row r="7735">
      <c r="N7735" s="6">
        <f>IF(B7735="","",IF(ISNUMBER(B7735),TEXT(B7735,"YYYY-MM"),LEFT(B7735,7)))</f>
        <v/>
      </c>
    </row>
    <row r="7736">
      <c r="N7736" s="6">
        <f>IF(B7736="","",IF(ISNUMBER(B7736),TEXT(B7736,"YYYY-MM"),LEFT(B7736,7)))</f>
        <v/>
      </c>
    </row>
    <row r="7737">
      <c r="N7737" s="6">
        <f>IF(B7737="","",IF(ISNUMBER(B7737),TEXT(B7737,"YYYY-MM"),LEFT(B7737,7)))</f>
        <v/>
      </c>
    </row>
    <row r="7738">
      <c r="N7738" s="6">
        <f>IF(B7738="","",IF(ISNUMBER(B7738),TEXT(B7738,"YYYY-MM"),LEFT(B7738,7)))</f>
        <v/>
      </c>
    </row>
    <row r="7739">
      <c r="N7739" s="6">
        <f>IF(B7739="","",IF(ISNUMBER(B7739),TEXT(B7739,"YYYY-MM"),LEFT(B7739,7)))</f>
        <v/>
      </c>
    </row>
    <row r="7740">
      <c r="N7740" s="6">
        <f>IF(B7740="","",IF(ISNUMBER(B7740),TEXT(B7740,"YYYY-MM"),LEFT(B7740,7)))</f>
        <v/>
      </c>
    </row>
    <row r="7741">
      <c r="N7741" s="6">
        <f>IF(B7741="","",IF(ISNUMBER(B7741),TEXT(B7741,"YYYY-MM"),LEFT(B7741,7)))</f>
        <v/>
      </c>
    </row>
    <row r="7742">
      <c r="N7742" s="6">
        <f>IF(B7742="","",IF(ISNUMBER(B7742),TEXT(B7742,"YYYY-MM"),LEFT(B7742,7)))</f>
        <v/>
      </c>
    </row>
    <row r="7743">
      <c r="N7743" s="6">
        <f>IF(B7743="","",IF(ISNUMBER(B7743),TEXT(B7743,"YYYY-MM"),LEFT(B7743,7)))</f>
        <v/>
      </c>
    </row>
    <row r="7744">
      <c r="N7744" s="6">
        <f>IF(B7744="","",IF(ISNUMBER(B7744),TEXT(B7744,"YYYY-MM"),LEFT(B7744,7)))</f>
        <v/>
      </c>
    </row>
    <row r="7745">
      <c r="N7745" s="6">
        <f>IF(B7745="","",IF(ISNUMBER(B7745),TEXT(B7745,"YYYY-MM"),LEFT(B7745,7)))</f>
        <v/>
      </c>
    </row>
    <row r="7746">
      <c r="N7746" s="6">
        <f>IF(B7746="","",IF(ISNUMBER(B7746),TEXT(B7746,"YYYY-MM"),LEFT(B7746,7)))</f>
        <v/>
      </c>
    </row>
    <row r="7747">
      <c r="N7747" s="6">
        <f>IF(B7747="","",IF(ISNUMBER(B7747),TEXT(B7747,"YYYY-MM"),LEFT(B7747,7)))</f>
        <v/>
      </c>
    </row>
    <row r="7748">
      <c r="N7748" s="6">
        <f>IF(B7748="","",IF(ISNUMBER(B7748),TEXT(B7748,"YYYY-MM"),LEFT(B7748,7)))</f>
        <v/>
      </c>
    </row>
    <row r="7749">
      <c r="N7749" s="6">
        <f>IF(B7749="","",IF(ISNUMBER(B7749),TEXT(B7749,"YYYY-MM"),LEFT(B7749,7)))</f>
        <v/>
      </c>
    </row>
    <row r="7750">
      <c r="N7750" s="6">
        <f>IF(B7750="","",IF(ISNUMBER(B7750),TEXT(B7750,"YYYY-MM"),LEFT(B7750,7)))</f>
        <v/>
      </c>
    </row>
    <row r="7751">
      <c r="N7751" s="6">
        <f>IF(B7751="","",IF(ISNUMBER(B7751),TEXT(B7751,"YYYY-MM"),LEFT(B7751,7)))</f>
        <v/>
      </c>
    </row>
    <row r="7752">
      <c r="N7752" s="6">
        <f>IF(B7752="","",IF(ISNUMBER(B7752),TEXT(B7752,"YYYY-MM"),LEFT(B7752,7)))</f>
        <v/>
      </c>
    </row>
    <row r="7753">
      <c r="N7753" s="6">
        <f>IF(B7753="","",IF(ISNUMBER(B7753),TEXT(B7753,"YYYY-MM"),LEFT(B7753,7)))</f>
        <v/>
      </c>
    </row>
    <row r="7754">
      <c r="N7754" s="6">
        <f>IF(B7754="","",IF(ISNUMBER(B7754),TEXT(B7754,"YYYY-MM"),LEFT(B7754,7)))</f>
        <v/>
      </c>
    </row>
    <row r="7755">
      <c r="N7755" s="6">
        <f>IF(B7755="","",IF(ISNUMBER(B7755),TEXT(B7755,"YYYY-MM"),LEFT(B7755,7)))</f>
        <v/>
      </c>
    </row>
    <row r="7756">
      <c r="N7756" s="6">
        <f>IF(B7756="","",IF(ISNUMBER(B7756),TEXT(B7756,"YYYY-MM"),LEFT(B7756,7)))</f>
        <v/>
      </c>
    </row>
    <row r="7757">
      <c r="N7757" s="6">
        <f>IF(B7757="","",IF(ISNUMBER(B7757),TEXT(B7757,"YYYY-MM"),LEFT(B7757,7)))</f>
        <v/>
      </c>
    </row>
    <row r="7758">
      <c r="N7758" s="6">
        <f>IF(B7758="","",IF(ISNUMBER(B7758),TEXT(B7758,"YYYY-MM"),LEFT(B7758,7)))</f>
        <v/>
      </c>
    </row>
    <row r="7759">
      <c r="N7759" s="6">
        <f>IF(B7759="","",IF(ISNUMBER(B7759),TEXT(B7759,"YYYY-MM"),LEFT(B7759,7)))</f>
        <v/>
      </c>
    </row>
    <row r="7760">
      <c r="N7760" s="6">
        <f>IF(B7760="","",IF(ISNUMBER(B7760),TEXT(B7760,"YYYY-MM"),LEFT(B7760,7)))</f>
        <v/>
      </c>
    </row>
    <row r="7761">
      <c r="N7761" s="6">
        <f>IF(B7761="","",IF(ISNUMBER(B7761),TEXT(B7761,"YYYY-MM"),LEFT(B7761,7)))</f>
        <v/>
      </c>
    </row>
    <row r="7762">
      <c r="N7762" s="6">
        <f>IF(B7762="","",IF(ISNUMBER(B7762),TEXT(B7762,"YYYY-MM"),LEFT(B7762,7)))</f>
        <v/>
      </c>
    </row>
    <row r="7763">
      <c r="N7763" s="6">
        <f>IF(B7763="","",IF(ISNUMBER(B7763),TEXT(B7763,"YYYY-MM"),LEFT(B7763,7)))</f>
        <v/>
      </c>
    </row>
    <row r="7764">
      <c r="N7764" s="6">
        <f>IF(B7764="","",IF(ISNUMBER(B7764),TEXT(B7764,"YYYY-MM"),LEFT(B7764,7)))</f>
        <v/>
      </c>
    </row>
    <row r="7765">
      <c r="N7765" s="6">
        <f>IF(B7765="","",IF(ISNUMBER(B7765),TEXT(B7765,"YYYY-MM"),LEFT(B7765,7)))</f>
        <v/>
      </c>
    </row>
    <row r="7766">
      <c r="N7766" s="6">
        <f>IF(B7766="","",IF(ISNUMBER(B7766),TEXT(B7766,"YYYY-MM"),LEFT(B7766,7)))</f>
        <v/>
      </c>
    </row>
    <row r="7767">
      <c r="N7767" s="6">
        <f>IF(B7767="","",IF(ISNUMBER(B7767),TEXT(B7767,"YYYY-MM"),LEFT(B7767,7)))</f>
        <v/>
      </c>
    </row>
    <row r="7768">
      <c r="N7768" s="6">
        <f>IF(B7768="","",IF(ISNUMBER(B7768),TEXT(B7768,"YYYY-MM"),LEFT(B7768,7)))</f>
        <v/>
      </c>
    </row>
    <row r="7769">
      <c r="N7769" s="6">
        <f>IF(B7769="","",IF(ISNUMBER(B7769),TEXT(B7769,"YYYY-MM"),LEFT(B7769,7)))</f>
        <v/>
      </c>
    </row>
    <row r="7770">
      <c r="N7770" s="6">
        <f>IF(B7770="","",IF(ISNUMBER(B7770),TEXT(B7770,"YYYY-MM"),LEFT(B7770,7)))</f>
        <v/>
      </c>
    </row>
    <row r="7771">
      <c r="N7771" s="6">
        <f>IF(B7771="","",IF(ISNUMBER(B7771),TEXT(B7771,"YYYY-MM"),LEFT(B7771,7)))</f>
        <v/>
      </c>
    </row>
    <row r="7772">
      <c r="N7772" s="6">
        <f>IF(B7772="","",IF(ISNUMBER(B7772),TEXT(B7772,"YYYY-MM"),LEFT(B7772,7)))</f>
        <v/>
      </c>
    </row>
    <row r="7773">
      <c r="N7773" s="6">
        <f>IF(B7773="","",IF(ISNUMBER(B7773),TEXT(B7773,"YYYY-MM"),LEFT(B7773,7)))</f>
        <v/>
      </c>
    </row>
    <row r="7774">
      <c r="N7774" s="6">
        <f>IF(B7774="","",IF(ISNUMBER(B7774),TEXT(B7774,"YYYY-MM"),LEFT(B7774,7)))</f>
        <v/>
      </c>
    </row>
    <row r="7775">
      <c r="N7775" s="6">
        <f>IF(B7775="","",IF(ISNUMBER(B7775),TEXT(B7775,"YYYY-MM"),LEFT(B7775,7)))</f>
        <v/>
      </c>
    </row>
    <row r="7776">
      <c r="N7776" s="6">
        <f>IF(B7776="","",IF(ISNUMBER(B7776),TEXT(B7776,"YYYY-MM"),LEFT(B7776,7)))</f>
        <v/>
      </c>
    </row>
    <row r="7777">
      <c r="N7777" s="6">
        <f>IF(B7777="","",IF(ISNUMBER(B7777),TEXT(B7777,"YYYY-MM"),LEFT(B7777,7)))</f>
        <v/>
      </c>
    </row>
    <row r="7778">
      <c r="N7778" s="6">
        <f>IF(B7778="","",IF(ISNUMBER(B7778),TEXT(B7778,"YYYY-MM"),LEFT(B7778,7)))</f>
        <v/>
      </c>
    </row>
    <row r="7779">
      <c r="N7779" s="6">
        <f>IF(B7779="","",IF(ISNUMBER(B7779),TEXT(B7779,"YYYY-MM"),LEFT(B7779,7)))</f>
        <v/>
      </c>
    </row>
    <row r="7780">
      <c r="N7780" s="6">
        <f>IF(B7780="","",IF(ISNUMBER(B7780),TEXT(B7780,"YYYY-MM"),LEFT(B7780,7)))</f>
        <v/>
      </c>
    </row>
    <row r="7781">
      <c r="N7781" s="6">
        <f>IF(B7781="","",IF(ISNUMBER(B7781),TEXT(B7781,"YYYY-MM"),LEFT(B7781,7)))</f>
        <v/>
      </c>
    </row>
    <row r="7782">
      <c r="N7782" s="6">
        <f>IF(B7782="","",IF(ISNUMBER(B7782),TEXT(B7782,"YYYY-MM"),LEFT(B7782,7)))</f>
        <v/>
      </c>
    </row>
    <row r="7783">
      <c r="N7783" s="6">
        <f>IF(B7783="","",IF(ISNUMBER(B7783),TEXT(B7783,"YYYY-MM"),LEFT(B7783,7)))</f>
        <v/>
      </c>
    </row>
    <row r="7784">
      <c r="N7784" s="6">
        <f>IF(B7784="","",IF(ISNUMBER(B7784),TEXT(B7784,"YYYY-MM"),LEFT(B7784,7)))</f>
        <v/>
      </c>
    </row>
    <row r="7785">
      <c r="N7785" s="6">
        <f>IF(B7785="","",IF(ISNUMBER(B7785),TEXT(B7785,"YYYY-MM"),LEFT(B7785,7)))</f>
        <v/>
      </c>
    </row>
    <row r="7786">
      <c r="N7786" s="6">
        <f>IF(B7786="","",IF(ISNUMBER(B7786),TEXT(B7786,"YYYY-MM"),LEFT(B7786,7)))</f>
        <v/>
      </c>
    </row>
    <row r="7787">
      <c r="N7787" s="6">
        <f>IF(B7787="","",IF(ISNUMBER(B7787),TEXT(B7787,"YYYY-MM"),LEFT(B7787,7)))</f>
        <v/>
      </c>
    </row>
    <row r="7788">
      <c r="N7788" s="6">
        <f>IF(B7788="","",IF(ISNUMBER(B7788),TEXT(B7788,"YYYY-MM"),LEFT(B7788,7)))</f>
        <v/>
      </c>
    </row>
    <row r="7789">
      <c r="N7789" s="6">
        <f>IF(B7789="","",IF(ISNUMBER(B7789),TEXT(B7789,"YYYY-MM"),LEFT(B7789,7)))</f>
        <v/>
      </c>
    </row>
    <row r="7790">
      <c r="N7790" s="6">
        <f>IF(B7790="","",IF(ISNUMBER(B7790),TEXT(B7790,"YYYY-MM"),LEFT(B7790,7)))</f>
        <v/>
      </c>
    </row>
    <row r="7791">
      <c r="N7791" s="6">
        <f>IF(B7791="","",IF(ISNUMBER(B7791),TEXT(B7791,"YYYY-MM"),LEFT(B7791,7)))</f>
        <v/>
      </c>
    </row>
    <row r="7792">
      <c r="N7792" s="6">
        <f>IF(B7792="","",IF(ISNUMBER(B7792),TEXT(B7792,"YYYY-MM"),LEFT(B7792,7)))</f>
        <v/>
      </c>
    </row>
    <row r="7793">
      <c r="N7793" s="6">
        <f>IF(B7793="","",IF(ISNUMBER(B7793),TEXT(B7793,"YYYY-MM"),LEFT(B7793,7)))</f>
        <v/>
      </c>
    </row>
    <row r="7794">
      <c r="N7794" s="6">
        <f>IF(B7794="","",IF(ISNUMBER(B7794),TEXT(B7794,"YYYY-MM"),LEFT(B7794,7)))</f>
        <v/>
      </c>
    </row>
    <row r="7795">
      <c r="N7795" s="6">
        <f>IF(B7795="","",IF(ISNUMBER(B7795),TEXT(B7795,"YYYY-MM"),LEFT(B7795,7)))</f>
        <v/>
      </c>
    </row>
    <row r="7796">
      <c r="N7796" s="6">
        <f>IF(B7796="","",IF(ISNUMBER(B7796),TEXT(B7796,"YYYY-MM"),LEFT(B7796,7)))</f>
        <v/>
      </c>
    </row>
    <row r="7797">
      <c r="N7797" s="6">
        <f>IF(B7797="","",IF(ISNUMBER(B7797),TEXT(B7797,"YYYY-MM"),LEFT(B7797,7)))</f>
        <v/>
      </c>
    </row>
    <row r="7798">
      <c r="N7798" s="6">
        <f>IF(B7798="","",IF(ISNUMBER(B7798),TEXT(B7798,"YYYY-MM"),LEFT(B7798,7)))</f>
        <v/>
      </c>
    </row>
    <row r="7799">
      <c r="N7799" s="6">
        <f>IF(B7799="","",IF(ISNUMBER(B7799),TEXT(B7799,"YYYY-MM"),LEFT(B7799,7)))</f>
        <v/>
      </c>
    </row>
    <row r="7800">
      <c r="N7800" s="6">
        <f>IF(B7800="","",IF(ISNUMBER(B7800),TEXT(B7800,"YYYY-MM"),LEFT(B7800,7)))</f>
        <v/>
      </c>
    </row>
    <row r="7801">
      <c r="N7801" s="6">
        <f>IF(B7801="","",IF(ISNUMBER(B7801),TEXT(B7801,"YYYY-MM"),LEFT(B7801,7)))</f>
        <v/>
      </c>
    </row>
    <row r="7802">
      <c r="N7802" s="6">
        <f>IF(B7802="","",IF(ISNUMBER(B7802),TEXT(B7802,"YYYY-MM"),LEFT(B7802,7)))</f>
        <v/>
      </c>
    </row>
    <row r="7803">
      <c r="N7803" s="6">
        <f>IF(B7803="","",IF(ISNUMBER(B7803),TEXT(B7803,"YYYY-MM"),LEFT(B7803,7)))</f>
        <v/>
      </c>
    </row>
    <row r="7804">
      <c r="N7804" s="6">
        <f>IF(B7804="","",IF(ISNUMBER(B7804),TEXT(B7804,"YYYY-MM"),LEFT(B7804,7)))</f>
        <v/>
      </c>
    </row>
    <row r="7805">
      <c r="N7805" s="6">
        <f>IF(B7805="","",IF(ISNUMBER(B7805),TEXT(B7805,"YYYY-MM"),LEFT(B7805,7)))</f>
        <v/>
      </c>
    </row>
    <row r="7806">
      <c r="N7806" s="6">
        <f>IF(B7806="","",IF(ISNUMBER(B7806),TEXT(B7806,"YYYY-MM"),LEFT(B7806,7)))</f>
        <v/>
      </c>
    </row>
    <row r="7807">
      <c r="N7807" s="6">
        <f>IF(B7807="","",IF(ISNUMBER(B7807),TEXT(B7807,"YYYY-MM"),LEFT(B7807,7)))</f>
        <v/>
      </c>
    </row>
    <row r="7808">
      <c r="N7808" s="6">
        <f>IF(B7808="","",IF(ISNUMBER(B7808),TEXT(B7808,"YYYY-MM"),LEFT(B7808,7)))</f>
        <v/>
      </c>
    </row>
    <row r="7809">
      <c r="N7809" s="6">
        <f>IF(B7809="","",IF(ISNUMBER(B7809),TEXT(B7809,"YYYY-MM"),LEFT(B7809,7)))</f>
        <v/>
      </c>
    </row>
    <row r="7810">
      <c r="N7810" s="6">
        <f>IF(B7810="","",IF(ISNUMBER(B7810),TEXT(B7810,"YYYY-MM"),LEFT(B7810,7)))</f>
        <v/>
      </c>
    </row>
    <row r="7811">
      <c r="N7811" s="6">
        <f>IF(B7811="","",IF(ISNUMBER(B7811),TEXT(B7811,"YYYY-MM"),LEFT(B7811,7)))</f>
        <v/>
      </c>
    </row>
    <row r="7812">
      <c r="N7812" s="6">
        <f>IF(B7812="","",IF(ISNUMBER(B7812),TEXT(B7812,"YYYY-MM"),LEFT(B7812,7)))</f>
        <v/>
      </c>
    </row>
    <row r="7813">
      <c r="N7813" s="6">
        <f>IF(B7813="","",IF(ISNUMBER(B7813),TEXT(B7813,"YYYY-MM"),LEFT(B7813,7)))</f>
        <v/>
      </c>
    </row>
    <row r="7814">
      <c r="N7814" s="6">
        <f>IF(B7814="","",IF(ISNUMBER(B7814),TEXT(B7814,"YYYY-MM"),LEFT(B7814,7)))</f>
        <v/>
      </c>
    </row>
    <row r="7815">
      <c r="N7815" s="6">
        <f>IF(B7815="","",IF(ISNUMBER(B7815),TEXT(B7815,"YYYY-MM"),LEFT(B7815,7)))</f>
        <v/>
      </c>
    </row>
    <row r="7816">
      <c r="N7816" s="6">
        <f>IF(B7816="","",IF(ISNUMBER(B7816),TEXT(B7816,"YYYY-MM"),LEFT(B7816,7)))</f>
        <v/>
      </c>
    </row>
    <row r="7817">
      <c r="N7817" s="6">
        <f>IF(B7817="","",IF(ISNUMBER(B7817),TEXT(B7817,"YYYY-MM"),LEFT(B7817,7)))</f>
        <v/>
      </c>
    </row>
    <row r="7818">
      <c r="N7818" s="6">
        <f>IF(B7818="","",IF(ISNUMBER(B7818),TEXT(B7818,"YYYY-MM"),LEFT(B7818,7)))</f>
        <v/>
      </c>
    </row>
    <row r="7819">
      <c r="N7819" s="6">
        <f>IF(B7819="","",IF(ISNUMBER(B7819),TEXT(B7819,"YYYY-MM"),LEFT(B7819,7)))</f>
        <v/>
      </c>
    </row>
    <row r="7820">
      <c r="N7820" s="6">
        <f>IF(B7820="","",IF(ISNUMBER(B7820),TEXT(B7820,"YYYY-MM"),LEFT(B7820,7)))</f>
        <v/>
      </c>
    </row>
    <row r="7821">
      <c r="N7821" s="6">
        <f>IF(B7821="","",IF(ISNUMBER(B7821),TEXT(B7821,"YYYY-MM"),LEFT(B7821,7)))</f>
        <v/>
      </c>
    </row>
    <row r="7822">
      <c r="N7822" s="6">
        <f>IF(B7822="","",IF(ISNUMBER(B7822),TEXT(B7822,"YYYY-MM"),LEFT(B7822,7)))</f>
        <v/>
      </c>
    </row>
    <row r="7823">
      <c r="N7823" s="6">
        <f>IF(B7823="","",IF(ISNUMBER(B7823),TEXT(B7823,"YYYY-MM"),LEFT(B7823,7)))</f>
        <v/>
      </c>
    </row>
    <row r="7824">
      <c r="N7824" s="6">
        <f>IF(B7824="","",IF(ISNUMBER(B7824),TEXT(B7824,"YYYY-MM"),LEFT(B7824,7)))</f>
        <v/>
      </c>
    </row>
    <row r="7825">
      <c r="N7825" s="6">
        <f>IF(B7825="","",IF(ISNUMBER(B7825),TEXT(B7825,"YYYY-MM"),LEFT(B7825,7)))</f>
        <v/>
      </c>
    </row>
    <row r="7826">
      <c r="N7826" s="6">
        <f>IF(B7826="","",IF(ISNUMBER(B7826),TEXT(B7826,"YYYY-MM"),LEFT(B7826,7)))</f>
        <v/>
      </c>
    </row>
    <row r="7827">
      <c r="N7827" s="6">
        <f>IF(B7827="","",IF(ISNUMBER(B7827),TEXT(B7827,"YYYY-MM"),LEFT(B7827,7)))</f>
        <v/>
      </c>
    </row>
    <row r="7828">
      <c r="N7828" s="6">
        <f>IF(B7828="","",IF(ISNUMBER(B7828),TEXT(B7828,"YYYY-MM"),LEFT(B7828,7)))</f>
        <v/>
      </c>
    </row>
    <row r="7829">
      <c r="N7829" s="6">
        <f>IF(B7829="","",IF(ISNUMBER(B7829),TEXT(B7829,"YYYY-MM"),LEFT(B7829,7)))</f>
        <v/>
      </c>
    </row>
    <row r="7830">
      <c r="N7830" s="6">
        <f>IF(B7830="","",IF(ISNUMBER(B7830),TEXT(B7830,"YYYY-MM"),LEFT(B7830,7)))</f>
        <v/>
      </c>
    </row>
    <row r="7831">
      <c r="N7831" s="6">
        <f>IF(B7831="","",IF(ISNUMBER(B7831),TEXT(B7831,"YYYY-MM"),LEFT(B7831,7)))</f>
        <v/>
      </c>
    </row>
    <row r="7832">
      <c r="N7832" s="6">
        <f>IF(B7832="","",IF(ISNUMBER(B7832),TEXT(B7832,"YYYY-MM"),LEFT(B7832,7)))</f>
        <v/>
      </c>
    </row>
    <row r="7833">
      <c r="N7833" s="6">
        <f>IF(B7833="","",IF(ISNUMBER(B7833),TEXT(B7833,"YYYY-MM"),LEFT(B7833,7)))</f>
        <v/>
      </c>
    </row>
    <row r="7834">
      <c r="N7834" s="6">
        <f>IF(B7834="","",IF(ISNUMBER(B7834),TEXT(B7834,"YYYY-MM"),LEFT(B7834,7)))</f>
        <v/>
      </c>
    </row>
    <row r="7835">
      <c r="N7835" s="6">
        <f>IF(B7835="","",IF(ISNUMBER(B7835),TEXT(B7835,"YYYY-MM"),LEFT(B7835,7)))</f>
        <v/>
      </c>
    </row>
    <row r="7836">
      <c r="N7836" s="6">
        <f>IF(B7836="","",IF(ISNUMBER(B7836),TEXT(B7836,"YYYY-MM"),LEFT(B7836,7)))</f>
        <v/>
      </c>
    </row>
    <row r="7837">
      <c r="N7837" s="6">
        <f>IF(B7837="","",IF(ISNUMBER(B7837),TEXT(B7837,"YYYY-MM"),LEFT(B7837,7)))</f>
        <v/>
      </c>
    </row>
    <row r="7838">
      <c r="N7838" s="6">
        <f>IF(B7838="","",IF(ISNUMBER(B7838),TEXT(B7838,"YYYY-MM"),LEFT(B7838,7)))</f>
        <v/>
      </c>
    </row>
    <row r="7839">
      <c r="N7839" s="6">
        <f>IF(B7839="","",IF(ISNUMBER(B7839),TEXT(B7839,"YYYY-MM"),LEFT(B7839,7)))</f>
        <v/>
      </c>
    </row>
    <row r="7840">
      <c r="N7840" s="6">
        <f>IF(B7840="","",IF(ISNUMBER(B7840),TEXT(B7840,"YYYY-MM"),LEFT(B7840,7)))</f>
        <v/>
      </c>
    </row>
    <row r="7841">
      <c r="N7841" s="6">
        <f>IF(B7841="","",IF(ISNUMBER(B7841),TEXT(B7841,"YYYY-MM"),LEFT(B7841,7)))</f>
        <v/>
      </c>
    </row>
    <row r="7842">
      <c r="N7842" s="6">
        <f>IF(B7842="","",IF(ISNUMBER(B7842),TEXT(B7842,"YYYY-MM"),LEFT(B7842,7)))</f>
        <v/>
      </c>
    </row>
    <row r="7843">
      <c r="N7843" s="6">
        <f>IF(B7843="","",IF(ISNUMBER(B7843),TEXT(B7843,"YYYY-MM"),LEFT(B7843,7)))</f>
        <v/>
      </c>
    </row>
    <row r="7844">
      <c r="N7844" s="6">
        <f>IF(B7844="","",IF(ISNUMBER(B7844),TEXT(B7844,"YYYY-MM"),LEFT(B7844,7)))</f>
        <v/>
      </c>
    </row>
    <row r="7845">
      <c r="N7845" s="6">
        <f>IF(B7845="","",IF(ISNUMBER(B7845),TEXT(B7845,"YYYY-MM"),LEFT(B7845,7)))</f>
        <v/>
      </c>
    </row>
    <row r="7846">
      <c r="N7846" s="6">
        <f>IF(B7846="","",IF(ISNUMBER(B7846),TEXT(B7846,"YYYY-MM"),LEFT(B7846,7)))</f>
        <v/>
      </c>
    </row>
    <row r="7847">
      <c r="N7847" s="6">
        <f>IF(B7847="","",IF(ISNUMBER(B7847),TEXT(B7847,"YYYY-MM"),LEFT(B7847,7)))</f>
        <v/>
      </c>
    </row>
    <row r="7848">
      <c r="N7848" s="6">
        <f>IF(B7848="","",IF(ISNUMBER(B7848),TEXT(B7848,"YYYY-MM"),LEFT(B7848,7)))</f>
        <v/>
      </c>
    </row>
    <row r="7849">
      <c r="N7849" s="6">
        <f>IF(B7849="","",IF(ISNUMBER(B7849),TEXT(B7849,"YYYY-MM"),LEFT(B7849,7)))</f>
        <v/>
      </c>
    </row>
    <row r="7850">
      <c r="N7850" s="6">
        <f>IF(B7850="","",IF(ISNUMBER(B7850),TEXT(B7850,"YYYY-MM"),LEFT(B7850,7)))</f>
        <v/>
      </c>
    </row>
    <row r="7851">
      <c r="N7851" s="6">
        <f>IF(B7851="","",IF(ISNUMBER(B7851),TEXT(B7851,"YYYY-MM"),LEFT(B7851,7)))</f>
        <v/>
      </c>
    </row>
    <row r="7852">
      <c r="N7852" s="6">
        <f>IF(B7852="","",IF(ISNUMBER(B7852),TEXT(B7852,"YYYY-MM"),LEFT(B7852,7)))</f>
        <v/>
      </c>
    </row>
    <row r="7853">
      <c r="N7853" s="6">
        <f>IF(B7853="","",IF(ISNUMBER(B7853),TEXT(B7853,"YYYY-MM"),LEFT(B7853,7)))</f>
        <v/>
      </c>
    </row>
    <row r="7854">
      <c r="N7854" s="6">
        <f>IF(B7854="","",IF(ISNUMBER(B7854),TEXT(B7854,"YYYY-MM"),LEFT(B7854,7)))</f>
        <v/>
      </c>
    </row>
    <row r="7855">
      <c r="N7855" s="6">
        <f>IF(B7855="","",IF(ISNUMBER(B7855),TEXT(B7855,"YYYY-MM"),LEFT(B7855,7)))</f>
        <v/>
      </c>
    </row>
    <row r="7856">
      <c r="N7856" s="6">
        <f>IF(B7856="","",IF(ISNUMBER(B7856),TEXT(B7856,"YYYY-MM"),LEFT(B7856,7)))</f>
        <v/>
      </c>
    </row>
    <row r="7857">
      <c r="N7857" s="6">
        <f>IF(B7857="","",IF(ISNUMBER(B7857),TEXT(B7857,"YYYY-MM"),LEFT(B7857,7)))</f>
        <v/>
      </c>
    </row>
    <row r="7858">
      <c r="N7858" s="6">
        <f>IF(B7858="","",IF(ISNUMBER(B7858),TEXT(B7858,"YYYY-MM"),LEFT(B7858,7)))</f>
        <v/>
      </c>
    </row>
    <row r="7859">
      <c r="N7859" s="6">
        <f>IF(B7859="","",IF(ISNUMBER(B7859),TEXT(B7859,"YYYY-MM"),LEFT(B7859,7)))</f>
        <v/>
      </c>
    </row>
    <row r="7860">
      <c r="N7860" s="6">
        <f>IF(B7860="","",IF(ISNUMBER(B7860),TEXT(B7860,"YYYY-MM"),LEFT(B7860,7)))</f>
        <v/>
      </c>
    </row>
    <row r="7861">
      <c r="N7861" s="6">
        <f>IF(B7861="","",IF(ISNUMBER(B7861),TEXT(B7861,"YYYY-MM"),LEFT(B7861,7)))</f>
        <v/>
      </c>
    </row>
    <row r="7862">
      <c r="N7862" s="6">
        <f>IF(B7862="","",IF(ISNUMBER(B7862),TEXT(B7862,"YYYY-MM"),LEFT(B7862,7)))</f>
        <v/>
      </c>
    </row>
    <row r="7863">
      <c r="N7863" s="6">
        <f>IF(B7863="","",IF(ISNUMBER(B7863),TEXT(B7863,"YYYY-MM"),LEFT(B7863,7)))</f>
        <v/>
      </c>
    </row>
    <row r="7864">
      <c r="N7864" s="6">
        <f>IF(B7864="","",IF(ISNUMBER(B7864),TEXT(B7864,"YYYY-MM"),LEFT(B7864,7)))</f>
        <v/>
      </c>
    </row>
    <row r="7865">
      <c r="N7865" s="6">
        <f>IF(B7865="","",IF(ISNUMBER(B7865),TEXT(B7865,"YYYY-MM"),LEFT(B7865,7)))</f>
        <v/>
      </c>
    </row>
    <row r="7866">
      <c r="N7866" s="6">
        <f>IF(B7866="","",IF(ISNUMBER(B7866),TEXT(B7866,"YYYY-MM"),LEFT(B7866,7)))</f>
        <v/>
      </c>
    </row>
    <row r="7867">
      <c r="N7867" s="6">
        <f>IF(B7867="","",IF(ISNUMBER(B7867),TEXT(B7867,"YYYY-MM"),LEFT(B7867,7)))</f>
        <v/>
      </c>
    </row>
    <row r="7868">
      <c r="N7868" s="6">
        <f>IF(B7868="","",IF(ISNUMBER(B7868),TEXT(B7868,"YYYY-MM"),LEFT(B7868,7)))</f>
        <v/>
      </c>
    </row>
    <row r="7869">
      <c r="N7869" s="6">
        <f>IF(B7869="","",IF(ISNUMBER(B7869),TEXT(B7869,"YYYY-MM"),LEFT(B7869,7)))</f>
        <v/>
      </c>
    </row>
    <row r="7870">
      <c r="N7870" s="6">
        <f>IF(B7870="","",IF(ISNUMBER(B7870),TEXT(B7870,"YYYY-MM"),LEFT(B7870,7)))</f>
        <v/>
      </c>
    </row>
    <row r="7871">
      <c r="N7871" s="6">
        <f>IF(B7871="","",IF(ISNUMBER(B7871),TEXT(B7871,"YYYY-MM"),LEFT(B7871,7)))</f>
        <v/>
      </c>
    </row>
    <row r="7872">
      <c r="N7872" s="6">
        <f>IF(B7872="","",IF(ISNUMBER(B7872),TEXT(B7872,"YYYY-MM"),LEFT(B7872,7)))</f>
        <v/>
      </c>
    </row>
    <row r="7873">
      <c r="N7873" s="6">
        <f>IF(B7873="","",IF(ISNUMBER(B7873),TEXT(B7873,"YYYY-MM"),LEFT(B7873,7)))</f>
        <v/>
      </c>
    </row>
    <row r="7874">
      <c r="N7874" s="6">
        <f>IF(B7874="","",IF(ISNUMBER(B7874),TEXT(B7874,"YYYY-MM"),LEFT(B7874,7)))</f>
        <v/>
      </c>
    </row>
    <row r="7875">
      <c r="N7875" s="6">
        <f>IF(B7875="","",IF(ISNUMBER(B7875),TEXT(B7875,"YYYY-MM"),LEFT(B7875,7)))</f>
        <v/>
      </c>
    </row>
    <row r="7876">
      <c r="N7876" s="6">
        <f>IF(B7876="","",IF(ISNUMBER(B7876),TEXT(B7876,"YYYY-MM"),LEFT(B7876,7)))</f>
        <v/>
      </c>
    </row>
    <row r="7877">
      <c r="N7877" s="6">
        <f>IF(B7877="","",IF(ISNUMBER(B7877),TEXT(B7877,"YYYY-MM"),LEFT(B7877,7)))</f>
        <v/>
      </c>
    </row>
    <row r="7878">
      <c r="N7878" s="6">
        <f>IF(B7878="","",IF(ISNUMBER(B7878),TEXT(B7878,"YYYY-MM"),LEFT(B7878,7)))</f>
        <v/>
      </c>
    </row>
    <row r="7879">
      <c r="N7879" s="6">
        <f>IF(B7879="","",IF(ISNUMBER(B7879),TEXT(B7879,"YYYY-MM"),LEFT(B7879,7)))</f>
        <v/>
      </c>
    </row>
    <row r="7880">
      <c r="N7880" s="6">
        <f>IF(B7880="","",IF(ISNUMBER(B7880),TEXT(B7880,"YYYY-MM"),LEFT(B7880,7)))</f>
        <v/>
      </c>
    </row>
    <row r="7881">
      <c r="N7881" s="6">
        <f>IF(B7881="","",IF(ISNUMBER(B7881),TEXT(B7881,"YYYY-MM"),LEFT(B7881,7)))</f>
        <v/>
      </c>
    </row>
    <row r="7882">
      <c r="N7882" s="6">
        <f>IF(B7882="","",IF(ISNUMBER(B7882),TEXT(B7882,"YYYY-MM"),LEFT(B7882,7)))</f>
        <v/>
      </c>
    </row>
    <row r="7883">
      <c r="N7883" s="6">
        <f>IF(B7883="","",IF(ISNUMBER(B7883),TEXT(B7883,"YYYY-MM"),LEFT(B7883,7)))</f>
        <v/>
      </c>
    </row>
    <row r="7884">
      <c r="N7884" s="6">
        <f>IF(B7884="","",IF(ISNUMBER(B7884),TEXT(B7884,"YYYY-MM"),LEFT(B7884,7)))</f>
        <v/>
      </c>
    </row>
    <row r="7885">
      <c r="N7885" s="6">
        <f>IF(B7885="","",IF(ISNUMBER(B7885),TEXT(B7885,"YYYY-MM"),LEFT(B7885,7)))</f>
        <v/>
      </c>
    </row>
    <row r="7886">
      <c r="N7886" s="6">
        <f>IF(B7886="","",IF(ISNUMBER(B7886),TEXT(B7886,"YYYY-MM"),LEFT(B7886,7)))</f>
        <v/>
      </c>
    </row>
    <row r="7887">
      <c r="N7887" s="6">
        <f>IF(B7887="","",IF(ISNUMBER(B7887),TEXT(B7887,"YYYY-MM"),LEFT(B7887,7)))</f>
        <v/>
      </c>
    </row>
    <row r="7888">
      <c r="N7888" s="6">
        <f>IF(B7888="","",IF(ISNUMBER(B7888),TEXT(B7888,"YYYY-MM"),LEFT(B7888,7)))</f>
        <v/>
      </c>
    </row>
    <row r="7889">
      <c r="N7889" s="6">
        <f>IF(B7889="","",IF(ISNUMBER(B7889),TEXT(B7889,"YYYY-MM"),LEFT(B7889,7)))</f>
        <v/>
      </c>
    </row>
    <row r="7890">
      <c r="N7890" s="6">
        <f>IF(B7890="","",IF(ISNUMBER(B7890),TEXT(B7890,"YYYY-MM"),LEFT(B7890,7)))</f>
        <v/>
      </c>
    </row>
    <row r="7891">
      <c r="N7891" s="6">
        <f>IF(B7891="","",IF(ISNUMBER(B7891),TEXT(B7891,"YYYY-MM"),LEFT(B7891,7)))</f>
        <v/>
      </c>
    </row>
    <row r="7892">
      <c r="N7892" s="6">
        <f>IF(B7892="","",IF(ISNUMBER(B7892),TEXT(B7892,"YYYY-MM"),LEFT(B7892,7)))</f>
        <v/>
      </c>
    </row>
    <row r="7893">
      <c r="N7893" s="6">
        <f>IF(B7893="","",IF(ISNUMBER(B7893),TEXT(B7893,"YYYY-MM"),LEFT(B7893,7)))</f>
        <v/>
      </c>
    </row>
    <row r="7894">
      <c r="N7894" s="6">
        <f>IF(B7894="","",IF(ISNUMBER(B7894),TEXT(B7894,"YYYY-MM"),LEFT(B7894,7)))</f>
        <v/>
      </c>
    </row>
    <row r="7895">
      <c r="N7895" s="6">
        <f>IF(B7895="","",IF(ISNUMBER(B7895),TEXT(B7895,"YYYY-MM"),LEFT(B7895,7)))</f>
        <v/>
      </c>
    </row>
    <row r="7896">
      <c r="N7896" s="6">
        <f>IF(B7896="","",IF(ISNUMBER(B7896),TEXT(B7896,"YYYY-MM"),LEFT(B7896,7)))</f>
        <v/>
      </c>
    </row>
    <row r="7897">
      <c r="N7897" s="6">
        <f>IF(B7897="","",IF(ISNUMBER(B7897),TEXT(B7897,"YYYY-MM"),LEFT(B7897,7)))</f>
        <v/>
      </c>
    </row>
    <row r="7898">
      <c r="N7898" s="6">
        <f>IF(B7898="","",IF(ISNUMBER(B7898),TEXT(B7898,"YYYY-MM"),LEFT(B7898,7)))</f>
        <v/>
      </c>
    </row>
    <row r="7899">
      <c r="N7899" s="6">
        <f>IF(B7899="","",IF(ISNUMBER(B7899),TEXT(B7899,"YYYY-MM"),LEFT(B7899,7)))</f>
        <v/>
      </c>
    </row>
    <row r="7900">
      <c r="N7900" s="6">
        <f>IF(B7900="","",IF(ISNUMBER(B7900),TEXT(B7900,"YYYY-MM"),LEFT(B7900,7)))</f>
        <v/>
      </c>
    </row>
    <row r="7901">
      <c r="N7901" s="6">
        <f>IF(B7901="","",IF(ISNUMBER(B7901),TEXT(B7901,"YYYY-MM"),LEFT(B7901,7)))</f>
        <v/>
      </c>
    </row>
    <row r="7902">
      <c r="N7902" s="6">
        <f>IF(B7902="","",IF(ISNUMBER(B7902),TEXT(B7902,"YYYY-MM"),LEFT(B7902,7)))</f>
        <v/>
      </c>
    </row>
    <row r="7903">
      <c r="N7903" s="6">
        <f>IF(B7903="","",IF(ISNUMBER(B7903),TEXT(B7903,"YYYY-MM"),LEFT(B7903,7)))</f>
        <v/>
      </c>
    </row>
    <row r="7904">
      <c r="N7904" s="6">
        <f>IF(B7904="","",IF(ISNUMBER(B7904),TEXT(B7904,"YYYY-MM"),LEFT(B7904,7)))</f>
        <v/>
      </c>
    </row>
    <row r="7905">
      <c r="N7905" s="6">
        <f>IF(B7905="","",IF(ISNUMBER(B7905),TEXT(B7905,"YYYY-MM"),LEFT(B7905,7)))</f>
        <v/>
      </c>
    </row>
    <row r="7906">
      <c r="N7906" s="6">
        <f>IF(B7906="","",IF(ISNUMBER(B7906),TEXT(B7906,"YYYY-MM"),LEFT(B7906,7)))</f>
        <v/>
      </c>
    </row>
    <row r="7907">
      <c r="N7907" s="6">
        <f>IF(B7907="","",IF(ISNUMBER(B7907),TEXT(B7907,"YYYY-MM"),LEFT(B7907,7)))</f>
        <v/>
      </c>
    </row>
    <row r="7908">
      <c r="N7908" s="6">
        <f>IF(B7908="","",IF(ISNUMBER(B7908),TEXT(B7908,"YYYY-MM"),LEFT(B7908,7)))</f>
        <v/>
      </c>
    </row>
    <row r="7909">
      <c r="N7909" s="6">
        <f>IF(B7909="","",IF(ISNUMBER(B7909),TEXT(B7909,"YYYY-MM"),LEFT(B7909,7)))</f>
        <v/>
      </c>
    </row>
    <row r="7910">
      <c r="N7910" s="6">
        <f>IF(B7910="","",IF(ISNUMBER(B7910),TEXT(B7910,"YYYY-MM"),LEFT(B7910,7)))</f>
        <v/>
      </c>
    </row>
    <row r="7911">
      <c r="N7911" s="6">
        <f>IF(B7911="","",IF(ISNUMBER(B7911),TEXT(B7911,"YYYY-MM"),LEFT(B7911,7)))</f>
        <v/>
      </c>
    </row>
    <row r="7912">
      <c r="N7912" s="6">
        <f>IF(B7912="","",IF(ISNUMBER(B7912),TEXT(B7912,"YYYY-MM"),LEFT(B7912,7)))</f>
        <v/>
      </c>
    </row>
    <row r="7913">
      <c r="N7913" s="6">
        <f>IF(B7913="","",IF(ISNUMBER(B7913),TEXT(B7913,"YYYY-MM"),LEFT(B7913,7)))</f>
        <v/>
      </c>
    </row>
    <row r="7914">
      <c r="N7914" s="6">
        <f>IF(B7914="","",IF(ISNUMBER(B7914),TEXT(B7914,"YYYY-MM"),LEFT(B7914,7)))</f>
        <v/>
      </c>
    </row>
    <row r="7915">
      <c r="N7915" s="6">
        <f>IF(B7915="","",IF(ISNUMBER(B7915),TEXT(B7915,"YYYY-MM"),LEFT(B7915,7)))</f>
        <v/>
      </c>
    </row>
    <row r="7916">
      <c r="N7916" s="6">
        <f>IF(B7916="","",IF(ISNUMBER(B7916),TEXT(B7916,"YYYY-MM"),LEFT(B7916,7)))</f>
        <v/>
      </c>
    </row>
    <row r="7917">
      <c r="N7917" s="6">
        <f>IF(B7917="","",IF(ISNUMBER(B7917),TEXT(B7917,"YYYY-MM"),LEFT(B7917,7)))</f>
        <v/>
      </c>
    </row>
    <row r="7918">
      <c r="N7918" s="6">
        <f>IF(B7918="","",IF(ISNUMBER(B7918),TEXT(B7918,"YYYY-MM"),LEFT(B7918,7)))</f>
        <v/>
      </c>
    </row>
    <row r="7919">
      <c r="N7919" s="6">
        <f>IF(B7919="","",IF(ISNUMBER(B7919),TEXT(B7919,"YYYY-MM"),LEFT(B7919,7)))</f>
        <v/>
      </c>
    </row>
    <row r="7920">
      <c r="N7920" s="6">
        <f>IF(B7920="","",IF(ISNUMBER(B7920),TEXT(B7920,"YYYY-MM"),LEFT(B7920,7)))</f>
        <v/>
      </c>
    </row>
    <row r="7921">
      <c r="N7921" s="6">
        <f>IF(B7921="","",IF(ISNUMBER(B7921),TEXT(B7921,"YYYY-MM"),LEFT(B7921,7)))</f>
        <v/>
      </c>
    </row>
    <row r="7922">
      <c r="N7922" s="6">
        <f>IF(B7922="","",IF(ISNUMBER(B7922),TEXT(B7922,"YYYY-MM"),LEFT(B7922,7)))</f>
        <v/>
      </c>
    </row>
    <row r="7923">
      <c r="N7923" s="6">
        <f>IF(B7923="","",IF(ISNUMBER(B7923),TEXT(B7923,"YYYY-MM"),LEFT(B7923,7)))</f>
        <v/>
      </c>
    </row>
    <row r="7924">
      <c r="N7924" s="6">
        <f>IF(B7924="","",IF(ISNUMBER(B7924),TEXT(B7924,"YYYY-MM"),LEFT(B7924,7)))</f>
        <v/>
      </c>
    </row>
    <row r="7925">
      <c r="N7925" s="6">
        <f>IF(B7925="","",IF(ISNUMBER(B7925),TEXT(B7925,"YYYY-MM"),LEFT(B7925,7)))</f>
        <v/>
      </c>
    </row>
    <row r="7926">
      <c r="N7926" s="6">
        <f>IF(B7926="","",IF(ISNUMBER(B7926),TEXT(B7926,"YYYY-MM"),LEFT(B7926,7)))</f>
        <v/>
      </c>
    </row>
    <row r="7927">
      <c r="N7927" s="6">
        <f>IF(B7927="","",IF(ISNUMBER(B7927),TEXT(B7927,"YYYY-MM"),LEFT(B7927,7)))</f>
        <v/>
      </c>
    </row>
    <row r="7928">
      <c r="N7928" s="6">
        <f>IF(B7928="","",IF(ISNUMBER(B7928),TEXT(B7928,"YYYY-MM"),LEFT(B7928,7)))</f>
        <v/>
      </c>
    </row>
    <row r="7929">
      <c r="N7929" s="6">
        <f>IF(B7929="","",IF(ISNUMBER(B7929),TEXT(B7929,"YYYY-MM"),LEFT(B7929,7)))</f>
        <v/>
      </c>
    </row>
    <row r="7930">
      <c r="N7930" s="6">
        <f>IF(B7930="","",IF(ISNUMBER(B7930),TEXT(B7930,"YYYY-MM"),LEFT(B7930,7)))</f>
        <v/>
      </c>
    </row>
    <row r="7931">
      <c r="N7931" s="6">
        <f>IF(B7931="","",IF(ISNUMBER(B7931),TEXT(B7931,"YYYY-MM"),LEFT(B7931,7)))</f>
        <v/>
      </c>
    </row>
    <row r="7932">
      <c r="N7932" s="6">
        <f>IF(B7932="","",IF(ISNUMBER(B7932),TEXT(B7932,"YYYY-MM"),LEFT(B7932,7)))</f>
        <v/>
      </c>
    </row>
    <row r="7933">
      <c r="N7933" s="6">
        <f>IF(B7933="","",IF(ISNUMBER(B7933),TEXT(B7933,"YYYY-MM"),LEFT(B7933,7)))</f>
        <v/>
      </c>
    </row>
    <row r="7934">
      <c r="N7934" s="6">
        <f>IF(B7934="","",IF(ISNUMBER(B7934),TEXT(B7934,"YYYY-MM"),LEFT(B7934,7)))</f>
        <v/>
      </c>
    </row>
    <row r="7935">
      <c r="N7935" s="6">
        <f>IF(B7935="","",IF(ISNUMBER(B7935),TEXT(B7935,"YYYY-MM"),LEFT(B7935,7)))</f>
        <v/>
      </c>
    </row>
    <row r="7936">
      <c r="N7936" s="6">
        <f>IF(B7936="","",IF(ISNUMBER(B7936),TEXT(B7936,"YYYY-MM"),LEFT(B7936,7)))</f>
        <v/>
      </c>
    </row>
    <row r="7937">
      <c r="N7937" s="6">
        <f>IF(B7937="","",IF(ISNUMBER(B7937),TEXT(B7937,"YYYY-MM"),LEFT(B7937,7)))</f>
        <v/>
      </c>
    </row>
    <row r="7938">
      <c r="N7938" s="6">
        <f>IF(B7938="","",IF(ISNUMBER(B7938),TEXT(B7938,"YYYY-MM"),LEFT(B7938,7)))</f>
        <v/>
      </c>
    </row>
    <row r="7939">
      <c r="N7939" s="6">
        <f>IF(B7939="","",IF(ISNUMBER(B7939),TEXT(B7939,"YYYY-MM"),LEFT(B7939,7)))</f>
        <v/>
      </c>
    </row>
    <row r="7940">
      <c r="N7940" s="6">
        <f>IF(B7940="","",IF(ISNUMBER(B7940),TEXT(B7940,"YYYY-MM"),LEFT(B7940,7)))</f>
        <v/>
      </c>
    </row>
    <row r="7941">
      <c r="N7941" s="6">
        <f>IF(B7941="","",IF(ISNUMBER(B7941),TEXT(B7941,"YYYY-MM"),LEFT(B7941,7)))</f>
        <v/>
      </c>
    </row>
    <row r="7942">
      <c r="N7942" s="6">
        <f>IF(B7942="","",IF(ISNUMBER(B7942),TEXT(B7942,"YYYY-MM"),LEFT(B7942,7)))</f>
        <v/>
      </c>
    </row>
    <row r="7943">
      <c r="N7943" s="6">
        <f>IF(B7943="","",IF(ISNUMBER(B7943),TEXT(B7943,"YYYY-MM"),LEFT(B7943,7)))</f>
        <v/>
      </c>
    </row>
    <row r="7944">
      <c r="N7944" s="6">
        <f>IF(B7944="","",IF(ISNUMBER(B7944),TEXT(B7944,"YYYY-MM"),LEFT(B7944,7)))</f>
        <v/>
      </c>
    </row>
    <row r="7945">
      <c r="N7945" s="6">
        <f>IF(B7945="","",IF(ISNUMBER(B7945),TEXT(B7945,"YYYY-MM"),LEFT(B7945,7)))</f>
        <v/>
      </c>
    </row>
    <row r="7946">
      <c r="N7946" s="6">
        <f>IF(B7946="","",IF(ISNUMBER(B7946),TEXT(B7946,"YYYY-MM"),LEFT(B7946,7)))</f>
        <v/>
      </c>
    </row>
    <row r="7947">
      <c r="N7947" s="6">
        <f>IF(B7947="","",IF(ISNUMBER(B7947),TEXT(B7947,"YYYY-MM"),LEFT(B7947,7)))</f>
        <v/>
      </c>
    </row>
    <row r="7948">
      <c r="N7948" s="6">
        <f>IF(B7948="","",IF(ISNUMBER(B7948),TEXT(B7948,"YYYY-MM"),LEFT(B7948,7)))</f>
        <v/>
      </c>
    </row>
    <row r="7949">
      <c r="N7949" s="6">
        <f>IF(B7949="","",IF(ISNUMBER(B7949),TEXT(B7949,"YYYY-MM"),LEFT(B7949,7)))</f>
        <v/>
      </c>
    </row>
    <row r="7950">
      <c r="N7950" s="6">
        <f>IF(B7950="","",IF(ISNUMBER(B7950),TEXT(B7950,"YYYY-MM"),LEFT(B7950,7)))</f>
        <v/>
      </c>
    </row>
    <row r="7951">
      <c r="N7951" s="6">
        <f>IF(B7951="","",IF(ISNUMBER(B7951),TEXT(B7951,"YYYY-MM"),LEFT(B7951,7)))</f>
        <v/>
      </c>
    </row>
    <row r="7952">
      <c r="N7952" s="6">
        <f>IF(B7952="","",IF(ISNUMBER(B7952),TEXT(B7952,"YYYY-MM"),LEFT(B7952,7)))</f>
        <v/>
      </c>
    </row>
    <row r="7953">
      <c r="N7953" s="6">
        <f>IF(B7953="","",IF(ISNUMBER(B7953),TEXT(B7953,"YYYY-MM"),LEFT(B7953,7)))</f>
        <v/>
      </c>
    </row>
    <row r="7954">
      <c r="N7954" s="6">
        <f>IF(B7954="","",IF(ISNUMBER(B7954),TEXT(B7954,"YYYY-MM"),LEFT(B7954,7)))</f>
        <v/>
      </c>
    </row>
    <row r="7955">
      <c r="N7955" s="6">
        <f>IF(B7955="","",IF(ISNUMBER(B7955),TEXT(B7955,"YYYY-MM"),LEFT(B7955,7)))</f>
        <v/>
      </c>
    </row>
    <row r="7956">
      <c r="N7956" s="6">
        <f>IF(B7956="","",IF(ISNUMBER(B7956),TEXT(B7956,"YYYY-MM"),LEFT(B7956,7)))</f>
        <v/>
      </c>
    </row>
    <row r="7957">
      <c r="N7957" s="6">
        <f>IF(B7957="","",IF(ISNUMBER(B7957),TEXT(B7957,"YYYY-MM"),LEFT(B7957,7)))</f>
        <v/>
      </c>
    </row>
    <row r="7958">
      <c r="N7958" s="6">
        <f>IF(B7958="","",IF(ISNUMBER(B7958),TEXT(B7958,"YYYY-MM"),LEFT(B7958,7)))</f>
        <v/>
      </c>
    </row>
    <row r="7959">
      <c r="N7959" s="6">
        <f>IF(B7959="","",IF(ISNUMBER(B7959),TEXT(B7959,"YYYY-MM"),LEFT(B7959,7)))</f>
        <v/>
      </c>
    </row>
    <row r="7960">
      <c r="N7960" s="6">
        <f>IF(B7960="","",IF(ISNUMBER(B7960),TEXT(B7960,"YYYY-MM"),LEFT(B7960,7)))</f>
        <v/>
      </c>
    </row>
    <row r="7961">
      <c r="N7961" s="6">
        <f>IF(B7961="","",IF(ISNUMBER(B7961),TEXT(B7961,"YYYY-MM"),LEFT(B7961,7)))</f>
        <v/>
      </c>
    </row>
    <row r="7962">
      <c r="N7962" s="6">
        <f>IF(B7962="","",IF(ISNUMBER(B7962),TEXT(B7962,"YYYY-MM"),LEFT(B7962,7)))</f>
        <v/>
      </c>
    </row>
    <row r="7963">
      <c r="N7963" s="6">
        <f>IF(B7963="","",IF(ISNUMBER(B7963),TEXT(B7963,"YYYY-MM"),LEFT(B7963,7)))</f>
        <v/>
      </c>
    </row>
    <row r="7964">
      <c r="N7964" s="6">
        <f>IF(B7964="","",IF(ISNUMBER(B7964),TEXT(B7964,"YYYY-MM"),LEFT(B7964,7)))</f>
        <v/>
      </c>
    </row>
    <row r="7965">
      <c r="N7965" s="6">
        <f>IF(B7965="","",IF(ISNUMBER(B7965),TEXT(B7965,"YYYY-MM"),LEFT(B7965,7)))</f>
        <v/>
      </c>
    </row>
    <row r="7966">
      <c r="N7966" s="6">
        <f>IF(B7966="","",IF(ISNUMBER(B7966),TEXT(B7966,"YYYY-MM"),LEFT(B7966,7)))</f>
        <v/>
      </c>
    </row>
    <row r="7967">
      <c r="N7967" s="6">
        <f>IF(B7967="","",IF(ISNUMBER(B7967),TEXT(B7967,"YYYY-MM"),LEFT(B7967,7)))</f>
        <v/>
      </c>
    </row>
    <row r="7968">
      <c r="N7968" s="6">
        <f>IF(B7968="","",IF(ISNUMBER(B7968),TEXT(B7968,"YYYY-MM"),LEFT(B7968,7)))</f>
        <v/>
      </c>
    </row>
    <row r="7969">
      <c r="N7969" s="6">
        <f>IF(B7969="","",IF(ISNUMBER(B7969),TEXT(B7969,"YYYY-MM"),LEFT(B7969,7)))</f>
        <v/>
      </c>
    </row>
    <row r="7970">
      <c r="N7970" s="6">
        <f>IF(B7970="","",IF(ISNUMBER(B7970),TEXT(B7970,"YYYY-MM"),LEFT(B7970,7)))</f>
        <v/>
      </c>
    </row>
    <row r="7971">
      <c r="N7971" s="6">
        <f>IF(B7971="","",IF(ISNUMBER(B7971),TEXT(B7971,"YYYY-MM"),LEFT(B7971,7)))</f>
        <v/>
      </c>
    </row>
    <row r="7972">
      <c r="N7972" s="6">
        <f>IF(B7972="","",IF(ISNUMBER(B7972),TEXT(B7972,"YYYY-MM"),LEFT(B7972,7)))</f>
        <v/>
      </c>
    </row>
    <row r="7973">
      <c r="N7973" s="6">
        <f>IF(B7973="","",IF(ISNUMBER(B7973),TEXT(B7973,"YYYY-MM"),LEFT(B7973,7)))</f>
        <v/>
      </c>
    </row>
    <row r="7974">
      <c r="N7974" s="6">
        <f>IF(B7974="","",IF(ISNUMBER(B7974),TEXT(B7974,"YYYY-MM"),LEFT(B7974,7)))</f>
        <v/>
      </c>
    </row>
    <row r="7975">
      <c r="N7975" s="6">
        <f>IF(B7975="","",IF(ISNUMBER(B7975),TEXT(B7975,"YYYY-MM"),LEFT(B7975,7)))</f>
        <v/>
      </c>
    </row>
    <row r="7976">
      <c r="N7976" s="6">
        <f>IF(B7976="","",IF(ISNUMBER(B7976),TEXT(B7976,"YYYY-MM"),LEFT(B7976,7)))</f>
        <v/>
      </c>
    </row>
    <row r="7977">
      <c r="N7977" s="6">
        <f>IF(B7977="","",IF(ISNUMBER(B7977),TEXT(B7977,"YYYY-MM"),LEFT(B7977,7)))</f>
        <v/>
      </c>
    </row>
    <row r="7978">
      <c r="N7978" s="6">
        <f>IF(B7978="","",IF(ISNUMBER(B7978),TEXT(B7978,"YYYY-MM"),LEFT(B7978,7)))</f>
        <v/>
      </c>
    </row>
    <row r="7979">
      <c r="N7979" s="6">
        <f>IF(B7979="","",IF(ISNUMBER(B7979),TEXT(B7979,"YYYY-MM"),LEFT(B7979,7)))</f>
        <v/>
      </c>
    </row>
    <row r="7980">
      <c r="N7980" s="6">
        <f>IF(B7980="","",IF(ISNUMBER(B7980),TEXT(B7980,"YYYY-MM"),LEFT(B7980,7)))</f>
        <v/>
      </c>
    </row>
    <row r="7981">
      <c r="N7981" s="6">
        <f>IF(B7981="","",IF(ISNUMBER(B7981),TEXT(B7981,"YYYY-MM"),LEFT(B7981,7)))</f>
        <v/>
      </c>
    </row>
    <row r="7982">
      <c r="N7982" s="6">
        <f>IF(B7982="","",IF(ISNUMBER(B7982),TEXT(B7982,"YYYY-MM"),LEFT(B7982,7)))</f>
        <v/>
      </c>
    </row>
    <row r="7983">
      <c r="N7983" s="6">
        <f>IF(B7983="","",IF(ISNUMBER(B7983),TEXT(B7983,"YYYY-MM"),LEFT(B7983,7)))</f>
        <v/>
      </c>
    </row>
    <row r="7984">
      <c r="N7984" s="6">
        <f>IF(B7984="","",IF(ISNUMBER(B7984),TEXT(B7984,"YYYY-MM"),LEFT(B7984,7)))</f>
        <v/>
      </c>
    </row>
    <row r="7985">
      <c r="N7985" s="6">
        <f>IF(B7985="","",IF(ISNUMBER(B7985),TEXT(B7985,"YYYY-MM"),LEFT(B7985,7)))</f>
        <v/>
      </c>
    </row>
    <row r="7986">
      <c r="N7986" s="6">
        <f>IF(B7986="","",IF(ISNUMBER(B7986),TEXT(B7986,"YYYY-MM"),LEFT(B7986,7)))</f>
        <v/>
      </c>
    </row>
    <row r="7987">
      <c r="N7987" s="6">
        <f>IF(B7987="","",IF(ISNUMBER(B7987),TEXT(B7987,"YYYY-MM"),LEFT(B7987,7)))</f>
        <v/>
      </c>
    </row>
    <row r="7988">
      <c r="N7988" s="6">
        <f>IF(B7988="","",IF(ISNUMBER(B7988),TEXT(B7988,"YYYY-MM"),LEFT(B7988,7)))</f>
        <v/>
      </c>
    </row>
    <row r="7989">
      <c r="N7989" s="6">
        <f>IF(B7989="","",IF(ISNUMBER(B7989),TEXT(B7989,"YYYY-MM"),LEFT(B7989,7)))</f>
        <v/>
      </c>
    </row>
    <row r="7990">
      <c r="N7990" s="6">
        <f>IF(B7990="","",IF(ISNUMBER(B7990),TEXT(B7990,"YYYY-MM"),LEFT(B7990,7)))</f>
        <v/>
      </c>
    </row>
    <row r="7991">
      <c r="N7991" s="6">
        <f>IF(B7991="","",IF(ISNUMBER(B7991),TEXT(B7991,"YYYY-MM"),LEFT(B7991,7)))</f>
        <v/>
      </c>
    </row>
    <row r="7992">
      <c r="N7992" s="6">
        <f>IF(B7992="","",IF(ISNUMBER(B7992),TEXT(B7992,"YYYY-MM"),LEFT(B7992,7)))</f>
        <v/>
      </c>
    </row>
    <row r="7993">
      <c r="N7993" s="6">
        <f>IF(B7993="","",IF(ISNUMBER(B7993),TEXT(B7993,"YYYY-MM"),LEFT(B7993,7)))</f>
        <v/>
      </c>
    </row>
    <row r="7994">
      <c r="N7994" s="6">
        <f>IF(B7994="","",IF(ISNUMBER(B7994),TEXT(B7994,"YYYY-MM"),LEFT(B7994,7)))</f>
        <v/>
      </c>
    </row>
    <row r="7995">
      <c r="N7995" s="6">
        <f>IF(B7995="","",IF(ISNUMBER(B7995),TEXT(B7995,"YYYY-MM"),LEFT(B7995,7)))</f>
        <v/>
      </c>
    </row>
    <row r="7996">
      <c r="N7996" s="6">
        <f>IF(B7996="","",IF(ISNUMBER(B7996),TEXT(B7996,"YYYY-MM"),LEFT(B7996,7)))</f>
        <v/>
      </c>
    </row>
    <row r="7997">
      <c r="N7997" s="6">
        <f>IF(B7997="","",IF(ISNUMBER(B7997),TEXT(B7997,"YYYY-MM"),LEFT(B7997,7)))</f>
        <v/>
      </c>
    </row>
    <row r="7998">
      <c r="N7998" s="6">
        <f>IF(B7998="","",IF(ISNUMBER(B7998),TEXT(B7998,"YYYY-MM"),LEFT(B7998,7)))</f>
        <v/>
      </c>
    </row>
    <row r="7999">
      <c r="N7999" s="6">
        <f>IF(B7999="","",IF(ISNUMBER(B7999),TEXT(B7999,"YYYY-MM"),LEFT(B7999,7)))</f>
        <v/>
      </c>
    </row>
    <row r="8000">
      <c r="N8000" s="6">
        <f>IF(B8000="","",IF(ISNUMBER(B8000),TEXT(B8000,"YYYY-MM"),LEFT(B8000,7)))</f>
        <v/>
      </c>
    </row>
    <row r="8001">
      <c r="N8001" s="6">
        <f>IF(B8001="","",IF(ISNUMBER(B8001),TEXT(B8001,"YYYY-MM"),LEFT(B8001,7)))</f>
        <v/>
      </c>
    </row>
    <row r="8002">
      <c r="N8002" s="6">
        <f>IF(B8002="","",IF(ISNUMBER(B8002),TEXT(B8002,"YYYY-MM"),LEFT(B8002,7)))</f>
        <v/>
      </c>
    </row>
    <row r="8003">
      <c r="N8003" s="6">
        <f>IF(B8003="","",IF(ISNUMBER(B8003),TEXT(B8003,"YYYY-MM"),LEFT(B8003,7)))</f>
        <v/>
      </c>
    </row>
    <row r="8004">
      <c r="N8004" s="6">
        <f>IF(B8004="","",IF(ISNUMBER(B8004),TEXT(B8004,"YYYY-MM"),LEFT(B8004,7)))</f>
        <v/>
      </c>
    </row>
    <row r="8005">
      <c r="N8005" s="6">
        <f>IF(B8005="","",IF(ISNUMBER(B8005),TEXT(B8005,"YYYY-MM"),LEFT(B8005,7)))</f>
        <v/>
      </c>
    </row>
    <row r="8006">
      <c r="N8006" s="6">
        <f>IF(B8006="","",IF(ISNUMBER(B8006),TEXT(B8006,"YYYY-MM"),LEFT(B8006,7)))</f>
        <v/>
      </c>
    </row>
    <row r="8007">
      <c r="N8007" s="6">
        <f>IF(B8007="","",IF(ISNUMBER(B8007),TEXT(B8007,"YYYY-MM"),LEFT(B8007,7)))</f>
        <v/>
      </c>
    </row>
    <row r="8008">
      <c r="N8008" s="6">
        <f>IF(B8008="","",IF(ISNUMBER(B8008),TEXT(B8008,"YYYY-MM"),LEFT(B8008,7)))</f>
        <v/>
      </c>
    </row>
    <row r="8009">
      <c r="N8009" s="6">
        <f>IF(B8009="","",IF(ISNUMBER(B8009),TEXT(B8009,"YYYY-MM"),LEFT(B8009,7)))</f>
        <v/>
      </c>
    </row>
    <row r="8010">
      <c r="N8010" s="6">
        <f>IF(B8010="","",IF(ISNUMBER(B8010),TEXT(B8010,"YYYY-MM"),LEFT(B8010,7)))</f>
        <v/>
      </c>
    </row>
    <row r="8011">
      <c r="N8011" s="6">
        <f>IF(B8011="","",IF(ISNUMBER(B8011),TEXT(B8011,"YYYY-MM"),LEFT(B8011,7)))</f>
        <v/>
      </c>
    </row>
    <row r="8012">
      <c r="N8012" s="6">
        <f>IF(B8012="","",IF(ISNUMBER(B8012),TEXT(B8012,"YYYY-MM"),LEFT(B8012,7)))</f>
        <v/>
      </c>
    </row>
    <row r="8013">
      <c r="N8013" s="6">
        <f>IF(B8013="","",IF(ISNUMBER(B8013),TEXT(B8013,"YYYY-MM"),LEFT(B8013,7)))</f>
        <v/>
      </c>
    </row>
    <row r="8014">
      <c r="N8014" s="6">
        <f>IF(B8014="","",IF(ISNUMBER(B8014),TEXT(B8014,"YYYY-MM"),LEFT(B8014,7)))</f>
        <v/>
      </c>
    </row>
    <row r="8015">
      <c r="N8015" s="6">
        <f>IF(B8015="","",IF(ISNUMBER(B8015),TEXT(B8015,"YYYY-MM"),LEFT(B8015,7)))</f>
        <v/>
      </c>
    </row>
    <row r="8016">
      <c r="N8016" s="6">
        <f>IF(B8016="","",IF(ISNUMBER(B8016),TEXT(B8016,"YYYY-MM"),LEFT(B8016,7)))</f>
        <v/>
      </c>
    </row>
    <row r="8017">
      <c r="N8017" s="6">
        <f>IF(B8017="","",IF(ISNUMBER(B8017),TEXT(B8017,"YYYY-MM"),LEFT(B8017,7)))</f>
        <v/>
      </c>
    </row>
    <row r="8018">
      <c r="N8018" s="6">
        <f>IF(B8018="","",IF(ISNUMBER(B8018),TEXT(B8018,"YYYY-MM"),LEFT(B8018,7)))</f>
        <v/>
      </c>
    </row>
    <row r="8019">
      <c r="N8019" s="6">
        <f>IF(B8019="","",IF(ISNUMBER(B8019),TEXT(B8019,"YYYY-MM"),LEFT(B8019,7)))</f>
        <v/>
      </c>
    </row>
    <row r="8020">
      <c r="N8020" s="6">
        <f>IF(B8020="","",IF(ISNUMBER(B8020),TEXT(B8020,"YYYY-MM"),LEFT(B8020,7)))</f>
        <v/>
      </c>
    </row>
    <row r="8021">
      <c r="N8021" s="6">
        <f>IF(B8021="","",IF(ISNUMBER(B8021),TEXT(B8021,"YYYY-MM"),LEFT(B8021,7)))</f>
        <v/>
      </c>
    </row>
    <row r="8022">
      <c r="N8022" s="6">
        <f>IF(B8022="","",IF(ISNUMBER(B8022),TEXT(B8022,"YYYY-MM"),LEFT(B8022,7)))</f>
        <v/>
      </c>
    </row>
    <row r="8023">
      <c r="N8023" s="6">
        <f>IF(B8023="","",IF(ISNUMBER(B8023),TEXT(B8023,"YYYY-MM"),LEFT(B8023,7)))</f>
        <v/>
      </c>
    </row>
    <row r="8024">
      <c r="N8024" s="6">
        <f>IF(B8024="","",IF(ISNUMBER(B8024),TEXT(B8024,"YYYY-MM"),LEFT(B8024,7)))</f>
        <v/>
      </c>
    </row>
    <row r="8025">
      <c r="N8025" s="6">
        <f>IF(B8025="","",IF(ISNUMBER(B8025),TEXT(B8025,"YYYY-MM"),LEFT(B8025,7)))</f>
        <v/>
      </c>
    </row>
    <row r="8026">
      <c r="N8026" s="6">
        <f>IF(B8026="","",IF(ISNUMBER(B8026),TEXT(B8026,"YYYY-MM"),LEFT(B8026,7)))</f>
        <v/>
      </c>
    </row>
    <row r="8027">
      <c r="N8027" s="6">
        <f>IF(B8027="","",IF(ISNUMBER(B8027),TEXT(B8027,"YYYY-MM"),LEFT(B8027,7)))</f>
        <v/>
      </c>
    </row>
    <row r="8028">
      <c r="N8028" s="6">
        <f>IF(B8028="","",IF(ISNUMBER(B8028),TEXT(B8028,"YYYY-MM"),LEFT(B8028,7)))</f>
        <v/>
      </c>
    </row>
    <row r="8029">
      <c r="N8029" s="6">
        <f>IF(B8029="","",IF(ISNUMBER(B8029),TEXT(B8029,"YYYY-MM"),LEFT(B8029,7)))</f>
        <v/>
      </c>
    </row>
    <row r="8030">
      <c r="N8030" s="6">
        <f>IF(B8030="","",IF(ISNUMBER(B8030),TEXT(B8030,"YYYY-MM"),LEFT(B8030,7)))</f>
        <v/>
      </c>
    </row>
    <row r="8031">
      <c r="N8031" s="6">
        <f>IF(B8031="","",IF(ISNUMBER(B8031),TEXT(B8031,"YYYY-MM"),LEFT(B8031,7)))</f>
        <v/>
      </c>
    </row>
    <row r="8032">
      <c r="N8032" s="6">
        <f>IF(B8032="","",IF(ISNUMBER(B8032),TEXT(B8032,"YYYY-MM"),LEFT(B8032,7)))</f>
        <v/>
      </c>
    </row>
    <row r="8033">
      <c r="N8033" s="6">
        <f>IF(B8033="","",IF(ISNUMBER(B8033),TEXT(B8033,"YYYY-MM"),LEFT(B8033,7)))</f>
        <v/>
      </c>
    </row>
    <row r="8034">
      <c r="N8034" s="6">
        <f>IF(B8034="","",IF(ISNUMBER(B8034),TEXT(B8034,"YYYY-MM"),LEFT(B8034,7)))</f>
        <v/>
      </c>
    </row>
    <row r="8035">
      <c r="N8035" s="6">
        <f>IF(B8035="","",IF(ISNUMBER(B8035),TEXT(B8035,"YYYY-MM"),LEFT(B8035,7)))</f>
        <v/>
      </c>
    </row>
    <row r="8036">
      <c r="N8036" s="6">
        <f>IF(B8036="","",IF(ISNUMBER(B8036),TEXT(B8036,"YYYY-MM"),LEFT(B8036,7)))</f>
        <v/>
      </c>
    </row>
    <row r="8037">
      <c r="N8037" s="6">
        <f>IF(B8037="","",IF(ISNUMBER(B8037),TEXT(B8037,"YYYY-MM"),LEFT(B8037,7)))</f>
        <v/>
      </c>
    </row>
    <row r="8038">
      <c r="N8038" s="6">
        <f>IF(B8038="","",IF(ISNUMBER(B8038),TEXT(B8038,"YYYY-MM"),LEFT(B8038,7)))</f>
        <v/>
      </c>
    </row>
    <row r="8039">
      <c r="N8039" s="6">
        <f>IF(B8039="","",IF(ISNUMBER(B8039),TEXT(B8039,"YYYY-MM"),LEFT(B8039,7)))</f>
        <v/>
      </c>
    </row>
    <row r="8040">
      <c r="N8040" s="6">
        <f>IF(B8040="","",IF(ISNUMBER(B8040),TEXT(B8040,"YYYY-MM"),LEFT(B8040,7)))</f>
        <v/>
      </c>
    </row>
    <row r="8041">
      <c r="N8041" s="6">
        <f>IF(B8041="","",IF(ISNUMBER(B8041),TEXT(B8041,"YYYY-MM"),LEFT(B8041,7)))</f>
        <v/>
      </c>
    </row>
    <row r="8042">
      <c r="N8042" s="6">
        <f>IF(B8042="","",IF(ISNUMBER(B8042),TEXT(B8042,"YYYY-MM"),LEFT(B8042,7)))</f>
        <v/>
      </c>
    </row>
    <row r="8043">
      <c r="N8043" s="6">
        <f>IF(B8043="","",IF(ISNUMBER(B8043),TEXT(B8043,"YYYY-MM"),LEFT(B8043,7)))</f>
        <v/>
      </c>
    </row>
    <row r="8044">
      <c r="N8044" s="6">
        <f>IF(B8044="","",IF(ISNUMBER(B8044),TEXT(B8044,"YYYY-MM"),LEFT(B8044,7)))</f>
        <v/>
      </c>
    </row>
    <row r="8045">
      <c r="N8045" s="6">
        <f>IF(B8045="","",IF(ISNUMBER(B8045),TEXT(B8045,"YYYY-MM"),LEFT(B8045,7)))</f>
        <v/>
      </c>
    </row>
    <row r="8046">
      <c r="N8046" s="6">
        <f>IF(B8046="","",IF(ISNUMBER(B8046),TEXT(B8046,"YYYY-MM"),LEFT(B8046,7)))</f>
        <v/>
      </c>
    </row>
    <row r="8047">
      <c r="N8047" s="6">
        <f>IF(B8047="","",IF(ISNUMBER(B8047),TEXT(B8047,"YYYY-MM"),LEFT(B8047,7)))</f>
        <v/>
      </c>
    </row>
    <row r="8048">
      <c r="N8048" s="6">
        <f>IF(B8048="","",IF(ISNUMBER(B8048),TEXT(B8048,"YYYY-MM"),LEFT(B8048,7)))</f>
        <v/>
      </c>
    </row>
    <row r="8049">
      <c r="N8049" s="6">
        <f>IF(B8049="","",IF(ISNUMBER(B8049),TEXT(B8049,"YYYY-MM"),LEFT(B8049,7)))</f>
        <v/>
      </c>
    </row>
    <row r="8050">
      <c r="N8050" s="6">
        <f>IF(B8050="","",IF(ISNUMBER(B8050),TEXT(B8050,"YYYY-MM"),LEFT(B8050,7)))</f>
        <v/>
      </c>
    </row>
    <row r="8051">
      <c r="N8051" s="6">
        <f>IF(B8051="","",IF(ISNUMBER(B8051),TEXT(B8051,"YYYY-MM"),LEFT(B8051,7)))</f>
        <v/>
      </c>
    </row>
    <row r="8052">
      <c r="N8052" s="6">
        <f>IF(B8052="","",IF(ISNUMBER(B8052),TEXT(B8052,"YYYY-MM"),LEFT(B8052,7)))</f>
        <v/>
      </c>
    </row>
    <row r="8053">
      <c r="N8053" s="6">
        <f>IF(B8053="","",IF(ISNUMBER(B8053),TEXT(B8053,"YYYY-MM"),LEFT(B8053,7)))</f>
        <v/>
      </c>
    </row>
    <row r="8054">
      <c r="N8054" s="6">
        <f>IF(B8054="","",IF(ISNUMBER(B8054),TEXT(B8054,"YYYY-MM"),LEFT(B8054,7)))</f>
        <v/>
      </c>
    </row>
    <row r="8055">
      <c r="N8055" s="6">
        <f>IF(B8055="","",IF(ISNUMBER(B8055),TEXT(B8055,"YYYY-MM"),LEFT(B8055,7)))</f>
        <v/>
      </c>
    </row>
    <row r="8056">
      <c r="N8056" s="6">
        <f>IF(B8056="","",IF(ISNUMBER(B8056),TEXT(B8056,"YYYY-MM"),LEFT(B8056,7)))</f>
        <v/>
      </c>
    </row>
    <row r="8057">
      <c r="N8057" s="6">
        <f>IF(B8057="","",IF(ISNUMBER(B8057),TEXT(B8057,"YYYY-MM"),LEFT(B8057,7)))</f>
        <v/>
      </c>
    </row>
    <row r="8058">
      <c r="N8058" s="6">
        <f>IF(B8058="","",IF(ISNUMBER(B8058),TEXT(B8058,"YYYY-MM"),LEFT(B8058,7)))</f>
        <v/>
      </c>
    </row>
    <row r="8059">
      <c r="N8059" s="6">
        <f>IF(B8059="","",IF(ISNUMBER(B8059),TEXT(B8059,"YYYY-MM"),LEFT(B8059,7)))</f>
        <v/>
      </c>
    </row>
    <row r="8060">
      <c r="N8060" s="6">
        <f>IF(B8060="","",IF(ISNUMBER(B8060),TEXT(B8060,"YYYY-MM"),LEFT(B8060,7)))</f>
        <v/>
      </c>
    </row>
    <row r="8061">
      <c r="N8061" s="6">
        <f>IF(B8061="","",IF(ISNUMBER(B8061),TEXT(B8061,"YYYY-MM"),LEFT(B8061,7)))</f>
        <v/>
      </c>
    </row>
    <row r="8062">
      <c r="N8062" s="6">
        <f>IF(B8062="","",IF(ISNUMBER(B8062),TEXT(B8062,"YYYY-MM"),LEFT(B8062,7)))</f>
        <v/>
      </c>
    </row>
    <row r="8063">
      <c r="N8063" s="6">
        <f>IF(B8063="","",IF(ISNUMBER(B8063),TEXT(B8063,"YYYY-MM"),LEFT(B8063,7)))</f>
        <v/>
      </c>
    </row>
    <row r="8064">
      <c r="N8064" s="6">
        <f>IF(B8064="","",IF(ISNUMBER(B8064),TEXT(B8064,"YYYY-MM"),LEFT(B8064,7)))</f>
        <v/>
      </c>
    </row>
    <row r="8065">
      <c r="N8065" s="6">
        <f>IF(B8065="","",IF(ISNUMBER(B8065),TEXT(B8065,"YYYY-MM"),LEFT(B8065,7)))</f>
        <v/>
      </c>
    </row>
    <row r="8066">
      <c r="N8066" s="6">
        <f>IF(B8066="","",IF(ISNUMBER(B8066),TEXT(B8066,"YYYY-MM"),LEFT(B8066,7)))</f>
        <v/>
      </c>
    </row>
    <row r="8067">
      <c r="N8067" s="6">
        <f>IF(B8067="","",IF(ISNUMBER(B8067),TEXT(B8067,"YYYY-MM"),LEFT(B8067,7)))</f>
        <v/>
      </c>
    </row>
    <row r="8068">
      <c r="N8068" s="6">
        <f>IF(B8068="","",IF(ISNUMBER(B8068),TEXT(B8068,"YYYY-MM"),LEFT(B8068,7)))</f>
        <v/>
      </c>
    </row>
    <row r="8069">
      <c r="N8069" s="6">
        <f>IF(B8069="","",IF(ISNUMBER(B8069),TEXT(B8069,"YYYY-MM"),LEFT(B8069,7)))</f>
        <v/>
      </c>
    </row>
    <row r="8070">
      <c r="N8070" s="6">
        <f>IF(B8070="","",IF(ISNUMBER(B8070),TEXT(B8070,"YYYY-MM"),LEFT(B8070,7)))</f>
        <v/>
      </c>
    </row>
    <row r="8071">
      <c r="N8071" s="6">
        <f>IF(B8071="","",IF(ISNUMBER(B8071),TEXT(B8071,"YYYY-MM"),LEFT(B8071,7)))</f>
        <v/>
      </c>
    </row>
    <row r="8072">
      <c r="N8072" s="6">
        <f>IF(B8072="","",IF(ISNUMBER(B8072),TEXT(B8072,"YYYY-MM"),LEFT(B8072,7)))</f>
        <v/>
      </c>
    </row>
    <row r="8073">
      <c r="N8073" s="6">
        <f>IF(B8073="","",IF(ISNUMBER(B8073),TEXT(B8073,"YYYY-MM"),LEFT(B8073,7)))</f>
        <v/>
      </c>
    </row>
    <row r="8074">
      <c r="N8074" s="6">
        <f>IF(B8074="","",IF(ISNUMBER(B8074),TEXT(B8074,"YYYY-MM"),LEFT(B8074,7)))</f>
        <v/>
      </c>
    </row>
    <row r="8075">
      <c r="N8075" s="6">
        <f>IF(B8075="","",IF(ISNUMBER(B8075),TEXT(B8075,"YYYY-MM"),LEFT(B8075,7)))</f>
        <v/>
      </c>
    </row>
    <row r="8076">
      <c r="N8076" s="6">
        <f>IF(B8076="","",IF(ISNUMBER(B8076),TEXT(B8076,"YYYY-MM"),LEFT(B8076,7)))</f>
        <v/>
      </c>
    </row>
    <row r="8077">
      <c r="N8077" s="6">
        <f>IF(B8077="","",IF(ISNUMBER(B8077),TEXT(B8077,"YYYY-MM"),LEFT(B8077,7)))</f>
        <v/>
      </c>
    </row>
    <row r="8078">
      <c r="N8078" s="6">
        <f>IF(B8078="","",IF(ISNUMBER(B8078),TEXT(B8078,"YYYY-MM"),LEFT(B8078,7)))</f>
        <v/>
      </c>
    </row>
    <row r="8079">
      <c r="N8079" s="6">
        <f>IF(B8079="","",IF(ISNUMBER(B8079),TEXT(B8079,"YYYY-MM"),LEFT(B8079,7)))</f>
        <v/>
      </c>
    </row>
    <row r="8080">
      <c r="N8080" s="6">
        <f>IF(B8080="","",IF(ISNUMBER(B8080),TEXT(B8080,"YYYY-MM"),LEFT(B8080,7)))</f>
        <v/>
      </c>
    </row>
    <row r="8081">
      <c r="N8081" s="6">
        <f>IF(B8081="","",IF(ISNUMBER(B8081),TEXT(B8081,"YYYY-MM"),LEFT(B8081,7)))</f>
        <v/>
      </c>
    </row>
    <row r="8082">
      <c r="N8082" s="6">
        <f>IF(B8082="","",IF(ISNUMBER(B8082),TEXT(B8082,"YYYY-MM"),LEFT(B8082,7)))</f>
        <v/>
      </c>
    </row>
    <row r="8083">
      <c r="N8083" s="6">
        <f>IF(B8083="","",IF(ISNUMBER(B8083),TEXT(B8083,"YYYY-MM"),LEFT(B8083,7)))</f>
        <v/>
      </c>
    </row>
    <row r="8084">
      <c r="N8084" s="6">
        <f>IF(B8084="","",IF(ISNUMBER(B8084),TEXT(B8084,"YYYY-MM"),LEFT(B8084,7)))</f>
        <v/>
      </c>
    </row>
    <row r="8085">
      <c r="N8085" s="6">
        <f>IF(B8085="","",IF(ISNUMBER(B8085),TEXT(B8085,"YYYY-MM"),LEFT(B8085,7)))</f>
        <v/>
      </c>
    </row>
    <row r="8086">
      <c r="N8086" s="6">
        <f>IF(B8086="","",IF(ISNUMBER(B8086),TEXT(B8086,"YYYY-MM"),LEFT(B8086,7)))</f>
        <v/>
      </c>
    </row>
    <row r="8087">
      <c r="N8087" s="6">
        <f>IF(B8087="","",IF(ISNUMBER(B8087),TEXT(B8087,"YYYY-MM"),LEFT(B8087,7)))</f>
        <v/>
      </c>
    </row>
    <row r="8088">
      <c r="N8088" s="6">
        <f>IF(B8088="","",IF(ISNUMBER(B8088),TEXT(B8088,"YYYY-MM"),LEFT(B8088,7)))</f>
        <v/>
      </c>
    </row>
    <row r="8089">
      <c r="N8089" s="6">
        <f>IF(B8089="","",IF(ISNUMBER(B8089),TEXT(B8089,"YYYY-MM"),LEFT(B8089,7)))</f>
        <v/>
      </c>
    </row>
    <row r="8090">
      <c r="N8090" s="6">
        <f>IF(B8090="","",IF(ISNUMBER(B8090),TEXT(B8090,"YYYY-MM"),LEFT(B8090,7)))</f>
        <v/>
      </c>
    </row>
    <row r="8091">
      <c r="N8091" s="6">
        <f>IF(B8091="","",IF(ISNUMBER(B8091),TEXT(B8091,"YYYY-MM"),LEFT(B8091,7)))</f>
        <v/>
      </c>
    </row>
    <row r="8092">
      <c r="N8092" s="6">
        <f>IF(B8092="","",IF(ISNUMBER(B8092),TEXT(B8092,"YYYY-MM"),LEFT(B8092,7)))</f>
        <v/>
      </c>
    </row>
    <row r="8093">
      <c r="N8093" s="6">
        <f>IF(B8093="","",IF(ISNUMBER(B8093),TEXT(B8093,"YYYY-MM"),LEFT(B8093,7)))</f>
        <v/>
      </c>
    </row>
    <row r="8094">
      <c r="N8094" s="6">
        <f>IF(B8094="","",IF(ISNUMBER(B8094),TEXT(B8094,"YYYY-MM"),LEFT(B8094,7)))</f>
        <v/>
      </c>
    </row>
    <row r="8095">
      <c r="N8095" s="6">
        <f>IF(B8095="","",IF(ISNUMBER(B8095),TEXT(B8095,"YYYY-MM"),LEFT(B8095,7)))</f>
        <v/>
      </c>
    </row>
    <row r="8096">
      <c r="N8096" s="6">
        <f>IF(B8096="","",IF(ISNUMBER(B8096),TEXT(B8096,"YYYY-MM"),LEFT(B8096,7)))</f>
        <v/>
      </c>
    </row>
    <row r="8097">
      <c r="N8097" s="6">
        <f>IF(B8097="","",IF(ISNUMBER(B8097),TEXT(B8097,"YYYY-MM"),LEFT(B8097,7)))</f>
        <v/>
      </c>
    </row>
    <row r="8098">
      <c r="N8098" s="6">
        <f>IF(B8098="","",IF(ISNUMBER(B8098),TEXT(B8098,"YYYY-MM"),LEFT(B8098,7)))</f>
        <v/>
      </c>
    </row>
    <row r="8099">
      <c r="N8099" s="6">
        <f>IF(B8099="","",IF(ISNUMBER(B8099),TEXT(B8099,"YYYY-MM"),LEFT(B8099,7)))</f>
        <v/>
      </c>
    </row>
    <row r="8100">
      <c r="N8100" s="6">
        <f>IF(B8100="","",IF(ISNUMBER(B8100),TEXT(B8100,"YYYY-MM"),LEFT(B8100,7)))</f>
        <v/>
      </c>
    </row>
    <row r="8101">
      <c r="N8101" s="6">
        <f>IF(B8101="","",IF(ISNUMBER(B8101),TEXT(B8101,"YYYY-MM"),LEFT(B8101,7)))</f>
        <v/>
      </c>
    </row>
    <row r="8102">
      <c r="N8102" s="6">
        <f>IF(B8102="","",IF(ISNUMBER(B8102),TEXT(B8102,"YYYY-MM"),LEFT(B8102,7)))</f>
        <v/>
      </c>
    </row>
    <row r="8103">
      <c r="N8103" s="6">
        <f>IF(B8103="","",IF(ISNUMBER(B8103),TEXT(B8103,"YYYY-MM"),LEFT(B8103,7)))</f>
        <v/>
      </c>
    </row>
    <row r="8104">
      <c r="N8104" s="6">
        <f>IF(B8104="","",IF(ISNUMBER(B8104),TEXT(B8104,"YYYY-MM"),LEFT(B8104,7)))</f>
        <v/>
      </c>
    </row>
    <row r="8105">
      <c r="N8105" s="6">
        <f>IF(B8105="","",IF(ISNUMBER(B8105),TEXT(B8105,"YYYY-MM"),LEFT(B8105,7)))</f>
        <v/>
      </c>
    </row>
    <row r="8106">
      <c r="N8106" s="6">
        <f>IF(B8106="","",IF(ISNUMBER(B8106),TEXT(B8106,"YYYY-MM"),LEFT(B8106,7)))</f>
        <v/>
      </c>
    </row>
    <row r="8107">
      <c r="N8107" s="6">
        <f>IF(B8107="","",IF(ISNUMBER(B8107),TEXT(B8107,"YYYY-MM"),LEFT(B8107,7)))</f>
        <v/>
      </c>
    </row>
    <row r="8108">
      <c r="N8108" s="6">
        <f>IF(B8108="","",IF(ISNUMBER(B8108),TEXT(B8108,"YYYY-MM"),LEFT(B8108,7)))</f>
        <v/>
      </c>
    </row>
    <row r="8109">
      <c r="N8109" s="6">
        <f>IF(B8109="","",IF(ISNUMBER(B8109),TEXT(B8109,"YYYY-MM"),LEFT(B8109,7)))</f>
        <v/>
      </c>
    </row>
    <row r="8110">
      <c r="N8110" s="6">
        <f>IF(B8110="","",IF(ISNUMBER(B8110),TEXT(B8110,"YYYY-MM"),LEFT(B8110,7)))</f>
        <v/>
      </c>
    </row>
    <row r="8111">
      <c r="N8111" s="6">
        <f>IF(B8111="","",IF(ISNUMBER(B8111),TEXT(B8111,"YYYY-MM"),LEFT(B8111,7)))</f>
        <v/>
      </c>
    </row>
    <row r="8112">
      <c r="N8112" s="6">
        <f>IF(B8112="","",IF(ISNUMBER(B8112),TEXT(B8112,"YYYY-MM"),LEFT(B8112,7)))</f>
        <v/>
      </c>
    </row>
    <row r="8113">
      <c r="N8113" s="6">
        <f>IF(B8113="","",IF(ISNUMBER(B8113),TEXT(B8113,"YYYY-MM"),LEFT(B8113,7)))</f>
        <v/>
      </c>
    </row>
    <row r="8114">
      <c r="N8114" s="6">
        <f>IF(B8114="","",IF(ISNUMBER(B8114),TEXT(B8114,"YYYY-MM"),LEFT(B8114,7)))</f>
        <v/>
      </c>
    </row>
    <row r="8115">
      <c r="N8115" s="6">
        <f>IF(B8115="","",IF(ISNUMBER(B8115),TEXT(B8115,"YYYY-MM"),LEFT(B8115,7)))</f>
        <v/>
      </c>
    </row>
    <row r="8116">
      <c r="N8116" s="6">
        <f>IF(B8116="","",IF(ISNUMBER(B8116),TEXT(B8116,"YYYY-MM"),LEFT(B8116,7)))</f>
        <v/>
      </c>
    </row>
    <row r="8117">
      <c r="N8117" s="6">
        <f>IF(B8117="","",IF(ISNUMBER(B8117),TEXT(B8117,"YYYY-MM"),LEFT(B8117,7)))</f>
        <v/>
      </c>
    </row>
    <row r="8118">
      <c r="N8118" s="6">
        <f>IF(B8118="","",IF(ISNUMBER(B8118),TEXT(B8118,"YYYY-MM"),LEFT(B8118,7)))</f>
        <v/>
      </c>
    </row>
    <row r="8119">
      <c r="N8119" s="6">
        <f>IF(B8119="","",IF(ISNUMBER(B8119),TEXT(B8119,"YYYY-MM"),LEFT(B8119,7)))</f>
        <v/>
      </c>
    </row>
    <row r="8120">
      <c r="N8120" s="6">
        <f>IF(B8120="","",IF(ISNUMBER(B8120),TEXT(B8120,"YYYY-MM"),LEFT(B8120,7)))</f>
        <v/>
      </c>
    </row>
    <row r="8121">
      <c r="N8121" s="6">
        <f>IF(B8121="","",IF(ISNUMBER(B8121),TEXT(B8121,"YYYY-MM"),LEFT(B8121,7)))</f>
        <v/>
      </c>
    </row>
    <row r="8122">
      <c r="N8122" s="6">
        <f>IF(B8122="","",IF(ISNUMBER(B8122),TEXT(B8122,"YYYY-MM"),LEFT(B8122,7)))</f>
        <v/>
      </c>
    </row>
    <row r="8123">
      <c r="N8123" s="6">
        <f>IF(B8123="","",IF(ISNUMBER(B8123),TEXT(B8123,"YYYY-MM"),LEFT(B8123,7)))</f>
        <v/>
      </c>
    </row>
    <row r="8124">
      <c r="N8124" s="6">
        <f>IF(B8124="","",IF(ISNUMBER(B8124),TEXT(B8124,"YYYY-MM"),LEFT(B8124,7)))</f>
        <v/>
      </c>
    </row>
    <row r="8125">
      <c r="N8125" s="6">
        <f>IF(B8125="","",IF(ISNUMBER(B8125),TEXT(B8125,"YYYY-MM"),LEFT(B8125,7)))</f>
        <v/>
      </c>
    </row>
    <row r="8126">
      <c r="N8126" s="6">
        <f>IF(B8126="","",IF(ISNUMBER(B8126),TEXT(B8126,"YYYY-MM"),LEFT(B8126,7)))</f>
        <v/>
      </c>
    </row>
    <row r="8127">
      <c r="N8127" s="6">
        <f>IF(B8127="","",IF(ISNUMBER(B8127),TEXT(B8127,"YYYY-MM"),LEFT(B8127,7)))</f>
        <v/>
      </c>
    </row>
    <row r="8128">
      <c r="N8128" s="6">
        <f>IF(B8128="","",IF(ISNUMBER(B8128),TEXT(B8128,"YYYY-MM"),LEFT(B8128,7)))</f>
        <v/>
      </c>
    </row>
    <row r="8129">
      <c r="N8129" s="6">
        <f>IF(B8129="","",IF(ISNUMBER(B8129),TEXT(B8129,"YYYY-MM"),LEFT(B8129,7)))</f>
        <v/>
      </c>
    </row>
    <row r="8130">
      <c r="N8130" s="6">
        <f>IF(B8130="","",IF(ISNUMBER(B8130),TEXT(B8130,"YYYY-MM"),LEFT(B8130,7)))</f>
        <v/>
      </c>
    </row>
    <row r="8131">
      <c r="N8131" s="6">
        <f>IF(B8131="","",IF(ISNUMBER(B8131),TEXT(B8131,"YYYY-MM"),LEFT(B8131,7)))</f>
        <v/>
      </c>
    </row>
    <row r="8132">
      <c r="N8132" s="6">
        <f>IF(B8132="","",IF(ISNUMBER(B8132),TEXT(B8132,"YYYY-MM"),LEFT(B8132,7)))</f>
        <v/>
      </c>
    </row>
    <row r="8133">
      <c r="N8133" s="6">
        <f>IF(B8133="","",IF(ISNUMBER(B8133),TEXT(B8133,"YYYY-MM"),LEFT(B8133,7)))</f>
        <v/>
      </c>
    </row>
    <row r="8134">
      <c r="N8134" s="6">
        <f>IF(B8134="","",IF(ISNUMBER(B8134),TEXT(B8134,"YYYY-MM"),LEFT(B8134,7)))</f>
        <v/>
      </c>
    </row>
    <row r="8135">
      <c r="N8135" s="6">
        <f>IF(B8135="","",IF(ISNUMBER(B8135),TEXT(B8135,"YYYY-MM"),LEFT(B8135,7)))</f>
        <v/>
      </c>
    </row>
    <row r="8136">
      <c r="N8136" s="6">
        <f>IF(B8136="","",IF(ISNUMBER(B8136),TEXT(B8136,"YYYY-MM"),LEFT(B8136,7)))</f>
        <v/>
      </c>
    </row>
    <row r="8137">
      <c r="N8137" s="6">
        <f>IF(B8137="","",IF(ISNUMBER(B8137),TEXT(B8137,"YYYY-MM"),LEFT(B8137,7)))</f>
        <v/>
      </c>
    </row>
    <row r="8138">
      <c r="N8138" s="6">
        <f>IF(B8138="","",IF(ISNUMBER(B8138),TEXT(B8138,"YYYY-MM"),LEFT(B8138,7)))</f>
        <v/>
      </c>
    </row>
    <row r="8139">
      <c r="N8139" s="6">
        <f>IF(B8139="","",IF(ISNUMBER(B8139),TEXT(B8139,"YYYY-MM"),LEFT(B8139,7)))</f>
        <v/>
      </c>
    </row>
    <row r="8140">
      <c r="N8140" s="6">
        <f>IF(B8140="","",IF(ISNUMBER(B8140),TEXT(B8140,"YYYY-MM"),LEFT(B8140,7)))</f>
        <v/>
      </c>
    </row>
    <row r="8141">
      <c r="N8141" s="6">
        <f>IF(B8141="","",IF(ISNUMBER(B8141),TEXT(B8141,"YYYY-MM"),LEFT(B8141,7)))</f>
        <v/>
      </c>
    </row>
    <row r="8142">
      <c r="N8142" s="6">
        <f>IF(B8142="","",IF(ISNUMBER(B8142),TEXT(B8142,"YYYY-MM"),LEFT(B8142,7)))</f>
        <v/>
      </c>
    </row>
    <row r="8143">
      <c r="N8143" s="6">
        <f>IF(B8143="","",IF(ISNUMBER(B8143),TEXT(B8143,"YYYY-MM"),LEFT(B8143,7)))</f>
        <v/>
      </c>
    </row>
    <row r="8144">
      <c r="N8144" s="6">
        <f>IF(B8144="","",IF(ISNUMBER(B8144),TEXT(B8144,"YYYY-MM"),LEFT(B8144,7)))</f>
        <v/>
      </c>
    </row>
    <row r="8145">
      <c r="N8145" s="6">
        <f>IF(B8145="","",IF(ISNUMBER(B8145),TEXT(B8145,"YYYY-MM"),LEFT(B8145,7)))</f>
        <v/>
      </c>
    </row>
    <row r="8146">
      <c r="N8146" s="6">
        <f>IF(B8146="","",IF(ISNUMBER(B8146),TEXT(B8146,"YYYY-MM"),LEFT(B8146,7)))</f>
        <v/>
      </c>
    </row>
    <row r="8147">
      <c r="N8147" s="6">
        <f>IF(B8147="","",IF(ISNUMBER(B8147),TEXT(B8147,"YYYY-MM"),LEFT(B8147,7)))</f>
        <v/>
      </c>
    </row>
    <row r="8148">
      <c r="N8148" s="6">
        <f>IF(B8148="","",IF(ISNUMBER(B8148),TEXT(B8148,"YYYY-MM"),LEFT(B8148,7)))</f>
        <v/>
      </c>
    </row>
    <row r="8149">
      <c r="N8149" s="6">
        <f>IF(B8149="","",IF(ISNUMBER(B8149),TEXT(B8149,"YYYY-MM"),LEFT(B8149,7)))</f>
        <v/>
      </c>
    </row>
    <row r="8150">
      <c r="N8150" s="6">
        <f>IF(B8150="","",IF(ISNUMBER(B8150),TEXT(B8150,"YYYY-MM"),LEFT(B8150,7)))</f>
        <v/>
      </c>
    </row>
    <row r="8151">
      <c r="N8151" s="6">
        <f>IF(B8151="","",IF(ISNUMBER(B8151),TEXT(B8151,"YYYY-MM"),LEFT(B8151,7)))</f>
        <v/>
      </c>
    </row>
    <row r="8152">
      <c r="N8152" s="6">
        <f>IF(B8152="","",IF(ISNUMBER(B8152),TEXT(B8152,"YYYY-MM"),LEFT(B8152,7)))</f>
        <v/>
      </c>
    </row>
    <row r="8153">
      <c r="N8153" s="6">
        <f>IF(B8153="","",IF(ISNUMBER(B8153),TEXT(B8153,"YYYY-MM"),LEFT(B8153,7)))</f>
        <v/>
      </c>
    </row>
    <row r="8154">
      <c r="N8154" s="6">
        <f>IF(B8154="","",IF(ISNUMBER(B8154),TEXT(B8154,"YYYY-MM"),LEFT(B8154,7)))</f>
        <v/>
      </c>
    </row>
    <row r="8155">
      <c r="N8155" s="6">
        <f>IF(B8155="","",IF(ISNUMBER(B8155),TEXT(B8155,"YYYY-MM"),LEFT(B8155,7)))</f>
        <v/>
      </c>
    </row>
    <row r="8156">
      <c r="N8156" s="6">
        <f>IF(B8156="","",IF(ISNUMBER(B8156),TEXT(B8156,"YYYY-MM"),LEFT(B8156,7)))</f>
        <v/>
      </c>
    </row>
    <row r="8157">
      <c r="N8157" s="6">
        <f>IF(B8157="","",IF(ISNUMBER(B8157),TEXT(B8157,"YYYY-MM"),LEFT(B8157,7)))</f>
        <v/>
      </c>
    </row>
    <row r="8158">
      <c r="N8158" s="6">
        <f>IF(B8158="","",IF(ISNUMBER(B8158),TEXT(B8158,"YYYY-MM"),LEFT(B8158,7)))</f>
        <v/>
      </c>
    </row>
    <row r="8159">
      <c r="N8159" s="6">
        <f>IF(B8159="","",IF(ISNUMBER(B8159),TEXT(B8159,"YYYY-MM"),LEFT(B8159,7)))</f>
        <v/>
      </c>
    </row>
    <row r="8160">
      <c r="N8160" s="6">
        <f>IF(B8160="","",IF(ISNUMBER(B8160),TEXT(B8160,"YYYY-MM"),LEFT(B8160,7)))</f>
        <v/>
      </c>
    </row>
    <row r="8161">
      <c r="N8161" s="6">
        <f>IF(B8161="","",IF(ISNUMBER(B8161),TEXT(B8161,"YYYY-MM"),LEFT(B8161,7)))</f>
        <v/>
      </c>
    </row>
    <row r="8162">
      <c r="N8162" s="6">
        <f>IF(B8162="","",IF(ISNUMBER(B8162),TEXT(B8162,"YYYY-MM"),LEFT(B8162,7)))</f>
        <v/>
      </c>
    </row>
    <row r="8163">
      <c r="N8163" s="6">
        <f>IF(B8163="","",IF(ISNUMBER(B8163),TEXT(B8163,"YYYY-MM"),LEFT(B8163,7)))</f>
        <v/>
      </c>
    </row>
    <row r="8164">
      <c r="N8164" s="6">
        <f>IF(B8164="","",IF(ISNUMBER(B8164),TEXT(B8164,"YYYY-MM"),LEFT(B8164,7)))</f>
        <v/>
      </c>
    </row>
    <row r="8165">
      <c r="N8165" s="6">
        <f>IF(B8165="","",IF(ISNUMBER(B8165),TEXT(B8165,"YYYY-MM"),LEFT(B8165,7)))</f>
        <v/>
      </c>
    </row>
    <row r="8166">
      <c r="N8166" s="6">
        <f>IF(B8166="","",IF(ISNUMBER(B8166),TEXT(B8166,"YYYY-MM"),LEFT(B8166,7)))</f>
        <v/>
      </c>
    </row>
    <row r="8167">
      <c r="N8167" s="6">
        <f>IF(B8167="","",IF(ISNUMBER(B8167),TEXT(B8167,"YYYY-MM"),LEFT(B8167,7)))</f>
        <v/>
      </c>
    </row>
    <row r="8168">
      <c r="N8168" s="6">
        <f>IF(B8168="","",IF(ISNUMBER(B8168),TEXT(B8168,"YYYY-MM"),LEFT(B8168,7)))</f>
        <v/>
      </c>
    </row>
    <row r="8169">
      <c r="N8169" s="6">
        <f>IF(B8169="","",IF(ISNUMBER(B8169),TEXT(B8169,"YYYY-MM"),LEFT(B8169,7)))</f>
        <v/>
      </c>
    </row>
    <row r="8170">
      <c r="N8170" s="6">
        <f>IF(B8170="","",IF(ISNUMBER(B8170),TEXT(B8170,"YYYY-MM"),LEFT(B8170,7)))</f>
        <v/>
      </c>
    </row>
    <row r="8171">
      <c r="N8171" s="6">
        <f>IF(B8171="","",IF(ISNUMBER(B8171),TEXT(B8171,"YYYY-MM"),LEFT(B8171,7)))</f>
        <v/>
      </c>
    </row>
    <row r="8172">
      <c r="N8172" s="6">
        <f>IF(B8172="","",IF(ISNUMBER(B8172),TEXT(B8172,"YYYY-MM"),LEFT(B8172,7)))</f>
        <v/>
      </c>
    </row>
    <row r="8173">
      <c r="N8173" s="6">
        <f>IF(B8173="","",IF(ISNUMBER(B8173),TEXT(B8173,"YYYY-MM"),LEFT(B8173,7)))</f>
        <v/>
      </c>
    </row>
    <row r="8174">
      <c r="N8174" s="6">
        <f>IF(B8174="","",IF(ISNUMBER(B8174),TEXT(B8174,"YYYY-MM"),LEFT(B8174,7)))</f>
        <v/>
      </c>
    </row>
    <row r="8175">
      <c r="N8175" s="6">
        <f>IF(B8175="","",IF(ISNUMBER(B8175),TEXT(B8175,"YYYY-MM"),LEFT(B8175,7)))</f>
        <v/>
      </c>
    </row>
    <row r="8176">
      <c r="N8176" s="6">
        <f>IF(B8176="","",IF(ISNUMBER(B8176),TEXT(B8176,"YYYY-MM"),LEFT(B8176,7)))</f>
        <v/>
      </c>
    </row>
    <row r="8177">
      <c r="N8177" s="6">
        <f>IF(B8177="","",IF(ISNUMBER(B8177),TEXT(B8177,"YYYY-MM"),LEFT(B8177,7)))</f>
        <v/>
      </c>
    </row>
    <row r="8178">
      <c r="N8178" s="6">
        <f>IF(B8178="","",IF(ISNUMBER(B8178),TEXT(B8178,"YYYY-MM"),LEFT(B8178,7)))</f>
        <v/>
      </c>
    </row>
    <row r="8179">
      <c r="N8179" s="6">
        <f>IF(B8179="","",IF(ISNUMBER(B8179),TEXT(B8179,"YYYY-MM"),LEFT(B8179,7)))</f>
        <v/>
      </c>
    </row>
    <row r="8180">
      <c r="N8180" s="6">
        <f>IF(B8180="","",IF(ISNUMBER(B8180),TEXT(B8180,"YYYY-MM"),LEFT(B8180,7)))</f>
        <v/>
      </c>
    </row>
    <row r="8181">
      <c r="N8181" s="6">
        <f>IF(B8181="","",IF(ISNUMBER(B8181),TEXT(B8181,"YYYY-MM"),LEFT(B8181,7)))</f>
        <v/>
      </c>
    </row>
    <row r="8182">
      <c r="N8182" s="6">
        <f>IF(B8182="","",IF(ISNUMBER(B8182),TEXT(B8182,"YYYY-MM"),LEFT(B8182,7)))</f>
        <v/>
      </c>
    </row>
    <row r="8183">
      <c r="N8183" s="6">
        <f>IF(B8183="","",IF(ISNUMBER(B8183),TEXT(B8183,"YYYY-MM"),LEFT(B8183,7)))</f>
        <v/>
      </c>
    </row>
    <row r="8184">
      <c r="N8184" s="6">
        <f>IF(B8184="","",IF(ISNUMBER(B8184),TEXT(B8184,"YYYY-MM"),LEFT(B8184,7)))</f>
        <v/>
      </c>
    </row>
    <row r="8185">
      <c r="N8185" s="6">
        <f>IF(B8185="","",IF(ISNUMBER(B8185),TEXT(B8185,"YYYY-MM"),LEFT(B8185,7)))</f>
        <v/>
      </c>
    </row>
    <row r="8186">
      <c r="N8186" s="6">
        <f>IF(B8186="","",IF(ISNUMBER(B8186),TEXT(B8186,"YYYY-MM"),LEFT(B8186,7)))</f>
        <v/>
      </c>
    </row>
    <row r="8187">
      <c r="N8187" s="6">
        <f>IF(B8187="","",IF(ISNUMBER(B8187),TEXT(B8187,"YYYY-MM"),LEFT(B8187,7)))</f>
        <v/>
      </c>
    </row>
    <row r="8188">
      <c r="N8188" s="6">
        <f>IF(B8188="","",IF(ISNUMBER(B8188),TEXT(B8188,"YYYY-MM"),LEFT(B8188,7)))</f>
        <v/>
      </c>
    </row>
    <row r="8189">
      <c r="N8189" s="6">
        <f>IF(B8189="","",IF(ISNUMBER(B8189),TEXT(B8189,"YYYY-MM"),LEFT(B8189,7)))</f>
        <v/>
      </c>
    </row>
    <row r="8190">
      <c r="N8190" s="6">
        <f>IF(B8190="","",IF(ISNUMBER(B8190),TEXT(B8190,"YYYY-MM"),LEFT(B8190,7)))</f>
        <v/>
      </c>
    </row>
    <row r="8191">
      <c r="N8191" s="6">
        <f>IF(B8191="","",IF(ISNUMBER(B8191),TEXT(B8191,"YYYY-MM"),LEFT(B8191,7)))</f>
        <v/>
      </c>
    </row>
    <row r="8192">
      <c r="N8192" s="6">
        <f>IF(B8192="","",IF(ISNUMBER(B8192),TEXT(B8192,"YYYY-MM"),LEFT(B8192,7)))</f>
        <v/>
      </c>
    </row>
    <row r="8193">
      <c r="N8193" s="6">
        <f>IF(B8193="","",IF(ISNUMBER(B8193),TEXT(B8193,"YYYY-MM"),LEFT(B8193,7)))</f>
        <v/>
      </c>
    </row>
    <row r="8194">
      <c r="N8194" s="6">
        <f>IF(B8194="","",IF(ISNUMBER(B8194),TEXT(B8194,"YYYY-MM"),LEFT(B8194,7)))</f>
        <v/>
      </c>
    </row>
    <row r="8195">
      <c r="N8195" s="6">
        <f>IF(B8195="","",IF(ISNUMBER(B8195),TEXT(B8195,"YYYY-MM"),LEFT(B8195,7)))</f>
        <v/>
      </c>
    </row>
    <row r="8196">
      <c r="N8196" s="6">
        <f>IF(B8196="","",IF(ISNUMBER(B8196),TEXT(B8196,"YYYY-MM"),LEFT(B8196,7)))</f>
        <v/>
      </c>
    </row>
    <row r="8197">
      <c r="N8197" s="6">
        <f>IF(B8197="","",IF(ISNUMBER(B8197),TEXT(B8197,"YYYY-MM"),LEFT(B8197,7)))</f>
        <v/>
      </c>
    </row>
    <row r="8198">
      <c r="N8198" s="6">
        <f>IF(B8198="","",IF(ISNUMBER(B8198),TEXT(B8198,"YYYY-MM"),LEFT(B8198,7)))</f>
        <v/>
      </c>
    </row>
    <row r="8199">
      <c r="N8199" s="6">
        <f>IF(B8199="","",IF(ISNUMBER(B8199),TEXT(B8199,"YYYY-MM"),LEFT(B8199,7)))</f>
        <v/>
      </c>
    </row>
    <row r="8200">
      <c r="N8200" s="6">
        <f>IF(B8200="","",IF(ISNUMBER(B8200),TEXT(B8200,"YYYY-MM"),LEFT(B8200,7)))</f>
        <v/>
      </c>
    </row>
    <row r="8201">
      <c r="N8201" s="6">
        <f>IF(B8201="","",IF(ISNUMBER(B8201),TEXT(B8201,"YYYY-MM"),LEFT(B8201,7)))</f>
        <v/>
      </c>
    </row>
    <row r="8202">
      <c r="N8202" s="6">
        <f>IF(B8202="","",IF(ISNUMBER(B8202),TEXT(B8202,"YYYY-MM"),LEFT(B8202,7)))</f>
        <v/>
      </c>
    </row>
    <row r="8203">
      <c r="N8203" s="6">
        <f>IF(B8203="","",IF(ISNUMBER(B8203),TEXT(B8203,"YYYY-MM"),LEFT(B8203,7)))</f>
        <v/>
      </c>
    </row>
    <row r="8204">
      <c r="N8204" s="6">
        <f>IF(B8204="","",IF(ISNUMBER(B8204),TEXT(B8204,"YYYY-MM"),LEFT(B8204,7)))</f>
        <v/>
      </c>
    </row>
    <row r="8205">
      <c r="N8205" s="6">
        <f>IF(B8205="","",IF(ISNUMBER(B8205),TEXT(B8205,"YYYY-MM"),LEFT(B8205,7)))</f>
        <v/>
      </c>
    </row>
    <row r="8206">
      <c r="N8206" s="6">
        <f>IF(B8206="","",IF(ISNUMBER(B8206),TEXT(B8206,"YYYY-MM"),LEFT(B8206,7)))</f>
        <v/>
      </c>
    </row>
    <row r="8207">
      <c r="N8207" s="6">
        <f>IF(B8207="","",IF(ISNUMBER(B8207),TEXT(B8207,"YYYY-MM"),LEFT(B8207,7)))</f>
        <v/>
      </c>
    </row>
    <row r="8208">
      <c r="N8208" s="6">
        <f>IF(B8208="","",IF(ISNUMBER(B8208),TEXT(B8208,"YYYY-MM"),LEFT(B8208,7)))</f>
        <v/>
      </c>
    </row>
    <row r="8209">
      <c r="N8209" s="6">
        <f>IF(B8209="","",IF(ISNUMBER(B8209),TEXT(B8209,"YYYY-MM"),LEFT(B8209,7)))</f>
        <v/>
      </c>
    </row>
    <row r="8210">
      <c r="N8210" s="6">
        <f>IF(B8210="","",IF(ISNUMBER(B8210),TEXT(B8210,"YYYY-MM"),LEFT(B8210,7)))</f>
        <v/>
      </c>
    </row>
    <row r="8211">
      <c r="N8211" s="6">
        <f>IF(B8211="","",IF(ISNUMBER(B8211),TEXT(B8211,"YYYY-MM"),LEFT(B8211,7)))</f>
        <v/>
      </c>
    </row>
    <row r="8212">
      <c r="N8212" s="6">
        <f>IF(B8212="","",IF(ISNUMBER(B8212),TEXT(B8212,"YYYY-MM"),LEFT(B8212,7)))</f>
        <v/>
      </c>
    </row>
    <row r="8213">
      <c r="N8213" s="6">
        <f>IF(B8213="","",IF(ISNUMBER(B8213),TEXT(B8213,"YYYY-MM"),LEFT(B8213,7)))</f>
        <v/>
      </c>
    </row>
    <row r="8214">
      <c r="N8214" s="6">
        <f>IF(B8214="","",IF(ISNUMBER(B8214),TEXT(B8214,"YYYY-MM"),LEFT(B8214,7)))</f>
        <v/>
      </c>
    </row>
    <row r="8215">
      <c r="N8215" s="6">
        <f>IF(B8215="","",IF(ISNUMBER(B8215),TEXT(B8215,"YYYY-MM"),LEFT(B8215,7)))</f>
        <v/>
      </c>
    </row>
    <row r="8216">
      <c r="N8216" s="6">
        <f>IF(B8216="","",IF(ISNUMBER(B8216),TEXT(B8216,"YYYY-MM"),LEFT(B8216,7)))</f>
        <v/>
      </c>
    </row>
    <row r="8217">
      <c r="N8217" s="6">
        <f>IF(B8217="","",IF(ISNUMBER(B8217),TEXT(B8217,"YYYY-MM"),LEFT(B8217,7)))</f>
        <v/>
      </c>
    </row>
    <row r="8218">
      <c r="N8218" s="6">
        <f>IF(B8218="","",IF(ISNUMBER(B8218),TEXT(B8218,"YYYY-MM"),LEFT(B8218,7)))</f>
        <v/>
      </c>
    </row>
    <row r="8219">
      <c r="N8219" s="6">
        <f>IF(B8219="","",IF(ISNUMBER(B8219),TEXT(B8219,"YYYY-MM"),LEFT(B8219,7)))</f>
        <v/>
      </c>
    </row>
    <row r="8220">
      <c r="N8220" s="6">
        <f>IF(B8220="","",IF(ISNUMBER(B8220),TEXT(B8220,"YYYY-MM"),LEFT(B8220,7)))</f>
        <v/>
      </c>
    </row>
    <row r="8221">
      <c r="N8221" s="6">
        <f>IF(B8221="","",IF(ISNUMBER(B8221),TEXT(B8221,"YYYY-MM"),LEFT(B8221,7)))</f>
        <v/>
      </c>
    </row>
    <row r="8222">
      <c r="N8222" s="6">
        <f>IF(B8222="","",IF(ISNUMBER(B8222),TEXT(B8222,"YYYY-MM"),LEFT(B8222,7)))</f>
        <v/>
      </c>
    </row>
    <row r="8223">
      <c r="N8223" s="6">
        <f>IF(B8223="","",IF(ISNUMBER(B8223),TEXT(B8223,"YYYY-MM"),LEFT(B8223,7)))</f>
        <v/>
      </c>
    </row>
    <row r="8224">
      <c r="N8224" s="6">
        <f>IF(B8224="","",IF(ISNUMBER(B8224),TEXT(B8224,"YYYY-MM"),LEFT(B8224,7)))</f>
        <v/>
      </c>
    </row>
    <row r="8225">
      <c r="N8225" s="6">
        <f>IF(B8225="","",IF(ISNUMBER(B8225),TEXT(B8225,"YYYY-MM"),LEFT(B8225,7)))</f>
        <v/>
      </c>
    </row>
    <row r="8226">
      <c r="N8226" s="6">
        <f>IF(B8226="","",IF(ISNUMBER(B8226),TEXT(B8226,"YYYY-MM"),LEFT(B8226,7)))</f>
        <v/>
      </c>
    </row>
    <row r="8227">
      <c r="N8227" s="6">
        <f>IF(B8227="","",IF(ISNUMBER(B8227),TEXT(B8227,"YYYY-MM"),LEFT(B8227,7)))</f>
        <v/>
      </c>
    </row>
    <row r="8228">
      <c r="N8228" s="6">
        <f>IF(B8228="","",IF(ISNUMBER(B8228),TEXT(B8228,"YYYY-MM"),LEFT(B8228,7)))</f>
        <v/>
      </c>
    </row>
    <row r="8229">
      <c r="N8229" s="6">
        <f>IF(B8229="","",IF(ISNUMBER(B8229),TEXT(B8229,"YYYY-MM"),LEFT(B8229,7)))</f>
        <v/>
      </c>
    </row>
    <row r="8230">
      <c r="N8230" s="6">
        <f>IF(B8230="","",IF(ISNUMBER(B8230),TEXT(B8230,"YYYY-MM"),LEFT(B8230,7)))</f>
        <v/>
      </c>
    </row>
    <row r="8231">
      <c r="N8231" s="6">
        <f>IF(B8231="","",IF(ISNUMBER(B8231),TEXT(B8231,"YYYY-MM"),LEFT(B8231,7)))</f>
        <v/>
      </c>
    </row>
    <row r="8232">
      <c r="N8232" s="6">
        <f>IF(B8232="","",IF(ISNUMBER(B8232),TEXT(B8232,"YYYY-MM"),LEFT(B8232,7)))</f>
        <v/>
      </c>
    </row>
    <row r="8233">
      <c r="N8233" s="6">
        <f>IF(B8233="","",IF(ISNUMBER(B8233),TEXT(B8233,"YYYY-MM"),LEFT(B8233,7)))</f>
        <v/>
      </c>
    </row>
    <row r="8234">
      <c r="N8234" s="6">
        <f>IF(B8234="","",IF(ISNUMBER(B8234),TEXT(B8234,"YYYY-MM"),LEFT(B8234,7)))</f>
        <v/>
      </c>
    </row>
    <row r="8235">
      <c r="N8235" s="6">
        <f>IF(B8235="","",IF(ISNUMBER(B8235),TEXT(B8235,"YYYY-MM"),LEFT(B8235,7)))</f>
        <v/>
      </c>
    </row>
    <row r="8236">
      <c r="N8236" s="6">
        <f>IF(B8236="","",IF(ISNUMBER(B8236),TEXT(B8236,"YYYY-MM"),LEFT(B8236,7)))</f>
        <v/>
      </c>
    </row>
    <row r="8237">
      <c r="N8237" s="6">
        <f>IF(B8237="","",IF(ISNUMBER(B8237),TEXT(B8237,"YYYY-MM"),LEFT(B8237,7)))</f>
        <v/>
      </c>
    </row>
    <row r="8238">
      <c r="N8238" s="6">
        <f>IF(B8238="","",IF(ISNUMBER(B8238),TEXT(B8238,"YYYY-MM"),LEFT(B8238,7)))</f>
        <v/>
      </c>
    </row>
    <row r="8239">
      <c r="N8239" s="6">
        <f>IF(B8239="","",IF(ISNUMBER(B8239),TEXT(B8239,"YYYY-MM"),LEFT(B8239,7)))</f>
        <v/>
      </c>
    </row>
    <row r="8240">
      <c r="N8240" s="6">
        <f>IF(B8240="","",IF(ISNUMBER(B8240),TEXT(B8240,"YYYY-MM"),LEFT(B8240,7)))</f>
        <v/>
      </c>
    </row>
    <row r="8241">
      <c r="N8241" s="6">
        <f>IF(B8241="","",IF(ISNUMBER(B8241),TEXT(B8241,"YYYY-MM"),LEFT(B8241,7)))</f>
        <v/>
      </c>
    </row>
    <row r="8242">
      <c r="N8242" s="6">
        <f>IF(B8242="","",IF(ISNUMBER(B8242),TEXT(B8242,"YYYY-MM"),LEFT(B8242,7)))</f>
        <v/>
      </c>
    </row>
    <row r="8243">
      <c r="N8243" s="6">
        <f>IF(B8243="","",IF(ISNUMBER(B8243),TEXT(B8243,"YYYY-MM"),LEFT(B8243,7)))</f>
        <v/>
      </c>
    </row>
    <row r="8244">
      <c r="N8244" s="6">
        <f>IF(B8244="","",IF(ISNUMBER(B8244),TEXT(B8244,"YYYY-MM"),LEFT(B8244,7)))</f>
        <v/>
      </c>
    </row>
    <row r="8245">
      <c r="N8245" s="6">
        <f>IF(B8245="","",IF(ISNUMBER(B8245),TEXT(B8245,"YYYY-MM"),LEFT(B8245,7)))</f>
        <v/>
      </c>
    </row>
    <row r="8246">
      <c r="N8246" s="6">
        <f>IF(B8246="","",IF(ISNUMBER(B8246),TEXT(B8246,"YYYY-MM"),LEFT(B8246,7)))</f>
        <v/>
      </c>
    </row>
    <row r="8247">
      <c r="N8247" s="6">
        <f>IF(B8247="","",IF(ISNUMBER(B8247),TEXT(B8247,"YYYY-MM"),LEFT(B8247,7)))</f>
        <v/>
      </c>
    </row>
    <row r="8248">
      <c r="N8248" s="6">
        <f>IF(B8248="","",IF(ISNUMBER(B8248),TEXT(B8248,"YYYY-MM"),LEFT(B8248,7)))</f>
        <v/>
      </c>
    </row>
    <row r="8249">
      <c r="N8249" s="6">
        <f>IF(B8249="","",IF(ISNUMBER(B8249),TEXT(B8249,"YYYY-MM"),LEFT(B8249,7)))</f>
        <v/>
      </c>
    </row>
    <row r="8250">
      <c r="N8250" s="6">
        <f>IF(B8250="","",IF(ISNUMBER(B8250),TEXT(B8250,"YYYY-MM"),LEFT(B8250,7)))</f>
        <v/>
      </c>
    </row>
    <row r="8251">
      <c r="N8251" s="6">
        <f>IF(B8251="","",IF(ISNUMBER(B8251),TEXT(B8251,"YYYY-MM"),LEFT(B8251,7)))</f>
        <v/>
      </c>
    </row>
    <row r="8252">
      <c r="N8252" s="6">
        <f>IF(B8252="","",IF(ISNUMBER(B8252),TEXT(B8252,"YYYY-MM"),LEFT(B8252,7)))</f>
        <v/>
      </c>
    </row>
    <row r="8253">
      <c r="N8253" s="6">
        <f>IF(B8253="","",IF(ISNUMBER(B8253),TEXT(B8253,"YYYY-MM"),LEFT(B8253,7)))</f>
        <v/>
      </c>
    </row>
    <row r="8254">
      <c r="N8254" s="6">
        <f>IF(B8254="","",IF(ISNUMBER(B8254),TEXT(B8254,"YYYY-MM"),LEFT(B8254,7)))</f>
        <v/>
      </c>
    </row>
    <row r="8255">
      <c r="N8255" s="6">
        <f>IF(B8255="","",IF(ISNUMBER(B8255),TEXT(B8255,"YYYY-MM"),LEFT(B8255,7)))</f>
        <v/>
      </c>
    </row>
    <row r="8256">
      <c r="N8256" s="6">
        <f>IF(B8256="","",IF(ISNUMBER(B8256),TEXT(B8256,"YYYY-MM"),LEFT(B8256,7)))</f>
        <v/>
      </c>
    </row>
    <row r="8257">
      <c r="N8257" s="6">
        <f>IF(B8257="","",IF(ISNUMBER(B8257),TEXT(B8257,"YYYY-MM"),LEFT(B8257,7)))</f>
        <v/>
      </c>
    </row>
    <row r="8258">
      <c r="N8258" s="6">
        <f>IF(B8258="","",IF(ISNUMBER(B8258),TEXT(B8258,"YYYY-MM"),LEFT(B8258,7)))</f>
        <v/>
      </c>
    </row>
    <row r="8259">
      <c r="N8259" s="6">
        <f>IF(B8259="","",IF(ISNUMBER(B8259),TEXT(B8259,"YYYY-MM"),LEFT(B8259,7)))</f>
        <v/>
      </c>
    </row>
    <row r="8260">
      <c r="N8260" s="6">
        <f>IF(B8260="","",IF(ISNUMBER(B8260),TEXT(B8260,"YYYY-MM"),LEFT(B8260,7)))</f>
        <v/>
      </c>
    </row>
    <row r="8261">
      <c r="N8261" s="6">
        <f>IF(B8261="","",IF(ISNUMBER(B8261),TEXT(B8261,"YYYY-MM"),LEFT(B8261,7)))</f>
        <v/>
      </c>
    </row>
    <row r="8262">
      <c r="N8262" s="6">
        <f>IF(B8262="","",IF(ISNUMBER(B8262),TEXT(B8262,"YYYY-MM"),LEFT(B8262,7)))</f>
        <v/>
      </c>
    </row>
    <row r="8263">
      <c r="N8263" s="6">
        <f>IF(B8263="","",IF(ISNUMBER(B8263),TEXT(B8263,"YYYY-MM"),LEFT(B8263,7)))</f>
        <v/>
      </c>
    </row>
    <row r="8264">
      <c r="N8264" s="6">
        <f>IF(B8264="","",IF(ISNUMBER(B8264),TEXT(B8264,"YYYY-MM"),LEFT(B8264,7)))</f>
        <v/>
      </c>
    </row>
    <row r="8265">
      <c r="N8265" s="6">
        <f>IF(B8265="","",IF(ISNUMBER(B8265),TEXT(B8265,"YYYY-MM"),LEFT(B8265,7)))</f>
        <v/>
      </c>
    </row>
    <row r="8266">
      <c r="N8266" s="6">
        <f>IF(B8266="","",IF(ISNUMBER(B8266),TEXT(B8266,"YYYY-MM"),LEFT(B8266,7)))</f>
        <v/>
      </c>
    </row>
    <row r="8267">
      <c r="N8267" s="6">
        <f>IF(B8267="","",IF(ISNUMBER(B8267),TEXT(B8267,"YYYY-MM"),LEFT(B8267,7)))</f>
        <v/>
      </c>
    </row>
    <row r="8268">
      <c r="N8268" s="6">
        <f>IF(B8268="","",IF(ISNUMBER(B8268),TEXT(B8268,"YYYY-MM"),LEFT(B8268,7)))</f>
        <v/>
      </c>
    </row>
    <row r="8269">
      <c r="N8269" s="6">
        <f>IF(B8269="","",IF(ISNUMBER(B8269),TEXT(B8269,"YYYY-MM"),LEFT(B8269,7)))</f>
        <v/>
      </c>
    </row>
    <row r="8270">
      <c r="N8270" s="6">
        <f>IF(B8270="","",IF(ISNUMBER(B8270),TEXT(B8270,"YYYY-MM"),LEFT(B8270,7)))</f>
        <v/>
      </c>
    </row>
    <row r="8271">
      <c r="N8271" s="6">
        <f>IF(B8271="","",IF(ISNUMBER(B8271),TEXT(B8271,"YYYY-MM"),LEFT(B8271,7)))</f>
        <v/>
      </c>
    </row>
    <row r="8272">
      <c r="N8272" s="6">
        <f>IF(B8272="","",IF(ISNUMBER(B8272),TEXT(B8272,"YYYY-MM"),LEFT(B8272,7)))</f>
        <v/>
      </c>
    </row>
    <row r="8273">
      <c r="N8273" s="6">
        <f>IF(B8273="","",IF(ISNUMBER(B8273),TEXT(B8273,"YYYY-MM"),LEFT(B8273,7)))</f>
        <v/>
      </c>
    </row>
    <row r="8274">
      <c r="N8274" s="6">
        <f>IF(B8274="","",IF(ISNUMBER(B8274),TEXT(B8274,"YYYY-MM"),LEFT(B8274,7)))</f>
        <v/>
      </c>
    </row>
    <row r="8275">
      <c r="N8275" s="6">
        <f>IF(B8275="","",IF(ISNUMBER(B8275),TEXT(B8275,"YYYY-MM"),LEFT(B8275,7)))</f>
        <v/>
      </c>
    </row>
    <row r="8276">
      <c r="N8276" s="6">
        <f>IF(B8276="","",IF(ISNUMBER(B8276),TEXT(B8276,"YYYY-MM"),LEFT(B8276,7)))</f>
        <v/>
      </c>
    </row>
    <row r="8277">
      <c r="N8277" s="6">
        <f>IF(B8277="","",IF(ISNUMBER(B8277),TEXT(B8277,"YYYY-MM"),LEFT(B8277,7)))</f>
        <v/>
      </c>
    </row>
    <row r="8278">
      <c r="N8278" s="6">
        <f>IF(B8278="","",IF(ISNUMBER(B8278),TEXT(B8278,"YYYY-MM"),LEFT(B8278,7)))</f>
        <v/>
      </c>
    </row>
    <row r="8279">
      <c r="N8279" s="6">
        <f>IF(B8279="","",IF(ISNUMBER(B8279),TEXT(B8279,"YYYY-MM"),LEFT(B8279,7)))</f>
        <v/>
      </c>
    </row>
    <row r="8280">
      <c r="N8280" s="6">
        <f>IF(B8280="","",IF(ISNUMBER(B8280),TEXT(B8280,"YYYY-MM"),LEFT(B8280,7)))</f>
        <v/>
      </c>
    </row>
    <row r="8281">
      <c r="N8281" s="6">
        <f>IF(B8281="","",IF(ISNUMBER(B8281),TEXT(B8281,"YYYY-MM"),LEFT(B8281,7)))</f>
        <v/>
      </c>
    </row>
    <row r="8282">
      <c r="N8282" s="6">
        <f>IF(B8282="","",IF(ISNUMBER(B8282),TEXT(B8282,"YYYY-MM"),LEFT(B8282,7)))</f>
        <v/>
      </c>
    </row>
    <row r="8283">
      <c r="N8283" s="6">
        <f>IF(B8283="","",IF(ISNUMBER(B8283),TEXT(B8283,"YYYY-MM"),LEFT(B8283,7)))</f>
        <v/>
      </c>
    </row>
    <row r="8284">
      <c r="N8284" s="6">
        <f>IF(B8284="","",IF(ISNUMBER(B8284),TEXT(B8284,"YYYY-MM"),LEFT(B8284,7)))</f>
        <v/>
      </c>
    </row>
    <row r="8285">
      <c r="N8285" s="6">
        <f>IF(B8285="","",IF(ISNUMBER(B8285),TEXT(B8285,"YYYY-MM"),LEFT(B8285,7)))</f>
        <v/>
      </c>
    </row>
    <row r="8286">
      <c r="N8286" s="6">
        <f>IF(B8286="","",IF(ISNUMBER(B8286),TEXT(B8286,"YYYY-MM"),LEFT(B8286,7)))</f>
        <v/>
      </c>
    </row>
    <row r="8287">
      <c r="N8287" s="6">
        <f>IF(B8287="","",IF(ISNUMBER(B8287),TEXT(B8287,"YYYY-MM"),LEFT(B8287,7)))</f>
        <v/>
      </c>
    </row>
    <row r="8288">
      <c r="N8288" s="6">
        <f>IF(B8288="","",IF(ISNUMBER(B8288),TEXT(B8288,"YYYY-MM"),LEFT(B8288,7)))</f>
        <v/>
      </c>
    </row>
    <row r="8289">
      <c r="N8289" s="6">
        <f>IF(B8289="","",IF(ISNUMBER(B8289),TEXT(B8289,"YYYY-MM"),LEFT(B8289,7)))</f>
        <v/>
      </c>
    </row>
    <row r="8290">
      <c r="N8290" s="6">
        <f>IF(B8290="","",IF(ISNUMBER(B8290),TEXT(B8290,"YYYY-MM"),LEFT(B8290,7)))</f>
        <v/>
      </c>
    </row>
    <row r="8291">
      <c r="N8291" s="6">
        <f>IF(B8291="","",IF(ISNUMBER(B8291),TEXT(B8291,"YYYY-MM"),LEFT(B8291,7)))</f>
        <v/>
      </c>
    </row>
    <row r="8292">
      <c r="N8292" s="6">
        <f>IF(B8292="","",IF(ISNUMBER(B8292),TEXT(B8292,"YYYY-MM"),LEFT(B8292,7)))</f>
        <v/>
      </c>
    </row>
    <row r="8293">
      <c r="N8293" s="6">
        <f>IF(B8293="","",IF(ISNUMBER(B8293),TEXT(B8293,"YYYY-MM"),LEFT(B8293,7)))</f>
        <v/>
      </c>
    </row>
    <row r="8294">
      <c r="N8294" s="6">
        <f>IF(B8294="","",IF(ISNUMBER(B8294),TEXT(B8294,"YYYY-MM"),LEFT(B8294,7)))</f>
        <v/>
      </c>
    </row>
    <row r="8295">
      <c r="N8295" s="6">
        <f>IF(B8295="","",IF(ISNUMBER(B8295),TEXT(B8295,"YYYY-MM"),LEFT(B8295,7)))</f>
        <v/>
      </c>
    </row>
    <row r="8296">
      <c r="N8296" s="6">
        <f>IF(B8296="","",IF(ISNUMBER(B8296),TEXT(B8296,"YYYY-MM"),LEFT(B8296,7)))</f>
        <v/>
      </c>
    </row>
    <row r="8297">
      <c r="N8297" s="6">
        <f>IF(B8297="","",IF(ISNUMBER(B8297),TEXT(B8297,"YYYY-MM"),LEFT(B8297,7)))</f>
        <v/>
      </c>
    </row>
    <row r="8298">
      <c r="N8298" s="6">
        <f>IF(B8298="","",IF(ISNUMBER(B8298),TEXT(B8298,"YYYY-MM"),LEFT(B8298,7)))</f>
        <v/>
      </c>
    </row>
    <row r="8299">
      <c r="N8299" s="6">
        <f>IF(B8299="","",IF(ISNUMBER(B8299),TEXT(B8299,"YYYY-MM"),LEFT(B8299,7)))</f>
        <v/>
      </c>
    </row>
    <row r="8300">
      <c r="N8300" s="6">
        <f>IF(B8300="","",IF(ISNUMBER(B8300),TEXT(B8300,"YYYY-MM"),LEFT(B8300,7)))</f>
        <v/>
      </c>
    </row>
    <row r="8301">
      <c r="N8301" s="6">
        <f>IF(B8301="","",IF(ISNUMBER(B8301),TEXT(B8301,"YYYY-MM"),LEFT(B8301,7)))</f>
        <v/>
      </c>
    </row>
    <row r="8302">
      <c r="N8302" s="6">
        <f>IF(B8302="","",IF(ISNUMBER(B8302),TEXT(B8302,"YYYY-MM"),LEFT(B8302,7)))</f>
        <v/>
      </c>
    </row>
    <row r="8303">
      <c r="N8303" s="6">
        <f>IF(B8303="","",IF(ISNUMBER(B8303),TEXT(B8303,"YYYY-MM"),LEFT(B8303,7)))</f>
        <v/>
      </c>
    </row>
    <row r="8304">
      <c r="N8304" s="6">
        <f>IF(B8304="","",IF(ISNUMBER(B8304),TEXT(B8304,"YYYY-MM"),LEFT(B8304,7)))</f>
        <v/>
      </c>
    </row>
    <row r="8305">
      <c r="N8305" s="6">
        <f>IF(B8305="","",IF(ISNUMBER(B8305),TEXT(B8305,"YYYY-MM"),LEFT(B8305,7)))</f>
        <v/>
      </c>
    </row>
    <row r="8306">
      <c r="N8306" s="6">
        <f>IF(B8306="","",IF(ISNUMBER(B8306),TEXT(B8306,"YYYY-MM"),LEFT(B8306,7)))</f>
        <v/>
      </c>
    </row>
    <row r="8307">
      <c r="N8307" s="6">
        <f>IF(B8307="","",IF(ISNUMBER(B8307),TEXT(B8307,"YYYY-MM"),LEFT(B8307,7)))</f>
        <v/>
      </c>
    </row>
    <row r="8308">
      <c r="N8308" s="6">
        <f>IF(B8308="","",IF(ISNUMBER(B8308),TEXT(B8308,"YYYY-MM"),LEFT(B8308,7)))</f>
        <v/>
      </c>
    </row>
    <row r="8309">
      <c r="N8309" s="6">
        <f>IF(B8309="","",IF(ISNUMBER(B8309),TEXT(B8309,"YYYY-MM"),LEFT(B8309,7)))</f>
        <v/>
      </c>
    </row>
    <row r="8310">
      <c r="N8310" s="6">
        <f>IF(B8310="","",IF(ISNUMBER(B8310),TEXT(B8310,"YYYY-MM"),LEFT(B8310,7)))</f>
        <v/>
      </c>
    </row>
    <row r="8311">
      <c r="N8311" s="6">
        <f>IF(B8311="","",IF(ISNUMBER(B8311),TEXT(B8311,"YYYY-MM"),LEFT(B8311,7)))</f>
        <v/>
      </c>
    </row>
    <row r="8312">
      <c r="N8312" s="6">
        <f>IF(B8312="","",IF(ISNUMBER(B8312),TEXT(B8312,"YYYY-MM"),LEFT(B8312,7)))</f>
        <v/>
      </c>
    </row>
    <row r="8313">
      <c r="N8313" s="6">
        <f>IF(B8313="","",IF(ISNUMBER(B8313),TEXT(B8313,"YYYY-MM"),LEFT(B8313,7)))</f>
        <v/>
      </c>
    </row>
    <row r="8314">
      <c r="N8314" s="6">
        <f>IF(B8314="","",IF(ISNUMBER(B8314),TEXT(B8314,"YYYY-MM"),LEFT(B8314,7)))</f>
        <v/>
      </c>
    </row>
    <row r="8315">
      <c r="N8315" s="6">
        <f>IF(B8315="","",IF(ISNUMBER(B8315),TEXT(B8315,"YYYY-MM"),LEFT(B8315,7)))</f>
        <v/>
      </c>
    </row>
    <row r="8316">
      <c r="N8316" s="6">
        <f>IF(B8316="","",IF(ISNUMBER(B8316),TEXT(B8316,"YYYY-MM"),LEFT(B8316,7)))</f>
        <v/>
      </c>
    </row>
    <row r="8317">
      <c r="N8317" s="6">
        <f>IF(B8317="","",IF(ISNUMBER(B8317),TEXT(B8317,"YYYY-MM"),LEFT(B8317,7)))</f>
        <v/>
      </c>
    </row>
    <row r="8318">
      <c r="N8318" s="6">
        <f>IF(B8318="","",IF(ISNUMBER(B8318),TEXT(B8318,"YYYY-MM"),LEFT(B8318,7)))</f>
        <v/>
      </c>
    </row>
    <row r="8319">
      <c r="N8319" s="6">
        <f>IF(B8319="","",IF(ISNUMBER(B8319),TEXT(B8319,"YYYY-MM"),LEFT(B8319,7)))</f>
        <v/>
      </c>
    </row>
    <row r="8320">
      <c r="N8320" s="6">
        <f>IF(B8320="","",IF(ISNUMBER(B8320),TEXT(B8320,"YYYY-MM"),LEFT(B8320,7)))</f>
        <v/>
      </c>
    </row>
    <row r="8321">
      <c r="N8321" s="6">
        <f>IF(B8321="","",IF(ISNUMBER(B8321),TEXT(B8321,"YYYY-MM"),LEFT(B8321,7)))</f>
        <v/>
      </c>
    </row>
    <row r="8322">
      <c r="N8322" s="6">
        <f>IF(B8322="","",IF(ISNUMBER(B8322),TEXT(B8322,"YYYY-MM"),LEFT(B8322,7)))</f>
        <v/>
      </c>
    </row>
    <row r="8323">
      <c r="N8323" s="6">
        <f>IF(B8323="","",IF(ISNUMBER(B8323),TEXT(B8323,"YYYY-MM"),LEFT(B8323,7)))</f>
        <v/>
      </c>
    </row>
    <row r="8324">
      <c r="N8324" s="6">
        <f>IF(B8324="","",IF(ISNUMBER(B8324),TEXT(B8324,"YYYY-MM"),LEFT(B8324,7)))</f>
        <v/>
      </c>
    </row>
    <row r="8325">
      <c r="N8325" s="6">
        <f>IF(B8325="","",IF(ISNUMBER(B8325),TEXT(B8325,"YYYY-MM"),LEFT(B8325,7)))</f>
        <v/>
      </c>
    </row>
    <row r="8326">
      <c r="N8326" s="6">
        <f>IF(B8326="","",IF(ISNUMBER(B8326),TEXT(B8326,"YYYY-MM"),LEFT(B8326,7)))</f>
        <v/>
      </c>
    </row>
    <row r="8327">
      <c r="N8327" s="6">
        <f>IF(B8327="","",IF(ISNUMBER(B8327),TEXT(B8327,"YYYY-MM"),LEFT(B8327,7)))</f>
        <v/>
      </c>
    </row>
    <row r="8328">
      <c r="N8328" s="6">
        <f>IF(B8328="","",IF(ISNUMBER(B8328),TEXT(B8328,"YYYY-MM"),LEFT(B8328,7)))</f>
        <v/>
      </c>
    </row>
    <row r="8329">
      <c r="N8329" s="6">
        <f>IF(B8329="","",IF(ISNUMBER(B8329),TEXT(B8329,"YYYY-MM"),LEFT(B8329,7)))</f>
        <v/>
      </c>
    </row>
    <row r="8330">
      <c r="N8330" s="6">
        <f>IF(B8330="","",IF(ISNUMBER(B8330),TEXT(B8330,"YYYY-MM"),LEFT(B8330,7)))</f>
        <v/>
      </c>
    </row>
    <row r="8331">
      <c r="N8331" s="6">
        <f>IF(B8331="","",IF(ISNUMBER(B8331),TEXT(B8331,"YYYY-MM"),LEFT(B8331,7)))</f>
        <v/>
      </c>
    </row>
    <row r="8332">
      <c r="N8332" s="6">
        <f>IF(B8332="","",IF(ISNUMBER(B8332),TEXT(B8332,"YYYY-MM"),LEFT(B8332,7)))</f>
        <v/>
      </c>
    </row>
    <row r="8333">
      <c r="N8333" s="6">
        <f>IF(B8333="","",IF(ISNUMBER(B8333),TEXT(B8333,"YYYY-MM"),LEFT(B8333,7)))</f>
        <v/>
      </c>
    </row>
    <row r="8334">
      <c r="N8334" s="6">
        <f>IF(B8334="","",IF(ISNUMBER(B8334),TEXT(B8334,"YYYY-MM"),LEFT(B8334,7)))</f>
        <v/>
      </c>
    </row>
    <row r="8335">
      <c r="N8335" s="6">
        <f>IF(B8335="","",IF(ISNUMBER(B8335),TEXT(B8335,"YYYY-MM"),LEFT(B8335,7)))</f>
        <v/>
      </c>
    </row>
    <row r="8336">
      <c r="N8336" s="6">
        <f>IF(B8336="","",IF(ISNUMBER(B8336),TEXT(B8336,"YYYY-MM"),LEFT(B8336,7)))</f>
        <v/>
      </c>
    </row>
    <row r="8337">
      <c r="N8337" s="6">
        <f>IF(B8337="","",IF(ISNUMBER(B8337),TEXT(B8337,"YYYY-MM"),LEFT(B8337,7)))</f>
        <v/>
      </c>
    </row>
    <row r="8338">
      <c r="N8338" s="6">
        <f>IF(B8338="","",IF(ISNUMBER(B8338),TEXT(B8338,"YYYY-MM"),LEFT(B8338,7)))</f>
        <v/>
      </c>
    </row>
    <row r="8339">
      <c r="N8339" s="6">
        <f>IF(B8339="","",IF(ISNUMBER(B8339),TEXT(B8339,"YYYY-MM"),LEFT(B8339,7)))</f>
        <v/>
      </c>
    </row>
    <row r="8340">
      <c r="N8340" s="6">
        <f>IF(B8340="","",IF(ISNUMBER(B8340),TEXT(B8340,"YYYY-MM"),LEFT(B8340,7)))</f>
        <v/>
      </c>
    </row>
    <row r="8341">
      <c r="N8341" s="6">
        <f>IF(B8341="","",IF(ISNUMBER(B8341),TEXT(B8341,"YYYY-MM"),LEFT(B8341,7)))</f>
        <v/>
      </c>
    </row>
    <row r="8342">
      <c r="N8342" s="6">
        <f>IF(B8342="","",IF(ISNUMBER(B8342),TEXT(B8342,"YYYY-MM"),LEFT(B8342,7)))</f>
        <v/>
      </c>
    </row>
    <row r="8343">
      <c r="N8343" s="6">
        <f>IF(B8343="","",IF(ISNUMBER(B8343),TEXT(B8343,"YYYY-MM"),LEFT(B8343,7)))</f>
        <v/>
      </c>
    </row>
    <row r="8344">
      <c r="N8344" s="6">
        <f>IF(B8344="","",IF(ISNUMBER(B8344),TEXT(B8344,"YYYY-MM"),LEFT(B8344,7)))</f>
        <v/>
      </c>
    </row>
    <row r="8345">
      <c r="N8345" s="6">
        <f>IF(B8345="","",IF(ISNUMBER(B8345),TEXT(B8345,"YYYY-MM"),LEFT(B8345,7)))</f>
        <v/>
      </c>
    </row>
    <row r="8346">
      <c r="N8346" s="6">
        <f>IF(B8346="","",IF(ISNUMBER(B8346),TEXT(B8346,"YYYY-MM"),LEFT(B8346,7)))</f>
        <v/>
      </c>
    </row>
    <row r="8347">
      <c r="N8347" s="6">
        <f>IF(B8347="","",IF(ISNUMBER(B8347),TEXT(B8347,"YYYY-MM"),LEFT(B8347,7)))</f>
        <v/>
      </c>
    </row>
    <row r="8348">
      <c r="N8348" s="6">
        <f>IF(B8348="","",IF(ISNUMBER(B8348),TEXT(B8348,"YYYY-MM"),LEFT(B8348,7)))</f>
        <v/>
      </c>
    </row>
    <row r="8349">
      <c r="N8349" s="6">
        <f>IF(B8349="","",IF(ISNUMBER(B8349),TEXT(B8349,"YYYY-MM"),LEFT(B8349,7)))</f>
        <v/>
      </c>
    </row>
    <row r="8350">
      <c r="N8350" s="6">
        <f>IF(B8350="","",IF(ISNUMBER(B8350),TEXT(B8350,"YYYY-MM"),LEFT(B8350,7)))</f>
        <v/>
      </c>
    </row>
    <row r="8351">
      <c r="N8351" s="6">
        <f>IF(B8351="","",IF(ISNUMBER(B8351),TEXT(B8351,"YYYY-MM"),LEFT(B8351,7)))</f>
        <v/>
      </c>
    </row>
    <row r="8352">
      <c r="N8352" s="6">
        <f>IF(B8352="","",IF(ISNUMBER(B8352),TEXT(B8352,"YYYY-MM"),LEFT(B8352,7)))</f>
        <v/>
      </c>
    </row>
    <row r="8353">
      <c r="N8353" s="6">
        <f>IF(B8353="","",IF(ISNUMBER(B8353),TEXT(B8353,"YYYY-MM"),LEFT(B8353,7)))</f>
        <v/>
      </c>
    </row>
    <row r="8354">
      <c r="N8354" s="6">
        <f>IF(B8354="","",IF(ISNUMBER(B8354),TEXT(B8354,"YYYY-MM"),LEFT(B8354,7)))</f>
        <v/>
      </c>
    </row>
    <row r="8355">
      <c r="N8355" s="6">
        <f>IF(B8355="","",IF(ISNUMBER(B8355),TEXT(B8355,"YYYY-MM"),LEFT(B8355,7)))</f>
        <v/>
      </c>
    </row>
    <row r="8356">
      <c r="N8356" s="6">
        <f>IF(B8356="","",IF(ISNUMBER(B8356),TEXT(B8356,"YYYY-MM"),LEFT(B8356,7)))</f>
        <v/>
      </c>
    </row>
    <row r="8357">
      <c r="N8357" s="6">
        <f>IF(B8357="","",IF(ISNUMBER(B8357),TEXT(B8357,"YYYY-MM"),LEFT(B8357,7)))</f>
        <v/>
      </c>
    </row>
    <row r="8358">
      <c r="N8358" s="6">
        <f>IF(B8358="","",IF(ISNUMBER(B8358),TEXT(B8358,"YYYY-MM"),LEFT(B8358,7)))</f>
        <v/>
      </c>
    </row>
    <row r="8359">
      <c r="N8359" s="6">
        <f>IF(B8359="","",IF(ISNUMBER(B8359),TEXT(B8359,"YYYY-MM"),LEFT(B8359,7)))</f>
        <v/>
      </c>
    </row>
    <row r="8360">
      <c r="N8360" s="6">
        <f>IF(B8360="","",IF(ISNUMBER(B8360),TEXT(B8360,"YYYY-MM"),LEFT(B8360,7)))</f>
        <v/>
      </c>
    </row>
    <row r="8361">
      <c r="N8361" s="6">
        <f>IF(B8361="","",IF(ISNUMBER(B8361),TEXT(B8361,"YYYY-MM"),LEFT(B8361,7)))</f>
        <v/>
      </c>
    </row>
    <row r="8362">
      <c r="N8362" s="6">
        <f>IF(B8362="","",IF(ISNUMBER(B8362),TEXT(B8362,"YYYY-MM"),LEFT(B8362,7)))</f>
        <v/>
      </c>
    </row>
    <row r="8363">
      <c r="N8363" s="6">
        <f>IF(B8363="","",IF(ISNUMBER(B8363),TEXT(B8363,"YYYY-MM"),LEFT(B8363,7)))</f>
        <v/>
      </c>
    </row>
    <row r="8364">
      <c r="N8364" s="6">
        <f>IF(B8364="","",IF(ISNUMBER(B8364),TEXT(B8364,"YYYY-MM"),LEFT(B8364,7)))</f>
        <v/>
      </c>
    </row>
    <row r="8365">
      <c r="N8365" s="6">
        <f>IF(B8365="","",IF(ISNUMBER(B8365),TEXT(B8365,"YYYY-MM"),LEFT(B8365,7)))</f>
        <v/>
      </c>
    </row>
    <row r="8366">
      <c r="N8366" s="6">
        <f>IF(B8366="","",IF(ISNUMBER(B8366),TEXT(B8366,"YYYY-MM"),LEFT(B8366,7)))</f>
        <v/>
      </c>
    </row>
    <row r="8367">
      <c r="N8367" s="6">
        <f>IF(B8367="","",IF(ISNUMBER(B8367),TEXT(B8367,"YYYY-MM"),LEFT(B8367,7)))</f>
        <v/>
      </c>
    </row>
    <row r="8368">
      <c r="N8368" s="6">
        <f>IF(B8368="","",IF(ISNUMBER(B8368),TEXT(B8368,"YYYY-MM"),LEFT(B8368,7)))</f>
        <v/>
      </c>
    </row>
    <row r="8369">
      <c r="N8369" s="6">
        <f>IF(B8369="","",IF(ISNUMBER(B8369),TEXT(B8369,"YYYY-MM"),LEFT(B8369,7)))</f>
        <v/>
      </c>
    </row>
    <row r="8370">
      <c r="N8370" s="6">
        <f>IF(B8370="","",IF(ISNUMBER(B8370),TEXT(B8370,"YYYY-MM"),LEFT(B8370,7)))</f>
        <v/>
      </c>
    </row>
    <row r="8371">
      <c r="N8371" s="6">
        <f>IF(B8371="","",IF(ISNUMBER(B8371),TEXT(B8371,"YYYY-MM"),LEFT(B8371,7)))</f>
        <v/>
      </c>
    </row>
    <row r="8372">
      <c r="N8372" s="6">
        <f>IF(B8372="","",IF(ISNUMBER(B8372),TEXT(B8372,"YYYY-MM"),LEFT(B8372,7)))</f>
        <v/>
      </c>
    </row>
    <row r="8373">
      <c r="N8373" s="6">
        <f>IF(B8373="","",IF(ISNUMBER(B8373),TEXT(B8373,"YYYY-MM"),LEFT(B8373,7)))</f>
        <v/>
      </c>
    </row>
    <row r="8374">
      <c r="N8374" s="6">
        <f>IF(B8374="","",IF(ISNUMBER(B8374),TEXT(B8374,"YYYY-MM"),LEFT(B8374,7)))</f>
        <v/>
      </c>
    </row>
    <row r="8375">
      <c r="N8375" s="6">
        <f>IF(B8375="","",IF(ISNUMBER(B8375),TEXT(B8375,"YYYY-MM"),LEFT(B8375,7)))</f>
        <v/>
      </c>
    </row>
    <row r="8376">
      <c r="N8376" s="6">
        <f>IF(B8376="","",IF(ISNUMBER(B8376),TEXT(B8376,"YYYY-MM"),LEFT(B8376,7)))</f>
        <v/>
      </c>
    </row>
    <row r="8377">
      <c r="N8377" s="6">
        <f>IF(B8377="","",IF(ISNUMBER(B8377),TEXT(B8377,"YYYY-MM"),LEFT(B8377,7)))</f>
        <v/>
      </c>
    </row>
    <row r="8378">
      <c r="N8378" s="6">
        <f>IF(B8378="","",IF(ISNUMBER(B8378),TEXT(B8378,"YYYY-MM"),LEFT(B8378,7)))</f>
        <v/>
      </c>
    </row>
    <row r="8379">
      <c r="N8379" s="6">
        <f>IF(B8379="","",IF(ISNUMBER(B8379),TEXT(B8379,"YYYY-MM"),LEFT(B8379,7)))</f>
        <v/>
      </c>
    </row>
    <row r="8380">
      <c r="N8380" s="6">
        <f>IF(B8380="","",IF(ISNUMBER(B8380),TEXT(B8380,"YYYY-MM"),LEFT(B8380,7)))</f>
        <v/>
      </c>
    </row>
    <row r="8381">
      <c r="N8381" s="6">
        <f>IF(B8381="","",IF(ISNUMBER(B8381),TEXT(B8381,"YYYY-MM"),LEFT(B8381,7)))</f>
        <v/>
      </c>
    </row>
    <row r="8382">
      <c r="N8382" s="6">
        <f>IF(B8382="","",IF(ISNUMBER(B8382),TEXT(B8382,"YYYY-MM"),LEFT(B8382,7)))</f>
        <v/>
      </c>
    </row>
    <row r="8383">
      <c r="N8383" s="6">
        <f>IF(B8383="","",IF(ISNUMBER(B8383),TEXT(B8383,"YYYY-MM"),LEFT(B8383,7)))</f>
        <v/>
      </c>
    </row>
    <row r="8384">
      <c r="N8384" s="6">
        <f>IF(B8384="","",IF(ISNUMBER(B8384),TEXT(B8384,"YYYY-MM"),LEFT(B8384,7)))</f>
        <v/>
      </c>
    </row>
    <row r="8385">
      <c r="N8385" s="6">
        <f>IF(B8385="","",IF(ISNUMBER(B8385),TEXT(B8385,"YYYY-MM"),LEFT(B8385,7)))</f>
        <v/>
      </c>
    </row>
    <row r="8386">
      <c r="N8386" s="6">
        <f>IF(B8386="","",IF(ISNUMBER(B8386),TEXT(B8386,"YYYY-MM"),LEFT(B8386,7)))</f>
        <v/>
      </c>
    </row>
    <row r="8387">
      <c r="N8387" s="6">
        <f>IF(B8387="","",IF(ISNUMBER(B8387),TEXT(B8387,"YYYY-MM"),LEFT(B8387,7)))</f>
        <v/>
      </c>
    </row>
    <row r="8388">
      <c r="N8388" s="6">
        <f>IF(B8388="","",IF(ISNUMBER(B8388),TEXT(B8388,"YYYY-MM"),LEFT(B8388,7)))</f>
        <v/>
      </c>
    </row>
    <row r="8389">
      <c r="N8389" s="6">
        <f>IF(B8389="","",IF(ISNUMBER(B8389),TEXT(B8389,"YYYY-MM"),LEFT(B8389,7)))</f>
        <v/>
      </c>
    </row>
    <row r="8390">
      <c r="N8390" s="6">
        <f>IF(B8390="","",IF(ISNUMBER(B8390),TEXT(B8390,"YYYY-MM"),LEFT(B8390,7)))</f>
        <v/>
      </c>
    </row>
    <row r="8391">
      <c r="N8391" s="6">
        <f>IF(B8391="","",IF(ISNUMBER(B8391),TEXT(B8391,"YYYY-MM"),LEFT(B8391,7)))</f>
        <v/>
      </c>
    </row>
    <row r="8392">
      <c r="N8392" s="6">
        <f>IF(B8392="","",IF(ISNUMBER(B8392),TEXT(B8392,"YYYY-MM"),LEFT(B8392,7)))</f>
        <v/>
      </c>
    </row>
    <row r="8393">
      <c r="N8393" s="6">
        <f>IF(B8393="","",IF(ISNUMBER(B8393),TEXT(B8393,"YYYY-MM"),LEFT(B8393,7)))</f>
        <v/>
      </c>
    </row>
    <row r="8394">
      <c r="N8394" s="6">
        <f>IF(B8394="","",IF(ISNUMBER(B8394),TEXT(B8394,"YYYY-MM"),LEFT(B8394,7)))</f>
        <v/>
      </c>
    </row>
    <row r="8395">
      <c r="N8395" s="6">
        <f>IF(B8395="","",IF(ISNUMBER(B8395),TEXT(B8395,"YYYY-MM"),LEFT(B8395,7)))</f>
        <v/>
      </c>
    </row>
    <row r="8396">
      <c r="N8396" s="6">
        <f>IF(B8396="","",IF(ISNUMBER(B8396),TEXT(B8396,"YYYY-MM"),LEFT(B8396,7)))</f>
        <v/>
      </c>
    </row>
    <row r="8397">
      <c r="N8397" s="6">
        <f>IF(B8397="","",IF(ISNUMBER(B8397),TEXT(B8397,"YYYY-MM"),LEFT(B8397,7)))</f>
        <v/>
      </c>
    </row>
    <row r="8398">
      <c r="N8398" s="6">
        <f>IF(B8398="","",IF(ISNUMBER(B8398),TEXT(B8398,"YYYY-MM"),LEFT(B8398,7)))</f>
        <v/>
      </c>
    </row>
    <row r="8399">
      <c r="N8399" s="6">
        <f>IF(B8399="","",IF(ISNUMBER(B8399),TEXT(B8399,"YYYY-MM"),LEFT(B8399,7)))</f>
        <v/>
      </c>
    </row>
    <row r="8400">
      <c r="N8400" s="6">
        <f>IF(B8400="","",IF(ISNUMBER(B8400),TEXT(B8400,"YYYY-MM"),LEFT(B8400,7)))</f>
        <v/>
      </c>
    </row>
    <row r="8401">
      <c r="N8401" s="6">
        <f>IF(B8401="","",IF(ISNUMBER(B8401),TEXT(B8401,"YYYY-MM"),LEFT(B8401,7)))</f>
        <v/>
      </c>
    </row>
    <row r="8402">
      <c r="N8402" s="6">
        <f>IF(B8402="","",IF(ISNUMBER(B8402),TEXT(B8402,"YYYY-MM"),LEFT(B8402,7)))</f>
        <v/>
      </c>
    </row>
    <row r="8403">
      <c r="N8403" s="6">
        <f>IF(B8403="","",IF(ISNUMBER(B8403),TEXT(B8403,"YYYY-MM"),LEFT(B8403,7)))</f>
        <v/>
      </c>
    </row>
    <row r="8404">
      <c r="N8404" s="6">
        <f>IF(B8404="","",IF(ISNUMBER(B8404),TEXT(B8404,"YYYY-MM"),LEFT(B8404,7)))</f>
        <v/>
      </c>
    </row>
    <row r="8405">
      <c r="N8405" s="6">
        <f>IF(B8405="","",IF(ISNUMBER(B8405),TEXT(B8405,"YYYY-MM"),LEFT(B8405,7)))</f>
        <v/>
      </c>
    </row>
    <row r="8406">
      <c r="N8406" s="6">
        <f>IF(B8406="","",IF(ISNUMBER(B8406),TEXT(B8406,"YYYY-MM"),LEFT(B8406,7)))</f>
        <v/>
      </c>
    </row>
    <row r="8407">
      <c r="N8407" s="6">
        <f>IF(B8407="","",IF(ISNUMBER(B8407),TEXT(B8407,"YYYY-MM"),LEFT(B8407,7)))</f>
        <v/>
      </c>
    </row>
    <row r="8408">
      <c r="N8408" s="6">
        <f>IF(B8408="","",IF(ISNUMBER(B8408),TEXT(B8408,"YYYY-MM"),LEFT(B8408,7)))</f>
        <v/>
      </c>
    </row>
    <row r="8409">
      <c r="N8409" s="6">
        <f>IF(B8409="","",IF(ISNUMBER(B8409),TEXT(B8409,"YYYY-MM"),LEFT(B8409,7)))</f>
        <v/>
      </c>
    </row>
    <row r="8410">
      <c r="N8410" s="6">
        <f>IF(B8410="","",IF(ISNUMBER(B8410),TEXT(B8410,"YYYY-MM"),LEFT(B8410,7)))</f>
        <v/>
      </c>
    </row>
    <row r="8411">
      <c r="N8411" s="6">
        <f>IF(B8411="","",IF(ISNUMBER(B8411),TEXT(B8411,"YYYY-MM"),LEFT(B8411,7)))</f>
        <v/>
      </c>
    </row>
    <row r="8412">
      <c r="N8412" s="6">
        <f>IF(B8412="","",IF(ISNUMBER(B8412),TEXT(B8412,"YYYY-MM"),LEFT(B8412,7)))</f>
        <v/>
      </c>
    </row>
    <row r="8413">
      <c r="N8413" s="6">
        <f>IF(B8413="","",IF(ISNUMBER(B8413),TEXT(B8413,"YYYY-MM"),LEFT(B8413,7)))</f>
        <v/>
      </c>
    </row>
    <row r="8414">
      <c r="N8414" s="6">
        <f>IF(B8414="","",IF(ISNUMBER(B8414),TEXT(B8414,"YYYY-MM"),LEFT(B8414,7)))</f>
        <v/>
      </c>
    </row>
    <row r="8415">
      <c r="N8415" s="6">
        <f>IF(B8415="","",IF(ISNUMBER(B8415),TEXT(B8415,"YYYY-MM"),LEFT(B8415,7)))</f>
        <v/>
      </c>
    </row>
    <row r="8416">
      <c r="N8416" s="6">
        <f>IF(B8416="","",IF(ISNUMBER(B8416),TEXT(B8416,"YYYY-MM"),LEFT(B8416,7)))</f>
        <v/>
      </c>
    </row>
    <row r="8417">
      <c r="N8417" s="6">
        <f>IF(B8417="","",IF(ISNUMBER(B8417),TEXT(B8417,"YYYY-MM"),LEFT(B8417,7)))</f>
        <v/>
      </c>
    </row>
    <row r="8418">
      <c r="N8418" s="6">
        <f>IF(B8418="","",IF(ISNUMBER(B8418),TEXT(B8418,"YYYY-MM"),LEFT(B8418,7)))</f>
        <v/>
      </c>
    </row>
    <row r="8419">
      <c r="N8419" s="6">
        <f>IF(B8419="","",IF(ISNUMBER(B8419),TEXT(B8419,"YYYY-MM"),LEFT(B8419,7)))</f>
        <v/>
      </c>
    </row>
    <row r="8420">
      <c r="N8420" s="6">
        <f>IF(B8420="","",IF(ISNUMBER(B8420),TEXT(B8420,"YYYY-MM"),LEFT(B8420,7)))</f>
        <v/>
      </c>
    </row>
    <row r="8421">
      <c r="N8421" s="6">
        <f>IF(B8421="","",IF(ISNUMBER(B8421),TEXT(B8421,"YYYY-MM"),LEFT(B8421,7)))</f>
        <v/>
      </c>
    </row>
    <row r="8422">
      <c r="N8422" s="6">
        <f>IF(B8422="","",IF(ISNUMBER(B8422),TEXT(B8422,"YYYY-MM"),LEFT(B8422,7)))</f>
        <v/>
      </c>
    </row>
    <row r="8423">
      <c r="N8423" s="6">
        <f>IF(B8423="","",IF(ISNUMBER(B8423),TEXT(B8423,"YYYY-MM"),LEFT(B8423,7)))</f>
        <v/>
      </c>
    </row>
    <row r="8424">
      <c r="N8424" s="6">
        <f>IF(B8424="","",IF(ISNUMBER(B8424),TEXT(B8424,"YYYY-MM"),LEFT(B8424,7)))</f>
        <v/>
      </c>
    </row>
    <row r="8425">
      <c r="N8425" s="6">
        <f>IF(B8425="","",IF(ISNUMBER(B8425),TEXT(B8425,"YYYY-MM"),LEFT(B8425,7)))</f>
        <v/>
      </c>
    </row>
    <row r="8426">
      <c r="N8426" s="6">
        <f>IF(B8426="","",IF(ISNUMBER(B8426),TEXT(B8426,"YYYY-MM"),LEFT(B8426,7)))</f>
        <v/>
      </c>
    </row>
    <row r="8427">
      <c r="N8427" s="6">
        <f>IF(B8427="","",IF(ISNUMBER(B8427),TEXT(B8427,"YYYY-MM"),LEFT(B8427,7)))</f>
        <v/>
      </c>
    </row>
    <row r="8428">
      <c r="N8428" s="6">
        <f>IF(B8428="","",IF(ISNUMBER(B8428),TEXT(B8428,"YYYY-MM"),LEFT(B8428,7)))</f>
        <v/>
      </c>
    </row>
    <row r="8429">
      <c r="N8429" s="6">
        <f>IF(B8429="","",IF(ISNUMBER(B8429),TEXT(B8429,"YYYY-MM"),LEFT(B8429,7)))</f>
        <v/>
      </c>
    </row>
    <row r="8430">
      <c r="N8430" s="6">
        <f>IF(B8430="","",IF(ISNUMBER(B8430),TEXT(B8430,"YYYY-MM"),LEFT(B8430,7)))</f>
        <v/>
      </c>
    </row>
    <row r="8431">
      <c r="N8431" s="6">
        <f>IF(B8431="","",IF(ISNUMBER(B8431),TEXT(B8431,"YYYY-MM"),LEFT(B8431,7)))</f>
        <v/>
      </c>
    </row>
    <row r="8432">
      <c r="N8432" s="6">
        <f>IF(B8432="","",IF(ISNUMBER(B8432),TEXT(B8432,"YYYY-MM"),LEFT(B8432,7)))</f>
        <v/>
      </c>
    </row>
    <row r="8433">
      <c r="N8433" s="6">
        <f>IF(B8433="","",IF(ISNUMBER(B8433),TEXT(B8433,"YYYY-MM"),LEFT(B8433,7)))</f>
        <v/>
      </c>
    </row>
    <row r="8434">
      <c r="N8434" s="6">
        <f>IF(B8434="","",IF(ISNUMBER(B8434),TEXT(B8434,"YYYY-MM"),LEFT(B8434,7)))</f>
        <v/>
      </c>
    </row>
    <row r="8435">
      <c r="N8435" s="6">
        <f>IF(B8435="","",IF(ISNUMBER(B8435),TEXT(B8435,"YYYY-MM"),LEFT(B8435,7)))</f>
        <v/>
      </c>
    </row>
    <row r="8436">
      <c r="N8436" s="6">
        <f>IF(B8436="","",IF(ISNUMBER(B8436),TEXT(B8436,"YYYY-MM"),LEFT(B8436,7)))</f>
        <v/>
      </c>
    </row>
    <row r="8437">
      <c r="N8437" s="6">
        <f>IF(B8437="","",IF(ISNUMBER(B8437),TEXT(B8437,"YYYY-MM"),LEFT(B8437,7)))</f>
        <v/>
      </c>
    </row>
    <row r="8438">
      <c r="N8438" s="6">
        <f>IF(B8438="","",IF(ISNUMBER(B8438),TEXT(B8438,"YYYY-MM"),LEFT(B8438,7)))</f>
        <v/>
      </c>
    </row>
    <row r="8439">
      <c r="N8439" s="6">
        <f>IF(B8439="","",IF(ISNUMBER(B8439),TEXT(B8439,"YYYY-MM"),LEFT(B8439,7)))</f>
        <v/>
      </c>
    </row>
    <row r="8440">
      <c r="N8440" s="6">
        <f>IF(B8440="","",IF(ISNUMBER(B8440),TEXT(B8440,"YYYY-MM"),LEFT(B8440,7)))</f>
        <v/>
      </c>
    </row>
    <row r="8441">
      <c r="N8441" s="6">
        <f>IF(B8441="","",IF(ISNUMBER(B8441),TEXT(B8441,"YYYY-MM"),LEFT(B8441,7)))</f>
        <v/>
      </c>
    </row>
    <row r="8442">
      <c r="N8442" s="6">
        <f>IF(B8442="","",IF(ISNUMBER(B8442),TEXT(B8442,"YYYY-MM"),LEFT(B8442,7)))</f>
        <v/>
      </c>
    </row>
    <row r="8443">
      <c r="N8443" s="6">
        <f>IF(B8443="","",IF(ISNUMBER(B8443),TEXT(B8443,"YYYY-MM"),LEFT(B8443,7)))</f>
        <v/>
      </c>
    </row>
    <row r="8444">
      <c r="N8444" s="6">
        <f>IF(B8444="","",IF(ISNUMBER(B8444),TEXT(B8444,"YYYY-MM"),LEFT(B8444,7)))</f>
        <v/>
      </c>
    </row>
    <row r="8445">
      <c r="N8445" s="6">
        <f>IF(B8445="","",IF(ISNUMBER(B8445),TEXT(B8445,"YYYY-MM"),LEFT(B8445,7)))</f>
        <v/>
      </c>
    </row>
    <row r="8446">
      <c r="N8446" s="6">
        <f>IF(B8446="","",IF(ISNUMBER(B8446),TEXT(B8446,"YYYY-MM"),LEFT(B8446,7)))</f>
        <v/>
      </c>
    </row>
    <row r="8447">
      <c r="N8447" s="6">
        <f>IF(B8447="","",IF(ISNUMBER(B8447),TEXT(B8447,"YYYY-MM"),LEFT(B8447,7)))</f>
        <v/>
      </c>
    </row>
    <row r="8448">
      <c r="N8448" s="6">
        <f>IF(B8448="","",IF(ISNUMBER(B8448),TEXT(B8448,"YYYY-MM"),LEFT(B8448,7)))</f>
        <v/>
      </c>
    </row>
    <row r="8449">
      <c r="N8449" s="6">
        <f>IF(B8449="","",IF(ISNUMBER(B8449),TEXT(B8449,"YYYY-MM"),LEFT(B8449,7)))</f>
        <v/>
      </c>
    </row>
    <row r="8450">
      <c r="N8450" s="6">
        <f>IF(B8450="","",IF(ISNUMBER(B8450),TEXT(B8450,"YYYY-MM"),LEFT(B8450,7)))</f>
        <v/>
      </c>
    </row>
    <row r="8451">
      <c r="N8451" s="6">
        <f>IF(B8451="","",IF(ISNUMBER(B8451),TEXT(B8451,"YYYY-MM"),LEFT(B8451,7)))</f>
        <v/>
      </c>
    </row>
    <row r="8452">
      <c r="N8452" s="6">
        <f>IF(B8452="","",IF(ISNUMBER(B8452),TEXT(B8452,"YYYY-MM"),LEFT(B8452,7)))</f>
        <v/>
      </c>
    </row>
    <row r="8453">
      <c r="N8453" s="6">
        <f>IF(B8453="","",IF(ISNUMBER(B8453),TEXT(B8453,"YYYY-MM"),LEFT(B8453,7)))</f>
        <v/>
      </c>
    </row>
    <row r="8454">
      <c r="N8454" s="6">
        <f>IF(B8454="","",IF(ISNUMBER(B8454),TEXT(B8454,"YYYY-MM"),LEFT(B8454,7)))</f>
        <v/>
      </c>
    </row>
    <row r="8455">
      <c r="N8455" s="6">
        <f>IF(B8455="","",IF(ISNUMBER(B8455),TEXT(B8455,"YYYY-MM"),LEFT(B8455,7)))</f>
        <v/>
      </c>
    </row>
    <row r="8456">
      <c r="N8456" s="6">
        <f>IF(B8456="","",IF(ISNUMBER(B8456),TEXT(B8456,"YYYY-MM"),LEFT(B8456,7)))</f>
        <v/>
      </c>
    </row>
    <row r="8457">
      <c r="N8457" s="6">
        <f>IF(B8457="","",IF(ISNUMBER(B8457),TEXT(B8457,"YYYY-MM"),LEFT(B8457,7)))</f>
        <v/>
      </c>
    </row>
    <row r="8458">
      <c r="N8458" s="6">
        <f>IF(B8458="","",IF(ISNUMBER(B8458),TEXT(B8458,"YYYY-MM"),LEFT(B8458,7)))</f>
        <v/>
      </c>
    </row>
    <row r="8459">
      <c r="N8459" s="6">
        <f>IF(B8459="","",IF(ISNUMBER(B8459),TEXT(B8459,"YYYY-MM"),LEFT(B8459,7)))</f>
        <v/>
      </c>
    </row>
    <row r="8460">
      <c r="N8460" s="6">
        <f>IF(B8460="","",IF(ISNUMBER(B8460),TEXT(B8460,"YYYY-MM"),LEFT(B8460,7)))</f>
        <v/>
      </c>
    </row>
    <row r="8461">
      <c r="N8461" s="6">
        <f>IF(B8461="","",IF(ISNUMBER(B8461),TEXT(B8461,"YYYY-MM"),LEFT(B8461,7)))</f>
        <v/>
      </c>
    </row>
    <row r="8462">
      <c r="N8462" s="6">
        <f>IF(B8462="","",IF(ISNUMBER(B8462),TEXT(B8462,"YYYY-MM"),LEFT(B8462,7)))</f>
        <v/>
      </c>
    </row>
    <row r="8463">
      <c r="N8463" s="6">
        <f>IF(B8463="","",IF(ISNUMBER(B8463),TEXT(B8463,"YYYY-MM"),LEFT(B8463,7)))</f>
        <v/>
      </c>
    </row>
    <row r="8464">
      <c r="N8464" s="6">
        <f>IF(B8464="","",IF(ISNUMBER(B8464),TEXT(B8464,"YYYY-MM"),LEFT(B8464,7)))</f>
        <v/>
      </c>
    </row>
    <row r="8465">
      <c r="N8465" s="6">
        <f>IF(B8465="","",IF(ISNUMBER(B8465),TEXT(B8465,"YYYY-MM"),LEFT(B8465,7)))</f>
        <v/>
      </c>
    </row>
    <row r="8466">
      <c r="N8466" s="6">
        <f>IF(B8466="","",IF(ISNUMBER(B8466),TEXT(B8466,"YYYY-MM"),LEFT(B8466,7)))</f>
        <v/>
      </c>
    </row>
    <row r="8467">
      <c r="N8467" s="6">
        <f>IF(B8467="","",IF(ISNUMBER(B8467),TEXT(B8467,"YYYY-MM"),LEFT(B8467,7)))</f>
        <v/>
      </c>
    </row>
    <row r="8468">
      <c r="N8468" s="6">
        <f>IF(B8468="","",IF(ISNUMBER(B8468),TEXT(B8468,"YYYY-MM"),LEFT(B8468,7)))</f>
        <v/>
      </c>
    </row>
    <row r="8469">
      <c r="N8469" s="6">
        <f>IF(B8469="","",IF(ISNUMBER(B8469),TEXT(B8469,"YYYY-MM"),LEFT(B8469,7)))</f>
        <v/>
      </c>
    </row>
    <row r="8470">
      <c r="N8470" s="6">
        <f>IF(B8470="","",IF(ISNUMBER(B8470),TEXT(B8470,"YYYY-MM"),LEFT(B8470,7)))</f>
        <v/>
      </c>
    </row>
    <row r="8471">
      <c r="N8471" s="6">
        <f>IF(B8471="","",IF(ISNUMBER(B8471),TEXT(B8471,"YYYY-MM"),LEFT(B8471,7)))</f>
        <v/>
      </c>
    </row>
    <row r="8472">
      <c r="N8472" s="6">
        <f>IF(B8472="","",IF(ISNUMBER(B8472),TEXT(B8472,"YYYY-MM"),LEFT(B8472,7)))</f>
        <v/>
      </c>
    </row>
    <row r="8473">
      <c r="N8473" s="6">
        <f>IF(B8473="","",IF(ISNUMBER(B8473),TEXT(B8473,"YYYY-MM"),LEFT(B8473,7)))</f>
        <v/>
      </c>
    </row>
    <row r="8474">
      <c r="N8474" s="6">
        <f>IF(B8474="","",IF(ISNUMBER(B8474),TEXT(B8474,"YYYY-MM"),LEFT(B8474,7)))</f>
        <v/>
      </c>
    </row>
    <row r="8475">
      <c r="N8475" s="6">
        <f>IF(B8475="","",IF(ISNUMBER(B8475),TEXT(B8475,"YYYY-MM"),LEFT(B8475,7)))</f>
        <v/>
      </c>
    </row>
    <row r="8476">
      <c r="N8476" s="6">
        <f>IF(B8476="","",IF(ISNUMBER(B8476),TEXT(B8476,"YYYY-MM"),LEFT(B8476,7)))</f>
        <v/>
      </c>
    </row>
    <row r="8477">
      <c r="N8477" s="6">
        <f>IF(B8477="","",IF(ISNUMBER(B8477),TEXT(B8477,"YYYY-MM"),LEFT(B8477,7)))</f>
        <v/>
      </c>
    </row>
    <row r="8478">
      <c r="N8478" s="6">
        <f>IF(B8478="","",IF(ISNUMBER(B8478),TEXT(B8478,"YYYY-MM"),LEFT(B8478,7)))</f>
        <v/>
      </c>
    </row>
    <row r="8479">
      <c r="N8479" s="6">
        <f>IF(B8479="","",IF(ISNUMBER(B8479),TEXT(B8479,"YYYY-MM"),LEFT(B8479,7)))</f>
        <v/>
      </c>
    </row>
    <row r="8480">
      <c r="N8480" s="6">
        <f>IF(B8480="","",IF(ISNUMBER(B8480),TEXT(B8480,"YYYY-MM"),LEFT(B8480,7)))</f>
        <v/>
      </c>
    </row>
    <row r="8481">
      <c r="N8481" s="6">
        <f>IF(B8481="","",IF(ISNUMBER(B8481),TEXT(B8481,"YYYY-MM"),LEFT(B8481,7)))</f>
        <v/>
      </c>
    </row>
    <row r="8482">
      <c r="N8482" s="6">
        <f>IF(B8482="","",IF(ISNUMBER(B8482),TEXT(B8482,"YYYY-MM"),LEFT(B8482,7)))</f>
        <v/>
      </c>
    </row>
    <row r="8483">
      <c r="N8483" s="6">
        <f>IF(B8483="","",IF(ISNUMBER(B8483),TEXT(B8483,"YYYY-MM"),LEFT(B8483,7)))</f>
        <v/>
      </c>
    </row>
    <row r="8484">
      <c r="N8484" s="6">
        <f>IF(B8484="","",IF(ISNUMBER(B8484),TEXT(B8484,"YYYY-MM"),LEFT(B8484,7)))</f>
        <v/>
      </c>
    </row>
    <row r="8485">
      <c r="N8485" s="6">
        <f>IF(B8485="","",IF(ISNUMBER(B8485),TEXT(B8485,"YYYY-MM"),LEFT(B8485,7)))</f>
        <v/>
      </c>
    </row>
    <row r="8486">
      <c r="N8486" s="6">
        <f>IF(B8486="","",IF(ISNUMBER(B8486),TEXT(B8486,"YYYY-MM"),LEFT(B8486,7)))</f>
        <v/>
      </c>
    </row>
    <row r="8487">
      <c r="N8487" s="6">
        <f>IF(B8487="","",IF(ISNUMBER(B8487),TEXT(B8487,"YYYY-MM"),LEFT(B8487,7)))</f>
        <v/>
      </c>
    </row>
    <row r="8488">
      <c r="N8488" s="6">
        <f>IF(B8488="","",IF(ISNUMBER(B8488),TEXT(B8488,"YYYY-MM"),LEFT(B8488,7)))</f>
        <v/>
      </c>
    </row>
    <row r="8489">
      <c r="N8489" s="6">
        <f>IF(B8489="","",IF(ISNUMBER(B8489),TEXT(B8489,"YYYY-MM"),LEFT(B8489,7)))</f>
        <v/>
      </c>
    </row>
    <row r="8490">
      <c r="N8490" s="6">
        <f>IF(B8490="","",IF(ISNUMBER(B8490),TEXT(B8490,"YYYY-MM"),LEFT(B8490,7)))</f>
        <v/>
      </c>
    </row>
    <row r="8491">
      <c r="N8491" s="6">
        <f>IF(B8491="","",IF(ISNUMBER(B8491),TEXT(B8491,"YYYY-MM"),LEFT(B8491,7)))</f>
        <v/>
      </c>
    </row>
    <row r="8492">
      <c r="N8492" s="6">
        <f>IF(B8492="","",IF(ISNUMBER(B8492),TEXT(B8492,"YYYY-MM"),LEFT(B8492,7)))</f>
        <v/>
      </c>
    </row>
    <row r="8493">
      <c r="N8493" s="6">
        <f>IF(B8493="","",IF(ISNUMBER(B8493),TEXT(B8493,"YYYY-MM"),LEFT(B8493,7)))</f>
        <v/>
      </c>
    </row>
    <row r="8494">
      <c r="N8494" s="6">
        <f>IF(B8494="","",IF(ISNUMBER(B8494),TEXT(B8494,"YYYY-MM"),LEFT(B8494,7)))</f>
        <v/>
      </c>
    </row>
    <row r="8495">
      <c r="N8495" s="6">
        <f>IF(B8495="","",IF(ISNUMBER(B8495),TEXT(B8495,"YYYY-MM"),LEFT(B8495,7)))</f>
        <v/>
      </c>
    </row>
    <row r="8496">
      <c r="N8496" s="6">
        <f>IF(B8496="","",IF(ISNUMBER(B8496),TEXT(B8496,"YYYY-MM"),LEFT(B8496,7)))</f>
        <v/>
      </c>
    </row>
    <row r="8497">
      <c r="N8497" s="6">
        <f>IF(B8497="","",IF(ISNUMBER(B8497),TEXT(B8497,"YYYY-MM"),LEFT(B8497,7)))</f>
        <v/>
      </c>
    </row>
    <row r="8498">
      <c r="N8498" s="6">
        <f>IF(B8498="","",IF(ISNUMBER(B8498),TEXT(B8498,"YYYY-MM"),LEFT(B8498,7)))</f>
        <v/>
      </c>
    </row>
    <row r="8499">
      <c r="N8499" s="6">
        <f>IF(B8499="","",IF(ISNUMBER(B8499),TEXT(B8499,"YYYY-MM"),LEFT(B8499,7)))</f>
        <v/>
      </c>
    </row>
    <row r="8500">
      <c r="N8500" s="6">
        <f>IF(B8500="","",IF(ISNUMBER(B8500),TEXT(B8500,"YYYY-MM"),LEFT(B8500,7)))</f>
        <v/>
      </c>
    </row>
    <row r="8501">
      <c r="N8501" s="6">
        <f>IF(B8501="","",IF(ISNUMBER(B8501),TEXT(B8501,"YYYY-MM"),LEFT(B8501,7)))</f>
        <v/>
      </c>
    </row>
    <row r="8502">
      <c r="N8502" s="6">
        <f>IF(B8502="","",IF(ISNUMBER(B8502),TEXT(B8502,"YYYY-MM"),LEFT(B8502,7)))</f>
        <v/>
      </c>
    </row>
    <row r="8503">
      <c r="N8503" s="6">
        <f>IF(B8503="","",IF(ISNUMBER(B8503),TEXT(B8503,"YYYY-MM"),LEFT(B8503,7)))</f>
        <v/>
      </c>
    </row>
    <row r="8504">
      <c r="N8504" s="6">
        <f>IF(B8504="","",IF(ISNUMBER(B8504),TEXT(B8504,"YYYY-MM"),LEFT(B8504,7)))</f>
        <v/>
      </c>
    </row>
    <row r="8505">
      <c r="N8505" s="6">
        <f>IF(B8505="","",IF(ISNUMBER(B8505),TEXT(B8505,"YYYY-MM"),LEFT(B8505,7)))</f>
        <v/>
      </c>
    </row>
    <row r="8506">
      <c r="N8506" s="6">
        <f>IF(B8506="","",IF(ISNUMBER(B8506),TEXT(B8506,"YYYY-MM"),LEFT(B8506,7)))</f>
        <v/>
      </c>
    </row>
    <row r="8507">
      <c r="N8507" s="6">
        <f>IF(B8507="","",IF(ISNUMBER(B8507),TEXT(B8507,"YYYY-MM"),LEFT(B8507,7)))</f>
        <v/>
      </c>
    </row>
    <row r="8508">
      <c r="N8508" s="6">
        <f>IF(B8508="","",IF(ISNUMBER(B8508),TEXT(B8508,"YYYY-MM"),LEFT(B8508,7)))</f>
        <v/>
      </c>
    </row>
    <row r="8509">
      <c r="N8509" s="6">
        <f>IF(B8509="","",IF(ISNUMBER(B8509),TEXT(B8509,"YYYY-MM"),LEFT(B8509,7)))</f>
        <v/>
      </c>
    </row>
    <row r="8510">
      <c r="N8510" s="6">
        <f>IF(B8510="","",IF(ISNUMBER(B8510),TEXT(B8510,"YYYY-MM"),LEFT(B8510,7)))</f>
        <v/>
      </c>
    </row>
    <row r="8511">
      <c r="N8511" s="6">
        <f>IF(B8511="","",IF(ISNUMBER(B8511),TEXT(B8511,"YYYY-MM"),LEFT(B8511,7)))</f>
        <v/>
      </c>
    </row>
    <row r="8512">
      <c r="N8512" s="6">
        <f>IF(B8512="","",IF(ISNUMBER(B8512),TEXT(B8512,"YYYY-MM"),LEFT(B8512,7)))</f>
        <v/>
      </c>
    </row>
    <row r="8513">
      <c r="N8513" s="6">
        <f>IF(B8513="","",IF(ISNUMBER(B8513),TEXT(B8513,"YYYY-MM"),LEFT(B8513,7)))</f>
        <v/>
      </c>
    </row>
    <row r="8514">
      <c r="N8514" s="6">
        <f>IF(B8514="","",IF(ISNUMBER(B8514),TEXT(B8514,"YYYY-MM"),LEFT(B8514,7)))</f>
        <v/>
      </c>
    </row>
    <row r="8515">
      <c r="N8515" s="6">
        <f>IF(B8515="","",IF(ISNUMBER(B8515),TEXT(B8515,"YYYY-MM"),LEFT(B8515,7)))</f>
        <v/>
      </c>
    </row>
    <row r="8516">
      <c r="N8516" s="6">
        <f>IF(B8516="","",IF(ISNUMBER(B8516),TEXT(B8516,"YYYY-MM"),LEFT(B8516,7)))</f>
        <v/>
      </c>
    </row>
    <row r="8517">
      <c r="N8517" s="6">
        <f>IF(B8517="","",IF(ISNUMBER(B8517),TEXT(B8517,"YYYY-MM"),LEFT(B8517,7)))</f>
        <v/>
      </c>
    </row>
    <row r="8518">
      <c r="N8518" s="6">
        <f>IF(B8518="","",IF(ISNUMBER(B8518),TEXT(B8518,"YYYY-MM"),LEFT(B8518,7)))</f>
        <v/>
      </c>
    </row>
    <row r="8519">
      <c r="N8519" s="6">
        <f>IF(B8519="","",IF(ISNUMBER(B8519),TEXT(B8519,"YYYY-MM"),LEFT(B8519,7)))</f>
        <v/>
      </c>
    </row>
    <row r="8520">
      <c r="N8520" s="6">
        <f>IF(B8520="","",IF(ISNUMBER(B8520),TEXT(B8520,"YYYY-MM"),LEFT(B8520,7)))</f>
        <v/>
      </c>
    </row>
    <row r="8521">
      <c r="N8521" s="6">
        <f>IF(B8521="","",IF(ISNUMBER(B8521),TEXT(B8521,"YYYY-MM"),LEFT(B8521,7)))</f>
        <v/>
      </c>
    </row>
    <row r="8522">
      <c r="N8522" s="6">
        <f>IF(B8522="","",IF(ISNUMBER(B8522),TEXT(B8522,"YYYY-MM"),LEFT(B8522,7)))</f>
        <v/>
      </c>
    </row>
    <row r="8523">
      <c r="N8523" s="6">
        <f>IF(B8523="","",IF(ISNUMBER(B8523),TEXT(B8523,"YYYY-MM"),LEFT(B8523,7)))</f>
        <v/>
      </c>
    </row>
    <row r="8524">
      <c r="N8524" s="6">
        <f>IF(B8524="","",IF(ISNUMBER(B8524),TEXT(B8524,"YYYY-MM"),LEFT(B8524,7)))</f>
        <v/>
      </c>
    </row>
    <row r="8525">
      <c r="N8525" s="6">
        <f>IF(B8525="","",IF(ISNUMBER(B8525),TEXT(B8525,"YYYY-MM"),LEFT(B8525,7)))</f>
        <v/>
      </c>
    </row>
    <row r="8526">
      <c r="N8526" s="6">
        <f>IF(B8526="","",IF(ISNUMBER(B8526),TEXT(B8526,"YYYY-MM"),LEFT(B8526,7)))</f>
        <v/>
      </c>
    </row>
    <row r="8527">
      <c r="N8527" s="6">
        <f>IF(B8527="","",IF(ISNUMBER(B8527),TEXT(B8527,"YYYY-MM"),LEFT(B8527,7)))</f>
        <v/>
      </c>
    </row>
    <row r="8528">
      <c r="N8528" s="6">
        <f>IF(B8528="","",IF(ISNUMBER(B8528),TEXT(B8528,"YYYY-MM"),LEFT(B8528,7)))</f>
        <v/>
      </c>
    </row>
    <row r="8529">
      <c r="N8529" s="6">
        <f>IF(B8529="","",IF(ISNUMBER(B8529),TEXT(B8529,"YYYY-MM"),LEFT(B8529,7)))</f>
        <v/>
      </c>
    </row>
    <row r="8530">
      <c r="N8530" s="6">
        <f>IF(B8530="","",IF(ISNUMBER(B8530),TEXT(B8530,"YYYY-MM"),LEFT(B8530,7)))</f>
        <v/>
      </c>
    </row>
    <row r="8531">
      <c r="N8531" s="6">
        <f>IF(B8531="","",IF(ISNUMBER(B8531),TEXT(B8531,"YYYY-MM"),LEFT(B8531,7)))</f>
        <v/>
      </c>
    </row>
    <row r="8532">
      <c r="N8532" s="6">
        <f>IF(B8532="","",IF(ISNUMBER(B8532),TEXT(B8532,"YYYY-MM"),LEFT(B8532,7)))</f>
        <v/>
      </c>
    </row>
    <row r="8533">
      <c r="N8533" s="6">
        <f>IF(B8533="","",IF(ISNUMBER(B8533),TEXT(B8533,"YYYY-MM"),LEFT(B8533,7)))</f>
        <v/>
      </c>
    </row>
    <row r="8534">
      <c r="N8534" s="6">
        <f>IF(B8534="","",IF(ISNUMBER(B8534),TEXT(B8534,"YYYY-MM"),LEFT(B8534,7)))</f>
        <v/>
      </c>
    </row>
    <row r="8535">
      <c r="N8535" s="6">
        <f>IF(B8535="","",IF(ISNUMBER(B8535),TEXT(B8535,"YYYY-MM"),LEFT(B8535,7)))</f>
        <v/>
      </c>
    </row>
    <row r="8536">
      <c r="N8536" s="6">
        <f>IF(B8536="","",IF(ISNUMBER(B8536),TEXT(B8536,"YYYY-MM"),LEFT(B8536,7)))</f>
        <v/>
      </c>
    </row>
    <row r="8537">
      <c r="N8537" s="6">
        <f>IF(B8537="","",IF(ISNUMBER(B8537),TEXT(B8537,"YYYY-MM"),LEFT(B8537,7)))</f>
        <v/>
      </c>
    </row>
    <row r="8538">
      <c r="N8538" s="6">
        <f>IF(B8538="","",IF(ISNUMBER(B8538),TEXT(B8538,"YYYY-MM"),LEFT(B8538,7)))</f>
        <v/>
      </c>
    </row>
    <row r="8539">
      <c r="N8539" s="6">
        <f>IF(B8539="","",IF(ISNUMBER(B8539),TEXT(B8539,"YYYY-MM"),LEFT(B8539,7)))</f>
        <v/>
      </c>
    </row>
    <row r="8540">
      <c r="N8540" s="6">
        <f>IF(B8540="","",IF(ISNUMBER(B8540),TEXT(B8540,"YYYY-MM"),LEFT(B8540,7)))</f>
        <v/>
      </c>
    </row>
    <row r="8541">
      <c r="N8541" s="6">
        <f>IF(B8541="","",IF(ISNUMBER(B8541),TEXT(B8541,"YYYY-MM"),LEFT(B8541,7)))</f>
        <v/>
      </c>
    </row>
    <row r="8542">
      <c r="N8542" s="6">
        <f>IF(B8542="","",IF(ISNUMBER(B8542),TEXT(B8542,"YYYY-MM"),LEFT(B8542,7)))</f>
        <v/>
      </c>
    </row>
    <row r="8543">
      <c r="N8543" s="6">
        <f>IF(B8543="","",IF(ISNUMBER(B8543),TEXT(B8543,"YYYY-MM"),LEFT(B8543,7)))</f>
        <v/>
      </c>
    </row>
    <row r="8544">
      <c r="N8544" s="6">
        <f>IF(B8544="","",IF(ISNUMBER(B8544),TEXT(B8544,"YYYY-MM"),LEFT(B8544,7)))</f>
        <v/>
      </c>
    </row>
    <row r="8545">
      <c r="N8545" s="6">
        <f>IF(B8545="","",IF(ISNUMBER(B8545),TEXT(B8545,"YYYY-MM"),LEFT(B8545,7)))</f>
        <v/>
      </c>
    </row>
    <row r="8546">
      <c r="N8546" s="6">
        <f>IF(B8546="","",IF(ISNUMBER(B8546),TEXT(B8546,"YYYY-MM"),LEFT(B8546,7)))</f>
        <v/>
      </c>
    </row>
    <row r="8547">
      <c r="N8547" s="6">
        <f>IF(B8547="","",IF(ISNUMBER(B8547),TEXT(B8547,"YYYY-MM"),LEFT(B8547,7)))</f>
        <v/>
      </c>
    </row>
    <row r="8548">
      <c r="N8548" s="6">
        <f>IF(B8548="","",IF(ISNUMBER(B8548),TEXT(B8548,"YYYY-MM"),LEFT(B8548,7)))</f>
        <v/>
      </c>
    </row>
    <row r="8549">
      <c r="N8549" s="6">
        <f>IF(B8549="","",IF(ISNUMBER(B8549),TEXT(B8549,"YYYY-MM"),LEFT(B8549,7)))</f>
        <v/>
      </c>
    </row>
    <row r="8550">
      <c r="N8550" s="6">
        <f>IF(B8550="","",IF(ISNUMBER(B8550),TEXT(B8550,"YYYY-MM"),LEFT(B8550,7)))</f>
        <v/>
      </c>
    </row>
    <row r="8551">
      <c r="N8551" s="6">
        <f>IF(B8551="","",IF(ISNUMBER(B8551),TEXT(B8551,"YYYY-MM"),LEFT(B8551,7)))</f>
        <v/>
      </c>
    </row>
    <row r="8552">
      <c r="N8552" s="6">
        <f>IF(B8552="","",IF(ISNUMBER(B8552),TEXT(B8552,"YYYY-MM"),LEFT(B8552,7)))</f>
        <v/>
      </c>
    </row>
    <row r="8553">
      <c r="N8553" s="6">
        <f>IF(B8553="","",IF(ISNUMBER(B8553),TEXT(B8553,"YYYY-MM"),LEFT(B8553,7)))</f>
        <v/>
      </c>
    </row>
    <row r="8554">
      <c r="N8554" s="6">
        <f>IF(B8554="","",IF(ISNUMBER(B8554),TEXT(B8554,"YYYY-MM"),LEFT(B8554,7)))</f>
        <v/>
      </c>
    </row>
    <row r="8555">
      <c r="N8555" s="6">
        <f>IF(B8555="","",IF(ISNUMBER(B8555),TEXT(B8555,"YYYY-MM"),LEFT(B8555,7)))</f>
        <v/>
      </c>
    </row>
    <row r="8556">
      <c r="N8556" s="6">
        <f>IF(B8556="","",IF(ISNUMBER(B8556),TEXT(B8556,"YYYY-MM"),LEFT(B8556,7)))</f>
        <v/>
      </c>
    </row>
    <row r="8557">
      <c r="N8557" s="6">
        <f>IF(B8557="","",IF(ISNUMBER(B8557),TEXT(B8557,"YYYY-MM"),LEFT(B8557,7)))</f>
        <v/>
      </c>
    </row>
    <row r="8558">
      <c r="N8558" s="6">
        <f>IF(B8558="","",IF(ISNUMBER(B8558),TEXT(B8558,"YYYY-MM"),LEFT(B8558,7)))</f>
        <v/>
      </c>
    </row>
    <row r="8559">
      <c r="N8559" s="6">
        <f>IF(B8559="","",IF(ISNUMBER(B8559),TEXT(B8559,"YYYY-MM"),LEFT(B8559,7)))</f>
        <v/>
      </c>
    </row>
    <row r="8560">
      <c r="N8560" s="6">
        <f>IF(B8560="","",IF(ISNUMBER(B8560),TEXT(B8560,"YYYY-MM"),LEFT(B8560,7)))</f>
        <v/>
      </c>
    </row>
    <row r="8561">
      <c r="N8561" s="6">
        <f>IF(B8561="","",IF(ISNUMBER(B8561),TEXT(B8561,"YYYY-MM"),LEFT(B8561,7)))</f>
        <v/>
      </c>
    </row>
    <row r="8562">
      <c r="N8562" s="6">
        <f>IF(B8562="","",IF(ISNUMBER(B8562),TEXT(B8562,"YYYY-MM"),LEFT(B8562,7)))</f>
        <v/>
      </c>
    </row>
    <row r="8563">
      <c r="N8563" s="6">
        <f>IF(B8563="","",IF(ISNUMBER(B8563),TEXT(B8563,"YYYY-MM"),LEFT(B8563,7)))</f>
        <v/>
      </c>
    </row>
    <row r="8564">
      <c r="N8564" s="6">
        <f>IF(B8564="","",IF(ISNUMBER(B8564),TEXT(B8564,"YYYY-MM"),LEFT(B8564,7)))</f>
        <v/>
      </c>
    </row>
    <row r="8565">
      <c r="N8565" s="6">
        <f>IF(B8565="","",IF(ISNUMBER(B8565),TEXT(B8565,"YYYY-MM"),LEFT(B8565,7)))</f>
        <v/>
      </c>
    </row>
    <row r="8566">
      <c r="N8566" s="6">
        <f>IF(B8566="","",IF(ISNUMBER(B8566),TEXT(B8566,"YYYY-MM"),LEFT(B8566,7)))</f>
        <v/>
      </c>
    </row>
    <row r="8567">
      <c r="N8567" s="6">
        <f>IF(B8567="","",IF(ISNUMBER(B8567),TEXT(B8567,"YYYY-MM"),LEFT(B8567,7)))</f>
        <v/>
      </c>
    </row>
    <row r="8568">
      <c r="N8568" s="6">
        <f>IF(B8568="","",IF(ISNUMBER(B8568),TEXT(B8568,"YYYY-MM"),LEFT(B8568,7)))</f>
        <v/>
      </c>
    </row>
    <row r="8569">
      <c r="N8569" s="6">
        <f>IF(B8569="","",IF(ISNUMBER(B8569),TEXT(B8569,"YYYY-MM"),LEFT(B8569,7)))</f>
        <v/>
      </c>
    </row>
    <row r="8570">
      <c r="N8570" s="6">
        <f>IF(B8570="","",IF(ISNUMBER(B8570),TEXT(B8570,"YYYY-MM"),LEFT(B8570,7)))</f>
        <v/>
      </c>
    </row>
    <row r="8571">
      <c r="N8571" s="6">
        <f>IF(B8571="","",IF(ISNUMBER(B8571),TEXT(B8571,"YYYY-MM"),LEFT(B8571,7)))</f>
        <v/>
      </c>
    </row>
    <row r="8572">
      <c r="N8572" s="6">
        <f>IF(B8572="","",IF(ISNUMBER(B8572),TEXT(B8572,"YYYY-MM"),LEFT(B8572,7)))</f>
        <v/>
      </c>
    </row>
    <row r="8573">
      <c r="N8573" s="6">
        <f>IF(B8573="","",IF(ISNUMBER(B8573),TEXT(B8573,"YYYY-MM"),LEFT(B8573,7)))</f>
        <v/>
      </c>
    </row>
    <row r="8574">
      <c r="N8574" s="6">
        <f>IF(B8574="","",IF(ISNUMBER(B8574),TEXT(B8574,"YYYY-MM"),LEFT(B8574,7)))</f>
        <v/>
      </c>
    </row>
    <row r="8575">
      <c r="N8575" s="6">
        <f>IF(B8575="","",IF(ISNUMBER(B8575),TEXT(B8575,"YYYY-MM"),LEFT(B8575,7)))</f>
        <v/>
      </c>
    </row>
    <row r="8576">
      <c r="N8576" s="6">
        <f>IF(B8576="","",IF(ISNUMBER(B8576),TEXT(B8576,"YYYY-MM"),LEFT(B8576,7)))</f>
        <v/>
      </c>
    </row>
    <row r="8577">
      <c r="N8577" s="6">
        <f>IF(B8577="","",IF(ISNUMBER(B8577),TEXT(B8577,"YYYY-MM"),LEFT(B8577,7)))</f>
        <v/>
      </c>
    </row>
    <row r="8578">
      <c r="N8578" s="6">
        <f>IF(B8578="","",IF(ISNUMBER(B8578),TEXT(B8578,"YYYY-MM"),LEFT(B8578,7)))</f>
        <v/>
      </c>
    </row>
    <row r="8579">
      <c r="N8579" s="6">
        <f>IF(B8579="","",IF(ISNUMBER(B8579),TEXT(B8579,"YYYY-MM"),LEFT(B8579,7)))</f>
        <v/>
      </c>
    </row>
    <row r="8580">
      <c r="N8580" s="6">
        <f>IF(B8580="","",IF(ISNUMBER(B8580),TEXT(B8580,"YYYY-MM"),LEFT(B8580,7)))</f>
        <v/>
      </c>
    </row>
    <row r="8581">
      <c r="N8581" s="6">
        <f>IF(B8581="","",IF(ISNUMBER(B8581),TEXT(B8581,"YYYY-MM"),LEFT(B8581,7)))</f>
        <v/>
      </c>
    </row>
    <row r="8582">
      <c r="N8582" s="6">
        <f>IF(B8582="","",IF(ISNUMBER(B8582),TEXT(B8582,"YYYY-MM"),LEFT(B8582,7)))</f>
        <v/>
      </c>
    </row>
    <row r="8583">
      <c r="N8583" s="6">
        <f>IF(B8583="","",IF(ISNUMBER(B8583),TEXT(B8583,"YYYY-MM"),LEFT(B8583,7)))</f>
        <v/>
      </c>
    </row>
    <row r="8584">
      <c r="N8584" s="6">
        <f>IF(B8584="","",IF(ISNUMBER(B8584),TEXT(B8584,"YYYY-MM"),LEFT(B8584,7)))</f>
        <v/>
      </c>
    </row>
    <row r="8585">
      <c r="N8585" s="6">
        <f>IF(B8585="","",IF(ISNUMBER(B8585),TEXT(B8585,"YYYY-MM"),LEFT(B8585,7)))</f>
        <v/>
      </c>
    </row>
    <row r="8586">
      <c r="N8586" s="6">
        <f>IF(B8586="","",IF(ISNUMBER(B8586),TEXT(B8586,"YYYY-MM"),LEFT(B8586,7)))</f>
        <v/>
      </c>
    </row>
    <row r="8587">
      <c r="N8587" s="6">
        <f>IF(B8587="","",IF(ISNUMBER(B8587),TEXT(B8587,"YYYY-MM"),LEFT(B8587,7)))</f>
        <v/>
      </c>
    </row>
    <row r="8588">
      <c r="N8588" s="6">
        <f>IF(B8588="","",IF(ISNUMBER(B8588),TEXT(B8588,"YYYY-MM"),LEFT(B8588,7)))</f>
        <v/>
      </c>
    </row>
    <row r="8589">
      <c r="N8589" s="6">
        <f>IF(B8589="","",IF(ISNUMBER(B8589),TEXT(B8589,"YYYY-MM"),LEFT(B8589,7)))</f>
        <v/>
      </c>
    </row>
    <row r="8590">
      <c r="N8590" s="6">
        <f>IF(B8590="","",IF(ISNUMBER(B8590),TEXT(B8590,"YYYY-MM"),LEFT(B8590,7)))</f>
        <v/>
      </c>
    </row>
    <row r="8591">
      <c r="N8591" s="6">
        <f>IF(B8591="","",IF(ISNUMBER(B8591),TEXT(B8591,"YYYY-MM"),LEFT(B8591,7)))</f>
        <v/>
      </c>
    </row>
    <row r="8592">
      <c r="N8592" s="6">
        <f>IF(B8592="","",IF(ISNUMBER(B8592),TEXT(B8592,"YYYY-MM"),LEFT(B8592,7)))</f>
        <v/>
      </c>
    </row>
    <row r="8593">
      <c r="N8593" s="6">
        <f>IF(B8593="","",IF(ISNUMBER(B8593),TEXT(B8593,"YYYY-MM"),LEFT(B8593,7)))</f>
        <v/>
      </c>
    </row>
    <row r="8594">
      <c r="N8594" s="6">
        <f>IF(B8594="","",IF(ISNUMBER(B8594),TEXT(B8594,"YYYY-MM"),LEFT(B8594,7)))</f>
        <v/>
      </c>
    </row>
    <row r="8595">
      <c r="N8595" s="6">
        <f>IF(B8595="","",IF(ISNUMBER(B8595),TEXT(B8595,"YYYY-MM"),LEFT(B8595,7)))</f>
        <v/>
      </c>
    </row>
    <row r="8596">
      <c r="N8596" s="6">
        <f>IF(B8596="","",IF(ISNUMBER(B8596),TEXT(B8596,"YYYY-MM"),LEFT(B8596,7)))</f>
        <v/>
      </c>
    </row>
    <row r="8597">
      <c r="N8597" s="6">
        <f>IF(B8597="","",IF(ISNUMBER(B8597),TEXT(B8597,"YYYY-MM"),LEFT(B8597,7)))</f>
        <v/>
      </c>
    </row>
    <row r="8598">
      <c r="N8598" s="6">
        <f>IF(B8598="","",IF(ISNUMBER(B8598),TEXT(B8598,"YYYY-MM"),LEFT(B8598,7)))</f>
        <v/>
      </c>
    </row>
    <row r="8599">
      <c r="N8599" s="6">
        <f>IF(B8599="","",IF(ISNUMBER(B8599),TEXT(B8599,"YYYY-MM"),LEFT(B8599,7)))</f>
        <v/>
      </c>
    </row>
    <row r="8600">
      <c r="N8600" s="6">
        <f>IF(B8600="","",IF(ISNUMBER(B8600),TEXT(B8600,"YYYY-MM"),LEFT(B8600,7)))</f>
        <v/>
      </c>
    </row>
    <row r="8601">
      <c r="N8601" s="6">
        <f>IF(B8601="","",IF(ISNUMBER(B8601),TEXT(B8601,"YYYY-MM"),LEFT(B8601,7)))</f>
        <v/>
      </c>
    </row>
    <row r="8602">
      <c r="N8602" s="6">
        <f>IF(B8602="","",IF(ISNUMBER(B8602),TEXT(B8602,"YYYY-MM"),LEFT(B8602,7)))</f>
        <v/>
      </c>
    </row>
    <row r="8603">
      <c r="N8603" s="6">
        <f>IF(B8603="","",IF(ISNUMBER(B8603),TEXT(B8603,"YYYY-MM"),LEFT(B8603,7)))</f>
        <v/>
      </c>
    </row>
    <row r="8604">
      <c r="N8604" s="6">
        <f>IF(B8604="","",IF(ISNUMBER(B8604),TEXT(B8604,"YYYY-MM"),LEFT(B8604,7)))</f>
        <v/>
      </c>
    </row>
    <row r="8605">
      <c r="N8605" s="6">
        <f>IF(B8605="","",IF(ISNUMBER(B8605),TEXT(B8605,"YYYY-MM"),LEFT(B8605,7)))</f>
        <v/>
      </c>
    </row>
    <row r="8606">
      <c r="N8606" s="6">
        <f>IF(B8606="","",IF(ISNUMBER(B8606),TEXT(B8606,"YYYY-MM"),LEFT(B8606,7)))</f>
        <v/>
      </c>
    </row>
    <row r="8607">
      <c r="N8607" s="6">
        <f>IF(B8607="","",IF(ISNUMBER(B8607),TEXT(B8607,"YYYY-MM"),LEFT(B8607,7)))</f>
        <v/>
      </c>
    </row>
    <row r="8608">
      <c r="N8608" s="6">
        <f>IF(B8608="","",IF(ISNUMBER(B8608),TEXT(B8608,"YYYY-MM"),LEFT(B8608,7)))</f>
        <v/>
      </c>
    </row>
    <row r="8609">
      <c r="N8609" s="6">
        <f>IF(B8609="","",IF(ISNUMBER(B8609),TEXT(B8609,"YYYY-MM"),LEFT(B8609,7)))</f>
        <v/>
      </c>
    </row>
    <row r="8610">
      <c r="N8610" s="6">
        <f>IF(B8610="","",IF(ISNUMBER(B8610),TEXT(B8610,"YYYY-MM"),LEFT(B8610,7)))</f>
        <v/>
      </c>
    </row>
    <row r="8611">
      <c r="N8611" s="6">
        <f>IF(B8611="","",IF(ISNUMBER(B8611),TEXT(B8611,"YYYY-MM"),LEFT(B8611,7)))</f>
        <v/>
      </c>
    </row>
    <row r="8612">
      <c r="N8612" s="6">
        <f>IF(B8612="","",IF(ISNUMBER(B8612),TEXT(B8612,"YYYY-MM"),LEFT(B8612,7)))</f>
        <v/>
      </c>
    </row>
    <row r="8613">
      <c r="N8613" s="6">
        <f>IF(B8613="","",IF(ISNUMBER(B8613),TEXT(B8613,"YYYY-MM"),LEFT(B8613,7)))</f>
        <v/>
      </c>
    </row>
    <row r="8614">
      <c r="N8614" s="6">
        <f>IF(B8614="","",IF(ISNUMBER(B8614),TEXT(B8614,"YYYY-MM"),LEFT(B8614,7)))</f>
        <v/>
      </c>
    </row>
    <row r="8615">
      <c r="N8615" s="6">
        <f>IF(B8615="","",IF(ISNUMBER(B8615),TEXT(B8615,"YYYY-MM"),LEFT(B8615,7)))</f>
        <v/>
      </c>
    </row>
    <row r="8616">
      <c r="N8616" s="6">
        <f>IF(B8616="","",IF(ISNUMBER(B8616),TEXT(B8616,"YYYY-MM"),LEFT(B8616,7)))</f>
        <v/>
      </c>
    </row>
    <row r="8617">
      <c r="N8617" s="6">
        <f>IF(B8617="","",IF(ISNUMBER(B8617),TEXT(B8617,"YYYY-MM"),LEFT(B8617,7)))</f>
        <v/>
      </c>
    </row>
    <row r="8618">
      <c r="N8618" s="6">
        <f>IF(B8618="","",IF(ISNUMBER(B8618),TEXT(B8618,"YYYY-MM"),LEFT(B8618,7)))</f>
        <v/>
      </c>
    </row>
    <row r="8619">
      <c r="N8619" s="6">
        <f>IF(B8619="","",IF(ISNUMBER(B8619),TEXT(B8619,"YYYY-MM"),LEFT(B8619,7)))</f>
        <v/>
      </c>
    </row>
    <row r="8620">
      <c r="N8620" s="6">
        <f>IF(B8620="","",IF(ISNUMBER(B8620),TEXT(B8620,"YYYY-MM"),LEFT(B8620,7)))</f>
        <v/>
      </c>
    </row>
    <row r="8621">
      <c r="N8621" s="6">
        <f>IF(B8621="","",IF(ISNUMBER(B8621),TEXT(B8621,"YYYY-MM"),LEFT(B8621,7)))</f>
        <v/>
      </c>
    </row>
    <row r="8622">
      <c r="N8622" s="6">
        <f>IF(B8622="","",IF(ISNUMBER(B8622),TEXT(B8622,"YYYY-MM"),LEFT(B8622,7)))</f>
        <v/>
      </c>
    </row>
    <row r="8623">
      <c r="N8623" s="6">
        <f>IF(B8623="","",IF(ISNUMBER(B8623),TEXT(B8623,"YYYY-MM"),LEFT(B8623,7)))</f>
        <v/>
      </c>
    </row>
    <row r="8624">
      <c r="N8624" s="6">
        <f>IF(B8624="","",IF(ISNUMBER(B8624),TEXT(B8624,"YYYY-MM"),LEFT(B8624,7)))</f>
        <v/>
      </c>
    </row>
    <row r="8625">
      <c r="N8625" s="6">
        <f>IF(B8625="","",IF(ISNUMBER(B8625),TEXT(B8625,"YYYY-MM"),LEFT(B8625,7)))</f>
        <v/>
      </c>
    </row>
    <row r="8626">
      <c r="N8626" s="6">
        <f>IF(B8626="","",IF(ISNUMBER(B8626),TEXT(B8626,"YYYY-MM"),LEFT(B8626,7)))</f>
        <v/>
      </c>
    </row>
    <row r="8627">
      <c r="N8627" s="6">
        <f>IF(B8627="","",IF(ISNUMBER(B8627),TEXT(B8627,"YYYY-MM"),LEFT(B8627,7)))</f>
        <v/>
      </c>
    </row>
    <row r="8628">
      <c r="N8628" s="6">
        <f>IF(B8628="","",IF(ISNUMBER(B8628),TEXT(B8628,"YYYY-MM"),LEFT(B8628,7)))</f>
        <v/>
      </c>
    </row>
    <row r="8629">
      <c r="N8629" s="6">
        <f>IF(B8629="","",IF(ISNUMBER(B8629),TEXT(B8629,"YYYY-MM"),LEFT(B8629,7)))</f>
        <v/>
      </c>
    </row>
    <row r="8630">
      <c r="N8630" s="6">
        <f>IF(B8630="","",IF(ISNUMBER(B8630),TEXT(B8630,"YYYY-MM"),LEFT(B8630,7)))</f>
        <v/>
      </c>
    </row>
    <row r="8631">
      <c r="N8631" s="6">
        <f>IF(B8631="","",IF(ISNUMBER(B8631),TEXT(B8631,"YYYY-MM"),LEFT(B8631,7)))</f>
        <v/>
      </c>
    </row>
    <row r="8632">
      <c r="N8632" s="6">
        <f>IF(B8632="","",IF(ISNUMBER(B8632),TEXT(B8632,"YYYY-MM"),LEFT(B8632,7)))</f>
        <v/>
      </c>
    </row>
    <row r="8633">
      <c r="N8633" s="6">
        <f>IF(B8633="","",IF(ISNUMBER(B8633),TEXT(B8633,"YYYY-MM"),LEFT(B8633,7)))</f>
        <v/>
      </c>
    </row>
    <row r="8634">
      <c r="N8634" s="6">
        <f>IF(B8634="","",IF(ISNUMBER(B8634),TEXT(B8634,"YYYY-MM"),LEFT(B8634,7)))</f>
        <v/>
      </c>
    </row>
    <row r="8635">
      <c r="N8635" s="6">
        <f>IF(B8635="","",IF(ISNUMBER(B8635),TEXT(B8635,"YYYY-MM"),LEFT(B8635,7)))</f>
        <v/>
      </c>
    </row>
    <row r="8636">
      <c r="N8636" s="6">
        <f>IF(B8636="","",IF(ISNUMBER(B8636),TEXT(B8636,"YYYY-MM"),LEFT(B8636,7)))</f>
        <v/>
      </c>
    </row>
    <row r="8637">
      <c r="N8637" s="6">
        <f>IF(B8637="","",IF(ISNUMBER(B8637),TEXT(B8637,"YYYY-MM"),LEFT(B8637,7)))</f>
        <v/>
      </c>
    </row>
    <row r="8638">
      <c r="N8638" s="6">
        <f>IF(B8638="","",IF(ISNUMBER(B8638),TEXT(B8638,"YYYY-MM"),LEFT(B8638,7)))</f>
        <v/>
      </c>
    </row>
    <row r="8639">
      <c r="N8639" s="6">
        <f>IF(B8639="","",IF(ISNUMBER(B8639),TEXT(B8639,"YYYY-MM"),LEFT(B8639,7)))</f>
        <v/>
      </c>
    </row>
    <row r="8640">
      <c r="N8640" s="6">
        <f>IF(B8640="","",IF(ISNUMBER(B8640),TEXT(B8640,"YYYY-MM"),LEFT(B8640,7)))</f>
        <v/>
      </c>
    </row>
    <row r="8641">
      <c r="N8641" s="6">
        <f>IF(B8641="","",IF(ISNUMBER(B8641),TEXT(B8641,"YYYY-MM"),LEFT(B8641,7)))</f>
        <v/>
      </c>
    </row>
    <row r="8642">
      <c r="N8642" s="6">
        <f>IF(B8642="","",IF(ISNUMBER(B8642),TEXT(B8642,"YYYY-MM"),LEFT(B8642,7)))</f>
        <v/>
      </c>
    </row>
    <row r="8643">
      <c r="N8643" s="6">
        <f>IF(B8643="","",IF(ISNUMBER(B8643),TEXT(B8643,"YYYY-MM"),LEFT(B8643,7)))</f>
        <v/>
      </c>
    </row>
    <row r="8644">
      <c r="N8644" s="6">
        <f>IF(B8644="","",IF(ISNUMBER(B8644),TEXT(B8644,"YYYY-MM"),LEFT(B8644,7)))</f>
        <v/>
      </c>
    </row>
    <row r="8645">
      <c r="N8645" s="6">
        <f>IF(B8645="","",IF(ISNUMBER(B8645),TEXT(B8645,"YYYY-MM"),LEFT(B8645,7)))</f>
        <v/>
      </c>
    </row>
    <row r="8646">
      <c r="N8646" s="6">
        <f>IF(B8646="","",IF(ISNUMBER(B8646),TEXT(B8646,"YYYY-MM"),LEFT(B8646,7)))</f>
        <v/>
      </c>
    </row>
    <row r="8647">
      <c r="N8647" s="6">
        <f>IF(B8647="","",IF(ISNUMBER(B8647),TEXT(B8647,"YYYY-MM"),LEFT(B8647,7)))</f>
        <v/>
      </c>
    </row>
    <row r="8648">
      <c r="N8648" s="6">
        <f>IF(B8648="","",IF(ISNUMBER(B8648),TEXT(B8648,"YYYY-MM"),LEFT(B8648,7)))</f>
        <v/>
      </c>
    </row>
    <row r="8649">
      <c r="N8649" s="6">
        <f>IF(B8649="","",IF(ISNUMBER(B8649),TEXT(B8649,"YYYY-MM"),LEFT(B8649,7)))</f>
        <v/>
      </c>
    </row>
    <row r="8650">
      <c r="N8650" s="6">
        <f>IF(B8650="","",IF(ISNUMBER(B8650),TEXT(B8650,"YYYY-MM"),LEFT(B8650,7)))</f>
        <v/>
      </c>
    </row>
    <row r="8651">
      <c r="N8651" s="6">
        <f>IF(B8651="","",IF(ISNUMBER(B8651),TEXT(B8651,"YYYY-MM"),LEFT(B8651,7)))</f>
        <v/>
      </c>
    </row>
    <row r="8652">
      <c r="N8652" s="6">
        <f>IF(B8652="","",IF(ISNUMBER(B8652),TEXT(B8652,"YYYY-MM"),LEFT(B8652,7)))</f>
        <v/>
      </c>
    </row>
    <row r="8653">
      <c r="N8653" s="6">
        <f>IF(B8653="","",IF(ISNUMBER(B8653),TEXT(B8653,"YYYY-MM"),LEFT(B8653,7)))</f>
        <v/>
      </c>
    </row>
    <row r="8654">
      <c r="N8654" s="6">
        <f>IF(B8654="","",IF(ISNUMBER(B8654),TEXT(B8654,"YYYY-MM"),LEFT(B8654,7)))</f>
        <v/>
      </c>
    </row>
    <row r="8655">
      <c r="N8655" s="6">
        <f>IF(B8655="","",IF(ISNUMBER(B8655),TEXT(B8655,"YYYY-MM"),LEFT(B8655,7)))</f>
        <v/>
      </c>
    </row>
    <row r="8656">
      <c r="N8656" s="6">
        <f>IF(B8656="","",IF(ISNUMBER(B8656),TEXT(B8656,"YYYY-MM"),LEFT(B8656,7)))</f>
        <v/>
      </c>
    </row>
    <row r="8657">
      <c r="N8657" s="6">
        <f>IF(B8657="","",IF(ISNUMBER(B8657),TEXT(B8657,"YYYY-MM"),LEFT(B8657,7)))</f>
        <v/>
      </c>
    </row>
    <row r="8658">
      <c r="N8658" s="6">
        <f>IF(B8658="","",IF(ISNUMBER(B8658),TEXT(B8658,"YYYY-MM"),LEFT(B8658,7)))</f>
        <v/>
      </c>
    </row>
    <row r="8659">
      <c r="N8659" s="6">
        <f>IF(B8659="","",IF(ISNUMBER(B8659),TEXT(B8659,"YYYY-MM"),LEFT(B8659,7)))</f>
        <v/>
      </c>
    </row>
    <row r="8660">
      <c r="N8660" s="6">
        <f>IF(B8660="","",IF(ISNUMBER(B8660),TEXT(B8660,"YYYY-MM"),LEFT(B8660,7)))</f>
        <v/>
      </c>
    </row>
    <row r="8661">
      <c r="N8661" s="6">
        <f>IF(B8661="","",IF(ISNUMBER(B8661),TEXT(B8661,"YYYY-MM"),LEFT(B8661,7)))</f>
        <v/>
      </c>
    </row>
    <row r="8662">
      <c r="N8662" s="6">
        <f>IF(B8662="","",IF(ISNUMBER(B8662),TEXT(B8662,"YYYY-MM"),LEFT(B8662,7)))</f>
        <v/>
      </c>
    </row>
    <row r="8663">
      <c r="N8663" s="6">
        <f>IF(B8663="","",IF(ISNUMBER(B8663),TEXT(B8663,"YYYY-MM"),LEFT(B8663,7)))</f>
        <v/>
      </c>
    </row>
    <row r="8664">
      <c r="N8664" s="6">
        <f>IF(B8664="","",IF(ISNUMBER(B8664),TEXT(B8664,"YYYY-MM"),LEFT(B8664,7)))</f>
        <v/>
      </c>
    </row>
    <row r="8665">
      <c r="N8665" s="6">
        <f>IF(B8665="","",IF(ISNUMBER(B8665),TEXT(B8665,"YYYY-MM"),LEFT(B8665,7)))</f>
        <v/>
      </c>
    </row>
    <row r="8666">
      <c r="N8666" s="6">
        <f>IF(B8666="","",IF(ISNUMBER(B8666),TEXT(B8666,"YYYY-MM"),LEFT(B8666,7)))</f>
        <v/>
      </c>
    </row>
    <row r="8667">
      <c r="N8667" s="6">
        <f>IF(B8667="","",IF(ISNUMBER(B8667),TEXT(B8667,"YYYY-MM"),LEFT(B8667,7)))</f>
        <v/>
      </c>
    </row>
    <row r="8668">
      <c r="N8668" s="6">
        <f>IF(B8668="","",IF(ISNUMBER(B8668),TEXT(B8668,"YYYY-MM"),LEFT(B8668,7)))</f>
        <v/>
      </c>
    </row>
    <row r="8669">
      <c r="N8669" s="6">
        <f>IF(B8669="","",IF(ISNUMBER(B8669),TEXT(B8669,"YYYY-MM"),LEFT(B8669,7)))</f>
        <v/>
      </c>
    </row>
    <row r="8670">
      <c r="N8670" s="6">
        <f>IF(B8670="","",IF(ISNUMBER(B8670),TEXT(B8670,"YYYY-MM"),LEFT(B8670,7)))</f>
        <v/>
      </c>
    </row>
    <row r="8671">
      <c r="N8671" s="6">
        <f>IF(B8671="","",IF(ISNUMBER(B8671),TEXT(B8671,"YYYY-MM"),LEFT(B8671,7)))</f>
        <v/>
      </c>
    </row>
    <row r="8672">
      <c r="N8672" s="6">
        <f>IF(B8672="","",IF(ISNUMBER(B8672),TEXT(B8672,"YYYY-MM"),LEFT(B8672,7)))</f>
        <v/>
      </c>
    </row>
    <row r="8673">
      <c r="N8673" s="6">
        <f>IF(B8673="","",IF(ISNUMBER(B8673),TEXT(B8673,"YYYY-MM"),LEFT(B8673,7)))</f>
        <v/>
      </c>
    </row>
    <row r="8674">
      <c r="N8674" s="6">
        <f>IF(B8674="","",IF(ISNUMBER(B8674),TEXT(B8674,"YYYY-MM"),LEFT(B8674,7)))</f>
        <v/>
      </c>
    </row>
    <row r="8675">
      <c r="N8675" s="6">
        <f>IF(B8675="","",IF(ISNUMBER(B8675),TEXT(B8675,"YYYY-MM"),LEFT(B8675,7)))</f>
        <v/>
      </c>
    </row>
    <row r="8676">
      <c r="N8676" s="6">
        <f>IF(B8676="","",IF(ISNUMBER(B8676),TEXT(B8676,"YYYY-MM"),LEFT(B8676,7)))</f>
        <v/>
      </c>
    </row>
    <row r="8677">
      <c r="N8677" s="6">
        <f>IF(B8677="","",IF(ISNUMBER(B8677),TEXT(B8677,"YYYY-MM"),LEFT(B8677,7)))</f>
        <v/>
      </c>
    </row>
    <row r="8678">
      <c r="N8678" s="6">
        <f>IF(B8678="","",IF(ISNUMBER(B8678),TEXT(B8678,"YYYY-MM"),LEFT(B8678,7)))</f>
        <v/>
      </c>
    </row>
    <row r="8679">
      <c r="N8679" s="6">
        <f>IF(B8679="","",IF(ISNUMBER(B8679),TEXT(B8679,"YYYY-MM"),LEFT(B8679,7)))</f>
        <v/>
      </c>
    </row>
    <row r="8680">
      <c r="N8680" s="6">
        <f>IF(B8680="","",IF(ISNUMBER(B8680),TEXT(B8680,"YYYY-MM"),LEFT(B8680,7)))</f>
        <v/>
      </c>
    </row>
    <row r="8681">
      <c r="N8681" s="6">
        <f>IF(B8681="","",IF(ISNUMBER(B8681),TEXT(B8681,"YYYY-MM"),LEFT(B8681,7)))</f>
        <v/>
      </c>
    </row>
    <row r="8682">
      <c r="N8682" s="6">
        <f>IF(B8682="","",IF(ISNUMBER(B8682),TEXT(B8682,"YYYY-MM"),LEFT(B8682,7)))</f>
        <v/>
      </c>
    </row>
    <row r="8683">
      <c r="N8683" s="6">
        <f>IF(B8683="","",IF(ISNUMBER(B8683),TEXT(B8683,"YYYY-MM"),LEFT(B8683,7)))</f>
        <v/>
      </c>
    </row>
    <row r="8684">
      <c r="N8684" s="6">
        <f>IF(B8684="","",IF(ISNUMBER(B8684),TEXT(B8684,"YYYY-MM"),LEFT(B8684,7)))</f>
        <v/>
      </c>
    </row>
    <row r="8685">
      <c r="N8685" s="6">
        <f>IF(B8685="","",IF(ISNUMBER(B8685),TEXT(B8685,"YYYY-MM"),LEFT(B8685,7)))</f>
        <v/>
      </c>
    </row>
    <row r="8686">
      <c r="N8686" s="6">
        <f>IF(B8686="","",IF(ISNUMBER(B8686),TEXT(B8686,"YYYY-MM"),LEFT(B8686,7)))</f>
        <v/>
      </c>
    </row>
    <row r="8687">
      <c r="N8687" s="6">
        <f>IF(B8687="","",IF(ISNUMBER(B8687),TEXT(B8687,"YYYY-MM"),LEFT(B8687,7)))</f>
        <v/>
      </c>
    </row>
    <row r="8688">
      <c r="N8688" s="6">
        <f>IF(B8688="","",IF(ISNUMBER(B8688),TEXT(B8688,"YYYY-MM"),LEFT(B8688,7)))</f>
        <v/>
      </c>
    </row>
    <row r="8689">
      <c r="N8689" s="6">
        <f>IF(B8689="","",IF(ISNUMBER(B8689),TEXT(B8689,"YYYY-MM"),LEFT(B8689,7)))</f>
        <v/>
      </c>
    </row>
    <row r="8690">
      <c r="N8690" s="6">
        <f>IF(B8690="","",IF(ISNUMBER(B8690),TEXT(B8690,"YYYY-MM"),LEFT(B8690,7)))</f>
        <v/>
      </c>
    </row>
    <row r="8691">
      <c r="N8691" s="6">
        <f>IF(B8691="","",IF(ISNUMBER(B8691),TEXT(B8691,"YYYY-MM"),LEFT(B8691,7)))</f>
        <v/>
      </c>
    </row>
    <row r="8692">
      <c r="N8692" s="6">
        <f>IF(B8692="","",IF(ISNUMBER(B8692),TEXT(B8692,"YYYY-MM"),LEFT(B8692,7)))</f>
        <v/>
      </c>
    </row>
    <row r="8693">
      <c r="N8693" s="6">
        <f>IF(B8693="","",IF(ISNUMBER(B8693),TEXT(B8693,"YYYY-MM"),LEFT(B8693,7)))</f>
        <v/>
      </c>
    </row>
    <row r="8694">
      <c r="N8694" s="6">
        <f>IF(B8694="","",IF(ISNUMBER(B8694),TEXT(B8694,"YYYY-MM"),LEFT(B8694,7)))</f>
        <v/>
      </c>
    </row>
    <row r="8695">
      <c r="N8695" s="6">
        <f>IF(B8695="","",IF(ISNUMBER(B8695),TEXT(B8695,"YYYY-MM"),LEFT(B8695,7)))</f>
        <v/>
      </c>
    </row>
    <row r="8696">
      <c r="N8696" s="6">
        <f>IF(B8696="","",IF(ISNUMBER(B8696),TEXT(B8696,"YYYY-MM"),LEFT(B8696,7)))</f>
        <v/>
      </c>
    </row>
    <row r="8697">
      <c r="N8697" s="6">
        <f>IF(B8697="","",IF(ISNUMBER(B8697),TEXT(B8697,"YYYY-MM"),LEFT(B8697,7)))</f>
        <v/>
      </c>
    </row>
    <row r="8698">
      <c r="N8698" s="6">
        <f>IF(B8698="","",IF(ISNUMBER(B8698),TEXT(B8698,"YYYY-MM"),LEFT(B8698,7)))</f>
        <v/>
      </c>
    </row>
    <row r="8699">
      <c r="N8699" s="6">
        <f>IF(B8699="","",IF(ISNUMBER(B8699),TEXT(B8699,"YYYY-MM"),LEFT(B8699,7)))</f>
        <v/>
      </c>
    </row>
    <row r="8700">
      <c r="N8700" s="6">
        <f>IF(B8700="","",IF(ISNUMBER(B8700),TEXT(B8700,"YYYY-MM"),LEFT(B8700,7)))</f>
        <v/>
      </c>
    </row>
    <row r="8701">
      <c r="N8701" s="6">
        <f>IF(B8701="","",IF(ISNUMBER(B8701),TEXT(B8701,"YYYY-MM"),LEFT(B8701,7)))</f>
        <v/>
      </c>
    </row>
    <row r="8702">
      <c r="N8702" s="6">
        <f>IF(B8702="","",IF(ISNUMBER(B8702),TEXT(B8702,"YYYY-MM"),LEFT(B8702,7)))</f>
        <v/>
      </c>
    </row>
    <row r="8703">
      <c r="N8703" s="6">
        <f>IF(B8703="","",IF(ISNUMBER(B8703),TEXT(B8703,"YYYY-MM"),LEFT(B8703,7)))</f>
        <v/>
      </c>
    </row>
    <row r="8704">
      <c r="N8704" s="6">
        <f>IF(B8704="","",IF(ISNUMBER(B8704),TEXT(B8704,"YYYY-MM"),LEFT(B8704,7)))</f>
        <v/>
      </c>
    </row>
    <row r="8705">
      <c r="N8705" s="6">
        <f>IF(B8705="","",IF(ISNUMBER(B8705),TEXT(B8705,"YYYY-MM"),LEFT(B8705,7)))</f>
        <v/>
      </c>
    </row>
    <row r="8706">
      <c r="N8706" s="6">
        <f>IF(B8706="","",IF(ISNUMBER(B8706),TEXT(B8706,"YYYY-MM"),LEFT(B8706,7)))</f>
        <v/>
      </c>
    </row>
    <row r="8707">
      <c r="N8707" s="6">
        <f>IF(B8707="","",IF(ISNUMBER(B8707),TEXT(B8707,"YYYY-MM"),LEFT(B8707,7)))</f>
        <v/>
      </c>
    </row>
    <row r="8708">
      <c r="N8708" s="6">
        <f>IF(B8708="","",IF(ISNUMBER(B8708),TEXT(B8708,"YYYY-MM"),LEFT(B8708,7)))</f>
        <v/>
      </c>
    </row>
    <row r="8709">
      <c r="N8709" s="6">
        <f>IF(B8709="","",IF(ISNUMBER(B8709),TEXT(B8709,"YYYY-MM"),LEFT(B8709,7)))</f>
        <v/>
      </c>
    </row>
    <row r="8710">
      <c r="N8710" s="6">
        <f>IF(B8710="","",IF(ISNUMBER(B8710),TEXT(B8710,"YYYY-MM"),LEFT(B8710,7)))</f>
        <v/>
      </c>
    </row>
    <row r="8711">
      <c r="N8711" s="6">
        <f>IF(B8711="","",IF(ISNUMBER(B8711),TEXT(B8711,"YYYY-MM"),LEFT(B8711,7)))</f>
        <v/>
      </c>
    </row>
    <row r="8712">
      <c r="N8712" s="6">
        <f>IF(B8712="","",IF(ISNUMBER(B8712),TEXT(B8712,"YYYY-MM"),LEFT(B8712,7)))</f>
        <v/>
      </c>
    </row>
    <row r="8713">
      <c r="N8713" s="6">
        <f>IF(B8713="","",IF(ISNUMBER(B8713),TEXT(B8713,"YYYY-MM"),LEFT(B8713,7)))</f>
        <v/>
      </c>
    </row>
    <row r="8714">
      <c r="N8714" s="6">
        <f>IF(B8714="","",IF(ISNUMBER(B8714),TEXT(B8714,"YYYY-MM"),LEFT(B8714,7)))</f>
        <v/>
      </c>
    </row>
    <row r="8715">
      <c r="N8715" s="6">
        <f>IF(B8715="","",IF(ISNUMBER(B8715),TEXT(B8715,"YYYY-MM"),LEFT(B8715,7)))</f>
        <v/>
      </c>
    </row>
    <row r="8716">
      <c r="N8716" s="6">
        <f>IF(B8716="","",IF(ISNUMBER(B8716),TEXT(B8716,"YYYY-MM"),LEFT(B8716,7)))</f>
        <v/>
      </c>
    </row>
    <row r="8717">
      <c r="N8717" s="6">
        <f>IF(B8717="","",IF(ISNUMBER(B8717),TEXT(B8717,"YYYY-MM"),LEFT(B8717,7)))</f>
        <v/>
      </c>
    </row>
    <row r="8718">
      <c r="N8718" s="6">
        <f>IF(B8718="","",IF(ISNUMBER(B8718),TEXT(B8718,"YYYY-MM"),LEFT(B8718,7)))</f>
        <v/>
      </c>
    </row>
    <row r="8719">
      <c r="N8719" s="6">
        <f>IF(B8719="","",IF(ISNUMBER(B8719),TEXT(B8719,"YYYY-MM"),LEFT(B8719,7)))</f>
        <v/>
      </c>
    </row>
    <row r="8720">
      <c r="N8720" s="6">
        <f>IF(B8720="","",IF(ISNUMBER(B8720),TEXT(B8720,"YYYY-MM"),LEFT(B8720,7)))</f>
        <v/>
      </c>
    </row>
    <row r="8721">
      <c r="N8721" s="6">
        <f>IF(B8721="","",IF(ISNUMBER(B8721),TEXT(B8721,"YYYY-MM"),LEFT(B8721,7)))</f>
        <v/>
      </c>
    </row>
    <row r="8722">
      <c r="N8722" s="6">
        <f>IF(B8722="","",IF(ISNUMBER(B8722),TEXT(B8722,"YYYY-MM"),LEFT(B8722,7)))</f>
        <v/>
      </c>
    </row>
    <row r="8723">
      <c r="N8723" s="6">
        <f>IF(B8723="","",IF(ISNUMBER(B8723),TEXT(B8723,"YYYY-MM"),LEFT(B8723,7)))</f>
        <v/>
      </c>
    </row>
    <row r="8724">
      <c r="N8724" s="6">
        <f>IF(B8724="","",IF(ISNUMBER(B8724),TEXT(B8724,"YYYY-MM"),LEFT(B8724,7)))</f>
        <v/>
      </c>
    </row>
    <row r="8725">
      <c r="N8725" s="6">
        <f>IF(B8725="","",IF(ISNUMBER(B8725),TEXT(B8725,"YYYY-MM"),LEFT(B8725,7)))</f>
        <v/>
      </c>
    </row>
    <row r="8726">
      <c r="N8726" s="6">
        <f>IF(B8726="","",IF(ISNUMBER(B8726),TEXT(B8726,"YYYY-MM"),LEFT(B8726,7)))</f>
        <v/>
      </c>
    </row>
    <row r="8727">
      <c r="N8727" s="6">
        <f>IF(B8727="","",IF(ISNUMBER(B8727),TEXT(B8727,"YYYY-MM"),LEFT(B8727,7)))</f>
        <v/>
      </c>
    </row>
    <row r="8728">
      <c r="N8728" s="6">
        <f>IF(B8728="","",IF(ISNUMBER(B8728),TEXT(B8728,"YYYY-MM"),LEFT(B8728,7)))</f>
        <v/>
      </c>
    </row>
    <row r="8729">
      <c r="N8729" s="6">
        <f>IF(B8729="","",IF(ISNUMBER(B8729),TEXT(B8729,"YYYY-MM"),LEFT(B8729,7)))</f>
        <v/>
      </c>
    </row>
    <row r="8730">
      <c r="N8730" s="6">
        <f>IF(B8730="","",IF(ISNUMBER(B8730),TEXT(B8730,"YYYY-MM"),LEFT(B8730,7)))</f>
        <v/>
      </c>
    </row>
    <row r="8731">
      <c r="N8731" s="6">
        <f>IF(B8731="","",IF(ISNUMBER(B8731),TEXT(B8731,"YYYY-MM"),LEFT(B8731,7)))</f>
        <v/>
      </c>
    </row>
    <row r="8732">
      <c r="N8732" s="6">
        <f>IF(B8732="","",IF(ISNUMBER(B8732),TEXT(B8732,"YYYY-MM"),LEFT(B8732,7)))</f>
        <v/>
      </c>
    </row>
    <row r="8733">
      <c r="N8733" s="6">
        <f>IF(B8733="","",IF(ISNUMBER(B8733),TEXT(B8733,"YYYY-MM"),LEFT(B8733,7)))</f>
        <v/>
      </c>
    </row>
    <row r="8734">
      <c r="N8734" s="6">
        <f>IF(B8734="","",IF(ISNUMBER(B8734),TEXT(B8734,"YYYY-MM"),LEFT(B8734,7)))</f>
        <v/>
      </c>
    </row>
    <row r="8735">
      <c r="N8735" s="6">
        <f>IF(B8735="","",IF(ISNUMBER(B8735),TEXT(B8735,"YYYY-MM"),LEFT(B8735,7)))</f>
        <v/>
      </c>
    </row>
    <row r="8736">
      <c r="N8736" s="6">
        <f>IF(B8736="","",IF(ISNUMBER(B8736),TEXT(B8736,"YYYY-MM"),LEFT(B8736,7)))</f>
        <v/>
      </c>
    </row>
    <row r="8737">
      <c r="N8737" s="6">
        <f>IF(B8737="","",IF(ISNUMBER(B8737),TEXT(B8737,"YYYY-MM"),LEFT(B8737,7)))</f>
        <v/>
      </c>
    </row>
    <row r="8738">
      <c r="N8738" s="6">
        <f>IF(B8738="","",IF(ISNUMBER(B8738),TEXT(B8738,"YYYY-MM"),LEFT(B8738,7)))</f>
        <v/>
      </c>
    </row>
    <row r="8739">
      <c r="N8739" s="6">
        <f>IF(B8739="","",IF(ISNUMBER(B8739),TEXT(B8739,"YYYY-MM"),LEFT(B8739,7)))</f>
        <v/>
      </c>
    </row>
    <row r="8740">
      <c r="N8740" s="6">
        <f>IF(B8740="","",IF(ISNUMBER(B8740),TEXT(B8740,"YYYY-MM"),LEFT(B8740,7)))</f>
        <v/>
      </c>
    </row>
    <row r="8741">
      <c r="N8741" s="6">
        <f>IF(B8741="","",IF(ISNUMBER(B8741),TEXT(B8741,"YYYY-MM"),LEFT(B8741,7)))</f>
        <v/>
      </c>
    </row>
    <row r="8742">
      <c r="N8742" s="6">
        <f>IF(B8742="","",IF(ISNUMBER(B8742),TEXT(B8742,"YYYY-MM"),LEFT(B8742,7)))</f>
        <v/>
      </c>
    </row>
    <row r="8743">
      <c r="N8743" s="6">
        <f>IF(B8743="","",IF(ISNUMBER(B8743),TEXT(B8743,"YYYY-MM"),LEFT(B8743,7)))</f>
        <v/>
      </c>
    </row>
    <row r="8744">
      <c r="N8744" s="6">
        <f>IF(B8744="","",IF(ISNUMBER(B8744),TEXT(B8744,"YYYY-MM"),LEFT(B8744,7)))</f>
        <v/>
      </c>
    </row>
    <row r="8745">
      <c r="N8745" s="6">
        <f>IF(B8745="","",IF(ISNUMBER(B8745),TEXT(B8745,"YYYY-MM"),LEFT(B8745,7)))</f>
        <v/>
      </c>
    </row>
    <row r="8746">
      <c r="N8746" s="6">
        <f>IF(B8746="","",IF(ISNUMBER(B8746),TEXT(B8746,"YYYY-MM"),LEFT(B8746,7)))</f>
        <v/>
      </c>
    </row>
    <row r="8747">
      <c r="N8747" s="6">
        <f>IF(B8747="","",IF(ISNUMBER(B8747),TEXT(B8747,"YYYY-MM"),LEFT(B8747,7)))</f>
        <v/>
      </c>
    </row>
    <row r="8748">
      <c r="N8748" s="6">
        <f>IF(B8748="","",IF(ISNUMBER(B8748),TEXT(B8748,"YYYY-MM"),LEFT(B8748,7)))</f>
        <v/>
      </c>
    </row>
    <row r="8749">
      <c r="N8749" s="6">
        <f>IF(B8749="","",IF(ISNUMBER(B8749),TEXT(B8749,"YYYY-MM"),LEFT(B8749,7)))</f>
        <v/>
      </c>
    </row>
    <row r="8750">
      <c r="N8750" s="6">
        <f>IF(B8750="","",IF(ISNUMBER(B8750),TEXT(B8750,"YYYY-MM"),LEFT(B8750,7)))</f>
        <v/>
      </c>
    </row>
    <row r="8751">
      <c r="N8751" s="6">
        <f>IF(B8751="","",IF(ISNUMBER(B8751),TEXT(B8751,"YYYY-MM"),LEFT(B8751,7)))</f>
        <v/>
      </c>
    </row>
    <row r="8752">
      <c r="N8752" s="6">
        <f>IF(B8752="","",IF(ISNUMBER(B8752),TEXT(B8752,"YYYY-MM"),LEFT(B8752,7)))</f>
        <v/>
      </c>
    </row>
    <row r="8753">
      <c r="N8753" s="6">
        <f>IF(B8753="","",IF(ISNUMBER(B8753),TEXT(B8753,"YYYY-MM"),LEFT(B8753,7)))</f>
        <v/>
      </c>
    </row>
    <row r="8754">
      <c r="N8754" s="6">
        <f>IF(B8754="","",IF(ISNUMBER(B8754),TEXT(B8754,"YYYY-MM"),LEFT(B8754,7)))</f>
        <v/>
      </c>
    </row>
    <row r="8755">
      <c r="N8755" s="6">
        <f>IF(B8755="","",IF(ISNUMBER(B8755),TEXT(B8755,"YYYY-MM"),LEFT(B8755,7)))</f>
        <v/>
      </c>
    </row>
    <row r="8756">
      <c r="N8756" s="6">
        <f>IF(B8756="","",IF(ISNUMBER(B8756),TEXT(B8756,"YYYY-MM"),LEFT(B8756,7)))</f>
        <v/>
      </c>
    </row>
    <row r="8757">
      <c r="N8757" s="6">
        <f>IF(B8757="","",IF(ISNUMBER(B8757),TEXT(B8757,"YYYY-MM"),LEFT(B8757,7)))</f>
        <v/>
      </c>
    </row>
    <row r="8758">
      <c r="N8758" s="6">
        <f>IF(B8758="","",IF(ISNUMBER(B8758),TEXT(B8758,"YYYY-MM"),LEFT(B8758,7)))</f>
        <v/>
      </c>
    </row>
    <row r="8759">
      <c r="N8759" s="6">
        <f>IF(B8759="","",IF(ISNUMBER(B8759),TEXT(B8759,"YYYY-MM"),LEFT(B8759,7)))</f>
        <v/>
      </c>
    </row>
    <row r="8760">
      <c r="N8760" s="6">
        <f>IF(B8760="","",IF(ISNUMBER(B8760),TEXT(B8760,"YYYY-MM"),LEFT(B8760,7)))</f>
        <v/>
      </c>
    </row>
    <row r="8761">
      <c r="N8761" s="6">
        <f>IF(B8761="","",IF(ISNUMBER(B8761),TEXT(B8761,"YYYY-MM"),LEFT(B8761,7)))</f>
        <v/>
      </c>
    </row>
    <row r="8762">
      <c r="N8762" s="6">
        <f>IF(B8762="","",IF(ISNUMBER(B8762),TEXT(B8762,"YYYY-MM"),LEFT(B8762,7)))</f>
        <v/>
      </c>
    </row>
    <row r="8763">
      <c r="N8763" s="6">
        <f>IF(B8763="","",IF(ISNUMBER(B8763),TEXT(B8763,"YYYY-MM"),LEFT(B8763,7)))</f>
        <v/>
      </c>
    </row>
    <row r="8764">
      <c r="N8764" s="6">
        <f>IF(B8764="","",IF(ISNUMBER(B8764),TEXT(B8764,"YYYY-MM"),LEFT(B8764,7)))</f>
        <v/>
      </c>
    </row>
    <row r="8765">
      <c r="N8765" s="6">
        <f>IF(B8765="","",IF(ISNUMBER(B8765),TEXT(B8765,"YYYY-MM"),LEFT(B8765,7)))</f>
        <v/>
      </c>
    </row>
    <row r="8766">
      <c r="N8766" s="6">
        <f>IF(B8766="","",IF(ISNUMBER(B8766),TEXT(B8766,"YYYY-MM"),LEFT(B8766,7)))</f>
        <v/>
      </c>
    </row>
    <row r="8767">
      <c r="N8767" s="6">
        <f>IF(B8767="","",IF(ISNUMBER(B8767),TEXT(B8767,"YYYY-MM"),LEFT(B8767,7)))</f>
        <v/>
      </c>
    </row>
    <row r="8768">
      <c r="N8768" s="6">
        <f>IF(B8768="","",IF(ISNUMBER(B8768),TEXT(B8768,"YYYY-MM"),LEFT(B8768,7)))</f>
        <v/>
      </c>
    </row>
    <row r="8769">
      <c r="N8769" s="6">
        <f>IF(B8769="","",IF(ISNUMBER(B8769),TEXT(B8769,"YYYY-MM"),LEFT(B8769,7)))</f>
        <v/>
      </c>
    </row>
    <row r="8770">
      <c r="N8770" s="6">
        <f>IF(B8770="","",IF(ISNUMBER(B8770),TEXT(B8770,"YYYY-MM"),LEFT(B8770,7)))</f>
        <v/>
      </c>
    </row>
    <row r="8771">
      <c r="N8771" s="6">
        <f>IF(B8771="","",IF(ISNUMBER(B8771),TEXT(B8771,"YYYY-MM"),LEFT(B8771,7)))</f>
        <v/>
      </c>
    </row>
    <row r="8772">
      <c r="N8772" s="6">
        <f>IF(B8772="","",IF(ISNUMBER(B8772),TEXT(B8772,"YYYY-MM"),LEFT(B8772,7)))</f>
        <v/>
      </c>
    </row>
    <row r="8773">
      <c r="N8773" s="6">
        <f>IF(B8773="","",IF(ISNUMBER(B8773),TEXT(B8773,"YYYY-MM"),LEFT(B8773,7)))</f>
        <v/>
      </c>
    </row>
    <row r="8774">
      <c r="N8774" s="6">
        <f>IF(B8774="","",IF(ISNUMBER(B8774),TEXT(B8774,"YYYY-MM"),LEFT(B8774,7)))</f>
        <v/>
      </c>
    </row>
    <row r="8775">
      <c r="N8775" s="6">
        <f>IF(B8775="","",IF(ISNUMBER(B8775),TEXT(B8775,"YYYY-MM"),LEFT(B8775,7)))</f>
        <v/>
      </c>
    </row>
    <row r="8776">
      <c r="N8776" s="6">
        <f>IF(B8776="","",IF(ISNUMBER(B8776),TEXT(B8776,"YYYY-MM"),LEFT(B8776,7)))</f>
        <v/>
      </c>
    </row>
    <row r="8777">
      <c r="N8777" s="6">
        <f>IF(B8777="","",IF(ISNUMBER(B8777),TEXT(B8777,"YYYY-MM"),LEFT(B8777,7)))</f>
        <v/>
      </c>
    </row>
    <row r="8778">
      <c r="N8778" s="6">
        <f>IF(B8778="","",IF(ISNUMBER(B8778),TEXT(B8778,"YYYY-MM"),LEFT(B8778,7)))</f>
        <v/>
      </c>
    </row>
    <row r="8779">
      <c r="N8779" s="6">
        <f>IF(B8779="","",IF(ISNUMBER(B8779),TEXT(B8779,"YYYY-MM"),LEFT(B8779,7)))</f>
        <v/>
      </c>
    </row>
    <row r="8780">
      <c r="N8780" s="6">
        <f>IF(B8780="","",IF(ISNUMBER(B8780),TEXT(B8780,"YYYY-MM"),LEFT(B8780,7)))</f>
        <v/>
      </c>
    </row>
    <row r="8781">
      <c r="N8781" s="6">
        <f>IF(B8781="","",IF(ISNUMBER(B8781),TEXT(B8781,"YYYY-MM"),LEFT(B8781,7)))</f>
        <v/>
      </c>
    </row>
    <row r="8782">
      <c r="N8782" s="6">
        <f>IF(B8782="","",IF(ISNUMBER(B8782),TEXT(B8782,"YYYY-MM"),LEFT(B8782,7)))</f>
        <v/>
      </c>
    </row>
    <row r="8783">
      <c r="N8783" s="6">
        <f>IF(B8783="","",IF(ISNUMBER(B8783),TEXT(B8783,"YYYY-MM"),LEFT(B8783,7)))</f>
        <v/>
      </c>
    </row>
    <row r="8784">
      <c r="N8784" s="6">
        <f>IF(B8784="","",IF(ISNUMBER(B8784),TEXT(B8784,"YYYY-MM"),LEFT(B8784,7)))</f>
        <v/>
      </c>
    </row>
    <row r="8785">
      <c r="N8785" s="6">
        <f>IF(B8785="","",IF(ISNUMBER(B8785),TEXT(B8785,"YYYY-MM"),LEFT(B8785,7)))</f>
        <v/>
      </c>
    </row>
    <row r="8786">
      <c r="N8786" s="6">
        <f>IF(B8786="","",IF(ISNUMBER(B8786),TEXT(B8786,"YYYY-MM"),LEFT(B8786,7)))</f>
        <v/>
      </c>
    </row>
    <row r="8787">
      <c r="N8787" s="6">
        <f>IF(B8787="","",IF(ISNUMBER(B8787),TEXT(B8787,"YYYY-MM"),LEFT(B8787,7)))</f>
        <v/>
      </c>
    </row>
    <row r="8788">
      <c r="N8788" s="6">
        <f>IF(B8788="","",IF(ISNUMBER(B8788),TEXT(B8788,"YYYY-MM"),LEFT(B8788,7)))</f>
        <v/>
      </c>
    </row>
    <row r="8789">
      <c r="N8789" s="6">
        <f>IF(B8789="","",IF(ISNUMBER(B8789),TEXT(B8789,"YYYY-MM"),LEFT(B8789,7)))</f>
        <v/>
      </c>
    </row>
    <row r="8790">
      <c r="N8790" s="6">
        <f>IF(B8790="","",IF(ISNUMBER(B8790),TEXT(B8790,"YYYY-MM"),LEFT(B8790,7)))</f>
        <v/>
      </c>
    </row>
    <row r="8791">
      <c r="N8791" s="6">
        <f>IF(B8791="","",IF(ISNUMBER(B8791),TEXT(B8791,"YYYY-MM"),LEFT(B8791,7)))</f>
        <v/>
      </c>
    </row>
    <row r="8792">
      <c r="N8792" s="6">
        <f>IF(B8792="","",IF(ISNUMBER(B8792),TEXT(B8792,"YYYY-MM"),LEFT(B8792,7)))</f>
        <v/>
      </c>
    </row>
    <row r="8793">
      <c r="N8793" s="6">
        <f>IF(B8793="","",IF(ISNUMBER(B8793),TEXT(B8793,"YYYY-MM"),LEFT(B8793,7)))</f>
        <v/>
      </c>
    </row>
    <row r="8794">
      <c r="N8794" s="6">
        <f>IF(B8794="","",IF(ISNUMBER(B8794),TEXT(B8794,"YYYY-MM"),LEFT(B8794,7)))</f>
        <v/>
      </c>
    </row>
    <row r="8795">
      <c r="N8795" s="6">
        <f>IF(B8795="","",IF(ISNUMBER(B8795),TEXT(B8795,"YYYY-MM"),LEFT(B8795,7)))</f>
        <v/>
      </c>
    </row>
    <row r="8796">
      <c r="N8796" s="6">
        <f>IF(B8796="","",IF(ISNUMBER(B8796),TEXT(B8796,"YYYY-MM"),LEFT(B8796,7)))</f>
        <v/>
      </c>
    </row>
    <row r="8797">
      <c r="N8797" s="6">
        <f>IF(B8797="","",IF(ISNUMBER(B8797),TEXT(B8797,"YYYY-MM"),LEFT(B8797,7)))</f>
        <v/>
      </c>
    </row>
    <row r="8798">
      <c r="N8798" s="6">
        <f>IF(B8798="","",IF(ISNUMBER(B8798),TEXT(B8798,"YYYY-MM"),LEFT(B8798,7)))</f>
        <v/>
      </c>
    </row>
    <row r="8799">
      <c r="N8799" s="6">
        <f>IF(B8799="","",IF(ISNUMBER(B8799),TEXT(B8799,"YYYY-MM"),LEFT(B8799,7)))</f>
        <v/>
      </c>
    </row>
    <row r="8800">
      <c r="N8800" s="6">
        <f>IF(B8800="","",IF(ISNUMBER(B8800),TEXT(B8800,"YYYY-MM"),LEFT(B8800,7)))</f>
        <v/>
      </c>
    </row>
    <row r="8801">
      <c r="N8801" s="6">
        <f>IF(B8801="","",IF(ISNUMBER(B8801),TEXT(B8801,"YYYY-MM"),LEFT(B8801,7)))</f>
        <v/>
      </c>
    </row>
    <row r="8802">
      <c r="N8802" s="6">
        <f>IF(B8802="","",IF(ISNUMBER(B8802),TEXT(B8802,"YYYY-MM"),LEFT(B8802,7)))</f>
        <v/>
      </c>
    </row>
    <row r="8803">
      <c r="N8803" s="6">
        <f>IF(B8803="","",IF(ISNUMBER(B8803),TEXT(B8803,"YYYY-MM"),LEFT(B8803,7)))</f>
        <v/>
      </c>
    </row>
    <row r="8804">
      <c r="N8804" s="6">
        <f>IF(B8804="","",IF(ISNUMBER(B8804),TEXT(B8804,"YYYY-MM"),LEFT(B8804,7)))</f>
        <v/>
      </c>
    </row>
    <row r="8805">
      <c r="N8805" s="6">
        <f>IF(B8805="","",IF(ISNUMBER(B8805),TEXT(B8805,"YYYY-MM"),LEFT(B8805,7)))</f>
        <v/>
      </c>
    </row>
    <row r="8806">
      <c r="N8806" s="6">
        <f>IF(B8806="","",IF(ISNUMBER(B8806),TEXT(B8806,"YYYY-MM"),LEFT(B8806,7)))</f>
        <v/>
      </c>
    </row>
    <row r="8807">
      <c r="N8807" s="6">
        <f>IF(B8807="","",IF(ISNUMBER(B8807),TEXT(B8807,"YYYY-MM"),LEFT(B8807,7)))</f>
        <v/>
      </c>
    </row>
    <row r="8808">
      <c r="N8808" s="6">
        <f>IF(B8808="","",IF(ISNUMBER(B8808),TEXT(B8808,"YYYY-MM"),LEFT(B8808,7)))</f>
        <v/>
      </c>
    </row>
    <row r="8809">
      <c r="N8809" s="6">
        <f>IF(B8809="","",IF(ISNUMBER(B8809),TEXT(B8809,"YYYY-MM"),LEFT(B8809,7)))</f>
        <v/>
      </c>
    </row>
    <row r="8810">
      <c r="N8810" s="6">
        <f>IF(B8810="","",IF(ISNUMBER(B8810),TEXT(B8810,"YYYY-MM"),LEFT(B8810,7)))</f>
        <v/>
      </c>
    </row>
    <row r="8811">
      <c r="N8811" s="6">
        <f>IF(B8811="","",IF(ISNUMBER(B8811),TEXT(B8811,"YYYY-MM"),LEFT(B8811,7)))</f>
        <v/>
      </c>
    </row>
    <row r="8812">
      <c r="N8812" s="6">
        <f>IF(B8812="","",IF(ISNUMBER(B8812),TEXT(B8812,"YYYY-MM"),LEFT(B8812,7)))</f>
        <v/>
      </c>
    </row>
    <row r="8813">
      <c r="N8813" s="6">
        <f>IF(B8813="","",IF(ISNUMBER(B8813),TEXT(B8813,"YYYY-MM"),LEFT(B8813,7)))</f>
        <v/>
      </c>
    </row>
    <row r="8814">
      <c r="N8814" s="6">
        <f>IF(B8814="","",IF(ISNUMBER(B8814),TEXT(B8814,"YYYY-MM"),LEFT(B8814,7)))</f>
        <v/>
      </c>
    </row>
    <row r="8815">
      <c r="N8815" s="6">
        <f>IF(B8815="","",IF(ISNUMBER(B8815),TEXT(B8815,"YYYY-MM"),LEFT(B8815,7)))</f>
        <v/>
      </c>
    </row>
    <row r="8816">
      <c r="N8816" s="6">
        <f>IF(B8816="","",IF(ISNUMBER(B8816),TEXT(B8816,"YYYY-MM"),LEFT(B8816,7)))</f>
        <v/>
      </c>
    </row>
    <row r="8817">
      <c r="N8817" s="6">
        <f>IF(B8817="","",IF(ISNUMBER(B8817),TEXT(B8817,"YYYY-MM"),LEFT(B8817,7)))</f>
        <v/>
      </c>
    </row>
    <row r="8818">
      <c r="N8818" s="6">
        <f>IF(B8818="","",IF(ISNUMBER(B8818),TEXT(B8818,"YYYY-MM"),LEFT(B8818,7)))</f>
        <v/>
      </c>
    </row>
    <row r="8819">
      <c r="N8819" s="6">
        <f>IF(B8819="","",IF(ISNUMBER(B8819),TEXT(B8819,"YYYY-MM"),LEFT(B8819,7)))</f>
        <v/>
      </c>
    </row>
    <row r="8820">
      <c r="N8820" s="6">
        <f>IF(B8820="","",IF(ISNUMBER(B8820),TEXT(B8820,"YYYY-MM"),LEFT(B8820,7)))</f>
        <v/>
      </c>
    </row>
    <row r="8821">
      <c r="N8821" s="6">
        <f>IF(B8821="","",IF(ISNUMBER(B8821),TEXT(B8821,"YYYY-MM"),LEFT(B8821,7)))</f>
        <v/>
      </c>
    </row>
    <row r="8822">
      <c r="N8822" s="6">
        <f>IF(B8822="","",IF(ISNUMBER(B8822),TEXT(B8822,"YYYY-MM"),LEFT(B8822,7)))</f>
        <v/>
      </c>
    </row>
    <row r="8823">
      <c r="N8823" s="6">
        <f>IF(B8823="","",IF(ISNUMBER(B8823),TEXT(B8823,"YYYY-MM"),LEFT(B8823,7)))</f>
        <v/>
      </c>
    </row>
    <row r="8824">
      <c r="N8824" s="6">
        <f>IF(B8824="","",IF(ISNUMBER(B8824),TEXT(B8824,"YYYY-MM"),LEFT(B8824,7)))</f>
        <v/>
      </c>
    </row>
    <row r="8825">
      <c r="N8825" s="6">
        <f>IF(B8825="","",IF(ISNUMBER(B8825),TEXT(B8825,"YYYY-MM"),LEFT(B8825,7)))</f>
        <v/>
      </c>
    </row>
    <row r="8826">
      <c r="N8826" s="6">
        <f>IF(B8826="","",IF(ISNUMBER(B8826),TEXT(B8826,"YYYY-MM"),LEFT(B8826,7)))</f>
        <v/>
      </c>
    </row>
    <row r="8827">
      <c r="N8827" s="6">
        <f>IF(B8827="","",IF(ISNUMBER(B8827),TEXT(B8827,"YYYY-MM"),LEFT(B8827,7)))</f>
        <v/>
      </c>
    </row>
    <row r="8828">
      <c r="N8828" s="6">
        <f>IF(B8828="","",IF(ISNUMBER(B8828),TEXT(B8828,"YYYY-MM"),LEFT(B8828,7)))</f>
        <v/>
      </c>
    </row>
    <row r="8829">
      <c r="N8829" s="6">
        <f>IF(B8829="","",IF(ISNUMBER(B8829),TEXT(B8829,"YYYY-MM"),LEFT(B8829,7)))</f>
        <v/>
      </c>
    </row>
    <row r="8830">
      <c r="N8830" s="6">
        <f>IF(B8830="","",IF(ISNUMBER(B8830),TEXT(B8830,"YYYY-MM"),LEFT(B8830,7)))</f>
        <v/>
      </c>
    </row>
    <row r="8831">
      <c r="N8831" s="6">
        <f>IF(B8831="","",IF(ISNUMBER(B8831),TEXT(B8831,"YYYY-MM"),LEFT(B8831,7)))</f>
        <v/>
      </c>
    </row>
    <row r="8832">
      <c r="N8832" s="6">
        <f>IF(B8832="","",IF(ISNUMBER(B8832),TEXT(B8832,"YYYY-MM"),LEFT(B8832,7)))</f>
        <v/>
      </c>
    </row>
    <row r="8833">
      <c r="N8833" s="6">
        <f>IF(B8833="","",IF(ISNUMBER(B8833),TEXT(B8833,"YYYY-MM"),LEFT(B8833,7)))</f>
        <v/>
      </c>
    </row>
    <row r="8834">
      <c r="N8834" s="6">
        <f>IF(B8834="","",IF(ISNUMBER(B8834),TEXT(B8834,"YYYY-MM"),LEFT(B8834,7)))</f>
        <v/>
      </c>
    </row>
    <row r="8835">
      <c r="N8835" s="6">
        <f>IF(B8835="","",IF(ISNUMBER(B8835),TEXT(B8835,"YYYY-MM"),LEFT(B8835,7)))</f>
        <v/>
      </c>
    </row>
    <row r="8836">
      <c r="N8836" s="6">
        <f>IF(B8836="","",IF(ISNUMBER(B8836),TEXT(B8836,"YYYY-MM"),LEFT(B8836,7)))</f>
        <v/>
      </c>
    </row>
    <row r="8837">
      <c r="N8837" s="6">
        <f>IF(B8837="","",IF(ISNUMBER(B8837),TEXT(B8837,"YYYY-MM"),LEFT(B8837,7)))</f>
        <v/>
      </c>
    </row>
    <row r="8838">
      <c r="N8838" s="6">
        <f>IF(B8838="","",IF(ISNUMBER(B8838),TEXT(B8838,"YYYY-MM"),LEFT(B8838,7)))</f>
        <v/>
      </c>
    </row>
    <row r="8839">
      <c r="N8839" s="6">
        <f>IF(B8839="","",IF(ISNUMBER(B8839),TEXT(B8839,"YYYY-MM"),LEFT(B8839,7)))</f>
        <v/>
      </c>
    </row>
    <row r="8840">
      <c r="N8840" s="6">
        <f>IF(B8840="","",IF(ISNUMBER(B8840),TEXT(B8840,"YYYY-MM"),LEFT(B8840,7)))</f>
        <v/>
      </c>
    </row>
    <row r="8841">
      <c r="N8841" s="6">
        <f>IF(B8841="","",IF(ISNUMBER(B8841),TEXT(B8841,"YYYY-MM"),LEFT(B8841,7)))</f>
        <v/>
      </c>
    </row>
    <row r="8842">
      <c r="N8842" s="6">
        <f>IF(B8842="","",IF(ISNUMBER(B8842),TEXT(B8842,"YYYY-MM"),LEFT(B8842,7)))</f>
        <v/>
      </c>
    </row>
    <row r="8843">
      <c r="N8843" s="6">
        <f>IF(B8843="","",IF(ISNUMBER(B8843),TEXT(B8843,"YYYY-MM"),LEFT(B8843,7)))</f>
        <v/>
      </c>
    </row>
    <row r="8844">
      <c r="N8844" s="6">
        <f>IF(B8844="","",IF(ISNUMBER(B8844),TEXT(B8844,"YYYY-MM"),LEFT(B8844,7)))</f>
        <v/>
      </c>
    </row>
    <row r="8845">
      <c r="N8845" s="6">
        <f>IF(B8845="","",IF(ISNUMBER(B8845),TEXT(B8845,"YYYY-MM"),LEFT(B8845,7)))</f>
        <v/>
      </c>
    </row>
    <row r="8846">
      <c r="N8846" s="6">
        <f>IF(B8846="","",IF(ISNUMBER(B8846),TEXT(B8846,"YYYY-MM"),LEFT(B8846,7)))</f>
        <v/>
      </c>
    </row>
    <row r="8847">
      <c r="N8847" s="6">
        <f>IF(B8847="","",IF(ISNUMBER(B8847),TEXT(B8847,"YYYY-MM"),LEFT(B8847,7)))</f>
        <v/>
      </c>
    </row>
    <row r="8848">
      <c r="N8848" s="6">
        <f>IF(B8848="","",IF(ISNUMBER(B8848),TEXT(B8848,"YYYY-MM"),LEFT(B8848,7)))</f>
        <v/>
      </c>
    </row>
    <row r="8849">
      <c r="N8849" s="6">
        <f>IF(B8849="","",IF(ISNUMBER(B8849),TEXT(B8849,"YYYY-MM"),LEFT(B8849,7)))</f>
        <v/>
      </c>
    </row>
    <row r="8850">
      <c r="N8850" s="6">
        <f>IF(B8850="","",IF(ISNUMBER(B8850),TEXT(B8850,"YYYY-MM"),LEFT(B8850,7)))</f>
        <v/>
      </c>
    </row>
    <row r="8851">
      <c r="N8851" s="6">
        <f>IF(B8851="","",IF(ISNUMBER(B8851),TEXT(B8851,"YYYY-MM"),LEFT(B8851,7)))</f>
        <v/>
      </c>
    </row>
    <row r="8852">
      <c r="N8852" s="6">
        <f>IF(B8852="","",IF(ISNUMBER(B8852),TEXT(B8852,"YYYY-MM"),LEFT(B8852,7)))</f>
        <v/>
      </c>
    </row>
    <row r="8853">
      <c r="N8853" s="6">
        <f>IF(B8853="","",IF(ISNUMBER(B8853),TEXT(B8853,"YYYY-MM"),LEFT(B8853,7)))</f>
        <v/>
      </c>
    </row>
    <row r="8854">
      <c r="N8854" s="6">
        <f>IF(B8854="","",IF(ISNUMBER(B8854),TEXT(B8854,"YYYY-MM"),LEFT(B8854,7)))</f>
        <v/>
      </c>
    </row>
    <row r="8855">
      <c r="N8855" s="6">
        <f>IF(B8855="","",IF(ISNUMBER(B8855),TEXT(B8855,"YYYY-MM"),LEFT(B8855,7)))</f>
        <v/>
      </c>
    </row>
    <row r="8856">
      <c r="N8856" s="6">
        <f>IF(B8856="","",IF(ISNUMBER(B8856),TEXT(B8856,"YYYY-MM"),LEFT(B8856,7)))</f>
        <v/>
      </c>
    </row>
    <row r="8857">
      <c r="N8857" s="6">
        <f>IF(B8857="","",IF(ISNUMBER(B8857),TEXT(B8857,"YYYY-MM"),LEFT(B8857,7)))</f>
        <v/>
      </c>
    </row>
    <row r="8858">
      <c r="N8858" s="6">
        <f>IF(B8858="","",IF(ISNUMBER(B8858),TEXT(B8858,"YYYY-MM"),LEFT(B8858,7)))</f>
        <v/>
      </c>
    </row>
    <row r="8859">
      <c r="N8859" s="6">
        <f>IF(B8859="","",IF(ISNUMBER(B8859),TEXT(B8859,"YYYY-MM"),LEFT(B8859,7)))</f>
        <v/>
      </c>
    </row>
    <row r="8860">
      <c r="N8860" s="6">
        <f>IF(B8860="","",IF(ISNUMBER(B8860),TEXT(B8860,"YYYY-MM"),LEFT(B8860,7)))</f>
        <v/>
      </c>
    </row>
    <row r="8861">
      <c r="N8861" s="6">
        <f>IF(B8861="","",IF(ISNUMBER(B8861),TEXT(B8861,"YYYY-MM"),LEFT(B8861,7)))</f>
        <v/>
      </c>
    </row>
    <row r="8862">
      <c r="N8862" s="6">
        <f>IF(B8862="","",IF(ISNUMBER(B8862),TEXT(B8862,"YYYY-MM"),LEFT(B8862,7)))</f>
        <v/>
      </c>
    </row>
    <row r="8863">
      <c r="N8863" s="6">
        <f>IF(B8863="","",IF(ISNUMBER(B8863),TEXT(B8863,"YYYY-MM"),LEFT(B8863,7)))</f>
        <v/>
      </c>
    </row>
    <row r="8864">
      <c r="N8864" s="6">
        <f>IF(B8864="","",IF(ISNUMBER(B8864),TEXT(B8864,"YYYY-MM"),LEFT(B8864,7)))</f>
        <v/>
      </c>
    </row>
    <row r="8865">
      <c r="N8865" s="6">
        <f>IF(B8865="","",IF(ISNUMBER(B8865),TEXT(B8865,"YYYY-MM"),LEFT(B8865,7)))</f>
        <v/>
      </c>
    </row>
    <row r="8866">
      <c r="N8866" s="6">
        <f>IF(B8866="","",IF(ISNUMBER(B8866),TEXT(B8866,"YYYY-MM"),LEFT(B8866,7)))</f>
        <v/>
      </c>
    </row>
    <row r="8867">
      <c r="N8867" s="6">
        <f>IF(B8867="","",IF(ISNUMBER(B8867),TEXT(B8867,"YYYY-MM"),LEFT(B8867,7)))</f>
        <v/>
      </c>
    </row>
    <row r="8868">
      <c r="N8868" s="6">
        <f>IF(B8868="","",IF(ISNUMBER(B8868),TEXT(B8868,"YYYY-MM"),LEFT(B8868,7)))</f>
        <v/>
      </c>
    </row>
    <row r="8869">
      <c r="N8869" s="6">
        <f>IF(B8869="","",IF(ISNUMBER(B8869),TEXT(B8869,"YYYY-MM"),LEFT(B8869,7)))</f>
        <v/>
      </c>
    </row>
    <row r="8870">
      <c r="N8870" s="6">
        <f>IF(B8870="","",IF(ISNUMBER(B8870),TEXT(B8870,"YYYY-MM"),LEFT(B8870,7)))</f>
        <v/>
      </c>
    </row>
    <row r="8871">
      <c r="N8871" s="6">
        <f>IF(B8871="","",IF(ISNUMBER(B8871),TEXT(B8871,"YYYY-MM"),LEFT(B8871,7)))</f>
        <v/>
      </c>
    </row>
    <row r="8872">
      <c r="N8872" s="6">
        <f>IF(B8872="","",IF(ISNUMBER(B8872),TEXT(B8872,"YYYY-MM"),LEFT(B8872,7)))</f>
        <v/>
      </c>
    </row>
    <row r="8873">
      <c r="N8873" s="6">
        <f>IF(B8873="","",IF(ISNUMBER(B8873),TEXT(B8873,"YYYY-MM"),LEFT(B8873,7)))</f>
        <v/>
      </c>
    </row>
    <row r="8874">
      <c r="N8874" s="6">
        <f>IF(B8874="","",IF(ISNUMBER(B8874),TEXT(B8874,"YYYY-MM"),LEFT(B8874,7)))</f>
        <v/>
      </c>
    </row>
    <row r="8875">
      <c r="N8875" s="6">
        <f>IF(B8875="","",IF(ISNUMBER(B8875),TEXT(B8875,"YYYY-MM"),LEFT(B8875,7)))</f>
        <v/>
      </c>
    </row>
    <row r="8876">
      <c r="N8876" s="6">
        <f>IF(B8876="","",IF(ISNUMBER(B8876),TEXT(B8876,"YYYY-MM"),LEFT(B8876,7)))</f>
        <v/>
      </c>
    </row>
    <row r="8877">
      <c r="N8877" s="6">
        <f>IF(B8877="","",IF(ISNUMBER(B8877),TEXT(B8877,"YYYY-MM"),LEFT(B8877,7)))</f>
        <v/>
      </c>
    </row>
    <row r="8878">
      <c r="N8878" s="6">
        <f>IF(B8878="","",IF(ISNUMBER(B8878),TEXT(B8878,"YYYY-MM"),LEFT(B8878,7)))</f>
        <v/>
      </c>
    </row>
    <row r="8879">
      <c r="N8879" s="6">
        <f>IF(B8879="","",IF(ISNUMBER(B8879),TEXT(B8879,"YYYY-MM"),LEFT(B8879,7)))</f>
        <v/>
      </c>
    </row>
    <row r="8880">
      <c r="N8880" s="6">
        <f>IF(B8880="","",IF(ISNUMBER(B8880),TEXT(B8880,"YYYY-MM"),LEFT(B8880,7)))</f>
        <v/>
      </c>
    </row>
    <row r="8881">
      <c r="N8881" s="6">
        <f>IF(B8881="","",IF(ISNUMBER(B8881),TEXT(B8881,"YYYY-MM"),LEFT(B8881,7)))</f>
        <v/>
      </c>
    </row>
    <row r="8882">
      <c r="N8882" s="6">
        <f>IF(B8882="","",IF(ISNUMBER(B8882),TEXT(B8882,"YYYY-MM"),LEFT(B8882,7)))</f>
        <v/>
      </c>
    </row>
    <row r="8883">
      <c r="N8883" s="6">
        <f>IF(B8883="","",IF(ISNUMBER(B8883),TEXT(B8883,"YYYY-MM"),LEFT(B8883,7)))</f>
        <v/>
      </c>
    </row>
    <row r="8884">
      <c r="N8884" s="6">
        <f>IF(B8884="","",IF(ISNUMBER(B8884),TEXT(B8884,"YYYY-MM"),LEFT(B8884,7)))</f>
        <v/>
      </c>
    </row>
    <row r="8885">
      <c r="N8885" s="6">
        <f>IF(B8885="","",IF(ISNUMBER(B8885),TEXT(B8885,"YYYY-MM"),LEFT(B8885,7)))</f>
        <v/>
      </c>
    </row>
    <row r="8886">
      <c r="N8886" s="6">
        <f>IF(B8886="","",IF(ISNUMBER(B8886),TEXT(B8886,"YYYY-MM"),LEFT(B8886,7)))</f>
        <v/>
      </c>
    </row>
    <row r="8887">
      <c r="N8887" s="6">
        <f>IF(B8887="","",IF(ISNUMBER(B8887),TEXT(B8887,"YYYY-MM"),LEFT(B8887,7)))</f>
        <v/>
      </c>
    </row>
    <row r="8888">
      <c r="N8888" s="6">
        <f>IF(B8888="","",IF(ISNUMBER(B8888),TEXT(B8888,"YYYY-MM"),LEFT(B8888,7)))</f>
        <v/>
      </c>
    </row>
    <row r="8889">
      <c r="N8889" s="6">
        <f>IF(B8889="","",IF(ISNUMBER(B8889),TEXT(B8889,"YYYY-MM"),LEFT(B8889,7)))</f>
        <v/>
      </c>
    </row>
    <row r="8890">
      <c r="N8890" s="6">
        <f>IF(B8890="","",IF(ISNUMBER(B8890),TEXT(B8890,"YYYY-MM"),LEFT(B8890,7)))</f>
        <v/>
      </c>
    </row>
    <row r="8891">
      <c r="N8891" s="6">
        <f>IF(B8891="","",IF(ISNUMBER(B8891),TEXT(B8891,"YYYY-MM"),LEFT(B8891,7)))</f>
        <v/>
      </c>
    </row>
    <row r="8892">
      <c r="N8892" s="6">
        <f>IF(B8892="","",IF(ISNUMBER(B8892),TEXT(B8892,"YYYY-MM"),LEFT(B8892,7)))</f>
        <v/>
      </c>
    </row>
    <row r="8893">
      <c r="N8893" s="6">
        <f>IF(B8893="","",IF(ISNUMBER(B8893),TEXT(B8893,"YYYY-MM"),LEFT(B8893,7)))</f>
        <v/>
      </c>
    </row>
    <row r="8894">
      <c r="N8894" s="6">
        <f>IF(B8894="","",IF(ISNUMBER(B8894),TEXT(B8894,"YYYY-MM"),LEFT(B8894,7)))</f>
        <v/>
      </c>
    </row>
    <row r="8895">
      <c r="N8895" s="6">
        <f>IF(B8895="","",IF(ISNUMBER(B8895),TEXT(B8895,"YYYY-MM"),LEFT(B8895,7)))</f>
        <v/>
      </c>
    </row>
    <row r="8896">
      <c r="N8896" s="6">
        <f>IF(B8896="","",IF(ISNUMBER(B8896),TEXT(B8896,"YYYY-MM"),LEFT(B8896,7)))</f>
        <v/>
      </c>
    </row>
    <row r="8897">
      <c r="N8897" s="6">
        <f>IF(B8897="","",IF(ISNUMBER(B8897),TEXT(B8897,"YYYY-MM"),LEFT(B8897,7)))</f>
        <v/>
      </c>
    </row>
    <row r="8898">
      <c r="N8898" s="6">
        <f>IF(B8898="","",IF(ISNUMBER(B8898),TEXT(B8898,"YYYY-MM"),LEFT(B8898,7)))</f>
        <v/>
      </c>
    </row>
    <row r="8899">
      <c r="N8899" s="6">
        <f>IF(B8899="","",IF(ISNUMBER(B8899),TEXT(B8899,"YYYY-MM"),LEFT(B8899,7)))</f>
        <v/>
      </c>
    </row>
    <row r="8900">
      <c r="N8900" s="6">
        <f>IF(B8900="","",IF(ISNUMBER(B8900),TEXT(B8900,"YYYY-MM"),LEFT(B8900,7)))</f>
        <v/>
      </c>
    </row>
    <row r="8901">
      <c r="N8901" s="6">
        <f>IF(B8901="","",IF(ISNUMBER(B8901),TEXT(B8901,"YYYY-MM"),LEFT(B8901,7)))</f>
        <v/>
      </c>
    </row>
    <row r="8902">
      <c r="N8902" s="6">
        <f>IF(B8902="","",IF(ISNUMBER(B8902),TEXT(B8902,"YYYY-MM"),LEFT(B8902,7)))</f>
        <v/>
      </c>
    </row>
    <row r="8903">
      <c r="N8903" s="6">
        <f>IF(B8903="","",IF(ISNUMBER(B8903),TEXT(B8903,"YYYY-MM"),LEFT(B8903,7)))</f>
        <v/>
      </c>
    </row>
    <row r="8904">
      <c r="N8904" s="6">
        <f>IF(B8904="","",IF(ISNUMBER(B8904),TEXT(B8904,"YYYY-MM"),LEFT(B8904,7)))</f>
        <v/>
      </c>
    </row>
    <row r="8905">
      <c r="N8905" s="6">
        <f>IF(B8905="","",IF(ISNUMBER(B8905),TEXT(B8905,"YYYY-MM"),LEFT(B8905,7)))</f>
        <v/>
      </c>
    </row>
    <row r="8906">
      <c r="N8906" s="6">
        <f>IF(B8906="","",IF(ISNUMBER(B8906),TEXT(B8906,"YYYY-MM"),LEFT(B8906,7)))</f>
        <v/>
      </c>
    </row>
    <row r="8907">
      <c r="N8907" s="6">
        <f>IF(B8907="","",IF(ISNUMBER(B8907),TEXT(B8907,"YYYY-MM"),LEFT(B8907,7)))</f>
        <v/>
      </c>
    </row>
    <row r="8908">
      <c r="N8908" s="6">
        <f>IF(B8908="","",IF(ISNUMBER(B8908),TEXT(B8908,"YYYY-MM"),LEFT(B8908,7)))</f>
        <v/>
      </c>
    </row>
    <row r="8909">
      <c r="N8909" s="6">
        <f>IF(B8909="","",IF(ISNUMBER(B8909),TEXT(B8909,"YYYY-MM"),LEFT(B8909,7)))</f>
        <v/>
      </c>
    </row>
    <row r="8910">
      <c r="N8910" s="6">
        <f>IF(B8910="","",IF(ISNUMBER(B8910),TEXT(B8910,"YYYY-MM"),LEFT(B8910,7)))</f>
        <v/>
      </c>
    </row>
    <row r="8911">
      <c r="N8911" s="6">
        <f>IF(B8911="","",IF(ISNUMBER(B8911),TEXT(B8911,"YYYY-MM"),LEFT(B8911,7)))</f>
        <v/>
      </c>
    </row>
    <row r="8912">
      <c r="N8912" s="6">
        <f>IF(B8912="","",IF(ISNUMBER(B8912),TEXT(B8912,"YYYY-MM"),LEFT(B8912,7)))</f>
        <v/>
      </c>
    </row>
    <row r="8913">
      <c r="N8913" s="6">
        <f>IF(B8913="","",IF(ISNUMBER(B8913),TEXT(B8913,"YYYY-MM"),LEFT(B8913,7)))</f>
        <v/>
      </c>
    </row>
    <row r="8914">
      <c r="N8914" s="6">
        <f>IF(B8914="","",IF(ISNUMBER(B8914),TEXT(B8914,"YYYY-MM"),LEFT(B8914,7)))</f>
        <v/>
      </c>
    </row>
    <row r="8915">
      <c r="N8915" s="6">
        <f>IF(B8915="","",IF(ISNUMBER(B8915),TEXT(B8915,"YYYY-MM"),LEFT(B8915,7)))</f>
        <v/>
      </c>
    </row>
    <row r="8916">
      <c r="N8916" s="6">
        <f>IF(B8916="","",IF(ISNUMBER(B8916),TEXT(B8916,"YYYY-MM"),LEFT(B8916,7)))</f>
        <v/>
      </c>
    </row>
    <row r="8917">
      <c r="N8917" s="6">
        <f>IF(B8917="","",IF(ISNUMBER(B8917),TEXT(B8917,"YYYY-MM"),LEFT(B8917,7)))</f>
        <v/>
      </c>
    </row>
    <row r="8918">
      <c r="N8918" s="6">
        <f>IF(B8918="","",IF(ISNUMBER(B8918),TEXT(B8918,"YYYY-MM"),LEFT(B8918,7)))</f>
        <v/>
      </c>
    </row>
    <row r="8919">
      <c r="N8919" s="6">
        <f>IF(B8919="","",IF(ISNUMBER(B8919),TEXT(B8919,"YYYY-MM"),LEFT(B8919,7)))</f>
        <v/>
      </c>
    </row>
    <row r="8920">
      <c r="N8920" s="6">
        <f>IF(B8920="","",IF(ISNUMBER(B8920),TEXT(B8920,"YYYY-MM"),LEFT(B8920,7)))</f>
        <v/>
      </c>
    </row>
    <row r="8921">
      <c r="N8921" s="6">
        <f>IF(B8921="","",IF(ISNUMBER(B8921),TEXT(B8921,"YYYY-MM"),LEFT(B8921,7)))</f>
        <v/>
      </c>
    </row>
    <row r="8922">
      <c r="N8922" s="6">
        <f>IF(B8922="","",IF(ISNUMBER(B8922),TEXT(B8922,"YYYY-MM"),LEFT(B8922,7)))</f>
        <v/>
      </c>
    </row>
    <row r="8923">
      <c r="N8923" s="6">
        <f>IF(B8923="","",IF(ISNUMBER(B8923),TEXT(B8923,"YYYY-MM"),LEFT(B8923,7)))</f>
        <v/>
      </c>
    </row>
    <row r="8924">
      <c r="N8924" s="6">
        <f>IF(B8924="","",IF(ISNUMBER(B8924),TEXT(B8924,"YYYY-MM"),LEFT(B8924,7)))</f>
        <v/>
      </c>
    </row>
    <row r="8925">
      <c r="N8925" s="6">
        <f>IF(B8925="","",IF(ISNUMBER(B8925),TEXT(B8925,"YYYY-MM"),LEFT(B8925,7)))</f>
        <v/>
      </c>
    </row>
    <row r="8926">
      <c r="N8926" s="6">
        <f>IF(B8926="","",IF(ISNUMBER(B8926),TEXT(B8926,"YYYY-MM"),LEFT(B8926,7)))</f>
        <v/>
      </c>
    </row>
    <row r="8927">
      <c r="N8927" s="6">
        <f>IF(B8927="","",IF(ISNUMBER(B8927),TEXT(B8927,"YYYY-MM"),LEFT(B8927,7)))</f>
        <v/>
      </c>
    </row>
    <row r="8928">
      <c r="N8928" s="6">
        <f>IF(B8928="","",IF(ISNUMBER(B8928),TEXT(B8928,"YYYY-MM"),LEFT(B8928,7)))</f>
        <v/>
      </c>
    </row>
    <row r="8929">
      <c r="N8929" s="6">
        <f>IF(B8929="","",IF(ISNUMBER(B8929),TEXT(B8929,"YYYY-MM"),LEFT(B8929,7)))</f>
        <v/>
      </c>
    </row>
    <row r="8930">
      <c r="N8930" s="6">
        <f>IF(B8930="","",IF(ISNUMBER(B8930),TEXT(B8930,"YYYY-MM"),LEFT(B8930,7)))</f>
        <v/>
      </c>
    </row>
    <row r="8931">
      <c r="N8931" s="6">
        <f>IF(B8931="","",IF(ISNUMBER(B8931),TEXT(B8931,"YYYY-MM"),LEFT(B8931,7)))</f>
        <v/>
      </c>
    </row>
    <row r="8932">
      <c r="N8932" s="6">
        <f>IF(B8932="","",IF(ISNUMBER(B8932),TEXT(B8932,"YYYY-MM"),LEFT(B8932,7)))</f>
        <v/>
      </c>
    </row>
    <row r="8933">
      <c r="N8933" s="6">
        <f>IF(B8933="","",IF(ISNUMBER(B8933),TEXT(B8933,"YYYY-MM"),LEFT(B8933,7)))</f>
        <v/>
      </c>
    </row>
    <row r="8934">
      <c r="N8934" s="6">
        <f>IF(B8934="","",IF(ISNUMBER(B8934),TEXT(B8934,"YYYY-MM"),LEFT(B8934,7)))</f>
        <v/>
      </c>
    </row>
    <row r="8935">
      <c r="N8935" s="6">
        <f>IF(B8935="","",IF(ISNUMBER(B8935),TEXT(B8935,"YYYY-MM"),LEFT(B8935,7)))</f>
        <v/>
      </c>
    </row>
    <row r="8936">
      <c r="N8936" s="6">
        <f>IF(B8936="","",IF(ISNUMBER(B8936),TEXT(B8936,"YYYY-MM"),LEFT(B8936,7)))</f>
        <v/>
      </c>
    </row>
    <row r="8937">
      <c r="N8937" s="6">
        <f>IF(B8937="","",IF(ISNUMBER(B8937),TEXT(B8937,"YYYY-MM"),LEFT(B8937,7)))</f>
        <v/>
      </c>
    </row>
    <row r="8938">
      <c r="N8938" s="6">
        <f>IF(B8938="","",IF(ISNUMBER(B8938),TEXT(B8938,"YYYY-MM"),LEFT(B8938,7)))</f>
        <v/>
      </c>
    </row>
    <row r="8939">
      <c r="N8939" s="6">
        <f>IF(B8939="","",IF(ISNUMBER(B8939),TEXT(B8939,"YYYY-MM"),LEFT(B8939,7)))</f>
        <v/>
      </c>
    </row>
    <row r="8940">
      <c r="N8940" s="6">
        <f>IF(B8940="","",IF(ISNUMBER(B8940),TEXT(B8940,"YYYY-MM"),LEFT(B8940,7)))</f>
        <v/>
      </c>
    </row>
    <row r="8941">
      <c r="N8941" s="6">
        <f>IF(B8941="","",IF(ISNUMBER(B8941),TEXT(B8941,"YYYY-MM"),LEFT(B8941,7)))</f>
        <v/>
      </c>
    </row>
    <row r="8942">
      <c r="N8942" s="6">
        <f>IF(B8942="","",IF(ISNUMBER(B8942),TEXT(B8942,"YYYY-MM"),LEFT(B8942,7)))</f>
        <v/>
      </c>
    </row>
    <row r="8943">
      <c r="N8943" s="6">
        <f>IF(B8943="","",IF(ISNUMBER(B8943),TEXT(B8943,"YYYY-MM"),LEFT(B8943,7)))</f>
        <v/>
      </c>
    </row>
    <row r="8944">
      <c r="N8944" s="6">
        <f>IF(B8944="","",IF(ISNUMBER(B8944),TEXT(B8944,"YYYY-MM"),LEFT(B8944,7)))</f>
        <v/>
      </c>
    </row>
    <row r="8945">
      <c r="N8945" s="6">
        <f>IF(B8945="","",IF(ISNUMBER(B8945),TEXT(B8945,"YYYY-MM"),LEFT(B8945,7)))</f>
        <v/>
      </c>
    </row>
    <row r="8946">
      <c r="N8946" s="6">
        <f>IF(B8946="","",IF(ISNUMBER(B8946),TEXT(B8946,"YYYY-MM"),LEFT(B8946,7)))</f>
        <v/>
      </c>
    </row>
    <row r="8947">
      <c r="N8947" s="6">
        <f>IF(B8947="","",IF(ISNUMBER(B8947),TEXT(B8947,"YYYY-MM"),LEFT(B8947,7)))</f>
        <v/>
      </c>
    </row>
    <row r="8948">
      <c r="N8948" s="6">
        <f>IF(B8948="","",IF(ISNUMBER(B8948),TEXT(B8948,"YYYY-MM"),LEFT(B8948,7)))</f>
        <v/>
      </c>
    </row>
    <row r="8949">
      <c r="N8949" s="6">
        <f>IF(B8949="","",IF(ISNUMBER(B8949),TEXT(B8949,"YYYY-MM"),LEFT(B8949,7)))</f>
        <v/>
      </c>
    </row>
    <row r="8950">
      <c r="N8950" s="6">
        <f>IF(B8950="","",IF(ISNUMBER(B8950),TEXT(B8950,"YYYY-MM"),LEFT(B8950,7)))</f>
        <v/>
      </c>
    </row>
    <row r="8951">
      <c r="N8951" s="6">
        <f>IF(B8951="","",IF(ISNUMBER(B8951),TEXT(B8951,"YYYY-MM"),LEFT(B8951,7)))</f>
        <v/>
      </c>
    </row>
    <row r="8952">
      <c r="N8952" s="6">
        <f>IF(B8952="","",IF(ISNUMBER(B8952),TEXT(B8952,"YYYY-MM"),LEFT(B8952,7)))</f>
        <v/>
      </c>
    </row>
    <row r="8953">
      <c r="N8953" s="6">
        <f>IF(B8953="","",IF(ISNUMBER(B8953),TEXT(B8953,"YYYY-MM"),LEFT(B8953,7)))</f>
        <v/>
      </c>
    </row>
    <row r="8954">
      <c r="N8954" s="6">
        <f>IF(B8954="","",IF(ISNUMBER(B8954),TEXT(B8954,"YYYY-MM"),LEFT(B8954,7)))</f>
        <v/>
      </c>
    </row>
    <row r="8955">
      <c r="N8955" s="6">
        <f>IF(B8955="","",IF(ISNUMBER(B8955),TEXT(B8955,"YYYY-MM"),LEFT(B8955,7)))</f>
        <v/>
      </c>
    </row>
    <row r="8956">
      <c r="N8956" s="6">
        <f>IF(B8956="","",IF(ISNUMBER(B8956),TEXT(B8956,"YYYY-MM"),LEFT(B8956,7)))</f>
        <v/>
      </c>
    </row>
    <row r="8957">
      <c r="N8957" s="6">
        <f>IF(B8957="","",IF(ISNUMBER(B8957),TEXT(B8957,"YYYY-MM"),LEFT(B8957,7)))</f>
        <v/>
      </c>
    </row>
    <row r="8958">
      <c r="N8958" s="6">
        <f>IF(B8958="","",IF(ISNUMBER(B8958),TEXT(B8958,"YYYY-MM"),LEFT(B8958,7)))</f>
        <v/>
      </c>
    </row>
    <row r="8959">
      <c r="N8959" s="6">
        <f>IF(B8959="","",IF(ISNUMBER(B8959),TEXT(B8959,"YYYY-MM"),LEFT(B8959,7)))</f>
        <v/>
      </c>
    </row>
    <row r="8960">
      <c r="N8960" s="6">
        <f>IF(B8960="","",IF(ISNUMBER(B8960),TEXT(B8960,"YYYY-MM"),LEFT(B8960,7)))</f>
        <v/>
      </c>
    </row>
    <row r="8961">
      <c r="N8961" s="6">
        <f>IF(B8961="","",IF(ISNUMBER(B8961),TEXT(B8961,"YYYY-MM"),LEFT(B8961,7)))</f>
        <v/>
      </c>
    </row>
    <row r="8962">
      <c r="N8962" s="6">
        <f>IF(B8962="","",IF(ISNUMBER(B8962),TEXT(B8962,"YYYY-MM"),LEFT(B8962,7)))</f>
        <v/>
      </c>
    </row>
    <row r="8963">
      <c r="N8963" s="6">
        <f>IF(B8963="","",IF(ISNUMBER(B8963),TEXT(B8963,"YYYY-MM"),LEFT(B8963,7)))</f>
        <v/>
      </c>
    </row>
    <row r="8964">
      <c r="N8964" s="6">
        <f>IF(B8964="","",IF(ISNUMBER(B8964),TEXT(B8964,"YYYY-MM"),LEFT(B8964,7)))</f>
        <v/>
      </c>
    </row>
    <row r="8965">
      <c r="N8965" s="6">
        <f>IF(B8965="","",IF(ISNUMBER(B8965),TEXT(B8965,"YYYY-MM"),LEFT(B8965,7)))</f>
        <v/>
      </c>
    </row>
    <row r="8966">
      <c r="N8966" s="6">
        <f>IF(B8966="","",IF(ISNUMBER(B8966),TEXT(B8966,"YYYY-MM"),LEFT(B8966,7)))</f>
        <v/>
      </c>
    </row>
    <row r="8967">
      <c r="N8967" s="6">
        <f>IF(B8967="","",IF(ISNUMBER(B8967),TEXT(B8967,"YYYY-MM"),LEFT(B8967,7)))</f>
        <v/>
      </c>
    </row>
    <row r="8968">
      <c r="N8968" s="6">
        <f>IF(B8968="","",IF(ISNUMBER(B8968),TEXT(B8968,"YYYY-MM"),LEFT(B8968,7)))</f>
        <v/>
      </c>
    </row>
    <row r="8969">
      <c r="N8969" s="6">
        <f>IF(B8969="","",IF(ISNUMBER(B8969),TEXT(B8969,"YYYY-MM"),LEFT(B8969,7)))</f>
        <v/>
      </c>
    </row>
    <row r="8970">
      <c r="N8970" s="6">
        <f>IF(B8970="","",IF(ISNUMBER(B8970),TEXT(B8970,"YYYY-MM"),LEFT(B8970,7)))</f>
        <v/>
      </c>
    </row>
    <row r="8971">
      <c r="N8971" s="6">
        <f>IF(B8971="","",IF(ISNUMBER(B8971),TEXT(B8971,"YYYY-MM"),LEFT(B8971,7)))</f>
        <v/>
      </c>
    </row>
    <row r="8972">
      <c r="N8972" s="6">
        <f>IF(B8972="","",IF(ISNUMBER(B8972),TEXT(B8972,"YYYY-MM"),LEFT(B8972,7)))</f>
        <v/>
      </c>
    </row>
    <row r="8973">
      <c r="N8973" s="6">
        <f>IF(B8973="","",IF(ISNUMBER(B8973),TEXT(B8973,"YYYY-MM"),LEFT(B8973,7)))</f>
        <v/>
      </c>
    </row>
    <row r="8974">
      <c r="N8974" s="6">
        <f>IF(B8974="","",IF(ISNUMBER(B8974),TEXT(B8974,"YYYY-MM"),LEFT(B8974,7)))</f>
        <v/>
      </c>
    </row>
    <row r="8975">
      <c r="N8975" s="6">
        <f>IF(B8975="","",IF(ISNUMBER(B8975),TEXT(B8975,"YYYY-MM"),LEFT(B8975,7)))</f>
        <v/>
      </c>
    </row>
    <row r="8976">
      <c r="N8976" s="6">
        <f>IF(B8976="","",IF(ISNUMBER(B8976),TEXT(B8976,"YYYY-MM"),LEFT(B8976,7)))</f>
        <v/>
      </c>
    </row>
    <row r="8977">
      <c r="N8977" s="6">
        <f>IF(B8977="","",IF(ISNUMBER(B8977),TEXT(B8977,"YYYY-MM"),LEFT(B8977,7)))</f>
        <v/>
      </c>
    </row>
    <row r="8978">
      <c r="N8978" s="6">
        <f>IF(B8978="","",IF(ISNUMBER(B8978),TEXT(B8978,"YYYY-MM"),LEFT(B8978,7)))</f>
        <v/>
      </c>
    </row>
    <row r="8979">
      <c r="N8979" s="6">
        <f>IF(B8979="","",IF(ISNUMBER(B8979),TEXT(B8979,"YYYY-MM"),LEFT(B8979,7)))</f>
        <v/>
      </c>
    </row>
    <row r="8980">
      <c r="N8980" s="6">
        <f>IF(B8980="","",IF(ISNUMBER(B8980),TEXT(B8980,"YYYY-MM"),LEFT(B8980,7)))</f>
        <v/>
      </c>
    </row>
    <row r="8981">
      <c r="N8981" s="6">
        <f>IF(B8981="","",IF(ISNUMBER(B8981),TEXT(B8981,"YYYY-MM"),LEFT(B8981,7)))</f>
        <v/>
      </c>
    </row>
    <row r="8982">
      <c r="N8982" s="6">
        <f>IF(B8982="","",IF(ISNUMBER(B8982),TEXT(B8982,"YYYY-MM"),LEFT(B8982,7)))</f>
        <v/>
      </c>
    </row>
    <row r="8983">
      <c r="N8983" s="6">
        <f>IF(B8983="","",IF(ISNUMBER(B8983),TEXT(B8983,"YYYY-MM"),LEFT(B8983,7)))</f>
        <v/>
      </c>
    </row>
    <row r="8984">
      <c r="N8984" s="6">
        <f>IF(B8984="","",IF(ISNUMBER(B8984),TEXT(B8984,"YYYY-MM"),LEFT(B8984,7)))</f>
        <v/>
      </c>
    </row>
    <row r="8985">
      <c r="N8985" s="6">
        <f>IF(B8985="","",IF(ISNUMBER(B8985),TEXT(B8985,"YYYY-MM"),LEFT(B8985,7)))</f>
        <v/>
      </c>
    </row>
    <row r="8986">
      <c r="N8986" s="6">
        <f>IF(B8986="","",IF(ISNUMBER(B8986),TEXT(B8986,"YYYY-MM"),LEFT(B8986,7)))</f>
        <v/>
      </c>
    </row>
    <row r="8987">
      <c r="N8987" s="6">
        <f>IF(B8987="","",IF(ISNUMBER(B8987),TEXT(B8987,"YYYY-MM"),LEFT(B8987,7)))</f>
        <v/>
      </c>
    </row>
    <row r="8988">
      <c r="N8988" s="6">
        <f>IF(B8988="","",IF(ISNUMBER(B8988),TEXT(B8988,"YYYY-MM"),LEFT(B8988,7)))</f>
        <v/>
      </c>
    </row>
    <row r="8989">
      <c r="N8989" s="6">
        <f>IF(B8989="","",IF(ISNUMBER(B8989),TEXT(B8989,"YYYY-MM"),LEFT(B8989,7)))</f>
        <v/>
      </c>
    </row>
    <row r="8990">
      <c r="N8990" s="6">
        <f>IF(B8990="","",IF(ISNUMBER(B8990),TEXT(B8990,"YYYY-MM"),LEFT(B8990,7)))</f>
        <v/>
      </c>
    </row>
    <row r="8991">
      <c r="N8991" s="6">
        <f>IF(B8991="","",IF(ISNUMBER(B8991),TEXT(B8991,"YYYY-MM"),LEFT(B8991,7)))</f>
        <v/>
      </c>
    </row>
    <row r="8992">
      <c r="N8992" s="6">
        <f>IF(B8992="","",IF(ISNUMBER(B8992),TEXT(B8992,"YYYY-MM"),LEFT(B8992,7)))</f>
        <v/>
      </c>
    </row>
    <row r="8993">
      <c r="N8993" s="6">
        <f>IF(B8993="","",IF(ISNUMBER(B8993),TEXT(B8993,"YYYY-MM"),LEFT(B8993,7)))</f>
        <v/>
      </c>
    </row>
    <row r="8994">
      <c r="N8994" s="6">
        <f>IF(B8994="","",IF(ISNUMBER(B8994),TEXT(B8994,"YYYY-MM"),LEFT(B8994,7)))</f>
        <v/>
      </c>
    </row>
    <row r="8995">
      <c r="N8995" s="6">
        <f>IF(B8995="","",IF(ISNUMBER(B8995),TEXT(B8995,"YYYY-MM"),LEFT(B8995,7)))</f>
        <v/>
      </c>
    </row>
    <row r="8996">
      <c r="N8996" s="6">
        <f>IF(B8996="","",IF(ISNUMBER(B8996),TEXT(B8996,"YYYY-MM"),LEFT(B8996,7)))</f>
        <v/>
      </c>
    </row>
    <row r="8997">
      <c r="N8997" s="6">
        <f>IF(B8997="","",IF(ISNUMBER(B8997),TEXT(B8997,"YYYY-MM"),LEFT(B8997,7)))</f>
        <v/>
      </c>
    </row>
    <row r="8998">
      <c r="N8998" s="6">
        <f>IF(B8998="","",IF(ISNUMBER(B8998),TEXT(B8998,"YYYY-MM"),LEFT(B8998,7)))</f>
        <v/>
      </c>
    </row>
    <row r="8999">
      <c r="N8999" s="6">
        <f>IF(B8999="","",IF(ISNUMBER(B8999),TEXT(B8999,"YYYY-MM"),LEFT(B8999,7)))</f>
        <v/>
      </c>
    </row>
    <row r="9000">
      <c r="N9000" s="6">
        <f>IF(B9000="","",IF(ISNUMBER(B9000),TEXT(B9000,"YYYY-MM"),LEFT(B9000,7)))</f>
        <v/>
      </c>
    </row>
    <row r="9001">
      <c r="N9001" s="6">
        <f>IF(B9001="","",IF(ISNUMBER(B9001),TEXT(B9001,"YYYY-MM"),LEFT(B9001,7)))</f>
        <v/>
      </c>
    </row>
    <row r="9002">
      <c r="N9002" s="6">
        <f>IF(B9002="","",IF(ISNUMBER(B9002),TEXT(B9002,"YYYY-MM"),LEFT(B9002,7)))</f>
        <v/>
      </c>
    </row>
    <row r="9003">
      <c r="N9003" s="6">
        <f>IF(B9003="","",IF(ISNUMBER(B9003),TEXT(B9003,"YYYY-MM"),LEFT(B9003,7)))</f>
        <v/>
      </c>
    </row>
    <row r="9004">
      <c r="N9004" s="6">
        <f>IF(B9004="","",IF(ISNUMBER(B9004),TEXT(B9004,"YYYY-MM"),LEFT(B9004,7)))</f>
        <v/>
      </c>
    </row>
    <row r="9005">
      <c r="N9005" s="6">
        <f>IF(B9005="","",IF(ISNUMBER(B9005),TEXT(B9005,"YYYY-MM"),LEFT(B9005,7)))</f>
        <v/>
      </c>
    </row>
    <row r="9006">
      <c r="N9006" s="6">
        <f>IF(B9006="","",IF(ISNUMBER(B9006),TEXT(B9006,"YYYY-MM"),LEFT(B9006,7)))</f>
        <v/>
      </c>
    </row>
    <row r="9007">
      <c r="N9007" s="6">
        <f>IF(B9007="","",IF(ISNUMBER(B9007),TEXT(B9007,"YYYY-MM"),LEFT(B9007,7)))</f>
        <v/>
      </c>
    </row>
    <row r="9008">
      <c r="N9008" s="6">
        <f>IF(B9008="","",IF(ISNUMBER(B9008),TEXT(B9008,"YYYY-MM"),LEFT(B9008,7)))</f>
        <v/>
      </c>
    </row>
    <row r="9009">
      <c r="N9009" s="6">
        <f>IF(B9009="","",IF(ISNUMBER(B9009),TEXT(B9009,"YYYY-MM"),LEFT(B9009,7)))</f>
        <v/>
      </c>
    </row>
    <row r="9010">
      <c r="N9010" s="6">
        <f>IF(B9010="","",IF(ISNUMBER(B9010),TEXT(B9010,"YYYY-MM"),LEFT(B9010,7)))</f>
        <v/>
      </c>
    </row>
    <row r="9011">
      <c r="N9011" s="6">
        <f>IF(B9011="","",IF(ISNUMBER(B9011),TEXT(B9011,"YYYY-MM"),LEFT(B9011,7)))</f>
        <v/>
      </c>
    </row>
    <row r="9012">
      <c r="N9012" s="6">
        <f>IF(B9012="","",IF(ISNUMBER(B9012),TEXT(B9012,"YYYY-MM"),LEFT(B9012,7)))</f>
        <v/>
      </c>
    </row>
    <row r="9013">
      <c r="N9013" s="6">
        <f>IF(B9013="","",IF(ISNUMBER(B9013),TEXT(B9013,"YYYY-MM"),LEFT(B9013,7)))</f>
        <v/>
      </c>
    </row>
    <row r="9014">
      <c r="N9014" s="6">
        <f>IF(B9014="","",IF(ISNUMBER(B9014),TEXT(B9014,"YYYY-MM"),LEFT(B9014,7)))</f>
        <v/>
      </c>
    </row>
    <row r="9015">
      <c r="N9015" s="6">
        <f>IF(B9015="","",IF(ISNUMBER(B9015),TEXT(B9015,"YYYY-MM"),LEFT(B9015,7)))</f>
        <v/>
      </c>
    </row>
    <row r="9016">
      <c r="N9016" s="6">
        <f>IF(B9016="","",IF(ISNUMBER(B9016),TEXT(B9016,"YYYY-MM"),LEFT(B9016,7)))</f>
        <v/>
      </c>
    </row>
    <row r="9017">
      <c r="N9017" s="6">
        <f>IF(B9017="","",IF(ISNUMBER(B9017),TEXT(B9017,"YYYY-MM"),LEFT(B9017,7)))</f>
        <v/>
      </c>
    </row>
    <row r="9018">
      <c r="N9018" s="6">
        <f>IF(B9018="","",IF(ISNUMBER(B9018),TEXT(B9018,"YYYY-MM"),LEFT(B9018,7)))</f>
        <v/>
      </c>
    </row>
    <row r="9019">
      <c r="N9019" s="6">
        <f>IF(B9019="","",IF(ISNUMBER(B9019),TEXT(B9019,"YYYY-MM"),LEFT(B9019,7)))</f>
        <v/>
      </c>
    </row>
    <row r="9020">
      <c r="N9020" s="6">
        <f>IF(B9020="","",IF(ISNUMBER(B9020),TEXT(B9020,"YYYY-MM"),LEFT(B9020,7)))</f>
        <v/>
      </c>
    </row>
    <row r="9021">
      <c r="N9021" s="6">
        <f>IF(B9021="","",IF(ISNUMBER(B9021),TEXT(B9021,"YYYY-MM"),LEFT(B9021,7)))</f>
        <v/>
      </c>
    </row>
    <row r="9022">
      <c r="N9022" s="6">
        <f>IF(B9022="","",IF(ISNUMBER(B9022),TEXT(B9022,"YYYY-MM"),LEFT(B9022,7)))</f>
        <v/>
      </c>
    </row>
    <row r="9023">
      <c r="N9023" s="6">
        <f>IF(B9023="","",IF(ISNUMBER(B9023),TEXT(B9023,"YYYY-MM"),LEFT(B9023,7)))</f>
        <v/>
      </c>
    </row>
    <row r="9024">
      <c r="N9024" s="6">
        <f>IF(B9024="","",IF(ISNUMBER(B9024),TEXT(B9024,"YYYY-MM"),LEFT(B9024,7)))</f>
        <v/>
      </c>
    </row>
    <row r="9025">
      <c r="N9025" s="6">
        <f>IF(B9025="","",IF(ISNUMBER(B9025),TEXT(B9025,"YYYY-MM"),LEFT(B9025,7)))</f>
        <v/>
      </c>
    </row>
    <row r="9026">
      <c r="N9026" s="6">
        <f>IF(B9026="","",IF(ISNUMBER(B9026),TEXT(B9026,"YYYY-MM"),LEFT(B9026,7)))</f>
        <v/>
      </c>
    </row>
    <row r="9027">
      <c r="N9027" s="6">
        <f>IF(B9027="","",IF(ISNUMBER(B9027),TEXT(B9027,"YYYY-MM"),LEFT(B9027,7)))</f>
        <v/>
      </c>
    </row>
    <row r="9028">
      <c r="N9028" s="6">
        <f>IF(B9028="","",IF(ISNUMBER(B9028),TEXT(B9028,"YYYY-MM"),LEFT(B9028,7)))</f>
        <v/>
      </c>
    </row>
    <row r="9029">
      <c r="N9029" s="6">
        <f>IF(B9029="","",IF(ISNUMBER(B9029),TEXT(B9029,"YYYY-MM"),LEFT(B9029,7)))</f>
        <v/>
      </c>
    </row>
    <row r="9030">
      <c r="N9030" s="6">
        <f>IF(B9030="","",IF(ISNUMBER(B9030),TEXT(B9030,"YYYY-MM"),LEFT(B9030,7)))</f>
        <v/>
      </c>
    </row>
    <row r="9031">
      <c r="N9031" s="6">
        <f>IF(B9031="","",IF(ISNUMBER(B9031),TEXT(B9031,"YYYY-MM"),LEFT(B9031,7)))</f>
        <v/>
      </c>
    </row>
    <row r="9032">
      <c r="N9032" s="6">
        <f>IF(B9032="","",IF(ISNUMBER(B9032),TEXT(B9032,"YYYY-MM"),LEFT(B9032,7)))</f>
        <v/>
      </c>
    </row>
    <row r="9033">
      <c r="N9033" s="6">
        <f>IF(B9033="","",IF(ISNUMBER(B9033),TEXT(B9033,"YYYY-MM"),LEFT(B9033,7)))</f>
        <v/>
      </c>
    </row>
    <row r="9034">
      <c r="N9034" s="6">
        <f>IF(B9034="","",IF(ISNUMBER(B9034),TEXT(B9034,"YYYY-MM"),LEFT(B9034,7)))</f>
        <v/>
      </c>
    </row>
    <row r="9035">
      <c r="N9035" s="6">
        <f>IF(B9035="","",IF(ISNUMBER(B9035),TEXT(B9035,"YYYY-MM"),LEFT(B9035,7)))</f>
        <v/>
      </c>
    </row>
    <row r="9036">
      <c r="N9036" s="6">
        <f>IF(B9036="","",IF(ISNUMBER(B9036),TEXT(B9036,"YYYY-MM"),LEFT(B9036,7)))</f>
        <v/>
      </c>
    </row>
    <row r="9037">
      <c r="N9037" s="6">
        <f>IF(B9037="","",IF(ISNUMBER(B9037),TEXT(B9037,"YYYY-MM"),LEFT(B9037,7)))</f>
        <v/>
      </c>
    </row>
    <row r="9038">
      <c r="N9038" s="6">
        <f>IF(B9038="","",IF(ISNUMBER(B9038),TEXT(B9038,"YYYY-MM"),LEFT(B9038,7)))</f>
        <v/>
      </c>
    </row>
    <row r="9039">
      <c r="N9039" s="6">
        <f>IF(B9039="","",IF(ISNUMBER(B9039),TEXT(B9039,"YYYY-MM"),LEFT(B9039,7)))</f>
        <v/>
      </c>
    </row>
    <row r="9040">
      <c r="N9040" s="6">
        <f>IF(B9040="","",IF(ISNUMBER(B9040),TEXT(B9040,"YYYY-MM"),LEFT(B9040,7)))</f>
        <v/>
      </c>
    </row>
    <row r="9041">
      <c r="N9041" s="6">
        <f>IF(B9041="","",IF(ISNUMBER(B9041),TEXT(B9041,"YYYY-MM"),LEFT(B9041,7)))</f>
        <v/>
      </c>
    </row>
    <row r="9042">
      <c r="N9042" s="6">
        <f>IF(B9042="","",IF(ISNUMBER(B9042),TEXT(B9042,"YYYY-MM"),LEFT(B9042,7)))</f>
        <v/>
      </c>
    </row>
    <row r="9043">
      <c r="N9043" s="6">
        <f>IF(B9043="","",IF(ISNUMBER(B9043),TEXT(B9043,"YYYY-MM"),LEFT(B9043,7)))</f>
        <v/>
      </c>
    </row>
    <row r="9044">
      <c r="N9044" s="6">
        <f>IF(B9044="","",IF(ISNUMBER(B9044),TEXT(B9044,"YYYY-MM"),LEFT(B9044,7)))</f>
        <v/>
      </c>
    </row>
    <row r="9045">
      <c r="N9045" s="6">
        <f>IF(B9045="","",IF(ISNUMBER(B9045),TEXT(B9045,"YYYY-MM"),LEFT(B9045,7)))</f>
        <v/>
      </c>
    </row>
    <row r="9046">
      <c r="N9046" s="6">
        <f>IF(B9046="","",IF(ISNUMBER(B9046),TEXT(B9046,"YYYY-MM"),LEFT(B9046,7)))</f>
        <v/>
      </c>
    </row>
    <row r="9047">
      <c r="N9047" s="6">
        <f>IF(B9047="","",IF(ISNUMBER(B9047),TEXT(B9047,"YYYY-MM"),LEFT(B9047,7)))</f>
        <v/>
      </c>
    </row>
    <row r="9048">
      <c r="N9048" s="6">
        <f>IF(B9048="","",IF(ISNUMBER(B9048),TEXT(B9048,"YYYY-MM"),LEFT(B9048,7)))</f>
        <v/>
      </c>
    </row>
    <row r="9049">
      <c r="N9049" s="6">
        <f>IF(B9049="","",IF(ISNUMBER(B9049),TEXT(B9049,"YYYY-MM"),LEFT(B9049,7)))</f>
        <v/>
      </c>
    </row>
    <row r="9050">
      <c r="N9050" s="6">
        <f>IF(B9050="","",IF(ISNUMBER(B9050),TEXT(B9050,"YYYY-MM"),LEFT(B9050,7)))</f>
        <v/>
      </c>
    </row>
    <row r="9051">
      <c r="N9051" s="6">
        <f>IF(B9051="","",IF(ISNUMBER(B9051),TEXT(B9051,"YYYY-MM"),LEFT(B9051,7)))</f>
        <v/>
      </c>
    </row>
    <row r="9052">
      <c r="N9052" s="6">
        <f>IF(B9052="","",IF(ISNUMBER(B9052),TEXT(B9052,"YYYY-MM"),LEFT(B9052,7)))</f>
        <v/>
      </c>
    </row>
    <row r="9053">
      <c r="N9053" s="6">
        <f>IF(B9053="","",IF(ISNUMBER(B9053),TEXT(B9053,"YYYY-MM"),LEFT(B9053,7)))</f>
        <v/>
      </c>
    </row>
    <row r="9054">
      <c r="N9054" s="6">
        <f>IF(B9054="","",IF(ISNUMBER(B9054),TEXT(B9054,"YYYY-MM"),LEFT(B9054,7)))</f>
        <v/>
      </c>
    </row>
    <row r="9055">
      <c r="N9055" s="6">
        <f>IF(B9055="","",IF(ISNUMBER(B9055),TEXT(B9055,"YYYY-MM"),LEFT(B9055,7)))</f>
        <v/>
      </c>
    </row>
    <row r="9056">
      <c r="N9056" s="6">
        <f>IF(B9056="","",IF(ISNUMBER(B9056),TEXT(B9056,"YYYY-MM"),LEFT(B9056,7)))</f>
        <v/>
      </c>
    </row>
    <row r="9057">
      <c r="N9057" s="6">
        <f>IF(B9057="","",IF(ISNUMBER(B9057),TEXT(B9057,"YYYY-MM"),LEFT(B9057,7)))</f>
        <v/>
      </c>
    </row>
    <row r="9058">
      <c r="N9058" s="6">
        <f>IF(B9058="","",IF(ISNUMBER(B9058),TEXT(B9058,"YYYY-MM"),LEFT(B9058,7)))</f>
        <v/>
      </c>
    </row>
    <row r="9059">
      <c r="N9059" s="6">
        <f>IF(B9059="","",IF(ISNUMBER(B9059),TEXT(B9059,"YYYY-MM"),LEFT(B9059,7)))</f>
        <v/>
      </c>
    </row>
    <row r="9060">
      <c r="N9060" s="6">
        <f>IF(B9060="","",IF(ISNUMBER(B9060),TEXT(B9060,"YYYY-MM"),LEFT(B9060,7)))</f>
        <v/>
      </c>
    </row>
    <row r="9061">
      <c r="N9061" s="6">
        <f>IF(B9061="","",IF(ISNUMBER(B9061),TEXT(B9061,"YYYY-MM"),LEFT(B9061,7)))</f>
        <v/>
      </c>
    </row>
    <row r="9062">
      <c r="N9062" s="6">
        <f>IF(B9062="","",IF(ISNUMBER(B9062),TEXT(B9062,"YYYY-MM"),LEFT(B9062,7)))</f>
        <v/>
      </c>
    </row>
    <row r="9063">
      <c r="N9063" s="6">
        <f>IF(B9063="","",IF(ISNUMBER(B9063),TEXT(B9063,"YYYY-MM"),LEFT(B9063,7)))</f>
        <v/>
      </c>
    </row>
    <row r="9064">
      <c r="N9064" s="6">
        <f>IF(B9064="","",IF(ISNUMBER(B9064),TEXT(B9064,"YYYY-MM"),LEFT(B9064,7)))</f>
        <v/>
      </c>
    </row>
    <row r="9065">
      <c r="N9065" s="6">
        <f>IF(B9065="","",IF(ISNUMBER(B9065),TEXT(B9065,"YYYY-MM"),LEFT(B9065,7)))</f>
        <v/>
      </c>
    </row>
    <row r="9066">
      <c r="N9066" s="6">
        <f>IF(B9066="","",IF(ISNUMBER(B9066),TEXT(B9066,"YYYY-MM"),LEFT(B9066,7)))</f>
        <v/>
      </c>
    </row>
    <row r="9067">
      <c r="N9067" s="6">
        <f>IF(B9067="","",IF(ISNUMBER(B9067),TEXT(B9067,"YYYY-MM"),LEFT(B9067,7)))</f>
        <v/>
      </c>
    </row>
    <row r="9068">
      <c r="N9068" s="6">
        <f>IF(B9068="","",IF(ISNUMBER(B9068),TEXT(B9068,"YYYY-MM"),LEFT(B9068,7)))</f>
        <v/>
      </c>
    </row>
    <row r="9069">
      <c r="N9069" s="6">
        <f>IF(B9069="","",IF(ISNUMBER(B9069),TEXT(B9069,"YYYY-MM"),LEFT(B9069,7)))</f>
        <v/>
      </c>
    </row>
    <row r="9070">
      <c r="N9070" s="6">
        <f>IF(B9070="","",IF(ISNUMBER(B9070),TEXT(B9070,"YYYY-MM"),LEFT(B9070,7)))</f>
        <v/>
      </c>
    </row>
    <row r="9071">
      <c r="N9071" s="6">
        <f>IF(B9071="","",IF(ISNUMBER(B9071),TEXT(B9071,"YYYY-MM"),LEFT(B9071,7)))</f>
        <v/>
      </c>
    </row>
    <row r="9072">
      <c r="N9072" s="6">
        <f>IF(B9072="","",IF(ISNUMBER(B9072),TEXT(B9072,"YYYY-MM"),LEFT(B9072,7)))</f>
        <v/>
      </c>
    </row>
    <row r="9073">
      <c r="N9073" s="6">
        <f>IF(B9073="","",IF(ISNUMBER(B9073),TEXT(B9073,"YYYY-MM"),LEFT(B9073,7)))</f>
        <v/>
      </c>
    </row>
    <row r="9074">
      <c r="N9074" s="6">
        <f>IF(B9074="","",IF(ISNUMBER(B9074),TEXT(B9074,"YYYY-MM"),LEFT(B9074,7)))</f>
        <v/>
      </c>
    </row>
    <row r="9075">
      <c r="N9075" s="6">
        <f>IF(B9075="","",IF(ISNUMBER(B9075),TEXT(B9075,"YYYY-MM"),LEFT(B9075,7)))</f>
        <v/>
      </c>
    </row>
    <row r="9076">
      <c r="N9076" s="6">
        <f>IF(B9076="","",IF(ISNUMBER(B9076),TEXT(B9076,"YYYY-MM"),LEFT(B9076,7)))</f>
        <v/>
      </c>
    </row>
    <row r="9077">
      <c r="N9077" s="6">
        <f>IF(B9077="","",IF(ISNUMBER(B9077),TEXT(B9077,"YYYY-MM"),LEFT(B9077,7)))</f>
        <v/>
      </c>
    </row>
    <row r="9078">
      <c r="N9078" s="6">
        <f>IF(B9078="","",IF(ISNUMBER(B9078),TEXT(B9078,"YYYY-MM"),LEFT(B9078,7)))</f>
        <v/>
      </c>
    </row>
    <row r="9079">
      <c r="N9079" s="6">
        <f>IF(B9079="","",IF(ISNUMBER(B9079),TEXT(B9079,"YYYY-MM"),LEFT(B9079,7)))</f>
        <v/>
      </c>
    </row>
    <row r="9080">
      <c r="N9080" s="6">
        <f>IF(B9080="","",IF(ISNUMBER(B9080),TEXT(B9080,"YYYY-MM"),LEFT(B9080,7)))</f>
        <v/>
      </c>
    </row>
    <row r="9081">
      <c r="N9081" s="6">
        <f>IF(B9081="","",IF(ISNUMBER(B9081),TEXT(B9081,"YYYY-MM"),LEFT(B9081,7)))</f>
        <v/>
      </c>
    </row>
    <row r="9082">
      <c r="N9082" s="6">
        <f>IF(B9082="","",IF(ISNUMBER(B9082),TEXT(B9082,"YYYY-MM"),LEFT(B9082,7)))</f>
        <v/>
      </c>
    </row>
    <row r="9083">
      <c r="N9083" s="6">
        <f>IF(B9083="","",IF(ISNUMBER(B9083),TEXT(B9083,"YYYY-MM"),LEFT(B9083,7)))</f>
        <v/>
      </c>
    </row>
    <row r="9084">
      <c r="N9084" s="6">
        <f>IF(B9084="","",IF(ISNUMBER(B9084),TEXT(B9084,"YYYY-MM"),LEFT(B9084,7)))</f>
        <v/>
      </c>
    </row>
    <row r="9085">
      <c r="N9085" s="6">
        <f>IF(B9085="","",IF(ISNUMBER(B9085),TEXT(B9085,"YYYY-MM"),LEFT(B9085,7)))</f>
        <v/>
      </c>
    </row>
    <row r="9086">
      <c r="N9086" s="6">
        <f>IF(B9086="","",IF(ISNUMBER(B9086),TEXT(B9086,"YYYY-MM"),LEFT(B9086,7)))</f>
        <v/>
      </c>
    </row>
    <row r="9087">
      <c r="N9087" s="6">
        <f>IF(B9087="","",IF(ISNUMBER(B9087),TEXT(B9087,"YYYY-MM"),LEFT(B9087,7)))</f>
        <v/>
      </c>
    </row>
    <row r="9088">
      <c r="N9088" s="6">
        <f>IF(B9088="","",IF(ISNUMBER(B9088),TEXT(B9088,"YYYY-MM"),LEFT(B9088,7)))</f>
        <v/>
      </c>
    </row>
    <row r="9089">
      <c r="N9089" s="6">
        <f>IF(B9089="","",IF(ISNUMBER(B9089),TEXT(B9089,"YYYY-MM"),LEFT(B9089,7)))</f>
        <v/>
      </c>
    </row>
    <row r="9090">
      <c r="N9090" s="6">
        <f>IF(B9090="","",IF(ISNUMBER(B9090),TEXT(B9090,"YYYY-MM"),LEFT(B9090,7)))</f>
        <v/>
      </c>
    </row>
    <row r="9091">
      <c r="N9091" s="6">
        <f>IF(B9091="","",IF(ISNUMBER(B9091),TEXT(B9091,"YYYY-MM"),LEFT(B9091,7)))</f>
        <v/>
      </c>
    </row>
    <row r="9092">
      <c r="N9092" s="6">
        <f>IF(B9092="","",IF(ISNUMBER(B9092),TEXT(B9092,"YYYY-MM"),LEFT(B9092,7)))</f>
        <v/>
      </c>
    </row>
    <row r="9093">
      <c r="N9093" s="6">
        <f>IF(B9093="","",IF(ISNUMBER(B9093),TEXT(B9093,"YYYY-MM"),LEFT(B9093,7)))</f>
        <v/>
      </c>
    </row>
    <row r="9094">
      <c r="N9094" s="6">
        <f>IF(B9094="","",IF(ISNUMBER(B9094),TEXT(B9094,"YYYY-MM"),LEFT(B9094,7)))</f>
        <v/>
      </c>
    </row>
    <row r="9095">
      <c r="N9095" s="6">
        <f>IF(B9095="","",IF(ISNUMBER(B9095),TEXT(B9095,"YYYY-MM"),LEFT(B9095,7)))</f>
        <v/>
      </c>
    </row>
    <row r="9096">
      <c r="N9096" s="6">
        <f>IF(B9096="","",IF(ISNUMBER(B9096),TEXT(B9096,"YYYY-MM"),LEFT(B9096,7)))</f>
        <v/>
      </c>
    </row>
    <row r="9097">
      <c r="N9097" s="6">
        <f>IF(B9097="","",IF(ISNUMBER(B9097),TEXT(B9097,"YYYY-MM"),LEFT(B9097,7)))</f>
        <v/>
      </c>
    </row>
    <row r="9098">
      <c r="N9098" s="6">
        <f>IF(B9098="","",IF(ISNUMBER(B9098),TEXT(B9098,"YYYY-MM"),LEFT(B9098,7)))</f>
        <v/>
      </c>
    </row>
    <row r="9099">
      <c r="N9099" s="6">
        <f>IF(B9099="","",IF(ISNUMBER(B9099),TEXT(B9099,"YYYY-MM"),LEFT(B9099,7)))</f>
        <v/>
      </c>
    </row>
    <row r="9100">
      <c r="N9100" s="6">
        <f>IF(B9100="","",IF(ISNUMBER(B9100),TEXT(B9100,"YYYY-MM"),LEFT(B9100,7)))</f>
        <v/>
      </c>
    </row>
    <row r="9101">
      <c r="N9101" s="6">
        <f>IF(B9101="","",IF(ISNUMBER(B9101),TEXT(B9101,"YYYY-MM"),LEFT(B9101,7)))</f>
        <v/>
      </c>
    </row>
    <row r="9102">
      <c r="N9102" s="6">
        <f>IF(B9102="","",IF(ISNUMBER(B9102),TEXT(B9102,"YYYY-MM"),LEFT(B9102,7)))</f>
        <v/>
      </c>
    </row>
    <row r="9103">
      <c r="N9103" s="6">
        <f>IF(B9103="","",IF(ISNUMBER(B9103),TEXT(B9103,"YYYY-MM"),LEFT(B9103,7)))</f>
        <v/>
      </c>
    </row>
    <row r="9104">
      <c r="N9104" s="6">
        <f>IF(B9104="","",IF(ISNUMBER(B9104),TEXT(B9104,"YYYY-MM"),LEFT(B9104,7)))</f>
        <v/>
      </c>
    </row>
    <row r="9105">
      <c r="N9105" s="6">
        <f>IF(B9105="","",IF(ISNUMBER(B9105),TEXT(B9105,"YYYY-MM"),LEFT(B9105,7)))</f>
        <v/>
      </c>
    </row>
    <row r="9106">
      <c r="N9106" s="6">
        <f>IF(B9106="","",IF(ISNUMBER(B9106),TEXT(B9106,"YYYY-MM"),LEFT(B9106,7)))</f>
        <v/>
      </c>
    </row>
    <row r="9107">
      <c r="N9107" s="6">
        <f>IF(B9107="","",IF(ISNUMBER(B9107),TEXT(B9107,"YYYY-MM"),LEFT(B9107,7)))</f>
        <v/>
      </c>
    </row>
    <row r="9108">
      <c r="N9108" s="6">
        <f>IF(B9108="","",IF(ISNUMBER(B9108),TEXT(B9108,"YYYY-MM"),LEFT(B9108,7)))</f>
        <v/>
      </c>
    </row>
    <row r="9109">
      <c r="N9109" s="6">
        <f>IF(B9109="","",IF(ISNUMBER(B9109),TEXT(B9109,"YYYY-MM"),LEFT(B9109,7)))</f>
        <v/>
      </c>
    </row>
    <row r="9110">
      <c r="N9110" s="6">
        <f>IF(B9110="","",IF(ISNUMBER(B9110),TEXT(B9110,"YYYY-MM"),LEFT(B9110,7)))</f>
        <v/>
      </c>
    </row>
    <row r="9111">
      <c r="N9111" s="6">
        <f>IF(B9111="","",IF(ISNUMBER(B9111),TEXT(B9111,"YYYY-MM"),LEFT(B9111,7)))</f>
        <v/>
      </c>
    </row>
    <row r="9112">
      <c r="N9112" s="6">
        <f>IF(B9112="","",IF(ISNUMBER(B9112),TEXT(B9112,"YYYY-MM"),LEFT(B9112,7)))</f>
        <v/>
      </c>
    </row>
    <row r="9113">
      <c r="N9113" s="6">
        <f>IF(B9113="","",IF(ISNUMBER(B9113),TEXT(B9113,"YYYY-MM"),LEFT(B9113,7)))</f>
        <v/>
      </c>
    </row>
    <row r="9114">
      <c r="N9114" s="6">
        <f>IF(B9114="","",IF(ISNUMBER(B9114),TEXT(B9114,"YYYY-MM"),LEFT(B9114,7)))</f>
        <v/>
      </c>
    </row>
    <row r="9115">
      <c r="N9115" s="6">
        <f>IF(B9115="","",IF(ISNUMBER(B9115),TEXT(B9115,"YYYY-MM"),LEFT(B9115,7)))</f>
        <v/>
      </c>
    </row>
    <row r="9116">
      <c r="N9116" s="6">
        <f>IF(B9116="","",IF(ISNUMBER(B9116),TEXT(B9116,"YYYY-MM"),LEFT(B9116,7)))</f>
        <v/>
      </c>
    </row>
    <row r="9117">
      <c r="N9117" s="6">
        <f>IF(B9117="","",IF(ISNUMBER(B9117),TEXT(B9117,"YYYY-MM"),LEFT(B9117,7)))</f>
        <v/>
      </c>
    </row>
    <row r="9118">
      <c r="N9118" s="6">
        <f>IF(B9118="","",IF(ISNUMBER(B9118),TEXT(B9118,"YYYY-MM"),LEFT(B9118,7)))</f>
        <v/>
      </c>
    </row>
    <row r="9119">
      <c r="N9119" s="6">
        <f>IF(B9119="","",IF(ISNUMBER(B9119),TEXT(B9119,"YYYY-MM"),LEFT(B9119,7)))</f>
        <v/>
      </c>
    </row>
    <row r="9120">
      <c r="N9120" s="6">
        <f>IF(B9120="","",IF(ISNUMBER(B9120),TEXT(B9120,"YYYY-MM"),LEFT(B9120,7)))</f>
        <v/>
      </c>
    </row>
    <row r="9121">
      <c r="N9121" s="6">
        <f>IF(B9121="","",IF(ISNUMBER(B9121),TEXT(B9121,"YYYY-MM"),LEFT(B9121,7)))</f>
        <v/>
      </c>
    </row>
    <row r="9122">
      <c r="N9122" s="6">
        <f>IF(B9122="","",IF(ISNUMBER(B9122),TEXT(B9122,"YYYY-MM"),LEFT(B9122,7)))</f>
        <v/>
      </c>
    </row>
    <row r="9123">
      <c r="N9123" s="6">
        <f>IF(B9123="","",IF(ISNUMBER(B9123),TEXT(B9123,"YYYY-MM"),LEFT(B9123,7)))</f>
        <v/>
      </c>
    </row>
    <row r="9124">
      <c r="N9124" s="6">
        <f>IF(B9124="","",IF(ISNUMBER(B9124),TEXT(B9124,"YYYY-MM"),LEFT(B9124,7)))</f>
        <v/>
      </c>
    </row>
    <row r="9125">
      <c r="N9125" s="6">
        <f>IF(B9125="","",IF(ISNUMBER(B9125),TEXT(B9125,"YYYY-MM"),LEFT(B9125,7)))</f>
        <v/>
      </c>
    </row>
    <row r="9126">
      <c r="N9126" s="6">
        <f>IF(B9126="","",IF(ISNUMBER(B9126),TEXT(B9126,"YYYY-MM"),LEFT(B9126,7)))</f>
        <v/>
      </c>
    </row>
    <row r="9127">
      <c r="N9127" s="6">
        <f>IF(B9127="","",IF(ISNUMBER(B9127),TEXT(B9127,"YYYY-MM"),LEFT(B9127,7)))</f>
        <v/>
      </c>
    </row>
    <row r="9128">
      <c r="N9128" s="6">
        <f>IF(B9128="","",IF(ISNUMBER(B9128),TEXT(B9128,"YYYY-MM"),LEFT(B9128,7)))</f>
        <v/>
      </c>
    </row>
    <row r="9129">
      <c r="N9129" s="6">
        <f>IF(B9129="","",IF(ISNUMBER(B9129),TEXT(B9129,"YYYY-MM"),LEFT(B9129,7)))</f>
        <v/>
      </c>
    </row>
    <row r="9130">
      <c r="N9130" s="6">
        <f>IF(B9130="","",IF(ISNUMBER(B9130),TEXT(B9130,"YYYY-MM"),LEFT(B9130,7)))</f>
        <v/>
      </c>
    </row>
    <row r="9131">
      <c r="N9131" s="6">
        <f>IF(B9131="","",IF(ISNUMBER(B9131),TEXT(B9131,"YYYY-MM"),LEFT(B9131,7)))</f>
        <v/>
      </c>
    </row>
    <row r="9132">
      <c r="N9132" s="6">
        <f>IF(B9132="","",IF(ISNUMBER(B9132),TEXT(B9132,"YYYY-MM"),LEFT(B9132,7)))</f>
        <v/>
      </c>
    </row>
    <row r="9133">
      <c r="N9133" s="6">
        <f>IF(B9133="","",IF(ISNUMBER(B9133),TEXT(B9133,"YYYY-MM"),LEFT(B9133,7)))</f>
        <v/>
      </c>
    </row>
    <row r="9134">
      <c r="N9134" s="6">
        <f>IF(B9134="","",IF(ISNUMBER(B9134),TEXT(B9134,"YYYY-MM"),LEFT(B9134,7)))</f>
        <v/>
      </c>
    </row>
    <row r="9135">
      <c r="N9135" s="6">
        <f>IF(B9135="","",IF(ISNUMBER(B9135),TEXT(B9135,"YYYY-MM"),LEFT(B9135,7)))</f>
        <v/>
      </c>
    </row>
    <row r="9136">
      <c r="N9136" s="6">
        <f>IF(B9136="","",IF(ISNUMBER(B9136),TEXT(B9136,"YYYY-MM"),LEFT(B9136,7)))</f>
        <v/>
      </c>
    </row>
    <row r="9137">
      <c r="N9137" s="6">
        <f>IF(B9137="","",IF(ISNUMBER(B9137),TEXT(B9137,"YYYY-MM"),LEFT(B9137,7)))</f>
        <v/>
      </c>
    </row>
    <row r="9138">
      <c r="N9138" s="6">
        <f>IF(B9138="","",IF(ISNUMBER(B9138),TEXT(B9138,"YYYY-MM"),LEFT(B9138,7)))</f>
        <v/>
      </c>
    </row>
    <row r="9139">
      <c r="N9139" s="6">
        <f>IF(B9139="","",IF(ISNUMBER(B9139),TEXT(B9139,"YYYY-MM"),LEFT(B9139,7)))</f>
        <v/>
      </c>
    </row>
    <row r="9140">
      <c r="N9140" s="6">
        <f>IF(B9140="","",IF(ISNUMBER(B9140),TEXT(B9140,"YYYY-MM"),LEFT(B9140,7)))</f>
        <v/>
      </c>
    </row>
    <row r="9141">
      <c r="N9141" s="6">
        <f>IF(B9141="","",IF(ISNUMBER(B9141),TEXT(B9141,"YYYY-MM"),LEFT(B9141,7)))</f>
        <v/>
      </c>
    </row>
    <row r="9142">
      <c r="N9142" s="6">
        <f>IF(B9142="","",IF(ISNUMBER(B9142),TEXT(B9142,"YYYY-MM"),LEFT(B9142,7)))</f>
        <v/>
      </c>
    </row>
    <row r="9143">
      <c r="N9143" s="6">
        <f>IF(B9143="","",IF(ISNUMBER(B9143),TEXT(B9143,"YYYY-MM"),LEFT(B9143,7)))</f>
        <v/>
      </c>
    </row>
    <row r="9144">
      <c r="N9144" s="6">
        <f>IF(B9144="","",IF(ISNUMBER(B9144),TEXT(B9144,"YYYY-MM"),LEFT(B9144,7)))</f>
        <v/>
      </c>
    </row>
    <row r="9145">
      <c r="N9145" s="6">
        <f>IF(B9145="","",IF(ISNUMBER(B9145),TEXT(B9145,"YYYY-MM"),LEFT(B9145,7)))</f>
        <v/>
      </c>
    </row>
    <row r="9146">
      <c r="N9146" s="6">
        <f>IF(B9146="","",IF(ISNUMBER(B9146),TEXT(B9146,"YYYY-MM"),LEFT(B9146,7)))</f>
        <v/>
      </c>
    </row>
    <row r="9147">
      <c r="N9147" s="6">
        <f>IF(B9147="","",IF(ISNUMBER(B9147),TEXT(B9147,"YYYY-MM"),LEFT(B9147,7)))</f>
        <v/>
      </c>
    </row>
    <row r="9148">
      <c r="N9148" s="6">
        <f>IF(B9148="","",IF(ISNUMBER(B9148),TEXT(B9148,"YYYY-MM"),LEFT(B9148,7)))</f>
        <v/>
      </c>
    </row>
    <row r="9149">
      <c r="N9149" s="6">
        <f>IF(B9149="","",IF(ISNUMBER(B9149),TEXT(B9149,"YYYY-MM"),LEFT(B9149,7)))</f>
        <v/>
      </c>
    </row>
    <row r="9150">
      <c r="N9150" s="6">
        <f>IF(B9150="","",IF(ISNUMBER(B9150),TEXT(B9150,"YYYY-MM"),LEFT(B9150,7)))</f>
        <v/>
      </c>
    </row>
    <row r="9151">
      <c r="N9151" s="6">
        <f>IF(B9151="","",IF(ISNUMBER(B9151),TEXT(B9151,"YYYY-MM"),LEFT(B9151,7)))</f>
        <v/>
      </c>
    </row>
    <row r="9152">
      <c r="N9152" s="6">
        <f>IF(B9152="","",IF(ISNUMBER(B9152),TEXT(B9152,"YYYY-MM"),LEFT(B9152,7)))</f>
        <v/>
      </c>
    </row>
    <row r="9153">
      <c r="N9153" s="6">
        <f>IF(B9153="","",IF(ISNUMBER(B9153),TEXT(B9153,"YYYY-MM"),LEFT(B9153,7)))</f>
        <v/>
      </c>
    </row>
    <row r="9154">
      <c r="N9154" s="6">
        <f>IF(B9154="","",IF(ISNUMBER(B9154),TEXT(B9154,"YYYY-MM"),LEFT(B9154,7)))</f>
        <v/>
      </c>
    </row>
    <row r="9155">
      <c r="N9155" s="6">
        <f>IF(B9155="","",IF(ISNUMBER(B9155),TEXT(B9155,"YYYY-MM"),LEFT(B9155,7)))</f>
        <v/>
      </c>
    </row>
    <row r="9156">
      <c r="N9156" s="6">
        <f>IF(B9156="","",IF(ISNUMBER(B9156),TEXT(B9156,"YYYY-MM"),LEFT(B9156,7)))</f>
        <v/>
      </c>
    </row>
    <row r="9157">
      <c r="N9157" s="6">
        <f>IF(B9157="","",IF(ISNUMBER(B9157),TEXT(B9157,"YYYY-MM"),LEFT(B9157,7)))</f>
        <v/>
      </c>
    </row>
    <row r="9158">
      <c r="N9158" s="6">
        <f>IF(B9158="","",IF(ISNUMBER(B9158),TEXT(B9158,"YYYY-MM"),LEFT(B9158,7)))</f>
        <v/>
      </c>
    </row>
    <row r="9159">
      <c r="N9159" s="6">
        <f>IF(B9159="","",IF(ISNUMBER(B9159),TEXT(B9159,"YYYY-MM"),LEFT(B9159,7)))</f>
        <v/>
      </c>
    </row>
    <row r="9160">
      <c r="N9160" s="6">
        <f>IF(B9160="","",IF(ISNUMBER(B9160),TEXT(B9160,"YYYY-MM"),LEFT(B9160,7)))</f>
        <v/>
      </c>
    </row>
    <row r="9161">
      <c r="N9161" s="6">
        <f>IF(B9161="","",IF(ISNUMBER(B9161),TEXT(B9161,"YYYY-MM"),LEFT(B9161,7)))</f>
        <v/>
      </c>
    </row>
    <row r="9162">
      <c r="N9162" s="6">
        <f>IF(B9162="","",IF(ISNUMBER(B9162),TEXT(B9162,"YYYY-MM"),LEFT(B9162,7)))</f>
        <v/>
      </c>
    </row>
    <row r="9163">
      <c r="N9163" s="6">
        <f>IF(B9163="","",IF(ISNUMBER(B9163),TEXT(B9163,"YYYY-MM"),LEFT(B9163,7)))</f>
        <v/>
      </c>
    </row>
    <row r="9164">
      <c r="N9164" s="6">
        <f>IF(B9164="","",IF(ISNUMBER(B9164),TEXT(B9164,"YYYY-MM"),LEFT(B9164,7)))</f>
        <v/>
      </c>
    </row>
    <row r="9165">
      <c r="N9165" s="6">
        <f>IF(B9165="","",IF(ISNUMBER(B9165),TEXT(B9165,"YYYY-MM"),LEFT(B9165,7)))</f>
        <v/>
      </c>
    </row>
    <row r="9166">
      <c r="N9166" s="6">
        <f>IF(B9166="","",IF(ISNUMBER(B9166),TEXT(B9166,"YYYY-MM"),LEFT(B9166,7)))</f>
        <v/>
      </c>
    </row>
    <row r="9167">
      <c r="N9167" s="6">
        <f>IF(B9167="","",IF(ISNUMBER(B9167),TEXT(B9167,"YYYY-MM"),LEFT(B9167,7)))</f>
        <v/>
      </c>
    </row>
    <row r="9168">
      <c r="N9168" s="6">
        <f>IF(B9168="","",IF(ISNUMBER(B9168),TEXT(B9168,"YYYY-MM"),LEFT(B9168,7)))</f>
        <v/>
      </c>
    </row>
    <row r="9169">
      <c r="N9169" s="6">
        <f>IF(B9169="","",IF(ISNUMBER(B9169),TEXT(B9169,"YYYY-MM"),LEFT(B9169,7)))</f>
        <v/>
      </c>
    </row>
    <row r="9170">
      <c r="N9170" s="6">
        <f>IF(B9170="","",IF(ISNUMBER(B9170),TEXT(B9170,"YYYY-MM"),LEFT(B9170,7)))</f>
        <v/>
      </c>
    </row>
    <row r="9171">
      <c r="N9171" s="6">
        <f>IF(B9171="","",IF(ISNUMBER(B9171),TEXT(B9171,"YYYY-MM"),LEFT(B9171,7)))</f>
        <v/>
      </c>
    </row>
    <row r="9172">
      <c r="N9172" s="6">
        <f>IF(B9172="","",IF(ISNUMBER(B9172),TEXT(B9172,"YYYY-MM"),LEFT(B9172,7)))</f>
        <v/>
      </c>
    </row>
    <row r="9173">
      <c r="N9173" s="6">
        <f>IF(B9173="","",IF(ISNUMBER(B9173),TEXT(B9173,"YYYY-MM"),LEFT(B9173,7)))</f>
        <v/>
      </c>
    </row>
    <row r="9174">
      <c r="N9174" s="6">
        <f>IF(B9174="","",IF(ISNUMBER(B9174),TEXT(B9174,"YYYY-MM"),LEFT(B9174,7)))</f>
        <v/>
      </c>
    </row>
    <row r="9175">
      <c r="N9175" s="6">
        <f>IF(B9175="","",IF(ISNUMBER(B9175),TEXT(B9175,"YYYY-MM"),LEFT(B9175,7)))</f>
        <v/>
      </c>
    </row>
    <row r="9176">
      <c r="N9176" s="6">
        <f>IF(B9176="","",IF(ISNUMBER(B9176),TEXT(B9176,"YYYY-MM"),LEFT(B9176,7)))</f>
        <v/>
      </c>
    </row>
    <row r="9177">
      <c r="N9177" s="6">
        <f>IF(B9177="","",IF(ISNUMBER(B9177),TEXT(B9177,"YYYY-MM"),LEFT(B9177,7)))</f>
        <v/>
      </c>
    </row>
    <row r="9178">
      <c r="N9178" s="6">
        <f>IF(B9178="","",IF(ISNUMBER(B9178),TEXT(B9178,"YYYY-MM"),LEFT(B9178,7)))</f>
        <v/>
      </c>
    </row>
    <row r="9179">
      <c r="N9179" s="6">
        <f>IF(B9179="","",IF(ISNUMBER(B9179),TEXT(B9179,"YYYY-MM"),LEFT(B9179,7)))</f>
        <v/>
      </c>
    </row>
    <row r="9180">
      <c r="N9180" s="6">
        <f>IF(B9180="","",IF(ISNUMBER(B9180),TEXT(B9180,"YYYY-MM"),LEFT(B9180,7)))</f>
        <v/>
      </c>
    </row>
    <row r="9181">
      <c r="N9181" s="6">
        <f>IF(B9181="","",IF(ISNUMBER(B9181),TEXT(B9181,"YYYY-MM"),LEFT(B9181,7)))</f>
        <v/>
      </c>
    </row>
    <row r="9182">
      <c r="N9182" s="6">
        <f>IF(B9182="","",IF(ISNUMBER(B9182),TEXT(B9182,"YYYY-MM"),LEFT(B9182,7)))</f>
        <v/>
      </c>
    </row>
    <row r="9183">
      <c r="N9183" s="6">
        <f>IF(B9183="","",IF(ISNUMBER(B9183),TEXT(B9183,"YYYY-MM"),LEFT(B9183,7)))</f>
        <v/>
      </c>
    </row>
    <row r="9184">
      <c r="N9184" s="6">
        <f>IF(B9184="","",IF(ISNUMBER(B9184),TEXT(B9184,"YYYY-MM"),LEFT(B9184,7)))</f>
        <v/>
      </c>
    </row>
    <row r="9185">
      <c r="N9185" s="6">
        <f>IF(B9185="","",IF(ISNUMBER(B9185),TEXT(B9185,"YYYY-MM"),LEFT(B9185,7)))</f>
        <v/>
      </c>
    </row>
    <row r="9186">
      <c r="N9186" s="6">
        <f>IF(B9186="","",IF(ISNUMBER(B9186),TEXT(B9186,"YYYY-MM"),LEFT(B9186,7)))</f>
        <v/>
      </c>
    </row>
    <row r="9187">
      <c r="N9187" s="6">
        <f>IF(B9187="","",IF(ISNUMBER(B9187),TEXT(B9187,"YYYY-MM"),LEFT(B9187,7)))</f>
        <v/>
      </c>
    </row>
    <row r="9188">
      <c r="N9188" s="6">
        <f>IF(B9188="","",IF(ISNUMBER(B9188),TEXT(B9188,"YYYY-MM"),LEFT(B9188,7)))</f>
        <v/>
      </c>
    </row>
    <row r="9189">
      <c r="N9189" s="6">
        <f>IF(B9189="","",IF(ISNUMBER(B9189),TEXT(B9189,"YYYY-MM"),LEFT(B9189,7)))</f>
        <v/>
      </c>
    </row>
    <row r="9190">
      <c r="N9190" s="6">
        <f>IF(B9190="","",IF(ISNUMBER(B9190),TEXT(B9190,"YYYY-MM"),LEFT(B9190,7)))</f>
        <v/>
      </c>
    </row>
    <row r="9191">
      <c r="N9191" s="6">
        <f>IF(B9191="","",IF(ISNUMBER(B9191),TEXT(B9191,"YYYY-MM"),LEFT(B9191,7)))</f>
        <v/>
      </c>
    </row>
    <row r="9192">
      <c r="N9192" s="6">
        <f>IF(B9192="","",IF(ISNUMBER(B9192),TEXT(B9192,"YYYY-MM"),LEFT(B9192,7)))</f>
        <v/>
      </c>
    </row>
    <row r="9193">
      <c r="N9193" s="6">
        <f>IF(B9193="","",IF(ISNUMBER(B9193),TEXT(B9193,"YYYY-MM"),LEFT(B9193,7)))</f>
        <v/>
      </c>
    </row>
    <row r="9194">
      <c r="N9194" s="6">
        <f>IF(B9194="","",IF(ISNUMBER(B9194),TEXT(B9194,"YYYY-MM"),LEFT(B9194,7)))</f>
        <v/>
      </c>
    </row>
    <row r="9195">
      <c r="N9195" s="6">
        <f>IF(B9195="","",IF(ISNUMBER(B9195),TEXT(B9195,"YYYY-MM"),LEFT(B9195,7)))</f>
        <v/>
      </c>
    </row>
    <row r="9196">
      <c r="N9196" s="6">
        <f>IF(B9196="","",IF(ISNUMBER(B9196),TEXT(B9196,"YYYY-MM"),LEFT(B9196,7)))</f>
        <v/>
      </c>
    </row>
    <row r="9197">
      <c r="N9197" s="6">
        <f>IF(B9197="","",IF(ISNUMBER(B9197),TEXT(B9197,"YYYY-MM"),LEFT(B9197,7)))</f>
        <v/>
      </c>
    </row>
    <row r="9198">
      <c r="N9198" s="6">
        <f>IF(B9198="","",IF(ISNUMBER(B9198),TEXT(B9198,"YYYY-MM"),LEFT(B9198,7)))</f>
        <v/>
      </c>
    </row>
    <row r="9199">
      <c r="N9199" s="6">
        <f>IF(B9199="","",IF(ISNUMBER(B9199),TEXT(B9199,"YYYY-MM"),LEFT(B9199,7)))</f>
        <v/>
      </c>
    </row>
    <row r="9200">
      <c r="N9200" s="6">
        <f>IF(B9200="","",IF(ISNUMBER(B9200),TEXT(B9200,"YYYY-MM"),LEFT(B9200,7)))</f>
        <v/>
      </c>
    </row>
    <row r="9201">
      <c r="N9201" s="6">
        <f>IF(B9201="","",IF(ISNUMBER(B9201),TEXT(B9201,"YYYY-MM"),LEFT(B9201,7)))</f>
        <v/>
      </c>
    </row>
    <row r="9202">
      <c r="N9202" s="6">
        <f>IF(B9202="","",IF(ISNUMBER(B9202),TEXT(B9202,"YYYY-MM"),LEFT(B9202,7)))</f>
        <v/>
      </c>
    </row>
    <row r="9203">
      <c r="N9203" s="6">
        <f>IF(B9203="","",IF(ISNUMBER(B9203),TEXT(B9203,"YYYY-MM"),LEFT(B9203,7)))</f>
        <v/>
      </c>
    </row>
    <row r="9204">
      <c r="N9204" s="6">
        <f>IF(B9204="","",IF(ISNUMBER(B9204),TEXT(B9204,"YYYY-MM"),LEFT(B9204,7)))</f>
        <v/>
      </c>
    </row>
    <row r="9205">
      <c r="N9205" s="6">
        <f>IF(B9205="","",IF(ISNUMBER(B9205),TEXT(B9205,"YYYY-MM"),LEFT(B9205,7)))</f>
        <v/>
      </c>
    </row>
    <row r="9206">
      <c r="N9206" s="6">
        <f>IF(B9206="","",IF(ISNUMBER(B9206),TEXT(B9206,"YYYY-MM"),LEFT(B9206,7)))</f>
        <v/>
      </c>
    </row>
    <row r="9207">
      <c r="N9207" s="6">
        <f>IF(B9207="","",IF(ISNUMBER(B9207),TEXT(B9207,"YYYY-MM"),LEFT(B9207,7)))</f>
        <v/>
      </c>
    </row>
    <row r="9208">
      <c r="N9208" s="6">
        <f>IF(B9208="","",IF(ISNUMBER(B9208),TEXT(B9208,"YYYY-MM"),LEFT(B9208,7)))</f>
        <v/>
      </c>
    </row>
    <row r="9209">
      <c r="N9209" s="6">
        <f>IF(B9209="","",IF(ISNUMBER(B9209),TEXT(B9209,"YYYY-MM"),LEFT(B9209,7)))</f>
        <v/>
      </c>
    </row>
    <row r="9210">
      <c r="N9210" s="6">
        <f>IF(B9210="","",IF(ISNUMBER(B9210),TEXT(B9210,"YYYY-MM"),LEFT(B9210,7)))</f>
        <v/>
      </c>
    </row>
    <row r="9211">
      <c r="N9211" s="6">
        <f>IF(B9211="","",IF(ISNUMBER(B9211),TEXT(B9211,"YYYY-MM"),LEFT(B9211,7)))</f>
        <v/>
      </c>
    </row>
    <row r="9212">
      <c r="N9212" s="6">
        <f>IF(B9212="","",IF(ISNUMBER(B9212),TEXT(B9212,"YYYY-MM"),LEFT(B9212,7)))</f>
        <v/>
      </c>
    </row>
    <row r="9213">
      <c r="N9213" s="6">
        <f>IF(B9213="","",IF(ISNUMBER(B9213),TEXT(B9213,"YYYY-MM"),LEFT(B9213,7)))</f>
        <v/>
      </c>
    </row>
    <row r="9214">
      <c r="N9214" s="6">
        <f>IF(B9214="","",IF(ISNUMBER(B9214),TEXT(B9214,"YYYY-MM"),LEFT(B9214,7)))</f>
        <v/>
      </c>
    </row>
    <row r="9215">
      <c r="N9215" s="6">
        <f>IF(B9215="","",IF(ISNUMBER(B9215),TEXT(B9215,"YYYY-MM"),LEFT(B9215,7)))</f>
        <v/>
      </c>
    </row>
    <row r="9216">
      <c r="N9216" s="6">
        <f>IF(B9216="","",IF(ISNUMBER(B9216),TEXT(B9216,"YYYY-MM"),LEFT(B9216,7)))</f>
        <v/>
      </c>
    </row>
    <row r="9217">
      <c r="N9217" s="6">
        <f>IF(B9217="","",IF(ISNUMBER(B9217),TEXT(B9217,"YYYY-MM"),LEFT(B9217,7)))</f>
        <v/>
      </c>
    </row>
    <row r="9218">
      <c r="N9218" s="6">
        <f>IF(B9218="","",IF(ISNUMBER(B9218),TEXT(B9218,"YYYY-MM"),LEFT(B9218,7)))</f>
        <v/>
      </c>
    </row>
    <row r="9219">
      <c r="N9219" s="6">
        <f>IF(B9219="","",IF(ISNUMBER(B9219),TEXT(B9219,"YYYY-MM"),LEFT(B9219,7)))</f>
        <v/>
      </c>
    </row>
    <row r="9220">
      <c r="N9220" s="6">
        <f>IF(B9220="","",IF(ISNUMBER(B9220),TEXT(B9220,"YYYY-MM"),LEFT(B9220,7)))</f>
        <v/>
      </c>
    </row>
    <row r="9221">
      <c r="N9221" s="6">
        <f>IF(B9221="","",IF(ISNUMBER(B9221),TEXT(B9221,"YYYY-MM"),LEFT(B9221,7)))</f>
        <v/>
      </c>
    </row>
    <row r="9222">
      <c r="N9222" s="6">
        <f>IF(B9222="","",IF(ISNUMBER(B9222),TEXT(B9222,"YYYY-MM"),LEFT(B9222,7)))</f>
        <v/>
      </c>
    </row>
    <row r="9223">
      <c r="N9223" s="6">
        <f>IF(B9223="","",IF(ISNUMBER(B9223),TEXT(B9223,"YYYY-MM"),LEFT(B9223,7)))</f>
        <v/>
      </c>
    </row>
    <row r="9224">
      <c r="N9224" s="6">
        <f>IF(B9224="","",IF(ISNUMBER(B9224),TEXT(B9224,"YYYY-MM"),LEFT(B9224,7)))</f>
        <v/>
      </c>
    </row>
    <row r="9225">
      <c r="N9225" s="6">
        <f>IF(B9225="","",IF(ISNUMBER(B9225),TEXT(B9225,"YYYY-MM"),LEFT(B9225,7)))</f>
        <v/>
      </c>
    </row>
    <row r="9226">
      <c r="N9226" s="6">
        <f>IF(B9226="","",IF(ISNUMBER(B9226),TEXT(B9226,"YYYY-MM"),LEFT(B9226,7)))</f>
        <v/>
      </c>
    </row>
    <row r="9227">
      <c r="N9227" s="6">
        <f>IF(B9227="","",IF(ISNUMBER(B9227),TEXT(B9227,"YYYY-MM"),LEFT(B9227,7)))</f>
        <v/>
      </c>
    </row>
    <row r="9228">
      <c r="N9228" s="6">
        <f>IF(B9228="","",IF(ISNUMBER(B9228),TEXT(B9228,"YYYY-MM"),LEFT(B9228,7)))</f>
        <v/>
      </c>
    </row>
    <row r="9229">
      <c r="N9229" s="6">
        <f>IF(B9229="","",IF(ISNUMBER(B9229),TEXT(B9229,"YYYY-MM"),LEFT(B9229,7)))</f>
        <v/>
      </c>
    </row>
    <row r="9230">
      <c r="N9230" s="6">
        <f>IF(B9230="","",IF(ISNUMBER(B9230),TEXT(B9230,"YYYY-MM"),LEFT(B9230,7)))</f>
        <v/>
      </c>
    </row>
    <row r="9231">
      <c r="N9231" s="6">
        <f>IF(B9231="","",IF(ISNUMBER(B9231),TEXT(B9231,"YYYY-MM"),LEFT(B9231,7)))</f>
        <v/>
      </c>
    </row>
    <row r="9232">
      <c r="N9232" s="6">
        <f>IF(B9232="","",IF(ISNUMBER(B9232),TEXT(B9232,"YYYY-MM"),LEFT(B9232,7)))</f>
        <v/>
      </c>
    </row>
    <row r="9233">
      <c r="N9233" s="6">
        <f>IF(B9233="","",IF(ISNUMBER(B9233),TEXT(B9233,"YYYY-MM"),LEFT(B9233,7)))</f>
        <v/>
      </c>
    </row>
    <row r="9234">
      <c r="N9234" s="6">
        <f>IF(B9234="","",IF(ISNUMBER(B9234),TEXT(B9234,"YYYY-MM"),LEFT(B9234,7)))</f>
        <v/>
      </c>
    </row>
    <row r="9235">
      <c r="N9235" s="6">
        <f>IF(B9235="","",IF(ISNUMBER(B9235),TEXT(B9235,"YYYY-MM"),LEFT(B9235,7)))</f>
        <v/>
      </c>
    </row>
    <row r="9236">
      <c r="N9236" s="6">
        <f>IF(B9236="","",IF(ISNUMBER(B9236),TEXT(B9236,"YYYY-MM"),LEFT(B9236,7)))</f>
        <v/>
      </c>
    </row>
    <row r="9237">
      <c r="N9237" s="6">
        <f>IF(B9237="","",IF(ISNUMBER(B9237),TEXT(B9237,"YYYY-MM"),LEFT(B9237,7)))</f>
        <v/>
      </c>
    </row>
    <row r="9238">
      <c r="N9238" s="6">
        <f>IF(B9238="","",IF(ISNUMBER(B9238),TEXT(B9238,"YYYY-MM"),LEFT(B9238,7)))</f>
        <v/>
      </c>
    </row>
    <row r="9239">
      <c r="N9239" s="6">
        <f>IF(B9239="","",IF(ISNUMBER(B9239),TEXT(B9239,"YYYY-MM"),LEFT(B9239,7)))</f>
        <v/>
      </c>
    </row>
    <row r="9240">
      <c r="N9240" s="6">
        <f>IF(B9240="","",IF(ISNUMBER(B9240),TEXT(B9240,"YYYY-MM"),LEFT(B9240,7)))</f>
        <v/>
      </c>
    </row>
    <row r="9241">
      <c r="N9241" s="6">
        <f>IF(B9241="","",IF(ISNUMBER(B9241),TEXT(B9241,"YYYY-MM"),LEFT(B9241,7)))</f>
        <v/>
      </c>
    </row>
    <row r="9242">
      <c r="N9242" s="6">
        <f>IF(B9242="","",IF(ISNUMBER(B9242),TEXT(B9242,"YYYY-MM"),LEFT(B9242,7)))</f>
        <v/>
      </c>
    </row>
    <row r="9243">
      <c r="N9243" s="6">
        <f>IF(B9243="","",IF(ISNUMBER(B9243),TEXT(B9243,"YYYY-MM"),LEFT(B9243,7)))</f>
        <v/>
      </c>
    </row>
    <row r="9244">
      <c r="N9244" s="6">
        <f>IF(B9244="","",IF(ISNUMBER(B9244),TEXT(B9244,"YYYY-MM"),LEFT(B9244,7)))</f>
        <v/>
      </c>
    </row>
    <row r="9245">
      <c r="N9245" s="6">
        <f>IF(B9245="","",IF(ISNUMBER(B9245),TEXT(B9245,"YYYY-MM"),LEFT(B9245,7)))</f>
        <v/>
      </c>
    </row>
    <row r="9246">
      <c r="N9246" s="6">
        <f>IF(B9246="","",IF(ISNUMBER(B9246),TEXT(B9246,"YYYY-MM"),LEFT(B9246,7)))</f>
        <v/>
      </c>
    </row>
    <row r="9247">
      <c r="N9247" s="6">
        <f>IF(B9247="","",IF(ISNUMBER(B9247),TEXT(B9247,"YYYY-MM"),LEFT(B9247,7)))</f>
        <v/>
      </c>
    </row>
    <row r="9248">
      <c r="N9248" s="6">
        <f>IF(B9248="","",IF(ISNUMBER(B9248),TEXT(B9248,"YYYY-MM"),LEFT(B9248,7)))</f>
        <v/>
      </c>
    </row>
    <row r="9249">
      <c r="N9249" s="6">
        <f>IF(B9249="","",IF(ISNUMBER(B9249),TEXT(B9249,"YYYY-MM"),LEFT(B9249,7)))</f>
        <v/>
      </c>
    </row>
    <row r="9250">
      <c r="N9250" s="6">
        <f>IF(B9250="","",IF(ISNUMBER(B9250),TEXT(B9250,"YYYY-MM"),LEFT(B9250,7)))</f>
        <v/>
      </c>
    </row>
    <row r="9251">
      <c r="N9251" s="6">
        <f>IF(B9251="","",IF(ISNUMBER(B9251),TEXT(B9251,"YYYY-MM"),LEFT(B9251,7)))</f>
        <v/>
      </c>
    </row>
    <row r="9252">
      <c r="N9252" s="6">
        <f>IF(B9252="","",IF(ISNUMBER(B9252),TEXT(B9252,"YYYY-MM"),LEFT(B9252,7)))</f>
        <v/>
      </c>
    </row>
    <row r="9253">
      <c r="N9253" s="6">
        <f>IF(B9253="","",IF(ISNUMBER(B9253),TEXT(B9253,"YYYY-MM"),LEFT(B9253,7)))</f>
        <v/>
      </c>
    </row>
    <row r="9254">
      <c r="N9254" s="6">
        <f>IF(B9254="","",IF(ISNUMBER(B9254),TEXT(B9254,"YYYY-MM"),LEFT(B9254,7)))</f>
        <v/>
      </c>
    </row>
    <row r="9255">
      <c r="N9255" s="6">
        <f>IF(B9255="","",IF(ISNUMBER(B9255),TEXT(B9255,"YYYY-MM"),LEFT(B9255,7)))</f>
        <v/>
      </c>
    </row>
    <row r="9256">
      <c r="N9256" s="6">
        <f>IF(B9256="","",IF(ISNUMBER(B9256),TEXT(B9256,"YYYY-MM"),LEFT(B9256,7)))</f>
        <v/>
      </c>
    </row>
    <row r="9257">
      <c r="N9257" s="6">
        <f>IF(B9257="","",IF(ISNUMBER(B9257),TEXT(B9257,"YYYY-MM"),LEFT(B9257,7)))</f>
        <v/>
      </c>
    </row>
    <row r="9258">
      <c r="N9258" s="6">
        <f>IF(B9258="","",IF(ISNUMBER(B9258),TEXT(B9258,"YYYY-MM"),LEFT(B9258,7)))</f>
        <v/>
      </c>
    </row>
    <row r="9259">
      <c r="N9259" s="6">
        <f>IF(B9259="","",IF(ISNUMBER(B9259),TEXT(B9259,"YYYY-MM"),LEFT(B9259,7)))</f>
        <v/>
      </c>
    </row>
    <row r="9260">
      <c r="N9260" s="6">
        <f>IF(B9260="","",IF(ISNUMBER(B9260),TEXT(B9260,"YYYY-MM"),LEFT(B9260,7)))</f>
        <v/>
      </c>
    </row>
    <row r="9261">
      <c r="N9261" s="6">
        <f>IF(B9261="","",IF(ISNUMBER(B9261),TEXT(B9261,"YYYY-MM"),LEFT(B9261,7)))</f>
        <v/>
      </c>
    </row>
    <row r="9262">
      <c r="N9262" s="6">
        <f>IF(B9262="","",IF(ISNUMBER(B9262),TEXT(B9262,"YYYY-MM"),LEFT(B9262,7)))</f>
        <v/>
      </c>
    </row>
    <row r="9263">
      <c r="N9263" s="6">
        <f>IF(B9263="","",IF(ISNUMBER(B9263),TEXT(B9263,"YYYY-MM"),LEFT(B9263,7)))</f>
        <v/>
      </c>
    </row>
    <row r="9264">
      <c r="N9264" s="6">
        <f>IF(B9264="","",IF(ISNUMBER(B9264),TEXT(B9264,"YYYY-MM"),LEFT(B9264,7)))</f>
        <v/>
      </c>
    </row>
    <row r="9265">
      <c r="N9265" s="6">
        <f>IF(B9265="","",IF(ISNUMBER(B9265),TEXT(B9265,"YYYY-MM"),LEFT(B9265,7)))</f>
        <v/>
      </c>
    </row>
    <row r="9266">
      <c r="N9266" s="6">
        <f>IF(B9266="","",IF(ISNUMBER(B9266),TEXT(B9266,"YYYY-MM"),LEFT(B9266,7)))</f>
        <v/>
      </c>
    </row>
    <row r="9267">
      <c r="N9267" s="6">
        <f>IF(B9267="","",IF(ISNUMBER(B9267),TEXT(B9267,"YYYY-MM"),LEFT(B9267,7)))</f>
        <v/>
      </c>
    </row>
    <row r="9268">
      <c r="N9268" s="6">
        <f>IF(B9268="","",IF(ISNUMBER(B9268),TEXT(B9268,"YYYY-MM"),LEFT(B9268,7)))</f>
        <v/>
      </c>
    </row>
    <row r="9269">
      <c r="N9269" s="6">
        <f>IF(B9269="","",IF(ISNUMBER(B9269),TEXT(B9269,"YYYY-MM"),LEFT(B9269,7)))</f>
        <v/>
      </c>
    </row>
    <row r="9270">
      <c r="N9270" s="6">
        <f>IF(B9270="","",IF(ISNUMBER(B9270),TEXT(B9270,"YYYY-MM"),LEFT(B9270,7)))</f>
        <v/>
      </c>
    </row>
    <row r="9271">
      <c r="N9271" s="6">
        <f>IF(B9271="","",IF(ISNUMBER(B9271),TEXT(B9271,"YYYY-MM"),LEFT(B9271,7)))</f>
        <v/>
      </c>
    </row>
    <row r="9272">
      <c r="N9272" s="6">
        <f>IF(B9272="","",IF(ISNUMBER(B9272),TEXT(B9272,"YYYY-MM"),LEFT(B9272,7)))</f>
        <v/>
      </c>
    </row>
    <row r="9273">
      <c r="N9273" s="6">
        <f>IF(B9273="","",IF(ISNUMBER(B9273),TEXT(B9273,"YYYY-MM"),LEFT(B9273,7)))</f>
        <v/>
      </c>
    </row>
    <row r="9274">
      <c r="N9274" s="6">
        <f>IF(B9274="","",IF(ISNUMBER(B9274),TEXT(B9274,"YYYY-MM"),LEFT(B9274,7)))</f>
        <v/>
      </c>
    </row>
    <row r="9275">
      <c r="N9275" s="6">
        <f>IF(B9275="","",IF(ISNUMBER(B9275),TEXT(B9275,"YYYY-MM"),LEFT(B9275,7)))</f>
        <v/>
      </c>
    </row>
    <row r="9276">
      <c r="N9276" s="6">
        <f>IF(B9276="","",IF(ISNUMBER(B9276),TEXT(B9276,"YYYY-MM"),LEFT(B9276,7)))</f>
        <v/>
      </c>
    </row>
    <row r="9277">
      <c r="N9277" s="6">
        <f>IF(B9277="","",IF(ISNUMBER(B9277),TEXT(B9277,"YYYY-MM"),LEFT(B9277,7)))</f>
        <v/>
      </c>
    </row>
    <row r="9278">
      <c r="N9278" s="6">
        <f>IF(B9278="","",IF(ISNUMBER(B9278),TEXT(B9278,"YYYY-MM"),LEFT(B9278,7)))</f>
        <v/>
      </c>
    </row>
    <row r="9279">
      <c r="N9279" s="6">
        <f>IF(B9279="","",IF(ISNUMBER(B9279),TEXT(B9279,"YYYY-MM"),LEFT(B9279,7)))</f>
        <v/>
      </c>
    </row>
    <row r="9280">
      <c r="N9280" s="6">
        <f>IF(B9280="","",IF(ISNUMBER(B9280),TEXT(B9280,"YYYY-MM"),LEFT(B9280,7)))</f>
        <v/>
      </c>
    </row>
    <row r="9281">
      <c r="N9281" s="6">
        <f>IF(B9281="","",IF(ISNUMBER(B9281),TEXT(B9281,"YYYY-MM"),LEFT(B9281,7)))</f>
        <v/>
      </c>
    </row>
    <row r="9282">
      <c r="N9282" s="6">
        <f>IF(B9282="","",IF(ISNUMBER(B9282),TEXT(B9282,"YYYY-MM"),LEFT(B9282,7)))</f>
        <v/>
      </c>
    </row>
    <row r="9283">
      <c r="N9283" s="6">
        <f>IF(B9283="","",IF(ISNUMBER(B9283),TEXT(B9283,"YYYY-MM"),LEFT(B9283,7)))</f>
        <v/>
      </c>
    </row>
    <row r="9284">
      <c r="N9284" s="6">
        <f>IF(B9284="","",IF(ISNUMBER(B9284),TEXT(B9284,"YYYY-MM"),LEFT(B9284,7)))</f>
        <v/>
      </c>
    </row>
    <row r="9285">
      <c r="N9285" s="6">
        <f>IF(B9285="","",IF(ISNUMBER(B9285),TEXT(B9285,"YYYY-MM"),LEFT(B9285,7)))</f>
        <v/>
      </c>
    </row>
    <row r="9286">
      <c r="N9286" s="6">
        <f>IF(B9286="","",IF(ISNUMBER(B9286),TEXT(B9286,"YYYY-MM"),LEFT(B9286,7)))</f>
        <v/>
      </c>
    </row>
    <row r="9287">
      <c r="N9287" s="6">
        <f>IF(B9287="","",IF(ISNUMBER(B9287),TEXT(B9287,"YYYY-MM"),LEFT(B9287,7)))</f>
        <v/>
      </c>
    </row>
    <row r="9288">
      <c r="N9288" s="6">
        <f>IF(B9288="","",IF(ISNUMBER(B9288),TEXT(B9288,"YYYY-MM"),LEFT(B9288,7)))</f>
        <v/>
      </c>
    </row>
    <row r="9289">
      <c r="N9289" s="6">
        <f>IF(B9289="","",IF(ISNUMBER(B9289),TEXT(B9289,"YYYY-MM"),LEFT(B9289,7)))</f>
        <v/>
      </c>
    </row>
    <row r="9290">
      <c r="N9290" s="6">
        <f>IF(B9290="","",IF(ISNUMBER(B9290),TEXT(B9290,"YYYY-MM"),LEFT(B9290,7)))</f>
        <v/>
      </c>
    </row>
    <row r="9291">
      <c r="N9291" s="6">
        <f>IF(B9291="","",IF(ISNUMBER(B9291),TEXT(B9291,"YYYY-MM"),LEFT(B9291,7)))</f>
        <v/>
      </c>
    </row>
    <row r="9292">
      <c r="N9292" s="6">
        <f>IF(B9292="","",IF(ISNUMBER(B9292),TEXT(B9292,"YYYY-MM"),LEFT(B9292,7)))</f>
        <v/>
      </c>
    </row>
    <row r="9293">
      <c r="N9293" s="6">
        <f>IF(B9293="","",IF(ISNUMBER(B9293),TEXT(B9293,"YYYY-MM"),LEFT(B9293,7)))</f>
        <v/>
      </c>
    </row>
    <row r="9294">
      <c r="N9294" s="6">
        <f>IF(B9294="","",IF(ISNUMBER(B9294),TEXT(B9294,"YYYY-MM"),LEFT(B9294,7)))</f>
        <v/>
      </c>
    </row>
    <row r="9295">
      <c r="N9295" s="6">
        <f>IF(B9295="","",IF(ISNUMBER(B9295),TEXT(B9295,"YYYY-MM"),LEFT(B9295,7)))</f>
        <v/>
      </c>
    </row>
    <row r="9296">
      <c r="N9296" s="6">
        <f>IF(B9296="","",IF(ISNUMBER(B9296),TEXT(B9296,"YYYY-MM"),LEFT(B9296,7)))</f>
        <v/>
      </c>
    </row>
    <row r="9297">
      <c r="N9297" s="6">
        <f>IF(B9297="","",IF(ISNUMBER(B9297),TEXT(B9297,"YYYY-MM"),LEFT(B9297,7)))</f>
        <v/>
      </c>
    </row>
    <row r="9298">
      <c r="N9298" s="6">
        <f>IF(B9298="","",IF(ISNUMBER(B9298),TEXT(B9298,"YYYY-MM"),LEFT(B9298,7)))</f>
        <v/>
      </c>
    </row>
    <row r="9299">
      <c r="N9299" s="6">
        <f>IF(B9299="","",IF(ISNUMBER(B9299),TEXT(B9299,"YYYY-MM"),LEFT(B9299,7)))</f>
        <v/>
      </c>
    </row>
    <row r="9300">
      <c r="N9300" s="6">
        <f>IF(B9300="","",IF(ISNUMBER(B9300),TEXT(B9300,"YYYY-MM"),LEFT(B9300,7)))</f>
        <v/>
      </c>
    </row>
    <row r="9301">
      <c r="N9301" s="6">
        <f>IF(B9301="","",IF(ISNUMBER(B9301),TEXT(B9301,"YYYY-MM"),LEFT(B9301,7)))</f>
        <v/>
      </c>
    </row>
    <row r="9302">
      <c r="N9302" s="6">
        <f>IF(B9302="","",IF(ISNUMBER(B9302),TEXT(B9302,"YYYY-MM"),LEFT(B9302,7)))</f>
        <v/>
      </c>
    </row>
    <row r="9303">
      <c r="N9303" s="6">
        <f>IF(B9303="","",IF(ISNUMBER(B9303),TEXT(B9303,"YYYY-MM"),LEFT(B9303,7)))</f>
        <v/>
      </c>
    </row>
    <row r="9304">
      <c r="N9304" s="6">
        <f>IF(B9304="","",IF(ISNUMBER(B9304),TEXT(B9304,"YYYY-MM"),LEFT(B9304,7)))</f>
        <v/>
      </c>
    </row>
    <row r="9305">
      <c r="N9305" s="6">
        <f>IF(B9305="","",IF(ISNUMBER(B9305),TEXT(B9305,"YYYY-MM"),LEFT(B9305,7)))</f>
        <v/>
      </c>
    </row>
    <row r="9306">
      <c r="N9306" s="6">
        <f>IF(B9306="","",IF(ISNUMBER(B9306),TEXT(B9306,"YYYY-MM"),LEFT(B9306,7)))</f>
        <v/>
      </c>
    </row>
    <row r="9307">
      <c r="N9307" s="6">
        <f>IF(B9307="","",IF(ISNUMBER(B9307),TEXT(B9307,"YYYY-MM"),LEFT(B9307,7)))</f>
        <v/>
      </c>
    </row>
    <row r="9308">
      <c r="N9308" s="6">
        <f>IF(B9308="","",IF(ISNUMBER(B9308),TEXT(B9308,"YYYY-MM"),LEFT(B9308,7)))</f>
        <v/>
      </c>
    </row>
    <row r="9309">
      <c r="N9309" s="6">
        <f>IF(B9309="","",IF(ISNUMBER(B9309),TEXT(B9309,"YYYY-MM"),LEFT(B9309,7)))</f>
        <v/>
      </c>
    </row>
    <row r="9310">
      <c r="N9310" s="6">
        <f>IF(B9310="","",IF(ISNUMBER(B9310),TEXT(B9310,"YYYY-MM"),LEFT(B9310,7)))</f>
        <v/>
      </c>
    </row>
    <row r="9311">
      <c r="N9311" s="6">
        <f>IF(B9311="","",IF(ISNUMBER(B9311),TEXT(B9311,"YYYY-MM"),LEFT(B9311,7)))</f>
        <v/>
      </c>
    </row>
    <row r="9312">
      <c r="N9312" s="6">
        <f>IF(B9312="","",IF(ISNUMBER(B9312),TEXT(B9312,"YYYY-MM"),LEFT(B9312,7)))</f>
        <v/>
      </c>
    </row>
    <row r="9313">
      <c r="N9313" s="6">
        <f>IF(B9313="","",IF(ISNUMBER(B9313),TEXT(B9313,"YYYY-MM"),LEFT(B9313,7)))</f>
        <v/>
      </c>
    </row>
    <row r="9314">
      <c r="N9314" s="6">
        <f>IF(B9314="","",IF(ISNUMBER(B9314),TEXT(B9314,"YYYY-MM"),LEFT(B9314,7)))</f>
        <v/>
      </c>
    </row>
    <row r="9315">
      <c r="N9315" s="6">
        <f>IF(B9315="","",IF(ISNUMBER(B9315),TEXT(B9315,"YYYY-MM"),LEFT(B9315,7)))</f>
        <v/>
      </c>
    </row>
    <row r="9316">
      <c r="N9316" s="6">
        <f>IF(B9316="","",IF(ISNUMBER(B9316),TEXT(B9316,"YYYY-MM"),LEFT(B9316,7)))</f>
        <v/>
      </c>
    </row>
    <row r="9317">
      <c r="N9317" s="6">
        <f>IF(B9317="","",IF(ISNUMBER(B9317),TEXT(B9317,"YYYY-MM"),LEFT(B9317,7)))</f>
        <v/>
      </c>
    </row>
    <row r="9318">
      <c r="N9318" s="6">
        <f>IF(B9318="","",IF(ISNUMBER(B9318),TEXT(B9318,"YYYY-MM"),LEFT(B9318,7)))</f>
        <v/>
      </c>
    </row>
    <row r="9319">
      <c r="N9319" s="6">
        <f>IF(B9319="","",IF(ISNUMBER(B9319),TEXT(B9319,"YYYY-MM"),LEFT(B9319,7)))</f>
        <v/>
      </c>
    </row>
    <row r="9320">
      <c r="N9320" s="6">
        <f>IF(B9320="","",IF(ISNUMBER(B9320),TEXT(B9320,"YYYY-MM"),LEFT(B9320,7)))</f>
        <v/>
      </c>
    </row>
    <row r="9321">
      <c r="N9321" s="6">
        <f>IF(B9321="","",IF(ISNUMBER(B9321),TEXT(B9321,"YYYY-MM"),LEFT(B9321,7)))</f>
        <v/>
      </c>
    </row>
    <row r="9322">
      <c r="N9322" s="6">
        <f>IF(B9322="","",IF(ISNUMBER(B9322),TEXT(B9322,"YYYY-MM"),LEFT(B9322,7)))</f>
        <v/>
      </c>
    </row>
    <row r="9323">
      <c r="N9323" s="6">
        <f>IF(B9323="","",IF(ISNUMBER(B9323),TEXT(B9323,"YYYY-MM"),LEFT(B9323,7)))</f>
        <v/>
      </c>
    </row>
    <row r="9324">
      <c r="N9324" s="6">
        <f>IF(B9324="","",IF(ISNUMBER(B9324),TEXT(B9324,"YYYY-MM"),LEFT(B9324,7)))</f>
        <v/>
      </c>
    </row>
    <row r="9325">
      <c r="N9325" s="6">
        <f>IF(B9325="","",IF(ISNUMBER(B9325),TEXT(B9325,"YYYY-MM"),LEFT(B9325,7)))</f>
        <v/>
      </c>
    </row>
    <row r="9326">
      <c r="N9326" s="6">
        <f>IF(B9326="","",IF(ISNUMBER(B9326),TEXT(B9326,"YYYY-MM"),LEFT(B9326,7)))</f>
        <v/>
      </c>
    </row>
    <row r="9327">
      <c r="N9327" s="6">
        <f>IF(B9327="","",IF(ISNUMBER(B9327),TEXT(B9327,"YYYY-MM"),LEFT(B9327,7)))</f>
        <v/>
      </c>
    </row>
    <row r="9328">
      <c r="N9328" s="6">
        <f>IF(B9328="","",IF(ISNUMBER(B9328),TEXT(B9328,"YYYY-MM"),LEFT(B9328,7)))</f>
        <v/>
      </c>
    </row>
    <row r="9329">
      <c r="N9329" s="6">
        <f>IF(B9329="","",IF(ISNUMBER(B9329),TEXT(B9329,"YYYY-MM"),LEFT(B9329,7)))</f>
        <v/>
      </c>
    </row>
    <row r="9330">
      <c r="N9330" s="6">
        <f>IF(B9330="","",IF(ISNUMBER(B9330),TEXT(B9330,"YYYY-MM"),LEFT(B9330,7)))</f>
        <v/>
      </c>
    </row>
    <row r="9331">
      <c r="N9331" s="6">
        <f>IF(B9331="","",IF(ISNUMBER(B9331),TEXT(B9331,"YYYY-MM"),LEFT(B9331,7)))</f>
        <v/>
      </c>
    </row>
    <row r="9332">
      <c r="N9332" s="6">
        <f>IF(B9332="","",IF(ISNUMBER(B9332),TEXT(B9332,"YYYY-MM"),LEFT(B9332,7)))</f>
        <v/>
      </c>
    </row>
    <row r="9333">
      <c r="N9333" s="6">
        <f>IF(B9333="","",IF(ISNUMBER(B9333),TEXT(B9333,"YYYY-MM"),LEFT(B9333,7)))</f>
        <v/>
      </c>
    </row>
    <row r="9334">
      <c r="N9334" s="6">
        <f>IF(B9334="","",IF(ISNUMBER(B9334),TEXT(B9334,"YYYY-MM"),LEFT(B9334,7)))</f>
        <v/>
      </c>
    </row>
    <row r="9335">
      <c r="N9335" s="6">
        <f>IF(B9335="","",IF(ISNUMBER(B9335),TEXT(B9335,"YYYY-MM"),LEFT(B9335,7)))</f>
        <v/>
      </c>
    </row>
    <row r="9336">
      <c r="N9336" s="6">
        <f>IF(B9336="","",IF(ISNUMBER(B9336),TEXT(B9336,"YYYY-MM"),LEFT(B9336,7)))</f>
        <v/>
      </c>
    </row>
    <row r="9337">
      <c r="N9337" s="6">
        <f>IF(B9337="","",IF(ISNUMBER(B9337),TEXT(B9337,"YYYY-MM"),LEFT(B9337,7)))</f>
        <v/>
      </c>
    </row>
    <row r="9338">
      <c r="N9338" s="6">
        <f>IF(B9338="","",IF(ISNUMBER(B9338),TEXT(B9338,"YYYY-MM"),LEFT(B9338,7)))</f>
        <v/>
      </c>
    </row>
    <row r="9339">
      <c r="N9339" s="6">
        <f>IF(B9339="","",IF(ISNUMBER(B9339),TEXT(B9339,"YYYY-MM"),LEFT(B9339,7)))</f>
        <v/>
      </c>
    </row>
    <row r="9340">
      <c r="N9340" s="6">
        <f>IF(B9340="","",IF(ISNUMBER(B9340),TEXT(B9340,"YYYY-MM"),LEFT(B9340,7)))</f>
        <v/>
      </c>
    </row>
    <row r="9341">
      <c r="N9341" s="6">
        <f>IF(B9341="","",IF(ISNUMBER(B9341),TEXT(B9341,"YYYY-MM"),LEFT(B9341,7)))</f>
        <v/>
      </c>
    </row>
    <row r="9342">
      <c r="N9342" s="6">
        <f>IF(B9342="","",IF(ISNUMBER(B9342),TEXT(B9342,"YYYY-MM"),LEFT(B9342,7)))</f>
        <v/>
      </c>
    </row>
    <row r="9343">
      <c r="N9343" s="6">
        <f>IF(B9343="","",IF(ISNUMBER(B9343),TEXT(B9343,"YYYY-MM"),LEFT(B9343,7)))</f>
        <v/>
      </c>
    </row>
    <row r="9344">
      <c r="N9344" s="6">
        <f>IF(B9344="","",IF(ISNUMBER(B9344),TEXT(B9344,"YYYY-MM"),LEFT(B9344,7)))</f>
        <v/>
      </c>
    </row>
    <row r="9345">
      <c r="N9345" s="6">
        <f>IF(B9345="","",IF(ISNUMBER(B9345),TEXT(B9345,"YYYY-MM"),LEFT(B9345,7)))</f>
        <v/>
      </c>
    </row>
    <row r="9346">
      <c r="N9346" s="6">
        <f>IF(B9346="","",IF(ISNUMBER(B9346),TEXT(B9346,"YYYY-MM"),LEFT(B9346,7)))</f>
        <v/>
      </c>
    </row>
    <row r="9347">
      <c r="N9347" s="6">
        <f>IF(B9347="","",IF(ISNUMBER(B9347),TEXT(B9347,"YYYY-MM"),LEFT(B9347,7)))</f>
        <v/>
      </c>
    </row>
    <row r="9348">
      <c r="N9348" s="6">
        <f>IF(B9348="","",IF(ISNUMBER(B9348),TEXT(B9348,"YYYY-MM"),LEFT(B9348,7)))</f>
        <v/>
      </c>
    </row>
    <row r="9349">
      <c r="N9349" s="6">
        <f>IF(B9349="","",IF(ISNUMBER(B9349),TEXT(B9349,"YYYY-MM"),LEFT(B9349,7)))</f>
        <v/>
      </c>
    </row>
    <row r="9350">
      <c r="N9350" s="6">
        <f>IF(B9350="","",IF(ISNUMBER(B9350),TEXT(B9350,"YYYY-MM"),LEFT(B9350,7)))</f>
        <v/>
      </c>
    </row>
    <row r="9351">
      <c r="N9351" s="6">
        <f>IF(B9351="","",IF(ISNUMBER(B9351),TEXT(B9351,"YYYY-MM"),LEFT(B9351,7)))</f>
        <v/>
      </c>
    </row>
    <row r="9352">
      <c r="N9352" s="6">
        <f>IF(B9352="","",IF(ISNUMBER(B9352),TEXT(B9352,"YYYY-MM"),LEFT(B9352,7)))</f>
        <v/>
      </c>
    </row>
    <row r="9353">
      <c r="N9353" s="6">
        <f>IF(B9353="","",IF(ISNUMBER(B9353),TEXT(B9353,"YYYY-MM"),LEFT(B9353,7)))</f>
        <v/>
      </c>
    </row>
    <row r="9354">
      <c r="N9354" s="6">
        <f>IF(B9354="","",IF(ISNUMBER(B9354),TEXT(B9354,"YYYY-MM"),LEFT(B9354,7)))</f>
        <v/>
      </c>
    </row>
    <row r="9355">
      <c r="N9355" s="6">
        <f>IF(B9355="","",IF(ISNUMBER(B9355),TEXT(B9355,"YYYY-MM"),LEFT(B9355,7)))</f>
        <v/>
      </c>
    </row>
    <row r="9356">
      <c r="N9356" s="6">
        <f>IF(B9356="","",IF(ISNUMBER(B9356),TEXT(B9356,"YYYY-MM"),LEFT(B9356,7)))</f>
        <v/>
      </c>
    </row>
    <row r="9357">
      <c r="N9357" s="6">
        <f>IF(B9357="","",IF(ISNUMBER(B9357),TEXT(B9357,"YYYY-MM"),LEFT(B9357,7)))</f>
        <v/>
      </c>
    </row>
    <row r="9358">
      <c r="N9358" s="6">
        <f>IF(B9358="","",IF(ISNUMBER(B9358),TEXT(B9358,"YYYY-MM"),LEFT(B9358,7)))</f>
        <v/>
      </c>
    </row>
    <row r="9359">
      <c r="N9359" s="6">
        <f>IF(B9359="","",IF(ISNUMBER(B9359),TEXT(B9359,"YYYY-MM"),LEFT(B9359,7)))</f>
        <v/>
      </c>
    </row>
    <row r="9360">
      <c r="N9360" s="6">
        <f>IF(B9360="","",IF(ISNUMBER(B9360),TEXT(B9360,"YYYY-MM"),LEFT(B9360,7)))</f>
        <v/>
      </c>
    </row>
    <row r="9361">
      <c r="N9361" s="6">
        <f>IF(B9361="","",IF(ISNUMBER(B9361),TEXT(B9361,"YYYY-MM"),LEFT(B9361,7)))</f>
        <v/>
      </c>
    </row>
    <row r="9362">
      <c r="N9362" s="6">
        <f>IF(B9362="","",IF(ISNUMBER(B9362),TEXT(B9362,"YYYY-MM"),LEFT(B9362,7)))</f>
        <v/>
      </c>
    </row>
    <row r="9363">
      <c r="N9363" s="6">
        <f>IF(B9363="","",IF(ISNUMBER(B9363),TEXT(B9363,"YYYY-MM"),LEFT(B9363,7)))</f>
        <v/>
      </c>
    </row>
    <row r="9364">
      <c r="N9364" s="6">
        <f>IF(B9364="","",IF(ISNUMBER(B9364),TEXT(B9364,"YYYY-MM"),LEFT(B9364,7)))</f>
        <v/>
      </c>
    </row>
    <row r="9365">
      <c r="N9365" s="6">
        <f>IF(B9365="","",IF(ISNUMBER(B9365),TEXT(B9365,"YYYY-MM"),LEFT(B9365,7)))</f>
        <v/>
      </c>
    </row>
    <row r="9366">
      <c r="N9366" s="6">
        <f>IF(B9366="","",IF(ISNUMBER(B9366),TEXT(B9366,"YYYY-MM"),LEFT(B9366,7)))</f>
        <v/>
      </c>
    </row>
    <row r="9367">
      <c r="N9367" s="6">
        <f>IF(B9367="","",IF(ISNUMBER(B9367),TEXT(B9367,"YYYY-MM"),LEFT(B9367,7)))</f>
        <v/>
      </c>
    </row>
    <row r="9368">
      <c r="N9368" s="6">
        <f>IF(B9368="","",IF(ISNUMBER(B9368),TEXT(B9368,"YYYY-MM"),LEFT(B9368,7)))</f>
        <v/>
      </c>
    </row>
    <row r="9369">
      <c r="N9369" s="6">
        <f>IF(B9369="","",IF(ISNUMBER(B9369),TEXT(B9369,"YYYY-MM"),LEFT(B9369,7)))</f>
        <v/>
      </c>
    </row>
    <row r="9370">
      <c r="N9370" s="6">
        <f>IF(B9370="","",IF(ISNUMBER(B9370),TEXT(B9370,"YYYY-MM"),LEFT(B9370,7)))</f>
        <v/>
      </c>
    </row>
    <row r="9371">
      <c r="N9371" s="6">
        <f>IF(B9371="","",IF(ISNUMBER(B9371),TEXT(B9371,"YYYY-MM"),LEFT(B9371,7)))</f>
        <v/>
      </c>
    </row>
    <row r="9372">
      <c r="N9372" s="6">
        <f>IF(B9372="","",IF(ISNUMBER(B9372),TEXT(B9372,"YYYY-MM"),LEFT(B9372,7)))</f>
        <v/>
      </c>
    </row>
    <row r="9373">
      <c r="N9373" s="6">
        <f>IF(B9373="","",IF(ISNUMBER(B9373),TEXT(B9373,"YYYY-MM"),LEFT(B9373,7)))</f>
        <v/>
      </c>
    </row>
    <row r="9374">
      <c r="N9374" s="6">
        <f>IF(B9374="","",IF(ISNUMBER(B9374),TEXT(B9374,"YYYY-MM"),LEFT(B9374,7)))</f>
        <v/>
      </c>
    </row>
    <row r="9375">
      <c r="N9375" s="6">
        <f>IF(B9375="","",IF(ISNUMBER(B9375),TEXT(B9375,"YYYY-MM"),LEFT(B9375,7)))</f>
        <v/>
      </c>
    </row>
    <row r="9376">
      <c r="N9376" s="6">
        <f>IF(B9376="","",IF(ISNUMBER(B9376),TEXT(B9376,"YYYY-MM"),LEFT(B9376,7)))</f>
        <v/>
      </c>
    </row>
    <row r="9377">
      <c r="N9377" s="6">
        <f>IF(B9377="","",IF(ISNUMBER(B9377),TEXT(B9377,"YYYY-MM"),LEFT(B9377,7)))</f>
        <v/>
      </c>
    </row>
    <row r="9378">
      <c r="N9378" s="6">
        <f>IF(B9378="","",IF(ISNUMBER(B9378),TEXT(B9378,"YYYY-MM"),LEFT(B9378,7)))</f>
        <v/>
      </c>
    </row>
    <row r="9379">
      <c r="N9379" s="6">
        <f>IF(B9379="","",IF(ISNUMBER(B9379),TEXT(B9379,"YYYY-MM"),LEFT(B9379,7)))</f>
        <v/>
      </c>
    </row>
    <row r="9380">
      <c r="N9380" s="6">
        <f>IF(B9380="","",IF(ISNUMBER(B9380),TEXT(B9380,"YYYY-MM"),LEFT(B9380,7)))</f>
        <v/>
      </c>
    </row>
    <row r="9381">
      <c r="N9381" s="6">
        <f>IF(B9381="","",IF(ISNUMBER(B9381),TEXT(B9381,"YYYY-MM"),LEFT(B9381,7)))</f>
        <v/>
      </c>
    </row>
    <row r="9382">
      <c r="N9382" s="6">
        <f>IF(B9382="","",IF(ISNUMBER(B9382),TEXT(B9382,"YYYY-MM"),LEFT(B9382,7)))</f>
        <v/>
      </c>
    </row>
    <row r="9383">
      <c r="N9383" s="6">
        <f>IF(B9383="","",IF(ISNUMBER(B9383),TEXT(B9383,"YYYY-MM"),LEFT(B9383,7)))</f>
        <v/>
      </c>
    </row>
    <row r="9384">
      <c r="N9384" s="6">
        <f>IF(B9384="","",IF(ISNUMBER(B9384),TEXT(B9384,"YYYY-MM"),LEFT(B9384,7)))</f>
        <v/>
      </c>
    </row>
    <row r="9385">
      <c r="N9385" s="6">
        <f>IF(B9385="","",IF(ISNUMBER(B9385),TEXT(B9385,"YYYY-MM"),LEFT(B9385,7)))</f>
        <v/>
      </c>
    </row>
    <row r="9386">
      <c r="N9386" s="6">
        <f>IF(B9386="","",IF(ISNUMBER(B9386),TEXT(B9386,"YYYY-MM"),LEFT(B9386,7)))</f>
        <v/>
      </c>
    </row>
    <row r="9387">
      <c r="N9387" s="6">
        <f>IF(B9387="","",IF(ISNUMBER(B9387),TEXT(B9387,"YYYY-MM"),LEFT(B9387,7)))</f>
        <v/>
      </c>
    </row>
    <row r="9388">
      <c r="N9388" s="6">
        <f>IF(B9388="","",IF(ISNUMBER(B9388),TEXT(B9388,"YYYY-MM"),LEFT(B9388,7)))</f>
        <v/>
      </c>
    </row>
    <row r="9389">
      <c r="N9389" s="6">
        <f>IF(B9389="","",IF(ISNUMBER(B9389),TEXT(B9389,"YYYY-MM"),LEFT(B9389,7)))</f>
        <v/>
      </c>
    </row>
    <row r="9390">
      <c r="N9390" s="6">
        <f>IF(B9390="","",IF(ISNUMBER(B9390),TEXT(B9390,"YYYY-MM"),LEFT(B9390,7)))</f>
        <v/>
      </c>
    </row>
    <row r="9391">
      <c r="N9391" s="6">
        <f>IF(B9391="","",IF(ISNUMBER(B9391),TEXT(B9391,"YYYY-MM"),LEFT(B9391,7)))</f>
        <v/>
      </c>
    </row>
    <row r="9392">
      <c r="N9392" s="6">
        <f>IF(B9392="","",IF(ISNUMBER(B9392),TEXT(B9392,"YYYY-MM"),LEFT(B9392,7)))</f>
        <v/>
      </c>
    </row>
    <row r="9393">
      <c r="N9393" s="6">
        <f>IF(B9393="","",IF(ISNUMBER(B9393),TEXT(B9393,"YYYY-MM"),LEFT(B9393,7)))</f>
        <v/>
      </c>
    </row>
    <row r="9394">
      <c r="N9394" s="6">
        <f>IF(B9394="","",IF(ISNUMBER(B9394),TEXT(B9394,"YYYY-MM"),LEFT(B9394,7)))</f>
        <v/>
      </c>
    </row>
    <row r="9395">
      <c r="N9395" s="6">
        <f>IF(B9395="","",IF(ISNUMBER(B9395),TEXT(B9395,"YYYY-MM"),LEFT(B9395,7)))</f>
        <v/>
      </c>
    </row>
    <row r="9396">
      <c r="N9396" s="6">
        <f>IF(B9396="","",IF(ISNUMBER(B9396),TEXT(B9396,"YYYY-MM"),LEFT(B9396,7)))</f>
        <v/>
      </c>
    </row>
    <row r="9397">
      <c r="N9397" s="6">
        <f>IF(B9397="","",IF(ISNUMBER(B9397),TEXT(B9397,"YYYY-MM"),LEFT(B9397,7)))</f>
        <v/>
      </c>
    </row>
    <row r="9398">
      <c r="N9398" s="6">
        <f>IF(B9398="","",IF(ISNUMBER(B9398),TEXT(B9398,"YYYY-MM"),LEFT(B9398,7)))</f>
        <v/>
      </c>
    </row>
    <row r="9399">
      <c r="N9399" s="6">
        <f>IF(B9399="","",IF(ISNUMBER(B9399),TEXT(B9399,"YYYY-MM"),LEFT(B9399,7)))</f>
        <v/>
      </c>
    </row>
    <row r="9400">
      <c r="N9400" s="6">
        <f>IF(B9400="","",IF(ISNUMBER(B9400),TEXT(B9400,"YYYY-MM"),LEFT(B9400,7)))</f>
        <v/>
      </c>
    </row>
    <row r="9401">
      <c r="N9401" s="6">
        <f>IF(B9401="","",IF(ISNUMBER(B9401),TEXT(B9401,"YYYY-MM"),LEFT(B9401,7)))</f>
        <v/>
      </c>
    </row>
    <row r="9402">
      <c r="N9402" s="6">
        <f>IF(B9402="","",IF(ISNUMBER(B9402),TEXT(B9402,"YYYY-MM"),LEFT(B9402,7)))</f>
        <v/>
      </c>
    </row>
    <row r="9403">
      <c r="N9403" s="6">
        <f>IF(B9403="","",IF(ISNUMBER(B9403),TEXT(B9403,"YYYY-MM"),LEFT(B9403,7)))</f>
        <v/>
      </c>
    </row>
    <row r="9404">
      <c r="N9404" s="6">
        <f>IF(B9404="","",IF(ISNUMBER(B9404),TEXT(B9404,"YYYY-MM"),LEFT(B9404,7)))</f>
        <v/>
      </c>
    </row>
    <row r="9405">
      <c r="N9405" s="6">
        <f>IF(B9405="","",IF(ISNUMBER(B9405),TEXT(B9405,"YYYY-MM"),LEFT(B9405,7)))</f>
        <v/>
      </c>
    </row>
    <row r="9406">
      <c r="N9406" s="6">
        <f>IF(B9406="","",IF(ISNUMBER(B9406),TEXT(B9406,"YYYY-MM"),LEFT(B9406,7)))</f>
        <v/>
      </c>
    </row>
    <row r="9407">
      <c r="N9407" s="6">
        <f>IF(B9407="","",IF(ISNUMBER(B9407),TEXT(B9407,"YYYY-MM"),LEFT(B9407,7)))</f>
        <v/>
      </c>
    </row>
    <row r="9408">
      <c r="N9408" s="6">
        <f>IF(B9408="","",IF(ISNUMBER(B9408),TEXT(B9408,"YYYY-MM"),LEFT(B9408,7)))</f>
        <v/>
      </c>
    </row>
    <row r="9409">
      <c r="N9409" s="6">
        <f>IF(B9409="","",IF(ISNUMBER(B9409),TEXT(B9409,"YYYY-MM"),LEFT(B9409,7)))</f>
        <v/>
      </c>
    </row>
    <row r="9410">
      <c r="N9410" s="6">
        <f>IF(B9410="","",IF(ISNUMBER(B9410),TEXT(B9410,"YYYY-MM"),LEFT(B9410,7)))</f>
        <v/>
      </c>
    </row>
    <row r="9411">
      <c r="N9411" s="6">
        <f>IF(B9411="","",IF(ISNUMBER(B9411),TEXT(B9411,"YYYY-MM"),LEFT(B9411,7)))</f>
        <v/>
      </c>
    </row>
    <row r="9412">
      <c r="N9412" s="6">
        <f>IF(B9412="","",IF(ISNUMBER(B9412),TEXT(B9412,"YYYY-MM"),LEFT(B9412,7)))</f>
        <v/>
      </c>
    </row>
    <row r="9413">
      <c r="N9413" s="6">
        <f>IF(B9413="","",IF(ISNUMBER(B9413),TEXT(B9413,"YYYY-MM"),LEFT(B9413,7)))</f>
        <v/>
      </c>
    </row>
    <row r="9414">
      <c r="N9414" s="6">
        <f>IF(B9414="","",IF(ISNUMBER(B9414),TEXT(B9414,"YYYY-MM"),LEFT(B9414,7)))</f>
        <v/>
      </c>
    </row>
    <row r="9415">
      <c r="N9415" s="6">
        <f>IF(B9415="","",IF(ISNUMBER(B9415),TEXT(B9415,"YYYY-MM"),LEFT(B9415,7)))</f>
        <v/>
      </c>
    </row>
    <row r="9416">
      <c r="N9416" s="6">
        <f>IF(B9416="","",IF(ISNUMBER(B9416),TEXT(B9416,"YYYY-MM"),LEFT(B9416,7)))</f>
        <v/>
      </c>
    </row>
    <row r="9417">
      <c r="N9417" s="6">
        <f>IF(B9417="","",IF(ISNUMBER(B9417),TEXT(B9417,"YYYY-MM"),LEFT(B9417,7)))</f>
        <v/>
      </c>
    </row>
    <row r="9418">
      <c r="N9418" s="6">
        <f>IF(B9418="","",IF(ISNUMBER(B9418),TEXT(B9418,"YYYY-MM"),LEFT(B9418,7)))</f>
        <v/>
      </c>
    </row>
    <row r="9419">
      <c r="N9419" s="6">
        <f>IF(B9419="","",IF(ISNUMBER(B9419),TEXT(B9419,"YYYY-MM"),LEFT(B9419,7)))</f>
        <v/>
      </c>
    </row>
    <row r="9420">
      <c r="N9420" s="6">
        <f>IF(B9420="","",IF(ISNUMBER(B9420),TEXT(B9420,"YYYY-MM"),LEFT(B9420,7)))</f>
        <v/>
      </c>
    </row>
    <row r="9421">
      <c r="N9421" s="6">
        <f>IF(B9421="","",IF(ISNUMBER(B9421),TEXT(B9421,"YYYY-MM"),LEFT(B9421,7)))</f>
        <v/>
      </c>
    </row>
    <row r="9422">
      <c r="N9422" s="6">
        <f>IF(B9422="","",IF(ISNUMBER(B9422),TEXT(B9422,"YYYY-MM"),LEFT(B9422,7)))</f>
        <v/>
      </c>
    </row>
    <row r="9423">
      <c r="N9423" s="6">
        <f>IF(B9423="","",IF(ISNUMBER(B9423),TEXT(B9423,"YYYY-MM"),LEFT(B9423,7)))</f>
        <v/>
      </c>
    </row>
    <row r="9424">
      <c r="N9424" s="6">
        <f>IF(B9424="","",IF(ISNUMBER(B9424),TEXT(B9424,"YYYY-MM"),LEFT(B9424,7)))</f>
        <v/>
      </c>
    </row>
    <row r="9425">
      <c r="N9425" s="6">
        <f>IF(B9425="","",IF(ISNUMBER(B9425),TEXT(B9425,"YYYY-MM"),LEFT(B9425,7)))</f>
        <v/>
      </c>
    </row>
    <row r="9426">
      <c r="N9426" s="6">
        <f>IF(B9426="","",IF(ISNUMBER(B9426),TEXT(B9426,"YYYY-MM"),LEFT(B9426,7)))</f>
        <v/>
      </c>
    </row>
    <row r="9427">
      <c r="N9427" s="6">
        <f>IF(B9427="","",IF(ISNUMBER(B9427),TEXT(B9427,"YYYY-MM"),LEFT(B9427,7)))</f>
        <v/>
      </c>
    </row>
    <row r="9428">
      <c r="N9428" s="6">
        <f>IF(B9428="","",IF(ISNUMBER(B9428),TEXT(B9428,"YYYY-MM"),LEFT(B9428,7)))</f>
        <v/>
      </c>
    </row>
    <row r="9429">
      <c r="N9429" s="6">
        <f>IF(B9429="","",IF(ISNUMBER(B9429),TEXT(B9429,"YYYY-MM"),LEFT(B9429,7)))</f>
        <v/>
      </c>
    </row>
    <row r="9430">
      <c r="N9430" s="6">
        <f>IF(B9430="","",IF(ISNUMBER(B9430),TEXT(B9430,"YYYY-MM"),LEFT(B9430,7)))</f>
        <v/>
      </c>
    </row>
    <row r="9431">
      <c r="N9431" s="6">
        <f>IF(B9431="","",IF(ISNUMBER(B9431),TEXT(B9431,"YYYY-MM"),LEFT(B9431,7)))</f>
        <v/>
      </c>
    </row>
    <row r="9432">
      <c r="N9432" s="6">
        <f>IF(B9432="","",IF(ISNUMBER(B9432),TEXT(B9432,"YYYY-MM"),LEFT(B9432,7)))</f>
        <v/>
      </c>
    </row>
    <row r="9433">
      <c r="N9433" s="6">
        <f>IF(B9433="","",IF(ISNUMBER(B9433),TEXT(B9433,"YYYY-MM"),LEFT(B9433,7)))</f>
        <v/>
      </c>
    </row>
    <row r="9434">
      <c r="N9434" s="6">
        <f>IF(B9434="","",IF(ISNUMBER(B9434),TEXT(B9434,"YYYY-MM"),LEFT(B9434,7)))</f>
        <v/>
      </c>
    </row>
    <row r="9435">
      <c r="N9435" s="6">
        <f>IF(B9435="","",IF(ISNUMBER(B9435),TEXT(B9435,"YYYY-MM"),LEFT(B9435,7)))</f>
        <v/>
      </c>
    </row>
    <row r="9436">
      <c r="N9436" s="6">
        <f>IF(B9436="","",IF(ISNUMBER(B9436),TEXT(B9436,"YYYY-MM"),LEFT(B9436,7)))</f>
        <v/>
      </c>
    </row>
    <row r="9437">
      <c r="N9437" s="6">
        <f>IF(B9437="","",IF(ISNUMBER(B9437),TEXT(B9437,"YYYY-MM"),LEFT(B9437,7)))</f>
        <v/>
      </c>
    </row>
    <row r="9438">
      <c r="N9438" s="6">
        <f>IF(B9438="","",IF(ISNUMBER(B9438),TEXT(B9438,"YYYY-MM"),LEFT(B9438,7)))</f>
        <v/>
      </c>
    </row>
    <row r="9439">
      <c r="N9439" s="6">
        <f>IF(B9439="","",IF(ISNUMBER(B9439),TEXT(B9439,"YYYY-MM"),LEFT(B9439,7)))</f>
        <v/>
      </c>
    </row>
    <row r="9440">
      <c r="N9440" s="6">
        <f>IF(B9440="","",IF(ISNUMBER(B9440),TEXT(B9440,"YYYY-MM"),LEFT(B9440,7)))</f>
        <v/>
      </c>
    </row>
    <row r="9441">
      <c r="N9441" s="6">
        <f>IF(B9441="","",IF(ISNUMBER(B9441),TEXT(B9441,"YYYY-MM"),LEFT(B9441,7)))</f>
        <v/>
      </c>
    </row>
    <row r="9442">
      <c r="N9442" s="6">
        <f>IF(B9442="","",IF(ISNUMBER(B9442),TEXT(B9442,"YYYY-MM"),LEFT(B9442,7)))</f>
        <v/>
      </c>
    </row>
    <row r="9443">
      <c r="N9443" s="6">
        <f>IF(B9443="","",IF(ISNUMBER(B9443),TEXT(B9443,"YYYY-MM"),LEFT(B9443,7)))</f>
        <v/>
      </c>
    </row>
    <row r="9444">
      <c r="N9444" s="6">
        <f>IF(B9444="","",IF(ISNUMBER(B9444),TEXT(B9444,"YYYY-MM"),LEFT(B9444,7)))</f>
        <v/>
      </c>
    </row>
    <row r="9445">
      <c r="N9445" s="6">
        <f>IF(B9445="","",IF(ISNUMBER(B9445),TEXT(B9445,"YYYY-MM"),LEFT(B9445,7)))</f>
        <v/>
      </c>
    </row>
    <row r="9446">
      <c r="N9446" s="6">
        <f>IF(B9446="","",IF(ISNUMBER(B9446),TEXT(B9446,"YYYY-MM"),LEFT(B9446,7)))</f>
        <v/>
      </c>
    </row>
    <row r="9447">
      <c r="N9447" s="6">
        <f>IF(B9447="","",IF(ISNUMBER(B9447),TEXT(B9447,"YYYY-MM"),LEFT(B9447,7)))</f>
        <v/>
      </c>
    </row>
    <row r="9448">
      <c r="N9448" s="6">
        <f>IF(B9448="","",IF(ISNUMBER(B9448),TEXT(B9448,"YYYY-MM"),LEFT(B9448,7)))</f>
        <v/>
      </c>
    </row>
    <row r="9449">
      <c r="N9449" s="6">
        <f>IF(B9449="","",IF(ISNUMBER(B9449),TEXT(B9449,"YYYY-MM"),LEFT(B9449,7)))</f>
        <v/>
      </c>
    </row>
    <row r="9450">
      <c r="N9450" s="6">
        <f>IF(B9450="","",IF(ISNUMBER(B9450),TEXT(B9450,"YYYY-MM"),LEFT(B9450,7)))</f>
        <v/>
      </c>
    </row>
    <row r="9451">
      <c r="N9451" s="6">
        <f>IF(B9451="","",IF(ISNUMBER(B9451),TEXT(B9451,"YYYY-MM"),LEFT(B9451,7)))</f>
        <v/>
      </c>
    </row>
    <row r="9452">
      <c r="N9452" s="6">
        <f>IF(B9452="","",IF(ISNUMBER(B9452),TEXT(B9452,"YYYY-MM"),LEFT(B9452,7)))</f>
        <v/>
      </c>
    </row>
    <row r="9453">
      <c r="N9453" s="6">
        <f>IF(B9453="","",IF(ISNUMBER(B9453),TEXT(B9453,"YYYY-MM"),LEFT(B9453,7)))</f>
        <v/>
      </c>
    </row>
    <row r="9454">
      <c r="N9454" s="6">
        <f>IF(B9454="","",IF(ISNUMBER(B9454),TEXT(B9454,"YYYY-MM"),LEFT(B9454,7)))</f>
        <v/>
      </c>
    </row>
    <row r="9455">
      <c r="N9455" s="6">
        <f>IF(B9455="","",IF(ISNUMBER(B9455),TEXT(B9455,"YYYY-MM"),LEFT(B9455,7)))</f>
        <v/>
      </c>
    </row>
    <row r="9456">
      <c r="N9456" s="6">
        <f>IF(B9456="","",IF(ISNUMBER(B9456),TEXT(B9456,"YYYY-MM"),LEFT(B9456,7)))</f>
        <v/>
      </c>
    </row>
    <row r="9457">
      <c r="N9457" s="6">
        <f>IF(B9457="","",IF(ISNUMBER(B9457),TEXT(B9457,"YYYY-MM"),LEFT(B9457,7)))</f>
        <v/>
      </c>
    </row>
    <row r="9458">
      <c r="N9458" s="6">
        <f>IF(B9458="","",IF(ISNUMBER(B9458),TEXT(B9458,"YYYY-MM"),LEFT(B9458,7)))</f>
        <v/>
      </c>
    </row>
    <row r="9459">
      <c r="N9459" s="6">
        <f>IF(B9459="","",IF(ISNUMBER(B9459),TEXT(B9459,"YYYY-MM"),LEFT(B9459,7)))</f>
        <v/>
      </c>
    </row>
    <row r="9460">
      <c r="N9460" s="6">
        <f>IF(B9460="","",IF(ISNUMBER(B9460),TEXT(B9460,"YYYY-MM"),LEFT(B9460,7)))</f>
        <v/>
      </c>
    </row>
    <row r="9461">
      <c r="N9461" s="6">
        <f>IF(B9461="","",IF(ISNUMBER(B9461),TEXT(B9461,"YYYY-MM"),LEFT(B9461,7)))</f>
        <v/>
      </c>
    </row>
    <row r="9462">
      <c r="N9462" s="6">
        <f>IF(B9462="","",IF(ISNUMBER(B9462),TEXT(B9462,"YYYY-MM"),LEFT(B9462,7)))</f>
        <v/>
      </c>
    </row>
    <row r="9463">
      <c r="N9463" s="6">
        <f>IF(B9463="","",IF(ISNUMBER(B9463),TEXT(B9463,"YYYY-MM"),LEFT(B9463,7)))</f>
        <v/>
      </c>
    </row>
    <row r="9464">
      <c r="N9464" s="6">
        <f>IF(B9464="","",IF(ISNUMBER(B9464),TEXT(B9464,"YYYY-MM"),LEFT(B9464,7)))</f>
        <v/>
      </c>
    </row>
    <row r="9465">
      <c r="N9465" s="6">
        <f>IF(B9465="","",IF(ISNUMBER(B9465),TEXT(B9465,"YYYY-MM"),LEFT(B9465,7)))</f>
        <v/>
      </c>
    </row>
    <row r="9466">
      <c r="N9466" s="6">
        <f>IF(B9466="","",IF(ISNUMBER(B9466),TEXT(B9466,"YYYY-MM"),LEFT(B9466,7)))</f>
        <v/>
      </c>
    </row>
    <row r="9467">
      <c r="N9467" s="6">
        <f>IF(B9467="","",IF(ISNUMBER(B9467),TEXT(B9467,"YYYY-MM"),LEFT(B9467,7)))</f>
        <v/>
      </c>
    </row>
    <row r="9468">
      <c r="N9468" s="6">
        <f>IF(B9468="","",IF(ISNUMBER(B9468),TEXT(B9468,"YYYY-MM"),LEFT(B9468,7)))</f>
        <v/>
      </c>
    </row>
    <row r="9469">
      <c r="N9469" s="6">
        <f>IF(B9469="","",IF(ISNUMBER(B9469),TEXT(B9469,"YYYY-MM"),LEFT(B9469,7)))</f>
        <v/>
      </c>
    </row>
    <row r="9470">
      <c r="N9470" s="6">
        <f>IF(B9470="","",IF(ISNUMBER(B9470),TEXT(B9470,"YYYY-MM"),LEFT(B9470,7)))</f>
        <v/>
      </c>
    </row>
    <row r="9471">
      <c r="N9471" s="6">
        <f>IF(B9471="","",IF(ISNUMBER(B9471),TEXT(B9471,"YYYY-MM"),LEFT(B9471,7)))</f>
        <v/>
      </c>
    </row>
    <row r="9472">
      <c r="N9472" s="6">
        <f>IF(B9472="","",IF(ISNUMBER(B9472),TEXT(B9472,"YYYY-MM"),LEFT(B9472,7)))</f>
        <v/>
      </c>
    </row>
    <row r="9473">
      <c r="N9473" s="6">
        <f>IF(B9473="","",IF(ISNUMBER(B9473),TEXT(B9473,"YYYY-MM"),LEFT(B9473,7)))</f>
        <v/>
      </c>
    </row>
    <row r="9474">
      <c r="N9474" s="6">
        <f>IF(B9474="","",IF(ISNUMBER(B9474),TEXT(B9474,"YYYY-MM"),LEFT(B9474,7)))</f>
        <v/>
      </c>
    </row>
    <row r="9475">
      <c r="N9475" s="6">
        <f>IF(B9475="","",IF(ISNUMBER(B9475),TEXT(B9475,"YYYY-MM"),LEFT(B9475,7)))</f>
        <v/>
      </c>
    </row>
    <row r="9476">
      <c r="N9476" s="6">
        <f>IF(B9476="","",IF(ISNUMBER(B9476),TEXT(B9476,"YYYY-MM"),LEFT(B9476,7)))</f>
        <v/>
      </c>
    </row>
    <row r="9477">
      <c r="N9477" s="6">
        <f>IF(B9477="","",IF(ISNUMBER(B9477),TEXT(B9477,"YYYY-MM"),LEFT(B9477,7)))</f>
        <v/>
      </c>
    </row>
    <row r="9478">
      <c r="N9478" s="6">
        <f>IF(B9478="","",IF(ISNUMBER(B9478),TEXT(B9478,"YYYY-MM"),LEFT(B9478,7)))</f>
        <v/>
      </c>
    </row>
    <row r="9479">
      <c r="N9479" s="6">
        <f>IF(B9479="","",IF(ISNUMBER(B9479),TEXT(B9479,"YYYY-MM"),LEFT(B9479,7)))</f>
        <v/>
      </c>
    </row>
    <row r="9480">
      <c r="N9480" s="6">
        <f>IF(B9480="","",IF(ISNUMBER(B9480),TEXT(B9480,"YYYY-MM"),LEFT(B9480,7)))</f>
        <v/>
      </c>
    </row>
    <row r="9481">
      <c r="N9481" s="6">
        <f>IF(B9481="","",IF(ISNUMBER(B9481),TEXT(B9481,"YYYY-MM"),LEFT(B9481,7)))</f>
        <v/>
      </c>
    </row>
    <row r="9482">
      <c r="N9482" s="6">
        <f>IF(B9482="","",IF(ISNUMBER(B9482),TEXT(B9482,"YYYY-MM"),LEFT(B9482,7)))</f>
        <v/>
      </c>
    </row>
    <row r="9483">
      <c r="N9483" s="6">
        <f>IF(B9483="","",IF(ISNUMBER(B9483),TEXT(B9483,"YYYY-MM"),LEFT(B9483,7)))</f>
        <v/>
      </c>
    </row>
    <row r="9484">
      <c r="N9484" s="6">
        <f>IF(B9484="","",IF(ISNUMBER(B9484),TEXT(B9484,"YYYY-MM"),LEFT(B9484,7)))</f>
        <v/>
      </c>
    </row>
    <row r="9485">
      <c r="N9485" s="6">
        <f>IF(B9485="","",IF(ISNUMBER(B9485),TEXT(B9485,"YYYY-MM"),LEFT(B9485,7)))</f>
        <v/>
      </c>
    </row>
    <row r="9486">
      <c r="N9486" s="6">
        <f>IF(B9486="","",IF(ISNUMBER(B9486),TEXT(B9486,"YYYY-MM"),LEFT(B9486,7)))</f>
        <v/>
      </c>
    </row>
    <row r="9487">
      <c r="N9487" s="6">
        <f>IF(B9487="","",IF(ISNUMBER(B9487),TEXT(B9487,"YYYY-MM"),LEFT(B9487,7)))</f>
        <v/>
      </c>
    </row>
    <row r="9488">
      <c r="N9488" s="6">
        <f>IF(B9488="","",IF(ISNUMBER(B9488),TEXT(B9488,"YYYY-MM"),LEFT(B9488,7)))</f>
        <v/>
      </c>
    </row>
    <row r="9489">
      <c r="N9489" s="6">
        <f>IF(B9489="","",IF(ISNUMBER(B9489),TEXT(B9489,"YYYY-MM"),LEFT(B9489,7)))</f>
        <v/>
      </c>
    </row>
    <row r="9490">
      <c r="N9490" s="6">
        <f>IF(B9490="","",IF(ISNUMBER(B9490),TEXT(B9490,"YYYY-MM"),LEFT(B9490,7)))</f>
        <v/>
      </c>
    </row>
    <row r="9491">
      <c r="N9491" s="6">
        <f>IF(B9491="","",IF(ISNUMBER(B9491),TEXT(B9491,"YYYY-MM"),LEFT(B9491,7)))</f>
        <v/>
      </c>
    </row>
    <row r="9492">
      <c r="N9492" s="6">
        <f>IF(B9492="","",IF(ISNUMBER(B9492),TEXT(B9492,"YYYY-MM"),LEFT(B9492,7)))</f>
        <v/>
      </c>
    </row>
    <row r="9493">
      <c r="N9493" s="6">
        <f>IF(B9493="","",IF(ISNUMBER(B9493),TEXT(B9493,"YYYY-MM"),LEFT(B9493,7)))</f>
        <v/>
      </c>
    </row>
    <row r="9494">
      <c r="N9494" s="6">
        <f>IF(B9494="","",IF(ISNUMBER(B9494),TEXT(B9494,"YYYY-MM"),LEFT(B9494,7)))</f>
        <v/>
      </c>
    </row>
    <row r="9495">
      <c r="N9495" s="6">
        <f>IF(B9495="","",IF(ISNUMBER(B9495),TEXT(B9495,"YYYY-MM"),LEFT(B9495,7)))</f>
        <v/>
      </c>
    </row>
    <row r="9496">
      <c r="N9496" s="6">
        <f>IF(B9496="","",IF(ISNUMBER(B9496),TEXT(B9496,"YYYY-MM"),LEFT(B9496,7)))</f>
        <v/>
      </c>
    </row>
    <row r="9497">
      <c r="N9497" s="6">
        <f>IF(B9497="","",IF(ISNUMBER(B9497),TEXT(B9497,"YYYY-MM"),LEFT(B9497,7)))</f>
        <v/>
      </c>
    </row>
    <row r="9498">
      <c r="N9498" s="6">
        <f>IF(B9498="","",IF(ISNUMBER(B9498),TEXT(B9498,"YYYY-MM"),LEFT(B9498,7)))</f>
        <v/>
      </c>
    </row>
    <row r="9499">
      <c r="N9499" s="6">
        <f>IF(B9499="","",IF(ISNUMBER(B9499),TEXT(B9499,"YYYY-MM"),LEFT(B9499,7)))</f>
        <v/>
      </c>
    </row>
    <row r="9500">
      <c r="N9500" s="6">
        <f>IF(B9500="","",IF(ISNUMBER(B9500),TEXT(B9500,"YYYY-MM"),LEFT(B9500,7)))</f>
        <v/>
      </c>
    </row>
    <row r="9501">
      <c r="N9501" s="6">
        <f>IF(B9501="","",IF(ISNUMBER(B9501),TEXT(B9501,"YYYY-MM"),LEFT(B9501,7)))</f>
        <v/>
      </c>
    </row>
    <row r="9502">
      <c r="N9502" s="6">
        <f>IF(B9502="","",IF(ISNUMBER(B9502),TEXT(B9502,"YYYY-MM"),LEFT(B9502,7)))</f>
        <v/>
      </c>
    </row>
    <row r="9503">
      <c r="N9503" s="6">
        <f>IF(B9503="","",IF(ISNUMBER(B9503),TEXT(B9503,"YYYY-MM"),LEFT(B9503,7)))</f>
        <v/>
      </c>
    </row>
    <row r="9504">
      <c r="N9504" s="6">
        <f>IF(B9504="","",IF(ISNUMBER(B9504),TEXT(B9504,"YYYY-MM"),LEFT(B9504,7)))</f>
        <v/>
      </c>
    </row>
    <row r="9505">
      <c r="N9505" s="6">
        <f>IF(B9505="","",IF(ISNUMBER(B9505),TEXT(B9505,"YYYY-MM"),LEFT(B9505,7)))</f>
        <v/>
      </c>
    </row>
    <row r="9506">
      <c r="N9506" s="6">
        <f>IF(B9506="","",IF(ISNUMBER(B9506),TEXT(B9506,"YYYY-MM"),LEFT(B9506,7)))</f>
        <v/>
      </c>
    </row>
    <row r="9507">
      <c r="N9507" s="6">
        <f>IF(B9507="","",IF(ISNUMBER(B9507),TEXT(B9507,"YYYY-MM"),LEFT(B9507,7)))</f>
        <v/>
      </c>
    </row>
    <row r="9508">
      <c r="N9508" s="6">
        <f>IF(B9508="","",IF(ISNUMBER(B9508),TEXT(B9508,"YYYY-MM"),LEFT(B9508,7)))</f>
        <v/>
      </c>
    </row>
    <row r="9509">
      <c r="N9509" s="6">
        <f>IF(B9509="","",IF(ISNUMBER(B9509),TEXT(B9509,"YYYY-MM"),LEFT(B9509,7)))</f>
        <v/>
      </c>
    </row>
    <row r="9510">
      <c r="N9510" s="6">
        <f>IF(B9510="","",IF(ISNUMBER(B9510),TEXT(B9510,"YYYY-MM"),LEFT(B9510,7)))</f>
        <v/>
      </c>
    </row>
    <row r="9511">
      <c r="N9511" s="6">
        <f>IF(B9511="","",IF(ISNUMBER(B9511),TEXT(B9511,"YYYY-MM"),LEFT(B9511,7)))</f>
        <v/>
      </c>
    </row>
    <row r="9512">
      <c r="N9512" s="6">
        <f>IF(B9512="","",IF(ISNUMBER(B9512),TEXT(B9512,"YYYY-MM"),LEFT(B9512,7)))</f>
        <v/>
      </c>
    </row>
    <row r="9513">
      <c r="N9513" s="6">
        <f>IF(B9513="","",IF(ISNUMBER(B9513),TEXT(B9513,"YYYY-MM"),LEFT(B9513,7)))</f>
        <v/>
      </c>
    </row>
    <row r="9514">
      <c r="N9514" s="6">
        <f>IF(B9514="","",IF(ISNUMBER(B9514),TEXT(B9514,"YYYY-MM"),LEFT(B9514,7)))</f>
        <v/>
      </c>
    </row>
    <row r="9515">
      <c r="N9515" s="6">
        <f>IF(B9515="","",IF(ISNUMBER(B9515),TEXT(B9515,"YYYY-MM"),LEFT(B9515,7)))</f>
        <v/>
      </c>
    </row>
    <row r="9516">
      <c r="N9516" s="6">
        <f>IF(B9516="","",IF(ISNUMBER(B9516),TEXT(B9516,"YYYY-MM"),LEFT(B9516,7)))</f>
        <v/>
      </c>
    </row>
    <row r="9517">
      <c r="N9517" s="6">
        <f>IF(B9517="","",IF(ISNUMBER(B9517),TEXT(B9517,"YYYY-MM"),LEFT(B9517,7)))</f>
        <v/>
      </c>
    </row>
    <row r="9518">
      <c r="N9518" s="6">
        <f>IF(B9518="","",IF(ISNUMBER(B9518),TEXT(B9518,"YYYY-MM"),LEFT(B9518,7)))</f>
        <v/>
      </c>
    </row>
    <row r="9519">
      <c r="N9519" s="6">
        <f>IF(B9519="","",IF(ISNUMBER(B9519),TEXT(B9519,"YYYY-MM"),LEFT(B9519,7)))</f>
        <v/>
      </c>
    </row>
    <row r="9520">
      <c r="N9520" s="6">
        <f>IF(B9520="","",IF(ISNUMBER(B9520),TEXT(B9520,"YYYY-MM"),LEFT(B9520,7)))</f>
        <v/>
      </c>
    </row>
    <row r="9521">
      <c r="N9521" s="6">
        <f>IF(B9521="","",IF(ISNUMBER(B9521),TEXT(B9521,"YYYY-MM"),LEFT(B9521,7)))</f>
        <v/>
      </c>
    </row>
    <row r="9522">
      <c r="N9522" s="6">
        <f>IF(B9522="","",IF(ISNUMBER(B9522),TEXT(B9522,"YYYY-MM"),LEFT(B9522,7)))</f>
        <v/>
      </c>
    </row>
    <row r="9523">
      <c r="N9523" s="6">
        <f>IF(B9523="","",IF(ISNUMBER(B9523),TEXT(B9523,"YYYY-MM"),LEFT(B9523,7)))</f>
        <v/>
      </c>
    </row>
    <row r="9524">
      <c r="N9524" s="6">
        <f>IF(B9524="","",IF(ISNUMBER(B9524),TEXT(B9524,"YYYY-MM"),LEFT(B9524,7)))</f>
        <v/>
      </c>
    </row>
    <row r="9525">
      <c r="N9525" s="6">
        <f>IF(B9525="","",IF(ISNUMBER(B9525),TEXT(B9525,"YYYY-MM"),LEFT(B9525,7)))</f>
        <v/>
      </c>
    </row>
    <row r="9526">
      <c r="N9526" s="6">
        <f>IF(B9526="","",IF(ISNUMBER(B9526),TEXT(B9526,"YYYY-MM"),LEFT(B9526,7)))</f>
        <v/>
      </c>
    </row>
    <row r="9527">
      <c r="N9527" s="6">
        <f>IF(B9527="","",IF(ISNUMBER(B9527),TEXT(B9527,"YYYY-MM"),LEFT(B9527,7)))</f>
        <v/>
      </c>
    </row>
    <row r="9528">
      <c r="N9528" s="6">
        <f>IF(B9528="","",IF(ISNUMBER(B9528),TEXT(B9528,"YYYY-MM"),LEFT(B9528,7)))</f>
        <v/>
      </c>
    </row>
    <row r="9529">
      <c r="N9529" s="6">
        <f>IF(B9529="","",IF(ISNUMBER(B9529),TEXT(B9529,"YYYY-MM"),LEFT(B9529,7)))</f>
        <v/>
      </c>
    </row>
    <row r="9530">
      <c r="N9530" s="6">
        <f>IF(B9530="","",IF(ISNUMBER(B9530),TEXT(B9530,"YYYY-MM"),LEFT(B9530,7)))</f>
        <v/>
      </c>
    </row>
    <row r="9531">
      <c r="N9531" s="6">
        <f>IF(B9531="","",IF(ISNUMBER(B9531),TEXT(B9531,"YYYY-MM"),LEFT(B9531,7)))</f>
        <v/>
      </c>
    </row>
    <row r="9532">
      <c r="N9532" s="6">
        <f>IF(B9532="","",IF(ISNUMBER(B9532),TEXT(B9532,"YYYY-MM"),LEFT(B9532,7)))</f>
        <v/>
      </c>
    </row>
    <row r="9533">
      <c r="N9533" s="6">
        <f>IF(B9533="","",IF(ISNUMBER(B9533),TEXT(B9533,"YYYY-MM"),LEFT(B9533,7)))</f>
        <v/>
      </c>
    </row>
    <row r="9534">
      <c r="N9534" s="6">
        <f>IF(B9534="","",IF(ISNUMBER(B9534),TEXT(B9534,"YYYY-MM"),LEFT(B9534,7)))</f>
        <v/>
      </c>
    </row>
    <row r="9535">
      <c r="N9535" s="6">
        <f>IF(B9535="","",IF(ISNUMBER(B9535),TEXT(B9535,"YYYY-MM"),LEFT(B9535,7)))</f>
        <v/>
      </c>
    </row>
    <row r="9536">
      <c r="N9536" s="6">
        <f>IF(B9536="","",IF(ISNUMBER(B9536),TEXT(B9536,"YYYY-MM"),LEFT(B9536,7)))</f>
        <v/>
      </c>
    </row>
    <row r="9537">
      <c r="N9537" s="6">
        <f>IF(B9537="","",IF(ISNUMBER(B9537),TEXT(B9537,"YYYY-MM"),LEFT(B9537,7)))</f>
        <v/>
      </c>
    </row>
    <row r="9538">
      <c r="N9538" s="6">
        <f>IF(B9538="","",IF(ISNUMBER(B9538),TEXT(B9538,"YYYY-MM"),LEFT(B9538,7)))</f>
        <v/>
      </c>
    </row>
    <row r="9539">
      <c r="N9539" s="6">
        <f>IF(B9539="","",IF(ISNUMBER(B9539),TEXT(B9539,"YYYY-MM"),LEFT(B9539,7)))</f>
        <v/>
      </c>
    </row>
    <row r="9540">
      <c r="N9540" s="6">
        <f>IF(B9540="","",IF(ISNUMBER(B9540),TEXT(B9540,"YYYY-MM"),LEFT(B9540,7)))</f>
        <v/>
      </c>
    </row>
    <row r="9541">
      <c r="N9541" s="6">
        <f>IF(B9541="","",IF(ISNUMBER(B9541),TEXT(B9541,"YYYY-MM"),LEFT(B9541,7)))</f>
        <v/>
      </c>
    </row>
    <row r="9542">
      <c r="N9542" s="6">
        <f>IF(B9542="","",IF(ISNUMBER(B9542),TEXT(B9542,"YYYY-MM"),LEFT(B9542,7)))</f>
        <v/>
      </c>
    </row>
    <row r="9543">
      <c r="N9543" s="6">
        <f>IF(B9543="","",IF(ISNUMBER(B9543),TEXT(B9543,"YYYY-MM"),LEFT(B9543,7)))</f>
        <v/>
      </c>
    </row>
    <row r="9544">
      <c r="N9544" s="6">
        <f>IF(B9544="","",IF(ISNUMBER(B9544),TEXT(B9544,"YYYY-MM"),LEFT(B9544,7)))</f>
        <v/>
      </c>
    </row>
    <row r="9545">
      <c r="N9545" s="6">
        <f>IF(B9545="","",IF(ISNUMBER(B9545),TEXT(B9545,"YYYY-MM"),LEFT(B9545,7)))</f>
        <v/>
      </c>
    </row>
    <row r="9546">
      <c r="N9546" s="6">
        <f>IF(B9546="","",IF(ISNUMBER(B9546),TEXT(B9546,"YYYY-MM"),LEFT(B9546,7)))</f>
        <v/>
      </c>
    </row>
    <row r="9547">
      <c r="N9547" s="6">
        <f>IF(B9547="","",IF(ISNUMBER(B9547),TEXT(B9547,"YYYY-MM"),LEFT(B9547,7)))</f>
        <v/>
      </c>
    </row>
    <row r="9548">
      <c r="N9548" s="6">
        <f>IF(B9548="","",IF(ISNUMBER(B9548),TEXT(B9548,"YYYY-MM"),LEFT(B9548,7)))</f>
        <v/>
      </c>
    </row>
    <row r="9549">
      <c r="N9549" s="6">
        <f>IF(B9549="","",IF(ISNUMBER(B9549),TEXT(B9549,"YYYY-MM"),LEFT(B9549,7)))</f>
        <v/>
      </c>
    </row>
    <row r="9550">
      <c r="N9550" s="6">
        <f>IF(B9550="","",IF(ISNUMBER(B9550),TEXT(B9550,"YYYY-MM"),LEFT(B9550,7)))</f>
        <v/>
      </c>
    </row>
    <row r="9551">
      <c r="N9551" s="6">
        <f>IF(B9551="","",IF(ISNUMBER(B9551),TEXT(B9551,"YYYY-MM"),LEFT(B9551,7)))</f>
        <v/>
      </c>
    </row>
    <row r="9552">
      <c r="N9552" s="6">
        <f>IF(B9552="","",IF(ISNUMBER(B9552),TEXT(B9552,"YYYY-MM"),LEFT(B9552,7)))</f>
        <v/>
      </c>
    </row>
    <row r="9553">
      <c r="N9553" s="6">
        <f>IF(B9553="","",IF(ISNUMBER(B9553),TEXT(B9553,"YYYY-MM"),LEFT(B9553,7)))</f>
        <v/>
      </c>
    </row>
    <row r="9554">
      <c r="N9554" s="6">
        <f>IF(B9554="","",IF(ISNUMBER(B9554),TEXT(B9554,"YYYY-MM"),LEFT(B9554,7)))</f>
        <v/>
      </c>
    </row>
    <row r="9555">
      <c r="N9555" s="6">
        <f>IF(B9555="","",IF(ISNUMBER(B9555),TEXT(B9555,"YYYY-MM"),LEFT(B9555,7)))</f>
        <v/>
      </c>
    </row>
    <row r="9556">
      <c r="N9556" s="6">
        <f>IF(B9556="","",IF(ISNUMBER(B9556),TEXT(B9556,"YYYY-MM"),LEFT(B9556,7)))</f>
        <v/>
      </c>
    </row>
    <row r="9557">
      <c r="N9557" s="6">
        <f>IF(B9557="","",IF(ISNUMBER(B9557),TEXT(B9557,"YYYY-MM"),LEFT(B9557,7)))</f>
        <v/>
      </c>
    </row>
    <row r="9558">
      <c r="N9558" s="6">
        <f>IF(B9558="","",IF(ISNUMBER(B9558),TEXT(B9558,"YYYY-MM"),LEFT(B9558,7)))</f>
        <v/>
      </c>
    </row>
    <row r="9559">
      <c r="N9559" s="6">
        <f>IF(B9559="","",IF(ISNUMBER(B9559),TEXT(B9559,"YYYY-MM"),LEFT(B9559,7)))</f>
        <v/>
      </c>
    </row>
    <row r="9560">
      <c r="N9560" s="6">
        <f>IF(B9560="","",IF(ISNUMBER(B9560),TEXT(B9560,"YYYY-MM"),LEFT(B9560,7)))</f>
        <v/>
      </c>
    </row>
    <row r="9561">
      <c r="N9561" s="6">
        <f>IF(B9561="","",IF(ISNUMBER(B9561),TEXT(B9561,"YYYY-MM"),LEFT(B9561,7)))</f>
        <v/>
      </c>
    </row>
    <row r="9562">
      <c r="N9562" s="6">
        <f>IF(B9562="","",IF(ISNUMBER(B9562),TEXT(B9562,"YYYY-MM"),LEFT(B9562,7)))</f>
        <v/>
      </c>
    </row>
    <row r="9563">
      <c r="N9563" s="6">
        <f>IF(B9563="","",IF(ISNUMBER(B9563),TEXT(B9563,"YYYY-MM"),LEFT(B9563,7)))</f>
        <v/>
      </c>
    </row>
    <row r="9564">
      <c r="N9564" s="6">
        <f>IF(B9564="","",IF(ISNUMBER(B9564),TEXT(B9564,"YYYY-MM"),LEFT(B9564,7)))</f>
        <v/>
      </c>
    </row>
    <row r="9565">
      <c r="N9565" s="6">
        <f>IF(B9565="","",IF(ISNUMBER(B9565),TEXT(B9565,"YYYY-MM"),LEFT(B9565,7)))</f>
        <v/>
      </c>
    </row>
    <row r="9566">
      <c r="N9566" s="6">
        <f>IF(B9566="","",IF(ISNUMBER(B9566),TEXT(B9566,"YYYY-MM"),LEFT(B9566,7)))</f>
        <v/>
      </c>
    </row>
    <row r="9567">
      <c r="N9567" s="6">
        <f>IF(B9567="","",IF(ISNUMBER(B9567),TEXT(B9567,"YYYY-MM"),LEFT(B9567,7)))</f>
        <v/>
      </c>
    </row>
    <row r="9568">
      <c r="N9568" s="6">
        <f>IF(B9568="","",IF(ISNUMBER(B9568),TEXT(B9568,"YYYY-MM"),LEFT(B9568,7)))</f>
        <v/>
      </c>
    </row>
    <row r="9569">
      <c r="N9569" s="6">
        <f>IF(B9569="","",IF(ISNUMBER(B9569),TEXT(B9569,"YYYY-MM"),LEFT(B9569,7)))</f>
        <v/>
      </c>
    </row>
    <row r="9570">
      <c r="N9570" s="6">
        <f>IF(B9570="","",IF(ISNUMBER(B9570),TEXT(B9570,"YYYY-MM"),LEFT(B9570,7)))</f>
        <v/>
      </c>
    </row>
    <row r="9571">
      <c r="N9571" s="6">
        <f>IF(B9571="","",IF(ISNUMBER(B9571),TEXT(B9571,"YYYY-MM"),LEFT(B9571,7)))</f>
        <v/>
      </c>
    </row>
    <row r="9572">
      <c r="N9572" s="6">
        <f>IF(B9572="","",IF(ISNUMBER(B9572),TEXT(B9572,"YYYY-MM"),LEFT(B9572,7)))</f>
        <v/>
      </c>
    </row>
    <row r="9573">
      <c r="N9573" s="6">
        <f>IF(B9573="","",IF(ISNUMBER(B9573),TEXT(B9573,"YYYY-MM"),LEFT(B9573,7)))</f>
        <v/>
      </c>
    </row>
    <row r="9574">
      <c r="N9574" s="6">
        <f>IF(B9574="","",IF(ISNUMBER(B9574),TEXT(B9574,"YYYY-MM"),LEFT(B9574,7)))</f>
        <v/>
      </c>
    </row>
    <row r="9575">
      <c r="N9575" s="6">
        <f>IF(B9575="","",IF(ISNUMBER(B9575),TEXT(B9575,"YYYY-MM"),LEFT(B9575,7)))</f>
        <v/>
      </c>
    </row>
    <row r="9576">
      <c r="N9576" s="6">
        <f>IF(B9576="","",IF(ISNUMBER(B9576),TEXT(B9576,"YYYY-MM"),LEFT(B9576,7)))</f>
        <v/>
      </c>
    </row>
    <row r="9577">
      <c r="N9577" s="6">
        <f>IF(B9577="","",IF(ISNUMBER(B9577),TEXT(B9577,"YYYY-MM"),LEFT(B9577,7)))</f>
        <v/>
      </c>
    </row>
    <row r="9578">
      <c r="N9578" s="6">
        <f>IF(B9578="","",IF(ISNUMBER(B9578),TEXT(B9578,"YYYY-MM"),LEFT(B9578,7)))</f>
        <v/>
      </c>
    </row>
    <row r="9579">
      <c r="N9579" s="6">
        <f>IF(B9579="","",IF(ISNUMBER(B9579),TEXT(B9579,"YYYY-MM"),LEFT(B9579,7)))</f>
        <v/>
      </c>
    </row>
    <row r="9580">
      <c r="N9580" s="6">
        <f>IF(B9580="","",IF(ISNUMBER(B9580),TEXT(B9580,"YYYY-MM"),LEFT(B9580,7)))</f>
        <v/>
      </c>
    </row>
    <row r="9581">
      <c r="N9581" s="6">
        <f>IF(B9581="","",IF(ISNUMBER(B9581),TEXT(B9581,"YYYY-MM"),LEFT(B9581,7)))</f>
        <v/>
      </c>
    </row>
    <row r="9582">
      <c r="N9582" s="6">
        <f>IF(B9582="","",IF(ISNUMBER(B9582),TEXT(B9582,"YYYY-MM"),LEFT(B9582,7)))</f>
        <v/>
      </c>
    </row>
    <row r="9583">
      <c r="N9583" s="6">
        <f>IF(B9583="","",IF(ISNUMBER(B9583),TEXT(B9583,"YYYY-MM"),LEFT(B9583,7)))</f>
        <v/>
      </c>
    </row>
    <row r="9584">
      <c r="N9584" s="6">
        <f>IF(B9584="","",IF(ISNUMBER(B9584),TEXT(B9584,"YYYY-MM"),LEFT(B9584,7)))</f>
        <v/>
      </c>
    </row>
    <row r="9585">
      <c r="N9585" s="6">
        <f>IF(B9585="","",IF(ISNUMBER(B9585),TEXT(B9585,"YYYY-MM"),LEFT(B9585,7)))</f>
        <v/>
      </c>
    </row>
    <row r="9586">
      <c r="N9586" s="6">
        <f>IF(B9586="","",IF(ISNUMBER(B9586),TEXT(B9586,"YYYY-MM"),LEFT(B9586,7)))</f>
        <v/>
      </c>
    </row>
    <row r="9587">
      <c r="N9587" s="6">
        <f>IF(B9587="","",IF(ISNUMBER(B9587),TEXT(B9587,"YYYY-MM"),LEFT(B9587,7)))</f>
        <v/>
      </c>
    </row>
    <row r="9588">
      <c r="N9588" s="6">
        <f>IF(B9588="","",IF(ISNUMBER(B9588),TEXT(B9588,"YYYY-MM"),LEFT(B9588,7)))</f>
        <v/>
      </c>
    </row>
    <row r="9589">
      <c r="N9589" s="6">
        <f>IF(B9589="","",IF(ISNUMBER(B9589),TEXT(B9589,"YYYY-MM"),LEFT(B9589,7)))</f>
        <v/>
      </c>
    </row>
    <row r="9590">
      <c r="N9590" s="6">
        <f>IF(B9590="","",IF(ISNUMBER(B9590),TEXT(B9590,"YYYY-MM"),LEFT(B9590,7)))</f>
        <v/>
      </c>
    </row>
    <row r="9591">
      <c r="N9591" s="6">
        <f>IF(B9591="","",IF(ISNUMBER(B9591),TEXT(B9591,"YYYY-MM"),LEFT(B9591,7)))</f>
        <v/>
      </c>
    </row>
    <row r="9592">
      <c r="N9592" s="6">
        <f>IF(B9592="","",IF(ISNUMBER(B9592),TEXT(B9592,"YYYY-MM"),LEFT(B9592,7)))</f>
        <v/>
      </c>
    </row>
    <row r="9593">
      <c r="N9593" s="6">
        <f>IF(B9593="","",IF(ISNUMBER(B9593),TEXT(B9593,"YYYY-MM"),LEFT(B9593,7)))</f>
        <v/>
      </c>
    </row>
    <row r="9594">
      <c r="N9594" s="6">
        <f>IF(B9594="","",IF(ISNUMBER(B9594),TEXT(B9594,"YYYY-MM"),LEFT(B9594,7)))</f>
        <v/>
      </c>
    </row>
    <row r="9595">
      <c r="N9595" s="6">
        <f>IF(B9595="","",IF(ISNUMBER(B9595),TEXT(B9595,"YYYY-MM"),LEFT(B9595,7)))</f>
        <v/>
      </c>
    </row>
    <row r="9596">
      <c r="N9596" s="6">
        <f>IF(B9596="","",IF(ISNUMBER(B9596),TEXT(B9596,"YYYY-MM"),LEFT(B9596,7)))</f>
        <v/>
      </c>
    </row>
    <row r="9597">
      <c r="N9597" s="6">
        <f>IF(B9597="","",IF(ISNUMBER(B9597),TEXT(B9597,"YYYY-MM"),LEFT(B9597,7)))</f>
        <v/>
      </c>
    </row>
    <row r="9598">
      <c r="N9598" s="6">
        <f>IF(B9598="","",IF(ISNUMBER(B9598),TEXT(B9598,"YYYY-MM"),LEFT(B9598,7)))</f>
        <v/>
      </c>
    </row>
    <row r="9599">
      <c r="N9599" s="6">
        <f>IF(B9599="","",IF(ISNUMBER(B9599),TEXT(B9599,"YYYY-MM"),LEFT(B9599,7)))</f>
        <v/>
      </c>
    </row>
    <row r="9600">
      <c r="N9600" s="6">
        <f>IF(B9600="","",IF(ISNUMBER(B9600),TEXT(B9600,"YYYY-MM"),LEFT(B9600,7)))</f>
        <v/>
      </c>
    </row>
    <row r="9601">
      <c r="N9601" s="6">
        <f>IF(B9601="","",IF(ISNUMBER(B9601),TEXT(B9601,"YYYY-MM"),LEFT(B9601,7)))</f>
        <v/>
      </c>
    </row>
    <row r="9602">
      <c r="N9602" s="6">
        <f>IF(B9602="","",IF(ISNUMBER(B9602),TEXT(B9602,"YYYY-MM"),LEFT(B9602,7)))</f>
        <v/>
      </c>
    </row>
    <row r="9603">
      <c r="N9603" s="6">
        <f>IF(B9603="","",IF(ISNUMBER(B9603),TEXT(B9603,"YYYY-MM"),LEFT(B9603,7)))</f>
        <v/>
      </c>
    </row>
    <row r="9604">
      <c r="N9604" s="6">
        <f>IF(B9604="","",IF(ISNUMBER(B9604),TEXT(B9604,"YYYY-MM"),LEFT(B9604,7)))</f>
        <v/>
      </c>
    </row>
    <row r="9605">
      <c r="N9605" s="6">
        <f>IF(B9605="","",IF(ISNUMBER(B9605),TEXT(B9605,"YYYY-MM"),LEFT(B9605,7)))</f>
        <v/>
      </c>
    </row>
    <row r="9606">
      <c r="N9606" s="6">
        <f>IF(B9606="","",IF(ISNUMBER(B9606),TEXT(B9606,"YYYY-MM"),LEFT(B9606,7)))</f>
        <v/>
      </c>
    </row>
    <row r="9607">
      <c r="N9607" s="6">
        <f>IF(B9607="","",IF(ISNUMBER(B9607),TEXT(B9607,"YYYY-MM"),LEFT(B9607,7)))</f>
        <v/>
      </c>
    </row>
    <row r="9608">
      <c r="N9608" s="6">
        <f>IF(B9608="","",IF(ISNUMBER(B9608),TEXT(B9608,"YYYY-MM"),LEFT(B9608,7)))</f>
        <v/>
      </c>
    </row>
    <row r="9609">
      <c r="N9609" s="6">
        <f>IF(B9609="","",IF(ISNUMBER(B9609),TEXT(B9609,"YYYY-MM"),LEFT(B9609,7)))</f>
        <v/>
      </c>
    </row>
    <row r="9610">
      <c r="N9610" s="6">
        <f>IF(B9610="","",IF(ISNUMBER(B9610),TEXT(B9610,"YYYY-MM"),LEFT(B9610,7)))</f>
        <v/>
      </c>
    </row>
    <row r="9611">
      <c r="N9611" s="6">
        <f>IF(B9611="","",IF(ISNUMBER(B9611),TEXT(B9611,"YYYY-MM"),LEFT(B9611,7)))</f>
        <v/>
      </c>
    </row>
    <row r="9612">
      <c r="N9612" s="6">
        <f>IF(B9612="","",IF(ISNUMBER(B9612),TEXT(B9612,"YYYY-MM"),LEFT(B9612,7)))</f>
        <v/>
      </c>
    </row>
    <row r="9613">
      <c r="N9613" s="6">
        <f>IF(B9613="","",IF(ISNUMBER(B9613),TEXT(B9613,"YYYY-MM"),LEFT(B9613,7)))</f>
        <v/>
      </c>
    </row>
    <row r="9614">
      <c r="N9614" s="6">
        <f>IF(B9614="","",IF(ISNUMBER(B9614),TEXT(B9614,"YYYY-MM"),LEFT(B9614,7)))</f>
        <v/>
      </c>
    </row>
    <row r="9615">
      <c r="N9615" s="6">
        <f>IF(B9615="","",IF(ISNUMBER(B9615),TEXT(B9615,"YYYY-MM"),LEFT(B9615,7)))</f>
        <v/>
      </c>
    </row>
    <row r="9616">
      <c r="N9616" s="6">
        <f>IF(B9616="","",IF(ISNUMBER(B9616),TEXT(B9616,"YYYY-MM"),LEFT(B9616,7)))</f>
        <v/>
      </c>
    </row>
    <row r="9617">
      <c r="N9617" s="6">
        <f>IF(B9617="","",IF(ISNUMBER(B9617),TEXT(B9617,"YYYY-MM"),LEFT(B9617,7)))</f>
        <v/>
      </c>
    </row>
    <row r="9618">
      <c r="N9618" s="6">
        <f>IF(B9618="","",IF(ISNUMBER(B9618),TEXT(B9618,"YYYY-MM"),LEFT(B9618,7)))</f>
        <v/>
      </c>
    </row>
    <row r="9619">
      <c r="N9619" s="6">
        <f>IF(B9619="","",IF(ISNUMBER(B9619),TEXT(B9619,"YYYY-MM"),LEFT(B9619,7)))</f>
        <v/>
      </c>
    </row>
    <row r="9620">
      <c r="N9620" s="6">
        <f>IF(B9620="","",IF(ISNUMBER(B9620),TEXT(B9620,"YYYY-MM"),LEFT(B9620,7)))</f>
        <v/>
      </c>
    </row>
    <row r="9621">
      <c r="N9621" s="6">
        <f>IF(B9621="","",IF(ISNUMBER(B9621),TEXT(B9621,"YYYY-MM"),LEFT(B9621,7)))</f>
        <v/>
      </c>
    </row>
    <row r="9622">
      <c r="N9622" s="6">
        <f>IF(B9622="","",IF(ISNUMBER(B9622),TEXT(B9622,"YYYY-MM"),LEFT(B9622,7)))</f>
        <v/>
      </c>
    </row>
    <row r="9623">
      <c r="N9623" s="6">
        <f>IF(B9623="","",IF(ISNUMBER(B9623),TEXT(B9623,"YYYY-MM"),LEFT(B9623,7)))</f>
        <v/>
      </c>
    </row>
    <row r="9624">
      <c r="N9624" s="6">
        <f>IF(B9624="","",IF(ISNUMBER(B9624),TEXT(B9624,"YYYY-MM"),LEFT(B9624,7)))</f>
        <v/>
      </c>
    </row>
    <row r="9625">
      <c r="N9625" s="6">
        <f>IF(B9625="","",IF(ISNUMBER(B9625),TEXT(B9625,"YYYY-MM"),LEFT(B9625,7)))</f>
        <v/>
      </c>
    </row>
    <row r="9626">
      <c r="N9626" s="6">
        <f>IF(B9626="","",IF(ISNUMBER(B9626),TEXT(B9626,"YYYY-MM"),LEFT(B9626,7)))</f>
        <v/>
      </c>
    </row>
    <row r="9627">
      <c r="N9627" s="6">
        <f>IF(B9627="","",IF(ISNUMBER(B9627),TEXT(B9627,"YYYY-MM"),LEFT(B9627,7)))</f>
        <v/>
      </c>
    </row>
    <row r="9628">
      <c r="N9628" s="6">
        <f>IF(B9628="","",IF(ISNUMBER(B9628),TEXT(B9628,"YYYY-MM"),LEFT(B9628,7)))</f>
        <v/>
      </c>
    </row>
    <row r="9629">
      <c r="N9629" s="6">
        <f>IF(B9629="","",IF(ISNUMBER(B9629),TEXT(B9629,"YYYY-MM"),LEFT(B9629,7)))</f>
        <v/>
      </c>
    </row>
    <row r="9630">
      <c r="N9630" s="6">
        <f>IF(B9630="","",IF(ISNUMBER(B9630),TEXT(B9630,"YYYY-MM"),LEFT(B9630,7)))</f>
        <v/>
      </c>
    </row>
    <row r="9631">
      <c r="N9631" s="6">
        <f>IF(B9631="","",IF(ISNUMBER(B9631),TEXT(B9631,"YYYY-MM"),LEFT(B9631,7)))</f>
        <v/>
      </c>
    </row>
    <row r="9632">
      <c r="N9632" s="6">
        <f>IF(B9632="","",IF(ISNUMBER(B9632),TEXT(B9632,"YYYY-MM"),LEFT(B9632,7)))</f>
        <v/>
      </c>
    </row>
    <row r="9633">
      <c r="N9633" s="6">
        <f>IF(B9633="","",IF(ISNUMBER(B9633),TEXT(B9633,"YYYY-MM"),LEFT(B9633,7)))</f>
        <v/>
      </c>
    </row>
    <row r="9634">
      <c r="N9634" s="6">
        <f>IF(B9634="","",IF(ISNUMBER(B9634),TEXT(B9634,"YYYY-MM"),LEFT(B9634,7)))</f>
        <v/>
      </c>
    </row>
    <row r="9635">
      <c r="N9635" s="6">
        <f>IF(B9635="","",IF(ISNUMBER(B9635),TEXT(B9635,"YYYY-MM"),LEFT(B9635,7)))</f>
        <v/>
      </c>
    </row>
    <row r="9636">
      <c r="N9636" s="6">
        <f>IF(B9636="","",IF(ISNUMBER(B9636),TEXT(B9636,"YYYY-MM"),LEFT(B9636,7)))</f>
        <v/>
      </c>
    </row>
    <row r="9637">
      <c r="N9637" s="6">
        <f>IF(B9637="","",IF(ISNUMBER(B9637),TEXT(B9637,"YYYY-MM"),LEFT(B9637,7)))</f>
        <v/>
      </c>
    </row>
    <row r="9638">
      <c r="N9638" s="6">
        <f>IF(B9638="","",IF(ISNUMBER(B9638),TEXT(B9638,"YYYY-MM"),LEFT(B9638,7)))</f>
        <v/>
      </c>
    </row>
    <row r="9639">
      <c r="N9639" s="6">
        <f>IF(B9639="","",IF(ISNUMBER(B9639),TEXT(B9639,"YYYY-MM"),LEFT(B9639,7)))</f>
        <v/>
      </c>
    </row>
    <row r="9640">
      <c r="N9640" s="6">
        <f>IF(B9640="","",IF(ISNUMBER(B9640),TEXT(B9640,"YYYY-MM"),LEFT(B9640,7)))</f>
        <v/>
      </c>
    </row>
    <row r="9641">
      <c r="N9641" s="6">
        <f>IF(B9641="","",IF(ISNUMBER(B9641),TEXT(B9641,"YYYY-MM"),LEFT(B9641,7)))</f>
        <v/>
      </c>
    </row>
    <row r="9642">
      <c r="N9642" s="6">
        <f>IF(B9642="","",IF(ISNUMBER(B9642),TEXT(B9642,"YYYY-MM"),LEFT(B9642,7)))</f>
        <v/>
      </c>
    </row>
    <row r="9643">
      <c r="N9643" s="6">
        <f>IF(B9643="","",IF(ISNUMBER(B9643),TEXT(B9643,"YYYY-MM"),LEFT(B9643,7)))</f>
        <v/>
      </c>
    </row>
    <row r="9644">
      <c r="N9644" s="6">
        <f>IF(B9644="","",IF(ISNUMBER(B9644),TEXT(B9644,"YYYY-MM"),LEFT(B9644,7)))</f>
        <v/>
      </c>
    </row>
    <row r="9645">
      <c r="N9645" s="6">
        <f>IF(B9645="","",IF(ISNUMBER(B9645),TEXT(B9645,"YYYY-MM"),LEFT(B9645,7)))</f>
        <v/>
      </c>
    </row>
    <row r="9646">
      <c r="N9646" s="6">
        <f>IF(B9646="","",IF(ISNUMBER(B9646),TEXT(B9646,"YYYY-MM"),LEFT(B9646,7)))</f>
        <v/>
      </c>
    </row>
    <row r="9647">
      <c r="N9647" s="6">
        <f>IF(B9647="","",IF(ISNUMBER(B9647),TEXT(B9647,"YYYY-MM"),LEFT(B9647,7)))</f>
        <v/>
      </c>
    </row>
    <row r="9648">
      <c r="N9648" s="6">
        <f>IF(B9648="","",IF(ISNUMBER(B9648),TEXT(B9648,"YYYY-MM"),LEFT(B9648,7)))</f>
        <v/>
      </c>
    </row>
    <row r="9649">
      <c r="N9649" s="6">
        <f>IF(B9649="","",IF(ISNUMBER(B9649),TEXT(B9649,"YYYY-MM"),LEFT(B9649,7)))</f>
        <v/>
      </c>
    </row>
    <row r="9650">
      <c r="N9650" s="6">
        <f>IF(B9650="","",IF(ISNUMBER(B9650),TEXT(B9650,"YYYY-MM"),LEFT(B9650,7)))</f>
        <v/>
      </c>
    </row>
    <row r="9651">
      <c r="N9651" s="6">
        <f>IF(B9651="","",IF(ISNUMBER(B9651),TEXT(B9651,"YYYY-MM"),LEFT(B9651,7)))</f>
        <v/>
      </c>
    </row>
    <row r="9652">
      <c r="N9652" s="6">
        <f>IF(B9652="","",IF(ISNUMBER(B9652),TEXT(B9652,"YYYY-MM"),LEFT(B9652,7)))</f>
        <v/>
      </c>
    </row>
    <row r="9653">
      <c r="N9653" s="6">
        <f>IF(B9653="","",IF(ISNUMBER(B9653),TEXT(B9653,"YYYY-MM"),LEFT(B9653,7)))</f>
        <v/>
      </c>
    </row>
    <row r="9654">
      <c r="N9654" s="6">
        <f>IF(B9654="","",IF(ISNUMBER(B9654),TEXT(B9654,"YYYY-MM"),LEFT(B9654,7)))</f>
        <v/>
      </c>
    </row>
    <row r="9655">
      <c r="N9655" s="6">
        <f>IF(B9655="","",IF(ISNUMBER(B9655),TEXT(B9655,"YYYY-MM"),LEFT(B9655,7)))</f>
        <v/>
      </c>
    </row>
    <row r="9656">
      <c r="N9656" s="6">
        <f>IF(B9656="","",IF(ISNUMBER(B9656),TEXT(B9656,"YYYY-MM"),LEFT(B9656,7)))</f>
        <v/>
      </c>
    </row>
    <row r="9657">
      <c r="N9657" s="6">
        <f>IF(B9657="","",IF(ISNUMBER(B9657),TEXT(B9657,"YYYY-MM"),LEFT(B9657,7)))</f>
        <v/>
      </c>
    </row>
    <row r="9658">
      <c r="N9658" s="6">
        <f>IF(B9658="","",IF(ISNUMBER(B9658),TEXT(B9658,"YYYY-MM"),LEFT(B9658,7)))</f>
        <v/>
      </c>
    </row>
    <row r="9659">
      <c r="N9659" s="6">
        <f>IF(B9659="","",IF(ISNUMBER(B9659),TEXT(B9659,"YYYY-MM"),LEFT(B9659,7)))</f>
        <v/>
      </c>
    </row>
    <row r="9660">
      <c r="N9660" s="6">
        <f>IF(B9660="","",IF(ISNUMBER(B9660),TEXT(B9660,"YYYY-MM"),LEFT(B9660,7)))</f>
        <v/>
      </c>
    </row>
    <row r="9661">
      <c r="N9661" s="6">
        <f>IF(B9661="","",IF(ISNUMBER(B9661),TEXT(B9661,"YYYY-MM"),LEFT(B9661,7)))</f>
        <v/>
      </c>
    </row>
    <row r="9662">
      <c r="N9662" s="6">
        <f>IF(B9662="","",IF(ISNUMBER(B9662),TEXT(B9662,"YYYY-MM"),LEFT(B9662,7)))</f>
        <v/>
      </c>
    </row>
    <row r="9663">
      <c r="N9663" s="6">
        <f>IF(B9663="","",IF(ISNUMBER(B9663),TEXT(B9663,"YYYY-MM"),LEFT(B9663,7)))</f>
        <v/>
      </c>
    </row>
    <row r="9664">
      <c r="N9664" s="6">
        <f>IF(B9664="","",IF(ISNUMBER(B9664),TEXT(B9664,"YYYY-MM"),LEFT(B9664,7)))</f>
        <v/>
      </c>
    </row>
    <row r="9665">
      <c r="N9665" s="6">
        <f>IF(B9665="","",IF(ISNUMBER(B9665),TEXT(B9665,"YYYY-MM"),LEFT(B9665,7)))</f>
        <v/>
      </c>
    </row>
    <row r="9666">
      <c r="N9666" s="6">
        <f>IF(B9666="","",IF(ISNUMBER(B9666),TEXT(B9666,"YYYY-MM"),LEFT(B9666,7)))</f>
        <v/>
      </c>
    </row>
    <row r="9667">
      <c r="N9667" s="6">
        <f>IF(B9667="","",IF(ISNUMBER(B9667),TEXT(B9667,"YYYY-MM"),LEFT(B9667,7)))</f>
        <v/>
      </c>
    </row>
    <row r="9668">
      <c r="N9668" s="6">
        <f>IF(B9668="","",IF(ISNUMBER(B9668),TEXT(B9668,"YYYY-MM"),LEFT(B9668,7)))</f>
        <v/>
      </c>
    </row>
    <row r="9669">
      <c r="N9669" s="6">
        <f>IF(B9669="","",IF(ISNUMBER(B9669),TEXT(B9669,"YYYY-MM"),LEFT(B9669,7)))</f>
        <v/>
      </c>
    </row>
    <row r="9670">
      <c r="N9670" s="6">
        <f>IF(B9670="","",IF(ISNUMBER(B9670),TEXT(B9670,"YYYY-MM"),LEFT(B9670,7)))</f>
        <v/>
      </c>
    </row>
    <row r="9671">
      <c r="N9671" s="6">
        <f>IF(B9671="","",IF(ISNUMBER(B9671),TEXT(B9671,"YYYY-MM"),LEFT(B9671,7)))</f>
        <v/>
      </c>
    </row>
    <row r="9672">
      <c r="N9672" s="6">
        <f>IF(B9672="","",IF(ISNUMBER(B9672),TEXT(B9672,"YYYY-MM"),LEFT(B9672,7)))</f>
        <v/>
      </c>
    </row>
    <row r="9673">
      <c r="N9673" s="6">
        <f>IF(B9673="","",IF(ISNUMBER(B9673),TEXT(B9673,"YYYY-MM"),LEFT(B9673,7)))</f>
        <v/>
      </c>
    </row>
    <row r="9674">
      <c r="N9674" s="6">
        <f>IF(B9674="","",IF(ISNUMBER(B9674),TEXT(B9674,"YYYY-MM"),LEFT(B9674,7)))</f>
        <v/>
      </c>
    </row>
    <row r="9675">
      <c r="N9675" s="6">
        <f>IF(B9675="","",IF(ISNUMBER(B9675),TEXT(B9675,"YYYY-MM"),LEFT(B9675,7)))</f>
        <v/>
      </c>
    </row>
    <row r="9676">
      <c r="N9676" s="6">
        <f>IF(B9676="","",IF(ISNUMBER(B9676),TEXT(B9676,"YYYY-MM"),LEFT(B9676,7)))</f>
        <v/>
      </c>
    </row>
    <row r="9677">
      <c r="N9677" s="6">
        <f>IF(B9677="","",IF(ISNUMBER(B9677),TEXT(B9677,"YYYY-MM"),LEFT(B9677,7)))</f>
        <v/>
      </c>
    </row>
    <row r="9678">
      <c r="N9678" s="6">
        <f>IF(B9678="","",IF(ISNUMBER(B9678),TEXT(B9678,"YYYY-MM"),LEFT(B9678,7)))</f>
        <v/>
      </c>
    </row>
    <row r="9679">
      <c r="N9679" s="6">
        <f>IF(B9679="","",IF(ISNUMBER(B9679),TEXT(B9679,"YYYY-MM"),LEFT(B9679,7)))</f>
        <v/>
      </c>
    </row>
    <row r="9680">
      <c r="N9680" s="6">
        <f>IF(B9680="","",IF(ISNUMBER(B9680),TEXT(B9680,"YYYY-MM"),LEFT(B9680,7)))</f>
        <v/>
      </c>
    </row>
    <row r="9681">
      <c r="N9681" s="6">
        <f>IF(B9681="","",IF(ISNUMBER(B9681),TEXT(B9681,"YYYY-MM"),LEFT(B9681,7)))</f>
        <v/>
      </c>
    </row>
    <row r="9682">
      <c r="N9682" s="6">
        <f>IF(B9682="","",IF(ISNUMBER(B9682),TEXT(B9682,"YYYY-MM"),LEFT(B9682,7)))</f>
        <v/>
      </c>
    </row>
    <row r="9683">
      <c r="N9683" s="6">
        <f>IF(B9683="","",IF(ISNUMBER(B9683),TEXT(B9683,"YYYY-MM"),LEFT(B9683,7)))</f>
        <v/>
      </c>
    </row>
    <row r="9684">
      <c r="N9684" s="6">
        <f>IF(B9684="","",IF(ISNUMBER(B9684),TEXT(B9684,"YYYY-MM"),LEFT(B9684,7)))</f>
        <v/>
      </c>
    </row>
    <row r="9685">
      <c r="N9685" s="6">
        <f>IF(B9685="","",IF(ISNUMBER(B9685),TEXT(B9685,"YYYY-MM"),LEFT(B9685,7)))</f>
        <v/>
      </c>
    </row>
    <row r="9686">
      <c r="N9686" s="6">
        <f>IF(B9686="","",IF(ISNUMBER(B9686),TEXT(B9686,"YYYY-MM"),LEFT(B9686,7)))</f>
        <v/>
      </c>
    </row>
    <row r="9687">
      <c r="N9687" s="6">
        <f>IF(B9687="","",IF(ISNUMBER(B9687),TEXT(B9687,"YYYY-MM"),LEFT(B9687,7)))</f>
        <v/>
      </c>
    </row>
    <row r="9688">
      <c r="N9688" s="6">
        <f>IF(B9688="","",IF(ISNUMBER(B9688),TEXT(B9688,"YYYY-MM"),LEFT(B9688,7)))</f>
        <v/>
      </c>
    </row>
    <row r="9689">
      <c r="N9689" s="6">
        <f>IF(B9689="","",IF(ISNUMBER(B9689),TEXT(B9689,"YYYY-MM"),LEFT(B9689,7)))</f>
        <v/>
      </c>
    </row>
    <row r="9690">
      <c r="N9690" s="6">
        <f>IF(B9690="","",IF(ISNUMBER(B9690),TEXT(B9690,"YYYY-MM"),LEFT(B9690,7)))</f>
        <v/>
      </c>
    </row>
    <row r="9691">
      <c r="N9691" s="6">
        <f>IF(B9691="","",IF(ISNUMBER(B9691),TEXT(B9691,"YYYY-MM"),LEFT(B9691,7)))</f>
        <v/>
      </c>
    </row>
    <row r="9692">
      <c r="N9692" s="6">
        <f>IF(B9692="","",IF(ISNUMBER(B9692),TEXT(B9692,"YYYY-MM"),LEFT(B9692,7)))</f>
        <v/>
      </c>
    </row>
    <row r="9693">
      <c r="N9693" s="6">
        <f>IF(B9693="","",IF(ISNUMBER(B9693),TEXT(B9693,"YYYY-MM"),LEFT(B9693,7)))</f>
        <v/>
      </c>
    </row>
    <row r="9694">
      <c r="N9694" s="6">
        <f>IF(B9694="","",IF(ISNUMBER(B9694),TEXT(B9694,"YYYY-MM"),LEFT(B9694,7)))</f>
        <v/>
      </c>
    </row>
    <row r="9695">
      <c r="N9695" s="6">
        <f>IF(B9695="","",IF(ISNUMBER(B9695),TEXT(B9695,"YYYY-MM"),LEFT(B9695,7)))</f>
        <v/>
      </c>
    </row>
    <row r="9696">
      <c r="N9696" s="6">
        <f>IF(B9696="","",IF(ISNUMBER(B9696),TEXT(B9696,"YYYY-MM"),LEFT(B9696,7)))</f>
        <v/>
      </c>
    </row>
    <row r="9697">
      <c r="N9697" s="6">
        <f>IF(B9697="","",IF(ISNUMBER(B9697),TEXT(B9697,"YYYY-MM"),LEFT(B9697,7)))</f>
        <v/>
      </c>
    </row>
    <row r="9698">
      <c r="N9698" s="6">
        <f>IF(B9698="","",IF(ISNUMBER(B9698),TEXT(B9698,"YYYY-MM"),LEFT(B9698,7)))</f>
        <v/>
      </c>
    </row>
    <row r="9699">
      <c r="N9699" s="6">
        <f>IF(B9699="","",IF(ISNUMBER(B9699),TEXT(B9699,"YYYY-MM"),LEFT(B9699,7)))</f>
        <v/>
      </c>
    </row>
    <row r="9700">
      <c r="N9700" s="6">
        <f>IF(B9700="","",IF(ISNUMBER(B9700),TEXT(B9700,"YYYY-MM"),LEFT(B9700,7)))</f>
        <v/>
      </c>
    </row>
    <row r="9701">
      <c r="N9701" s="6">
        <f>IF(B9701="","",IF(ISNUMBER(B9701),TEXT(B9701,"YYYY-MM"),LEFT(B9701,7)))</f>
        <v/>
      </c>
    </row>
    <row r="9702">
      <c r="N9702" s="6">
        <f>IF(B9702="","",IF(ISNUMBER(B9702),TEXT(B9702,"YYYY-MM"),LEFT(B9702,7)))</f>
        <v/>
      </c>
    </row>
    <row r="9703">
      <c r="N9703" s="6">
        <f>IF(B9703="","",IF(ISNUMBER(B9703),TEXT(B9703,"YYYY-MM"),LEFT(B9703,7)))</f>
        <v/>
      </c>
    </row>
    <row r="9704">
      <c r="N9704" s="6">
        <f>IF(B9704="","",IF(ISNUMBER(B9704),TEXT(B9704,"YYYY-MM"),LEFT(B9704,7)))</f>
        <v/>
      </c>
    </row>
    <row r="9705">
      <c r="N9705" s="6">
        <f>IF(B9705="","",IF(ISNUMBER(B9705),TEXT(B9705,"YYYY-MM"),LEFT(B9705,7)))</f>
        <v/>
      </c>
    </row>
    <row r="9706">
      <c r="N9706" s="6">
        <f>IF(B9706="","",IF(ISNUMBER(B9706),TEXT(B9706,"YYYY-MM"),LEFT(B9706,7)))</f>
        <v/>
      </c>
    </row>
    <row r="9707">
      <c r="N9707" s="6">
        <f>IF(B9707="","",IF(ISNUMBER(B9707),TEXT(B9707,"YYYY-MM"),LEFT(B9707,7)))</f>
        <v/>
      </c>
    </row>
    <row r="9708">
      <c r="N9708" s="6">
        <f>IF(B9708="","",IF(ISNUMBER(B9708),TEXT(B9708,"YYYY-MM"),LEFT(B9708,7)))</f>
        <v/>
      </c>
    </row>
    <row r="9709">
      <c r="N9709" s="6">
        <f>IF(B9709="","",IF(ISNUMBER(B9709),TEXT(B9709,"YYYY-MM"),LEFT(B9709,7)))</f>
        <v/>
      </c>
    </row>
    <row r="9710">
      <c r="N9710" s="6">
        <f>IF(B9710="","",IF(ISNUMBER(B9710),TEXT(B9710,"YYYY-MM"),LEFT(B9710,7)))</f>
        <v/>
      </c>
    </row>
    <row r="9711">
      <c r="N9711" s="6">
        <f>IF(B9711="","",IF(ISNUMBER(B9711),TEXT(B9711,"YYYY-MM"),LEFT(B9711,7)))</f>
        <v/>
      </c>
    </row>
    <row r="9712">
      <c r="N9712" s="6">
        <f>IF(B9712="","",IF(ISNUMBER(B9712),TEXT(B9712,"YYYY-MM"),LEFT(B9712,7)))</f>
        <v/>
      </c>
    </row>
    <row r="9713">
      <c r="N9713" s="6">
        <f>IF(B9713="","",IF(ISNUMBER(B9713),TEXT(B9713,"YYYY-MM"),LEFT(B9713,7)))</f>
        <v/>
      </c>
    </row>
    <row r="9714">
      <c r="N9714" s="6">
        <f>IF(B9714="","",IF(ISNUMBER(B9714),TEXT(B9714,"YYYY-MM"),LEFT(B9714,7)))</f>
        <v/>
      </c>
    </row>
    <row r="9715">
      <c r="N9715" s="6">
        <f>IF(B9715="","",IF(ISNUMBER(B9715),TEXT(B9715,"YYYY-MM"),LEFT(B9715,7)))</f>
        <v/>
      </c>
    </row>
    <row r="9716">
      <c r="N9716" s="6">
        <f>IF(B9716="","",IF(ISNUMBER(B9716),TEXT(B9716,"YYYY-MM"),LEFT(B9716,7)))</f>
        <v/>
      </c>
    </row>
    <row r="9717">
      <c r="N9717" s="6">
        <f>IF(B9717="","",IF(ISNUMBER(B9717),TEXT(B9717,"YYYY-MM"),LEFT(B9717,7)))</f>
        <v/>
      </c>
    </row>
    <row r="9718">
      <c r="N9718" s="6">
        <f>IF(B9718="","",IF(ISNUMBER(B9718),TEXT(B9718,"YYYY-MM"),LEFT(B9718,7)))</f>
        <v/>
      </c>
    </row>
    <row r="9719">
      <c r="N9719" s="6">
        <f>IF(B9719="","",IF(ISNUMBER(B9719),TEXT(B9719,"YYYY-MM"),LEFT(B9719,7)))</f>
        <v/>
      </c>
    </row>
    <row r="9720">
      <c r="N9720" s="6">
        <f>IF(B9720="","",IF(ISNUMBER(B9720),TEXT(B9720,"YYYY-MM"),LEFT(B9720,7)))</f>
        <v/>
      </c>
    </row>
    <row r="9721">
      <c r="N9721" s="6">
        <f>IF(B9721="","",IF(ISNUMBER(B9721),TEXT(B9721,"YYYY-MM"),LEFT(B9721,7)))</f>
        <v/>
      </c>
    </row>
    <row r="9722">
      <c r="N9722" s="6">
        <f>IF(B9722="","",IF(ISNUMBER(B9722),TEXT(B9722,"YYYY-MM"),LEFT(B9722,7)))</f>
        <v/>
      </c>
    </row>
    <row r="9723">
      <c r="N9723" s="6">
        <f>IF(B9723="","",IF(ISNUMBER(B9723),TEXT(B9723,"YYYY-MM"),LEFT(B9723,7)))</f>
        <v/>
      </c>
    </row>
    <row r="9724">
      <c r="N9724" s="6">
        <f>IF(B9724="","",IF(ISNUMBER(B9724),TEXT(B9724,"YYYY-MM"),LEFT(B9724,7)))</f>
        <v/>
      </c>
    </row>
    <row r="9725">
      <c r="N9725" s="6">
        <f>IF(B9725="","",IF(ISNUMBER(B9725),TEXT(B9725,"YYYY-MM"),LEFT(B9725,7)))</f>
        <v/>
      </c>
    </row>
    <row r="9726">
      <c r="N9726" s="6">
        <f>IF(B9726="","",IF(ISNUMBER(B9726),TEXT(B9726,"YYYY-MM"),LEFT(B9726,7)))</f>
        <v/>
      </c>
    </row>
    <row r="9727">
      <c r="N9727" s="6">
        <f>IF(B9727="","",IF(ISNUMBER(B9727),TEXT(B9727,"YYYY-MM"),LEFT(B9727,7)))</f>
        <v/>
      </c>
    </row>
    <row r="9728">
      <c r="N9728" s="6">
        <f>IF(B9728="","",IF(ISNUMBER(B9728),TEXT(B9728,"YYYY-MM"),LEFT(B9728,7)))</f>
        <v/>
      </c>
    </row>
    <row r="9729">
      <c r="N9729" s="6">
        <f>IF(B9729="","",IF(ISNUMBER(B9729),TEXT(B9729,"YYYY-MM"),LEFT(B9729,7)))</f>
        <v/>
      </c>
    </row>
    <row r="9730">
      <c r="N9730" s="6">
        <f>IF(B9730="","",IF(ISNUMBER(B9730),TEXT(B9730,"YYYY-MM"),LEFT(B9730,7)))</f>
        <v/>
      </c>
    </row>
    <row r="9731">
      <c r="N9731" s="6">
        <f>IF(B9731="","",IF(ISNUMBER(B9731),TEXT(B9731,"YYYY-MM"),LEFT(B9731,7)))</f>
        <v/>
      </c>
    </row>
    <row r="9732">
      <c r="N9732" s="6">
        <f>IF(B9732="","",IF(ISNUMBER(B9732),TEXT(B9732,"YYYY-MM"),LEFT(B9732,7)))</f>
        <v/>
      </c>
    </row>
    <row r="9733">
      <c r="N9733" s="6">
        <f>IF(B9733="","",IF(ISNUMBER(B9733),TEXT(B9733,"YYYY-MM"),LEFT(B9733,7)))</f>
        <v/>
      </c>
    </row>
    <row r="9734">
      <c r="N9734" s="6">
        <f>IF(B9734="","",IF(ISNUMBER(B9734),TEXT(B9734,"YYYY-MM"),LEFT(B9734,7)))</f>
        <v/>
      </c>
    </row>
    <row r="9735">
      <c r="N9735" s="6">
        <f>IF(B9735="","",IF(ISNUMBER(B9735),TEXT(B9735,"YYYY-MM"),LEFT(B9735,7)))</f>
        <v/>
      </c>
    </row>
    <row r="9736">
      <c r="N9736" s="6">
        <f>IF(B9736="","",IF(ISNUMBER(B9736),TEXT(B9736,"YYYY-MM"),LEFT(B9736,7)))</f>
        <v/>
      </c>
    </row>
    <row r="9737">
      <c r="N9737" s="6">
        <f>IF(B9737="","",IF(ISNUMBER(B9737),TEXT(B9737,"YYYY-MM"),LEFT(B9737,7)))</f>
        <v/>
      </c>
    </row>
    <row r="9738">
      <c r="N9738" s="6">
        <f>IF(B9738="","",IF(ISNUMBER(B9738),TEXT(B9738,"YYYY-MM"),LEFT(B9738,7)))</f>
        <v/>
      </c>
    </row>
    <row r="9739">
      <c r="N9739" s="6">
        <f>IF(B9739="","",IF(ISNUMBER(B9739),TEXT(B9739,"YYYY-MM"),LEFT(B9739,7)))</f>
        <v/>
      </c>
    </row>
    <row r="9740">
      <c r="N9740" s="6">
        <f>IF(B9740="","",IF(ISNUMBER(B9740),TEXT(B9740,"YYYY-MM"),LEFT(B9740,7)))</f>
        <v/>
      </c>
    </row>
    <row r="9741">
      <c r="N9741" s="6">
        <f>IF(B9741="","",IF(ISNUMBER(B9741),TEXT(B9741,"YYYY-MM"),LEFT(B9741,7)))</f>
        <v/>
      </c>
    </row>
    <row r="9742">
      <c r="N9742" s="6">
        <f>IF(B9742="","",IF(ISNUMBER(B9742),TEXT(B9742,"YYYY-MM"),LEFT(B9742,7)))</f>
        <v/>
      </c>
    </row>
    <row r="9743">
      <c r="N9743" s="6">
        <f>IF(B9743="","",IF(ISNUMBER(B9743),TEXT(B9743,"YYYY-MM"),LEFT(B9743,7)))</f>
        <v/>
      </c>
    </row>
    <row r="9744">
      <c r="N9744" s="6">
        <f>IF(B9744="","",IF(ISNUMBER(B9744),TEXT(B9744,"YYYY-MM"),LEFT(B9744,7)))</f>
        <v/>
      </c>
    </row>
    <row r="9745">
      <c r="N9745" s="6">
        <f>IF(B9745="","",IF(ISNUMBER(B9745),TEXT(B9745,"YYYY-MM"),LEFT(B9745,7)))</f>
        <v/>
      </c>
    </row>
    <row r="9746">
      <c r="N9746" s="6">
        <f>IF(B9746="","",IF(ISNUMBER(B9746),TEXT(B9746,"YYYY-MM"),LEFT(B9746,7)))</f>
        <v/>
      </c>
    </row>
    <row r="9747">
      <c r="N9747" s="6">
        <f>IF(B9747="","",IF(ISNUMBER(B9747),TEXT(B9747,"YYYY-MM"),LEFT(B9747,7)))</f>
        <v/>
      </c>
    </row>
    <row r="9748">
      <c r="N9748" s="6">
        <f>IF(B9748="","",IF(ISNUMBER(B9748),TEXT(B9748,"YYYY-MM"),LEFT(B9748,7)))</f>
        <v/>
      </c>
    </row>
    <row r="9749">
      <c r="N9749" s="6">
        <f>IF(B9749="","",IF(ISNUMBER(B9749),TEXT(B9749,"YYYY-MM"),LEFT(B9749,7)))</f>
        <v/>
      </c>
    </row>
    <row r="9750">
      <c r="N9750" s="6">
        <f>IF(B9750="","",IF(ISNUMBER(B9750),TEXT(B9750,"YYYY-MM"),LEFT(B9750,7)))</f>
        <v/>
      </c>
    </row>
    <row r="9751">
      <c r="N9751" s="6">
        <f>IF(B9751="","",IF(ISNUMBER(B9751),TEXT(B9751,"YYYY-MM"),LEFT(B9751,7)))</f>
        <v/>
      </c>
    </row>
    <row r="9752">
      <c r="N9752" s="6">
        <f>IF(B9752="","",IF(ISNUMBER(B9752),TEXT(B9752,"YYYY-MM"),LEFT(B9752,7)))</f>
        <v/>
      </c>
    </row>
    <row r="9753">
      <c r="N9753" s="6">
        <f>IF(B9753="","",IF(ISNUMBER(B9753),TEXT(B9753,"YYYY-MM"),LEFT(B9753,7)))</f>
        <v/>
      </c>
    </row>
    <row r="9754">
      <c r="N9754" s="6">
        <f>IF(B9754="","",IF(ISNUMBER(B9754),TEXT(B9754,"YYYY-MM"),LEFT(B9754,7)))</f>
        <v/>
      </c>
    </row>
    <row r="9755">
      <c r="N9755" s="6">
        <f>IF(B9755="","",IF(ISNUMBER(B9755),TEXT(B9755,"YYYY-MM"),LEFT(B9755,7)))</f>
        <v/>
      </c>
    </row>
    <row r="9756">
      <c r="N9756" s="6">
        <f>IF(B9756="","",IF(ISNUMBER(B9756),TEXT(B9756,"YYYY-MM"),LEFT(B9756,7)))</f>
        <v/>
      </c>
    </row>
    <row r="9757">
      <c r="N9757" s="6">
        <f>IF(B9757="","",IF(ISNUMBER(B9757),TEXT(B9757,"YYYY-MM"),LEFT(B9757,7)))</f>
        <v/>
      </c>
    </row>
    <row r="9758">
      <c r="N9758" s="6">
        <f>IF(B9758="","",IF(ISNUMBER(B9758),TEXT(B9758,"YYYY-MM"),LEFT(B9758,7)))</f>
        <v/>
      </c>
    </row>
    <row r="9759">
      <c r="N9759" s="6">
        <f>IF(B9759="","",IF(ISNUMBER(B9759),TEXT(B9759,"YYYY-MM"),LEFT(B9759,7)))</f>
        <v/>
      </c>
    </row>
    <row r="9760">
      <c r="N9760" s="6">
        <f>IF(B9760="","",IF(ISNUMBER(B9760),TEXT(B9760,"YYYY-MM"),LEFT(B9760,7)))</f>
        <v/>
      </c>
    </row>
    <row r="9761">
      <c r="N9761" s="6">
        <f>IF(B9761="","",IF(ISNUMBER(B9761),TEXT(B9761,"YYYY-MM"),LEFT(B9761,7)))</f>
        <v/>
      </c>
    </row>
    <row r="9762">
      <c r="N9762" s="6">
        <f>IF(B9762="","",IF(ISNUMBER(B9762),TEXT(B9762,"YYYY-MM"),LEFT(B9762,7)))</f>
        <v/>
      </c>
    </row>
    <row r="9763">
      <c r="N9763" s="6">
        <f>IF(B9763="","",IF(ISNUMBER(B9763),TEXT(B9763,"YYYY-MM"),LEFT(B9763,7)))</f>
        <v/>
      </c>
    </row>
    <row r="9764">
      <c r="N9764" s="6">
        <f>IF(B9764="","",IF(ISNUMBER(B9764),TEXT(B9764,"YYYY-MM"),LEFT(B9764,7)))</f>
        <v/>
      </c>
    </row>
    <row r="9765">
      <c r="N9765" s="6">
        <f>IF(B9765="","",IF(ISNUMBER(B9765),TEXT(B9765,"YYYY-MM"),LEFT(B9765,7)))</f>
        <v/>
      </c>
    </row>
    <row r="9766">
      <c r="N9766" s="6">
        <f>IF(B9766="","",IF(ISNUMBER(B9766),TEXT(B9766,"YYYY-MM"),LEFT(B9766,7)))</f>
        <v/>
      </c>
    </row>
    <row r="9767">
      <c r="N9767" s="6">
        <f>IF(B9767="","",IF(ISNUMBER(B9767),TEXT(B9767,"YYYY-MM"),LEFT(B9767,7)))</f>
        <v/>
      </c>
    </row>
    <row r="9768">
      <c r="N9768" s="6">
        <f>IF(B9768="","",IF(ISNUMBER(B9768),TEXT(B9768,"YYYY-MM"),LEFT(B9768,7)))</f>
        <v/>
      </c>
    </row>
    <row r="9769">
      <c r="N9769" s="6">
        <f>IF(B9769="","",IF(ISNUMBER(B9769),TEXT(B9769,"YYYY-MM"),LEFT(B9769,7)))</f>
        <v/>
      </c>
    </row>
    <row r="9770">
      <c r="N9770" s="6">
        <f>IF(B9770="","",IF(ISNUMBER(B9770),TEXT(B9770,"YYYY-MM"),LEFT(B9770,7)))</f>
        <v/>
      </c>
    </row>
    <row r="9771">
      <c r="N9771" s="6">
        <f>IF(B9771="","",IF(ISNUMBER(B9771),TEXT(B9771,"YYYY-MM"),LEFT(B9771,7)))</f>
        <v/>
      </c>
    </row>
    <row r="9772">
      <c r="N9772" s="6">
        <f>IF(B9772="","",IF(ISNUMBER(B9772),TEXT(B9772,"YYYY-MM"),LEFT(B9772,7)))</f>
        <v/>
      </c>
    </row>
    <row r="9773">
      <c r="N9773" s="6">
        <f>IF(B9773="","",IF(ISNUMBER(B9773),TEXT(B9773,"YYYY-MM"),LEFT(B9773,7)))</f>
        <v/>
      </c>
    </row>
    <row r="9774">
      <c r="N9774" s="6">
        <f>IF(B9774="","",IF(ISNUMBER(B9774),TEXT(B9774,"YYYY-MM"),LEFT(B9774,7)))</f>
        <v/>
      </c>
    </row>
    <row r="9775">
      <c r="N9775" s="6">
        <f>IF(B9775="","",IF(ISNUMBER(B9775),TEXT(B9775,"YYYY-MM"),LEFT(B9775,7)))</f>
        <v/>
      </c>
    </row>
    <row r="9776">
      <c r="N9776" s="6">
        <f>IF(B9776="","",IF(ISNUMBER(B9776),TEXT(B9776,"YYYY-MM"),LEFT(B9776,7)))</f>
        <v/>
      </c>
    </row>
    <row r="9777">
      <c r="N9777" s="6">
        <f>IF(B9777="","",IF(ISNUMBER(B9777),TEXT(B9777,"YYYY-MM"),LEFT(B9777,7)))</f>
        <v/>
      </c>
    </row>
    <row r="9778">
      <c r="N9778" s="6">
        <f>IF(B9778="","",IF(ISNUMBER(B9778),TEXT(B9778,"YYYY-MM"),LEFT(B9778,7)))</f>
        <v/>
      </c>
    </row>
    <row r="9779">
      <c r="N9779" s="6">
        <f>IF(B9779="","",IF(ISNUMBER(B9779),TEXT(B9779,"YYYY-MM"),LEFT(B9779,7)))</f>
        <v/>
      </c>
    </row>
    <row r="9780">
      <c r="N9780" s="6">
        <f>IF(B9780="","",IF(ISNUMBER(B9780),TEXT(B9780,"YYYY-MM"),LEFT(B9780,7)))</f>
        <v/>
      </c>
    </row>
    <row r="9781">
      <c r="N9781" s="6">
        <f>IF(B9781="","",IF(ISNUMBER(B9781),TEXT(B9781,"YYYY-MM"),LEFT(B9781,7)))</f>
        <v/>
      </c>
    </row>
    <row r="9782">
      <c r="N9782" s="6">
        <f>IF(B9782="","",IF(ISNUMBER(B9782),TEXT(B9782,"YYYY-MM"),LEFT(B9782,7)))</f>
        <v/>
      </c>
    </row>
    <row r="9783">
      <c r="N9783" s="6">
        <f>IF(B9783="","",IF(ISNUMBER(B9783),TEXT(B9783,"YYYY-MM"),LEFT(B9783,7)))</f>
        <v/>
      </c>
    </row>
    <row r="9784">
      <c r="N9784" s="6">
        <f>IF(B9784="","",IF(ISNUMBER(B9784),TEXT(B9784,"YYYY-MM"),LEFT(B9784,7)))</f>
        <v/>
      </c>
    </row>
    <row r="9785">
      <c r="N9785" s="6">
        <f>IF(B9785="","",IF(ISNUMBER(B9785),TEXT(B9785,"YYYY-MM"),LEFT(B9785,7)))</f>
        <v/>
      </c>
    </row>
    <row r="9786">
      <c r="N9786" s="6">
        <f>IF(B9786="","",IF(ISNUMBER(B9786),TEXT(B9786,"YYYY-MM"),LEFT(B9786,7)))</f>
        <v/>
      </c>
    </row>
    <row r="9787">
      <c r="N9787" s="6">
        <f>IF(B9787="","",IF(ISNUMBER(B9787),TEXT(B9787,"YYYY-MM"),LEFT(B9787,7)))</f>
        <v/>
      </c>
    </row>
    <row r="9788">
      <c r="N9788" s="6">
        <f>IF(B9788="","",IF(ISNUMBER(B9788),TEXT(B9788,"YYYY-MM"),LEFT(B9788,7)))</f>
        <v/>
      </c>
    </row>
    <row r="9789">
      <c r="N9789" s="6">
        <f>IF(B9789="","",IF(ISNUMBER(B9789),TEXT(B9789,"YYYY-MM"),LEFT(B9789,7)))</f>
        <v/>
      </c>
    </row>
    <row r="9790">
      <c r="N9790" s="6">
        <f>IF(B9790="","",IF(ISNUMBER(B9790),TEXT(B9790,"YYYY-MM"),LEFT(B9790,7)))</f>
        <v/>
      </c>
    </row>
    <row r="9791">
      <c r="N9791" s="6">
        <f>IF(B9791="","",IF(ISNUMBER(B9791),TEXT(B9791,"YYYY-MM"),LEFT(B9791,7)))</f>
        <v/>
      </c>
    </row>
    <row r="9792">
      <c r="N9792" s="6">
        <f>IF(B9792="","",IF(ISNUMBER(B9792),TEXT(B9792,"YYYY-MM"),LEFT(B9792,7)))</f>
        <v/>
      </c>
    </row>
    <row r="9793">
      <c r="N9793" s="6">
        <f>IF(B9793="","",IF(ISNUMBER(B9793),TEXT(B9793,"YYYY-MM"),LEFT(B9793,7)))</f>
        <v/>
      </c>
    </row>
    <row r="9794">
      <c r="N9794" s="6">
        <f>IF(B9794="","",IF(ISNUMBER(B9794),TEXT(B9794,"YYYY-MM"),LEFT(B9794,7)))</f>
        <v/>
      </c>
    </row>
    <row r="9795">
      <c r="N9795" s="6">
        <f>IF(B9795="","",IF(ISNUMBER(B9795),TEXT(B9795,"YYYY-MM"),LEFT(B9795,7)))</f>
        <v/>
      </c>
    </row>
    <row r="9796">
      <c r="N9796" s="6">
        <f>IF(B9796="","",IF(ISNUMBER(B9796),TEXT(B9796,"YYYY-MM"),LEFT(B9796,7)))</f>
        <v/>
      </c>
    </row>
    <row r="9797">
      <c r="N9797" s="6">
        <f>IF(B9797="","",IF(ISNUMBER(B9797),TEXT(B9797,"YYYY-MM"),LEFT(B9797,7)))</f>
        <v/>
      </c>
    </row>
    <row r="9798">
      <c r="N9798" s="6">
        <f>IF(B9798="","",IF(ISNUMBER(B9798),TEXT(B9798,"YYYY-MM"),LEFT(B9798,7)))</f>
        <v/>
      </c>
    </row>
    <row r="9799">
      <c r="N9799" s="6">
        <f>IF(B9799="","",IF(ISNUMBER(B9799),TEXT(B9799,"YYYY-MM"),LEFT(B9799,7)))</f>
        <v/>
      </c>
    </row>
    <row r="9800">
      <c r="N9800" s="6">
        <f>IF(B9800="","",IF(ISNUMBER(B9800),TEXT(B9800,"YYYY-MM"),LEFT(B9800,7)))</f>
        <v/>
      </c>
    </row>
    <row r="9801">
      <c r="N9801" s="6">
        <f>IF(B9801="","",IF(ISNUMBER(B9801),TEXT(B9801,"YYYY-MM"),LEFT(B9801,7)))</f>
        <v/>
      </c>
    </row>
    <row r="9802">
      <c r="N9802" s="6">
        <f>IF(B9802="","",IF(ISNUMBER(B9802),TEXT(B9802,"YYYY-MM"),LEFT(B9802,7)))</f>
        <v/>
      </c>
    </row>
    <row r="9803">
      <c r="N9803" s="6">
        <f>IF(B9803="","",IF(ISNUMBER(B9803),TEXT(B9803,"YYYY-MM"),LEFT(B9803,7)))</f>
        <v/>
      </c>
    </row>
    <row r="9804">
      <c r="N9804" s="6">
        <f>IF(B9804="","",IF(ISNUMBER(B9804),TEXT(B9804,"YYYY-MM"),LEFT(B9804,7)))</f>
        <v/>
      </c>
    </row>
    <row r="9805">
      <c r="N9805" s="6">
        <f>IF(B9805="","",IF(ISNUMBER(B9805),TEXT(B9805,"YYYY-MM"),LEFT(B9805,7)))</f>
        <v/>
      </c>
    </row>
    <row r="9806">
      <c r="N9806" s="6">
        <f>IF(B9806="","",IF(ISNUMBER(B9806),TEXT(B9806,"YYYY-MM"),LEFT(B9806,7)))</f>
        <v/>
      </c>
    </row>
    <row r="9807">
      <c r="N9807" s="6">
        <f>IF(B9807="","",IF(ISNUMBER(B9807),TEXT(B9807,"YYYY-MM"),LEFT(B9807,7)))</f>
        <v/>
      </c>
    </row>
    <row r="9808">
      <c r="N9808" s="6">
        <f>IF(B9808="","",IF(ISNUMBER(B9808),TEXT(B9808,"YYYY-MM"),LEFT(B9808,7)))</f>
        <v/>
      </c>
    </row>
    <row r="9809">
      <c r="N9809" s="6">
        <f>IF(B9809="","",IF(ISNUMBER(B9809),TEXT(B9809,"YYYY-MM"),LEFT(B9809,7)))</f>
        <v/>
      </c>
    </row>
    <row r="9810">
      <c r="N9810" s="6">
        <f>IF(B9810="","",IF(ISNUMBER(B9810),TEXT(B9810,"YYYY-MM"),LEFT(B9810,7)))</f>
        <v/>
      </c>
    </row>
    <row r="9811">
      <c r="N9811" s="6">
        <f>IF(B9811="","",IF(ISNUMBER(B9811),TEXT(B9811,"YYYY-MM"),LEFT(B9811,7)))</f>
        <v/>
      </c>
    </row>
    <row r="9812">
      <c r="N9812" s="6">
        <f>IF(B9812="","",IF(ISNUMBER(B9812),TEXT(B9812,"YYYY-MM"),LEFT(B9812,7)))</f>
        <v/>
      </c>
    </row>
    <row r="9813">
      <c r="N9813" s="6">
        <f>IF(B9813="","",IF(ISNUMBER(B9813),TEXT(B9813,"YYYY-MM"),LEFT(B9813,7)))</f>
        <v/>
      </c>
    </row>
    <row r="9814">
      <c r="N9814" s="6">
        <f>IF(B9814="","",IF(ISNUMBER(B9814),TEXT(B9814,"YYYY-MM"),LEFT(B9814,7)))</f>
        <v/>
      </c>
    </row>
    <row r="9815">
      <c r="N9815" s="6">
        <f>IF(B9815="","",IF(ISNUMBER(B9815),TEXT(B9815,"YYYY-MM"),LEFT(B9815,7)))</f>
        <v/>
      </c>
    </row>
    <row r="9816">
      <c r="N9816" s="6">
        <f>IF(B9816="","",IF(ISNUMBER(B9816),TEXT(B9816,"YYYY-MM"),LEFT(B9816,7)))</f>
        <v/>
      </c>
    </row>
    <row r="9817">
      <c r="N9817" s="6">
        <f>IF(B9817="","",IF(ISNUMBER(B9817),TEXT(B9817,"YYYY-MM"),LEFT(B9817,7)))</f>
        <v/>
      </c>
    </row>
    <row r="9818">
      <c r="N9818" s="6">
        <f>IF(B9818="","",IF(ISNUMBER(B9818),TEXT(B9818,"YYYY-MM"),LEFT(B9818,7)))</f>
        <v/>
      </c>
    </row>
    <row r="9819">
      <c r="N9819" s="6">
        <f>IF(B9819="","",IF(ISNUMBER(B9819),TEXT(B9819,"YYYY-MM"),LEFT(B9819,7)))</f>
        <v/>
      </c>
    </row>
    <row r="9820">
      <c r="N9820" s="6">
        <f>IF(B9820="","",IF(ISNUMBER(B9820),TEXT(B9820,"YYYY-MM"),LEFT(B9820,7)))</f>
        <v/>
      </c>
    </row>
    <row r="9821">
      <c r="N9821" s="6">
        <f>IF(B9821="","",IF(ISNUMBER(B9821),TEXT(B9821,"YYYY-MM"),LEFT(B9821,7)))</f>
        <v/>
      </c>
    </row>
    <row r="9822">
      <c r="N9822" s="6">
        <f>IF(B9822="","",IF(ISNUMBER(B9822),TEXT(B9822,"YYYY-MM"),LEFT(B9822,7)))</f>
        <v/>
      </c>
    </row>
    <row r="9823">
      <c r="N9823" s="6">
        <f>IF(B9823="","",IF(ISNUMBER(B9823),TEXT(B9823,"YYYY-MM"),LEFT(B9823,7)))</f>
        <v/>
      </c>
    </row>
    <row r="9824">
      <c r="N9824" s="6">
        <f>IF(B9824="","",IF(ISNUMBER(B9824),TEXT(B9824,"YYYY-MM"),LEFT(B9824,7)))</f>
        <v/>
      </c>
    </row>
    <row r="9825">
      <c r="N9825" s="6">
        <f>IF(B9825="","",IF(ISNUMBER(B9825),TEXT(B9825,"YYYY-MM"),LEFT(B9825,7)))</f>
        <v/>
      </c>
    </row>
    <row r="9826">
      <c r="N9826" s="6">
        <f>IF(B9826="","",IF(ISNUMBER(B9826),TEXT(B9826,"YYYY-MM"),LEFT(B9826,7)))</f>
        <v/>
      </c>
    </row>
    <row r="9827">
      <c r="N9827" s="6">
        <f>IF(B9827="","",IF(ISNUMBER(B9827),TEXT(B9827,"YYYY-MM"),LEFT(B9827,7)))</f>
        <v/>
      </c>
    </row>
    <row r="9828">
      <c r="N9828" s="6">
        <f>IF(B9828="","",IF(ISNUMBER(B9828),TEXT(B9828,"YYYY-MM"),LEFT(B9828,7)))</f>
        <v/>
      </c>
    </row>
    <row r="9829">
      <c r="N9829" s="6">
        <f>IF(B9829="","",IF(ISNUMBER(B9829),TEXT(B9829,"YYYY-MM"),LEFT(B9829,7)))</f>
        <v/>
      </c>
    </row>
    <row r="9830">
      <c r="N9830" s="6">
        <f>IF(B9830="","",IF(ISNUMBER(B9830),TEXT(B9830,"YYYY-MM"),LEFT(B9830,7)))</f>
        <v/>
      </c>
    </row>
    <row r="9831">
      <c r="N9831" s="6">
        <f>IF(B9831="","",IF(ISNUMBER(B9831),TEXT(B9831,"YYYY-MM"),LEFT(B9831,7)))</f>
        <v/>
      </c>
    </row>
    <row r="9832">
      <c r="N9832" s="6">
        <f>IF(B9832="","",IF(ISNUMBER(B9832),TEXT(B9832,"YYYY-MM"),LEFT(B9832,7)))</f>
        <v/>
      </c>
    </row>
    <row r="9833">
      <c r="N9833" s="6">
        <f>IF(B9833="","",IF(ISNUMBER(B9833),TEXT(B9833,"YYYY-MM"),LEFT(B9833,7)))</f>
        <v/>
      </c>
    </row>
    <row r="9834">
      <c r="N9834" s="6">
        <f>IF(B9834="","",IF(ISNUMBER(B9834),TEXT(B9834,"YYYY-MM"),LEFT(B9834,7)))</f>
        <v/>
      </c>
    </row>
    <row r="9835">
      <c r="N9835" s="6">
        <f>IF(B9835="","",IF(ISNUMBER(B9835),TEXT(B9835,"YYYY-MM"),LEFT(B9835,7)))</f>
        <v/>
      </c>
    </row>
    <row r="9836">
      <c r="N9836" s="6">
        <f>IF(B9836="","",IF(ISNUMBER(B9836),TEXT(B9836,"YYYY-MM"),LEFT(B9836,7)))</f>
        <v/>
      </c>
    </row>
    <row r="9837">
      <c r="N9837" s="6">
        <f>IF(B9837="","",IF(ISNUMBER(B9837),TEXT(B9837,"YYYY-MM"),LEFT(B9837,7)))</f>
        <v/>
      </c>
    </row>
    <row r="9838">
      <c r="N9838" s="6">
        <f>IF(B9838="","",IF(ISNUMBER(B9838),TEXT(B9838,"YYYY-MM"),LEFT(B9838,7)))</f>
        <v/>
      </c>
    </row>
    <row r="9839">
      <c r="N9839" s="6">
        <f>IF(B9839="","",IF(ISNUMBER(B9839),TEXT(B9839,"YYYY-MM"),LEFT(B9839,7)))</f>
        <v/>
      </c>
    </row>
    <row r="9840">
      <c r="N9840" s="6">
        <f>IF(B9840="","",IF(ISNUMBER(B9840),TEXT(B9840,"YYYY-MM"),LEFT(B9840,7)))</f>
        <v/>
      </c>
    </row>
    <row r="9841">
      <c r="N9841" s="6">
        <f>IF(B9841="","",IF(ISNUMBER(B9841),TEXT(B9841,"YYYY-MM"),LEFT(B9841,7)))</f>
        <v/>
      </c>
    </row>
    <row r="9842">
      <c r="N9842" s="6">
        <f>IF(B9842="","",IF(ISNUMBER(B9842),TEXT(B9842,"YYYY-MM"),LEFT(B9842,7)))</f>
        <v/>
      </c>
    </row>
    <row r="9843">
      <c r="N9843" s="6">
        <f>IF(B9843="","",IF(ISNUMBER(B9843),TEXT(B9843,"YYYY-MM"),LEFT(B9843,7)))</f>
        <v/>
      </c>
    </row>
    <row r="9844">
      <c r="N9844" s="6">
        <f>IF(B9844="","",IF(ISNUMBER(B9844),TEXT(B9844,"YYYY-MM"),LEFT(B9844,7)))</f>
        <v/>
      </c>
    </row>
    <row r="9845">
      <c r="N9845" s="6">
        <f>IF(B9845="","",IF(ISNUMBER(B9845),TEXT(B9845,"YYYY-MM"),LEFT(B9845,7)))</f>
        <v/>
      </c>
    </row>
    <row r="9846">
      <c r="N9846" s="6">
        <f>IF(B9846="","",IF(ISNUMBER(B9846),TEXT(B9846,"YYYY-MM"),LEFT(B9846,7)))</f>
        <v/>
      </c>
    </row>
    <row r="9847">
      <c r="N9847" s="6">
        <f>IF(B9847="","",IF(ISNUMBER(B9847),TEXT(B9847,"YYYY-MM"),LEFT(B9847,7)))</f>
        <v/>
      </c>
    </row>
    <row r="9848">
      <c r="N9848" s="6">
        <f>IF(B9848="","",IF(ISNUMBER(B9848),TEXT(B9848,"YYYY-MM"),LEFT(B9848,7)))</f>
        <v/>
      </c>
    </row>
    <row r="9849">
      <c r="N9849" s="6">
        <f>IF(B9849="","",IF(ISNUMBER(B9849),TEXT(B9849,"YYYY-MM"),LEFT(B9849,7)))</f>
        <v/>
      </c>
    </row>
    <row r="9850">
      <c r="N9850" s="6">
        <f>IF(B9850="","",IF(ISNUMBER(B9850),TEXT(B9850,"YYYY-MM"),LEFT(B9850,7)))</f>
        <v/>
      </c>
    </row>
    <row r="9851">
      <c r="N9851" s="6">
        <f>IF(B9851="","",IF(ISNUMBER(B9851),TEXT(B9851,"YYYY-MM"),LEFT(B9851,7)))</f>
        <v/>
      </c>
    </row>
    <row r="9852">
      <c r="N9852" s="6">
        <f>IF(B9852="","",IF(ISNUMBER(B9852),TEXT(B9852,"YYYY-MM"),LEFT(B9852,7)))</f>
        <v/>
      </c>
    </row>
    <row r="9853">
      <c r="N9853" s="6">
        <f>IF(B9853="","",IF(ISNUMBER(B9853),TEXT(B9853,"YYYY-MM"),LEFT(B9853,7)))</f>
        <v/>
      </c>
    </row>
    <row r="9854">
      <c r="N9854" s="6">
        <f>IF(B9854="","",IF(ISNUMBER(B9854),TEXT(B9854,"YYYY-MM"),LEFT(B9854,7)))</f>
        <v/>
      </c>
    </row>
    <row r="9855">
      <c r="N9855" s="6">
        <f>IF(B9855="","",IF(ISNUMBER(B9855),TEXT(B9855,"YYYY-MM"),LEFT(B9855,7)))</f>
        <v/>
      </c>
    </row>
    <row r="9856">
      <c r="N9856" s="6">
        <f>IF(B9856="","",IF(ISNUMBER(B9856),TEXT(B9856,"YYYY-MM"),LEFT(B9856,7)))</f>
        <v/>
      </c>
    </row>
    <row r="9857">
      <c r="N9857" s="6">
        <f>IF(B9857="","",IF(ISNUMBER(B9857),TEXT(B9857,"YYYY-MM"),LEFT(B9857,7)))</f>
        <v/>
      </c>
    </row>
    <row r="9858">
      <c r="N9858" s="6">
        <f>IF(B9858="","",IF(ISNUMBER(B9858),TEXT(B9858,"YYYY-MM"),LEFT(B9858,7)))</f>
        <v/>
      </c>
    </row>
    <row r="9859">
      <c r="N9859" s="6">
        <f>IF(B9859="","",IF(ISNUMBER(B9859),TEXT(B9859,"YYYY-MM"),LEFT(B9859,7)))</f>
        <v/>
      </c>
    </row>
    <row r="9860">
      <c r="N9860" s="6">
        <f>IF(B9860="","",IF(ISNUMBER(B9860),TEXT(B9860,"YYYY-MM"),LEFT(B9860,7)))</f>
        <v/>
      </c>
    </row>
    <row r="9861">
      <c r="N9861" s="6">
        <f>IF(B9861="","",IF(ISNUMBER(B9861),TEXT(B9861,"YYYY-MM"),LEFT(B9861,7)))</f>
        <v/>
      </c>
    </row>
    <row r="9862">
      <c r="N9862" s="6">
        <f>IF(B9862="","",IF(ISNUMBER(B9862),TEXT(B9862,"YYYY-MM"),LEFT(B9862,7)))</f>
        <v/>
      </c>
    </row>
    <row r="9863">
      <c r="N9863" s="6">
        <f>IF(B9863="","",IF(ISNUMBER(B9863),TEXT(B9863,"YYYY-MM"),LEFT(B9863,7)))</f>
        <v/>
      </c>
    </row>
    <row r="9864">
      <c r="N9864" s="6">
        <f>IF(B9864="","",IF(ISNUMBER(B9864),TEXT(B9864,"YYYY-MM"),LEFT(B9864,7)))</f>
        <v/>
      </c>
    </row>
    <row r="9865">
      <c r="N9865" s="6">
        <f>IF(B9865="","",IF(ISNUMBER(B9865),TEXT(B9865,"YYYY-MM"),LEFT(B9865,7)))</f>
        <v/>
      </c>
    </row>
    <row r="9866">
      <c r="N9866" s="6">
        <f>IF(B9866="","",IF(ISNUMBER(B9866),TEXT(B9866,"YYYY-MM"),LEFT(B9866,7)))</f>
        <v/>
      </c>
    </row>
    <row r="9867">
      <c r="N9867" s="6">
        <f>IF(B9867="","",IF(ISNUMBER(B9867),TEXT(B9867,"YYYY-MM"),LEFT(B9867,7)))</f>
        <v/>
      </c>
    </row>
    <row r="9868">
      <c r="N9868" s="6">
        <f>IF(B9868="","",IF(ISNUMBER(B9868),TEXT(B9868,"YYYY-MM"),LEFT(B9868,7)))</f>
        <v/>
      </c>
    </row>
    <row r="9869">
      <c r="N9869" s="6">
        <f>IF(B9869="","",IF(ISNUMBER(B9869),TEXT(B9869,"YYYY-MM"),LEFT(B9869,7)))</f>
        <v/>
      </c>
    </row>
    <row r="9870">
      <c r="N9870" s="6">
        <f>IF(B9870="","",IF(ISNUMBER(B9870),TEXT(B9870,"YYYY-MM"),LEFT(B9870,7)))</f>
        <v/>
      </c>
    </row>
    <row r="9871">
      <c r="N9871" s="6">
        <f>IF(B9871="","",IF(ISNUMBER(B9871),TEXT(B9871,"YYYY-MM"),LEFT(B9871,7)))</f>
        <v/>
      </c>
    </row>
    <row r="9872">
      <c r="N9872" s="6">
        <f>IF(B9872="","",IF(ISNUMBER(B9872),TEXT(B9872,"YYYY-MM"),LEFT(B9872,7)))</f>
        <v/>
      </c>
    </row>
    <row r="9873">
      <c r="N9873" s="6">
        <f>IF(B9873="","",IF(ISNUMBER(B9873),TEXT(B9873,"YYYY-MM"),LEFT(B9873,7)))</f>
        <v/>
      </c>
    </row>
    <row r="9874">
      <c r="N9874" s="6">
        <f>IF(B9874="","",IF(ISNUMBER(B9874),TEXT(B9874,"YYYY-MM"),LEFT(B9874,7)))</f>
        <v/>
      </c>
    </row>
    <row r="9875">
      <c r="N9875" s="6">
        <f>IF(B9875="","",IF(ISNUMBER(B9875),TEXT(B9875,"YYYY-MM"),LEFT(B9875,7)))</f>
        <v/>
      </c>
    </row>
    <row r="9876">
      <c r="N9876" s="6">
        <f>IF(B9876="","",IF(ISNUMBER(B9876),TEXT(B9876,"YYYY-MM"),LEFT(B9876,7)))</f>
        <v/>
      </c>
    </row>
    <row r="9877">
      <c r="N9877" s="6">
        <f>IF(B9877="","",IF(ISNUMBER(B9877),TEXT(B9877,"YYYY-MM"),LEFT(B9877,7)))</f>
        <v/>
      </c>
    </row>
    <row r="9878">
      <c r="N9878" s="6">
        <f>IF(B9878="","",IF(ISNUMBER(B9878),TEXT(B9878,"YYYY-MM"),LEFT(B9878,7)))</f>
        <v/>
      </c>
    </row>
    <row r="9879">
      <c r="N9879" s="6">
        <f>IF(B9879="","",IF(ISNUMBER(B9879),TEXT(B9879,"YYYY-MM"),LEFT(B9879,7)))</f>
        <v/>
      </c>
    </row>
    <row r="9880">
      <c r="N9880" s="6">
        <f>IF(B9880="","",IF(ISNUMBER(B9880),TEXT(B9880,"YYYY-MM"),LEFT(B9880,7)))</f>
        <v/>
      </c>
    </row>
    <row r="9881">
      <c r="N9881" s="6">
        <f>IF(B9881="","",IF(ISNUMBER(B9881),TEXT(B9881,"YYYY-MM"),LEFT(B9881,7)))</f>
        <v/>
      </c>
    </row>
    <row r="9882">
      <c r="N9882" s="6">
        <f>IF(B9882="","",IF(ISNUMBER(B9882),TEXT(B9882,"YYYY-MM"),LEFT(B9882,7)))</f>
        <v/>
      </c>
    </row>
    <row r="9883">
      <c r="N9883" s="6">
        <f>IF(B9883="","",IF(ISNUMBER(B9883),TEXT(B9883,"YYYY-MM"),LEFT(B9883,7)))</f>
        <v/>
      </c>
    </row>
    <row r="9884">
      <c r="N9884" s="6">
        <f>IF(B9884="","",IF(ISNUMBER(B9884),TEXT(B9884,"YYYY-MM"),LEFT(B9884,7)))</f>
        <v/>
      </c>
    </row>
    <row r="9885">
      <c r="N9885" s="6">
        <f>IF(B9885="","",IF(ISNUMBER(B9885),TEXT(B9885,"YYYY-MM"),LEFT(B9885,7)))</f>
        <v/>
      </c>
    </row>
    <row r="9886">
      <c r="N9886" s="6">
        <f>IF(B9886="","",IF(ISNUMBER(B9886),TEXT(B9886,"YYYY-MM"),LEFT(B9886,7)))</f>
        <v/>
      </c>
    </row>
    <row r="9887">
      <c r="N9887" s="6">
        <f>IF(B9887="","",IF(ISNUMBER(B9887),TEXT(B9887,"YYYY-MM"),LEFT(B9887,7)))</f>
        <v/>
      </c>
    </row>
    <row r="9888">
      <c r="N9888" s="6">
        <f>IF(B9888="","",IF(ISNUMBER(B9888),TEXT(B9888,"YYYY-MM"),LEFT(B9888,7)))</f>
        <v/>
      </c>
    </row>
    <row r="9889">
      <c r="N9889" s="6">
        <f>IF(B9889="","",IF(ISNUMBER(B9889),TEXT(B9889,"YYYY-MM"),LEFT(B9889,7)))</f>
        <v/>
      </c>
    </row>
    <row r="9890">
      <c r="N9890" s="6">
        <f>IF(B9890="","",IF(ISNUMBER(B9890),TEXT(B9890,"YYYY-MM"),LEFT(B9890,7)))</f>
        <v/>
      </c>
    </row>
    <row r="9891">
      <c r="N9891" s="6">
        <f>IF(B9891="","",IF(ISNUMBER(B9891),TEXT(B9891,"YYYY-MM"),LEFT(B9891,7)))</f>
        <v/>
      </c>
    </row>
    <row r="9892">
      <c r="N9892" s="6">
        <f>IF(B9892="","",IF(ISNUMBER(B9892),TEXT(B9892,"YYYY-MM"),LEFT(B9892,7)))</f>
        <v/>
      </c>
    </row>
    <row r="9893">
      <c r="N9893" s="6">
        <f>IF(B9893="","",IF(ISNUMBER(B9893),TEXT(B9893,"YYYY-MM"),LEFT(B9893,7)))</f>
        <v/>
      </c>
    </row>
    <row r="9894">
      <c r="N9894" s="6">
        <f>IF(B9894="","",IF(ISNUMBER(B9894),TEXT(B9894,"YYYY-MM"),LEFT(B9894,7)))</f>
        <v/>
      </c>
    </row>
    <row r="9895">
      <c r="N9895" s="6">
        <f>IF(B9895="","",IF(ISNUMBER(B9895),TEXT(B9895,"YYYY-MM"),LEFT(B9895,7)))</f>
        <v/>
      </c>
    </row>
    <row r="9896">
      <c r="N9896" s="6">
        <f>IF(B9896="","",IF(ISNUMBER(B9896),TEXT(B9896,"YYYY-MM"),LEFT(B9896,7)))</f>
        <v/>
      </c>
    </row>
    <row r="9897">
      <c r="N9897" s="6">
        <f>IF(B9897="","",IF(ISNUMBER(B9897),TEXT(B9897,"YYYY-MM"),LEFT(B9897,7)))</f>
        <v/>
      </c>
    </row>
    <row r="9898">
      <c r="N9898" s="6">
        <f>IF(B9898="","",IF(ISNUMBER(B9898),TEXT(B9898,"YYYY-MM"),LEFT(B9898,7)))</f>
        <v/>
      </c>
    </row>
    <row r="9899">
      <c r="N9899" s="6">
        <f>IF(B9899="","",IF(ISNUMBER(B9899),TEXT(B9899,"YYYY-MM"),LEFT(B9899,7)))</f>
        <v/>
      </c>
    </row>
    <row r="9900">
      <c r="N9900" s="6">
        <f>IF(B9900="","",IF(ISNUMBER(B9900),TEXT(B9900,"YYYY-MM"),LEFT(B9900,7)))</f>
        <v/>
      </c>
    </row>
    <row r="9901">
      <c r="N9901" s="6">
        <f>IF(B9901="","",IF(ISNUMBER(B9901),TEXT(B9901,"YYYY-MM"),LEFT(B9901,7)))</f>
        <v/>
      </c>
    </row>
    <row r="9902">
      <c r="N9902" s="6">
        <f>IF(B9902="","",IF(ISNUMBER(B9902),TEXT(B9902,"YYYY-MM"),LEFT(B9902,7)))</f>
        <v/>
      </c>
    </row>
    <row r="9903">
      <c r="N9903" s="6">
        <f>IF(B9903="","",IF(ISNUMBER(B9903),TEXT(B9903,"YYYY-MM"),LEFT(B9903,7)))</f>
        <v/>
      </c>
    </row>
    <row r="9904">
      <c r="N9904" s="6">
        <f>IF(B9904="","",IF(ISNUMBER(B9904),TEXT(B9904,"YYYY-MM"),LEFT(B9904,7)))</f>
        <v/>
      </c>
    </row>
    <row r="9905">
      <c r="N9905" s="6">
        <f>IF(B9905="","",IF(ISNUMBER(B9905),TEXT(B9905,"YYYY-MM"),LEFT(B9905,7)))</f>
        <v/>
      </c>
    </row>
    <row r="9906">
      <c r="N9906" s="6">
        <f>IF(B9906="","",IF(ISNUMBER(B9906),TEXT(B9906,"YYYY-MM"),LEFT(B9906,7)))</f>
        <v/>
      </c>
    </row>
    <row r="9907">
      <c r="N9907" s="6">
        <f>IF(B9907="","",IF(ISNUMBER(B9907),TEXT(B9907,"YYYY-MM"),LEFT(B9907,7)))</f>
        <v/>
      </c>
    </row>
    <row r="9908">
      <c r="N9908" s="6">
        <f>IF(B9908="","",IF(ISNUMBER(B9908),TEXT(B9908,"YYYY-MM"),LEFT(B9908,7)))</f>
        <v/>
      </c>
    </row>
    <row r="9909">
      <c r="N9909" s="6">
        <f>IF(B9909="","",IF(ISNUMBER(B9909),TEXT(B9909,"YYYY-MM"),LEFT(B9909,7)))</f>
        <v/>
      </c>
    </row>
    <row r="9910">
      <c r="N9910" s="6">
        <f>IF(B9910="","",IF(ISNUMBER(B9910),TEXT(B9910,"YYYY-MM"),LEFT(B9910,7)))</f>
        <v/>
      </c>
    </row>
    <row r="9911">
      <c r="N9911" s="6">
        <f>IF(B9911="","",IF(ISNUMBER(B9911),TEXT(B9911,"YYYY-MM"),LEFT(B9911,7)))</f>
        <v/>
      </c>
    </row>
    <row r="9912">
      <c r="N9912" s="6">
        <f>IF(B9912="","",IF(ISNUMBER(B9912),TEXT(B9912,"YYYY-MM"),LEFT(B9912,7)))</f>
        <v/>
      </c>
    </row>
    <row r="9913">
      <c r="N9913" s="6">
        <f>IF(B9913="","",IF(ISNUMBER(B9913),TEXT(B9913,"YYYY-MM"),LEFT(B9913,7)))</f>
        <v/>
      </c>
    </row>
    <row r="9914">
      <c r="N9914" s="6">
        <f>IF(B9914="","",IF(ISNUMBER(B9914),TEXT(B9914,"YYYY-MM"),LEFT(B9914,7)))</f>
        <v/>
      </c>
    </row>
    <row r="9915">
      <c r="N9915" s="6">
        <f>IF(B9915="","",IF(ISNUMBER(B9915),TEXT(B9915,"YYYY-MM"),LEFT(B9915,7)))</f>
        <v/>
      </c>
    </row>
    <row r="9916">
      <c r="N9916" s="6">
        <f>IF(B9916="","",IF(ISNUMBER(B9916),TEXT(B9916,"YYYY-MM"),LEFT(B9916,7)))</f>
        <v/>
      </c>
    </row>
    <row r="9917">
      <c r="N9917" s="6">
        <f>IF(B9917="","",IF(ISNUMBER(B9917),TEXT(B9917,"YYYY-MM"),LEFT(B9917,7)))</f>
        <v/>
      </c>
    </row>
    <row r="9918">
      <c r="N9918" s="6">
        <f>IF(B9918="","",IF(ISNUMBER(B9918),TEXT(B9918,"YYYY-MM"),LEFT(B9918,7)))</f>
        <v/>
      </c>
    </row>
    <row r="9919">
      <c r="N9919" s="6">
        <f>IF(B9919="","",IF(ISNUMBER(B9919),TEXT(B9919,"YYYY-MM"),LEFT(B9919,7)))</f>
        <v/>
      </c>
    </row>
    <row r="9920">
      <c r="N9920" s="6">
        <f>IF(B9920="","",IF(ISNUMBER(B9920),TEXT(B9920,"YYYY-MM"),LEFT(B9920,7)))</f>
        <v/>
      </c>
    </row>
    <row r="9921">
      <c r="N9921" s="6">
        <f>IF(B9921="","",IF(ISNUMBER(B9921),TEXT(B9921,"YYYY-MM"),LEFT(B9921,7)))</f>
        <v/>
      </c>
    </row>
    <row r="9922">
      <c r="N9922" s="6">
        <f>IF(B9922="","",IF(ISNUMBER(B9922),TEXT(B9922,"YYYY-MM"),LEFT(B9922,7)))</f>
        <v/>
      </c>
    </row>
    <row r="9923">
      <c r="N9923" s="6">
        <f>IF(B9923="","",IF(ISNUMBER(B9923),TEXT(B9923,"YYYY-MM"),LEFT(B9923,7)))</f>
        <v/>
      </c>
    </row>
    <row r="9924">
      <c r="N9924" s="6">
        <f>IF(B9924="","",IF(ISNUMBER(B9924),TEXT(B9924,"YYYY-MM"),LEFT(B9924,7)))</f>
        <v/>
      </c>
    </row>
    <row r="9925">
      <c r="N9925" s="6">
        <f>IF(B9925="","",IF(ISNUMBER(B9925),TEXT(B9925,"YYYY-MM"),LEFT(B9925,7)))</f>
        <v/>
      </c>
    </row>
    <row r="9926">
      <c r="N9926" s="6">
        <f>IF(B9926="","",IF(ISNUMBER(B9926),TEXT(B9926,"YYYY-MM"),LEFT(B9926,7)))</f>
        <v/>
      </c>
    </row>
    <row r="9927">
      <c r="N9927" s="6">
        <f>IF(B9927="","",IF(ISNUMBER(B9927),TEXT(B9927,"YYYY-MM"),LEFT(B9927,7)))</f>
        <v/>
      </c>
    </row>
    <row r="9928">
      <c r="N9928" s="6">
        <f>IF(B9928="","",IF(ISNUMBER(B9928),TEXT(B9928,"YYYY-MM"),LEFT(B9928,7)))</f>
        <v/>
      </c>
    </row>
    <row r="9929">
      <c r="N9929" s="6">
        <f>IF(B9929="","",IF(ISNUMBER(B9929),TEXT(B9929,"YYYY-MM"),LEFT(B9929,7)))</f>
        <v/>
      </c>
    </row>
    <row r="9930">
      <c r="N9930" s="6">
        <f>IF(B9930="","",IF(ISNUMBER(B9930),TEXT(B9930,"YYYY-MM"),LEFT(B9930,7)))</f>
        <v/>
      </c>
    </row>
    <row r="9931">
      <c r="N9931" s="6">
        <f>IF(B9931="","",IF(ISNUMBER(B9931),TEXT(B9931,"YYYY-MM"),LEFT(B9931,7)))</f>
        <v/>
      </c>
    </row>
    <row r="9932">
      <c r="N9932" s="6">
        <f>IF(B9932="","",IF(ISNUMBER(B9932),TEXT(B9932,"YYYY-MM"),LEFT(B9932,7)))</f>
        <v/>
      </c>
    </row>
    <row r="9933">
      <c r="N9933" s="6">
        <f>IF(B9933="","",IF(ISNUMBER(B9933),TEXT(B9933,"YYYY-MM"),LEFT(B9933,7)))</f>
        <v/>
      </c>
    </row>
    <row r="9934">
      <c r="N9934" s="6">
        <f>IF(B9934="","",IF(ISNUMBER(B9934),TEXT(B9934,"YYYY-MM"),LEFT(B9934,7)))</f>
        <v/>
      </c>
    </row>
    <row r="9935">
      <c r="N9935" s="6">
        <f>IF(B9935="","",IF(ISNUMBER(B9935),TEXT(B9935,"YYYY-MM"),LEFT(B9935,7)))</f>
        <v/>
      </c>
    </row>
    <row r="9936">
      <c r="N9936" s="6">
        <f>IF(B9936="","",IF(ISNUMBER(B9936),TEXT(B9936,"YYYY-MM"),LEFT(B9936,7)))</f>
        <v/>
      </c>
    </row>
    <row r="9937">
      <c r="N9937" s="6">
        <f>IF(B9937="","",IF(ISNUMBER(B9937),TEXT(B9937,"YYYY-MM"),LEFT(B9937,7)))</f>
        <v/>
      </c>
    </row>
    <row r="9938">
      <c r="N9938" s="6">
        <f>IF(B9938="","",IF(ISNUMBER(B9938),TEXT(B9938,"YYYY-MM"),LEFT(B9938,7)))</f>
        <v/>
      </c>
    </row>
    <row r="9939">
      <c r="N9939" s="6">
        <f>IF(B9939="","",IF(ISNUMBER(B9939),TEXT(B9939,"YYYY-MM"),LEFT(B9939,7)))</f>
        <v/>
      </c>
    </row>
    <row r="9940">
      <c r="N9940" s="6">
        <f>IF(B9940="","",IF(ISNUMBER(B9940),TEXT(B9940,"YYYY-MM"),LEFT(B9940,7)))</f>
        <v/>
      </c>
    </row>
    <row r="9941">
      <c r="N9941" s="6">
        <f>IF(B9941="","",IF(ISNUMBER(B9941),TEXT(B9941,"YYYY-MM"),LEFT(B9941,7)))</f>
        <v/>
      </c>
    </row>
    <row r="9942">
      <c r="N9942" s="6">
        <f>IF(B9942="","",IF(ISNUMBER(B9942),TEXT(B9942,"YYYY-MM"),LEFT(B9942,7)))</f>
        <v/>
      </c>
    </row>
    <row r="9943">
      <c r="N9943" s="6">
        <f>IF(B9943="","",IF(ISNUMBER(B9943),TEXT(B9943,"YYYY-MM"),LEFT(B9943,7)))</f>
        <v/>
      </c>
    </row>
    <row r="9944">
      <c r="N9944" s="6">
        <f>IF(B9944="","",IF(ISNUMBER(B9944),TEXT(B9944,"YYYY-MM"),LEFT(B9944,7)))</f>
        <v/>
      </c>
    </row>
    <row r="9945">
      <c r="N9945" s="6">
        <f>IF(B9945="","",IF(ISNUMBER(B9945),TEXT(B9945,"YYYY-MM"),LEFT(B9945,7)))</f>
        <v/>
      </c>
    </row>
    <row r="9946">
      <c r="N9946" s="6">
        <f>IF(B9946="","",IF(ISNUMBER(B9946),TEXT(B9946,"YYYY-MM"),LEFT(B9946,7)))</f>
        <v/>
      </c>
    </row>
    <row r="9947">
      <c r="N9947" s="6">
        <f>IF(B9947="","",IF(ISNUMBER(B9947),TEXT(B9947,"YYYY-MM"),LEFT(B9947,7)))</f>
        <v/>
      </c>
    </row>
    <row r="9948">
      <c r="N9948" s="6">
        <f>IF(B9948="","",IF(ISNUMBER(B9948),TEXT(B9948,"YYYY-MM"),LEFT(B9948,7)))</f>
        <v/>
      </c>
    </row>
    <row r="9949">
      <c r="N9949" s="6">
        <f>IF(B9949="","",IF(ISNUMBER(B9949),TEXT(B9949,"YYYY-MM"),LEFT(B9949,7)))</f>
        <v/>
      </c>
    </row>
    <row r="9950">
      <c r="N9950" s="6">
        <f>IF(B9950="","",IF(ISNUMBER(B9950),TEXT(B9950,"YYYY-MM"),LEFT(B9950,7)))</f>
        <v/>
      </c>
    </row>
    <row r="9951">
      <c r="N9951" s="6">
        <f>IF(B9951="","",IF(ISNUMBER(B9951),TEXT(B9951,"YYYY-MM"),LEFT(B9951,7)))</f>
        <v/>
      </c>
    </row>
    <row r="9952">
      <c r="N9952" s="6">
        <f>IF(B9952="","",IF(ISNUMBER(B9952),TEXT(B9952,"YYYY-MM"),LEFT(B9952,7)))</f>
        <v/>
      </c>
    </row>
    <row r="9953">
      <c r="N9953" s="6">
        <f>IF(B9953="","",IF(ISNUMBER(B9953),TEXT(B9953,"YYYY-MM"),LEFT(B9953,7)))</f>
        <v/>
      </c>
    </row>
    <row r="9954">
      <c r="N9954" s="6">
        <f>IF(B9954="","",IF(ISNUMBER(B9954),TEXT(B9954,"YYYY-MM"),LEFT(B9954,7)))</f>
        <v/>
      </c>
    </row>
    <row r="9955">
      <c r="N9955" s="6">
        <f>IF(B9955="","",IF(ISNUMBER(B9955),TEXT(B9955,"YYYY-MM"),LEFT(B9955,7)))</f>
        <v/>
      </c>
    </row>
    <row r="9956">
      <c r="N9956" s="6">
        <f>IF(B9956="","",IF(ISNUMBER(B9956),TEXT(B9956,"YYYY-MM"),LEFT(B9956,7)))</f>
        <v/>
      </c>
    </row>
    <row r="9957">
      <c r="N9957" s="6">
        <f>IF(B9957="","",IF(ISNUMBER(B9957),TEXT(B9957,"YYYY-MM"),LEFT(B9957,7)))</f>
        <v/>
      </c>
    </row>
    <row r="9958">
      <c r="N9958" s="6">
        <f>IF(B9958="","",IF(ISNUMBER(B9958),TEXT(B9958,"YYYY-MM"),LEFT(B9958,7)))</f>
        <v/>
      </c>
    </row>
    <row r="9959">
      <c r="N9959" s="6">
        <f>IF(B9959="","",IF(ISNUMBER(B9959),TEXT(B9959,"YYYY-MM"),LEFT(B9959,7)))</f>
        <v/>
      </c>
    </row>
    <row r="9960">
      <c r="N9960" s="6">
        <f>IF(B9960="","",IF(ISNUMBER(B9960),TEXT(B9960,"YYYY-MM"),LEFT(B9960,7)))</f>
        <v/>
      </c>
    </row>
    <row r="9961">
      <c r="N9961" s="6">
        <f>IF(B9961="","",IF(ISNUMBER(B9961),TEXT(B9961,"YYYY-MM"),LEFT(B9961,7)))</f>
        <v/>
      </c>
    </row>
    <row r="9962">
      <c r="N9962" s="6">
        <f>IF(B9962="","",IF(ISNUMBER(B9962),TEXT(B9962,"YYYY-MM"),LEFT(B9962,7)))</f>
        <v/>
      </c>
    </row>
    <row r="9963">
      <c r="N9963" s="6">
        <f>IF(B9963="","",IF(ISNUMBER(B9963),TEXT(B9963,"YYYY-MM"),LEFT(B9963,7)))</f>
        <v/>
      </c>
    </row>
    <row r="9964">
      <c r="N9964" s="6">
        <f>IF(B9964="","",IF(ISNUMBER(B9964),TEXT(B9964,"YYYY-MM"),LEFT(B9964,7)))</f>
        <v/>
      </c>
    </row>
    <row r="9965">
      <c r="N9965" s="6">
        <f>IF(B9965="","",IF(ISNUMBER(B9965),TEXT(B9965,"YYYY-MM"),LEFT(B9965,7)))</f>
        <v/>
      </c>
    </row>
    <row r="9966">
      <c r="N9966" s="6">
        <f>IF(B9966="","",IF(ISNUMBER(B9966),TEXT(B9966,"YYYY-MM"),LEFT(B9966,7)))</f>
        <v/>
      </c>
    </row>
    <row r="9967">
      <c r="N9967" s="6">
        <f>IF(B9967="","",IF(ISNUMBER(B9967),TEXT(B9967,"YYYY-MM"),LEFT(B9967,7)))</f>
        <v/>
      </c>
    </row>
    <row r="9968">
      <c r="N9968" s="6">
        <f>IF(B9968="","",IF(ISNUMBER(B9968),TEXT(B9968,"YYYY-MM"),LEFT(B9968,7)))</f>
        <v/>
      </c>
    </row>
    <row r="9969">
      <c r="N9969" s="6">
        <f>IF(B9969="","",IF(ISNUMBER(B9969),TEXT(B9969,"YYYY-MM"),LEFT(B9969,7)))</f>
        <v/>
      </c>
    </row>
    <row r="9970">
      <c r="N9970" s="6">
        <f>IF(B9970="","",IF(ISNUMBER(B9970),TEXT(B9970,"YYYY-MM"),LEFT(B9970,7)))</f>
        <v/>
      </c>
    </row>
    <row r="9971">
      <c r="N9971" s="6">
        <f>IF(B9971="","",IF(ISNUMBER(B9971),TEXT(B9971,"YYYY-MM"),LEFT(B9971,7)))</f>
        <v/>
      </c>
    </row>
    <row r="9972">
      <c r="N9972" s="6">
        <f>IF(B9972="","",IF(ISNUMBER(B9972),TEXT(B9972,"YYYY-MM"),LEFT(B9972,7)))</f>
        <v/>
      </c>
    </row>
    <row r="9973">
      <c r="N9973" s="6">
        <f>IF(B9973="","",IF(ISNUMBER(B9973),TEXT(B9973,"YYYY-MM"),LEFT(B9973,7)))</f>
        <v/>
      </c>
    </row>
    <row r="9974">
      <c r="N9974" s="6">
        <f>IF(B9974="","",IF(ISNUMBER(B9974),TEXT(B9974,"YYYY-MM"),LEFT(B9974,7)))</f>
        <v/>
      </c>
    </row>
    <row r="9975">
      <c r="N9975" s="6">
        <f>IF(B9975="","",IF(ISNUMBER(B9975),TEXT(B9975,"YYYY-MM"),LEFT(B9975,7)))</f>
        <v/>
      </c>
    </row>
    <row r="9976">
      <c r="N9976" s="6">
        <f>IF(B9976="","",IF(ISNUMBER(B9976),TEXT(B9976,"YYYY-MM"),LEFT(B9976,7)))</f>
        <v/>
      </c>
    </row>
    <row r="9977">
      <c r="N9977" s="6">
        <f>IF(B9977="","",IF(ISNUMBER(B9977),TEXT(B9977,"YYYY-MM"),LEFT(B9977,7)))</f>
        <v/>
      </c>
    </row>
    <row r="9978">
      <c r="N9978" s="6">
        <f>IF(B9978="","",IF(ISNUMBER(B9978),TEXT(B9978,"YYYY-MM"),LEFT(B9978,7)))</f>
        <v/>
      </c>
    </row>
    <row r="9979">
      <c r="N9979" s="6">
        <f>IF(B9979="","",IF(ISNUMBER(B9979),TEXT(B9979,"YYYY-MM"),LEFT(B9979,7)))</f>
        <v/>
      </c>
    </row>
    <row r="9980">
      <c r="N9980" s="6">
        <f>IF(B9980="","",IF(ISNUMBER(B9980),TEXT(B9980,"YYYY-MM"),LEFT(B9980,7)))</f>
        <v/>
      </c>
    </row>
    <row r="9981">
      <c r="N9981" s="6">
        <f>IF(B9981="","",IF(ISNUMBER(B9981),TEXT(B9981,"YYYY-MM"),LEFT(B9981,7)))</f>
        <v/>
      </c>
    </row>
    <row r="9982">
      <c r="N9982" s="6">
        <f>IF(B9982="","",IF(ISNUMBER(B9982),TEXT(B9982,"YYYY-MM"),LEFT(B9982,7)))</f>
        <v/>
      </c>
    </row>
    <row r="9983">
      <c r="N9983" s="6">
        <f>IF(B9983="","",IF(ISNUMBER(B9983),TEXT(B9983,"YYYY-MM"),LEFT(B9983,7)))</f>
        <v/>
      </c>
    </row>
    <row r="9984">
      <c r="N9984" s="6">
        <f>IF(B9984="","",IF(ISNUMBER(B9984),TEXT(B9984,"YYYY-MM"),LEFT(B9984,7)))</f>
        <v/>
      </c>
    </row>
    <row r="9985">
      <c r="N9985" s="6">
        <f>IF(B9985="","",IF(ISNUMBER(B9985),TEXT(B9985,"YYYY-MM"),LEFT(B9985,7)))</f>
        <v/>
      </c>
    </row>
    <row r="9986">
      <c r="N9986" s="6">
        <f>IF(B9986="","",IF(ISNUMBER(B9986),TEXT(B9986,"YYYY-MM"),LEFT(B9986,7)))</f>
        <v/>
      </c>
    </row>
    <row r="9987">
      <c r="N9987" s="6">
        <f>IF(B9987="","",IF(ISNUMBER(B9987),TEXT(B9987,"YYYY-MM"),LEFT(B9987,7)))</f>
        <v/>
      </c>
    </row>
    <row r="9988">
      <c r="N9988" s="6">
        <f>IF(B9988="","",IF(ISNUMBER(B9988),TEXT(B9988,"YYYY-MM"),LEFT(B9988,7)))</f>
        <v/>
      </c>
    </row>
    <row r="9989">
      <c r="N9989" s="6">
        <f>IF(B9989="","",IF(ISNUMBER(B9989),TEXT(B9989,"YYYY-MM"),LEFT(B9989,7)))</f>
        <v/>
      </c>
    </row>
    <row r="9990">
      <c r="N9990" s="6">
        <f>IF(B9990="","",IF(ISNUMBER(B9990),TEXT(B9990,"YYYY-MM"),LEFT(B9990,7)))</f>
        <v/>
      </c>
    </row>
    <row r="9991">
      <c r="N9991" s="6">
        <f>IF(B9991="","",IF(ISNUMBER(B9991),TEXT(B9991,"YYYY-MM"),LEFT(B9991,7)))</f>
        <v/>
      </c>
    </row>
    <row r="9992">
      <c r="N9992" s="6">
        <f>IF(B9992="","",IF(ISNUMBER(B9992),TEXT(B9992,"YYYY-MM"),LEFT(B9992,7)))</f>
        <v/>
      </c>
    </row>
    <row r="9993">
      <c r="N9993" s="6">
        <f>IF(B9993="","",IF(ISNUMBER(B9993),TEXT(B9993,"YYYY-MM"),LEFT(B9993,7)))</f>
        <v/>
      </c>
    </row>
    <row r="9994">
      <c r="N9994" s="6">
        <f>IF(B9994="","",IF(ISNUMBER(B9994),TEXT(B9994,"YYYY-MM"),LEFT(B9994,7)))</f>
        <v/>
      </c>
    </row>
    <row r="9995">
      <c r="N9995" s="6">
        <f>IF(B9995="","",IF(ISNUMBER(B9995),TEXT(B9995,"YYYY-MM"),LEFT(B9995,7)))</f>
        <v/>
      </c>
    </row>
    <row r="9996">
      <c r="N9996" s="6">
        <f>IF(B9996="","",IF(ISNUMBER(B9996),TEXT(B9996,"YYYY-MM"),LEFT(B9996,7)))</f>
        <v/>
      </c>
    </row>
    <row r="9997">
      <c r="N9997" s="6">
        <f>IF(B9997="","",IF(ISNUMBER(B9997),TEXT(B9997,"YYYY-MM"),LEFT(B9997,7)))</f>
        <v/>
      </c>
    </row>
    <row r="9998">
      <c r="N9998" s="6">
        <f>IF(B9998="","",IF(ISNUMBER(B9998),TEXT(B9998,"YYYY-MM"),LEFT(B9998,7)))</f>
        <v/>
      </c>
    </row>
    <row r="9999">
      <c r="N9999" s="6">
        <f>IF(B9999="","",IF(ISNUMBER(B9999),TEXT(B9999,"YYYY-MM"),LEFT(B9999,7)))</f>
        <v/>
      </c>
    </row>
    <row r="10000">
      <c r="N10000" s="6">
        <f>IF(B10000="","",IF(ISNUMBER(B10000),TEXT(B10000,"YYYY-MM"),LEFT(B10000,7)))</f>
        <v/>
      </c>
    </row>
    <row r="10001">
      <c r="N10001" s="6">
        <f>IF(B10001="","",IF(ISNUMBER(B10001),TEXT(B10001,"YYYY-MM"),LEFT(B10001,7)))</f>
        <v/>
      </c>
    </row>
  </sheetData>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D390"/>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16" customWidth="1" min="3" max="3"/>
    <col width="16" customWidth="1" min="4" max="4"/>
  </cols>
  <sheetData>
    <row r="1">
      <c r="A1" s="3" t="inlineStr">
        <is>
          <t>Employee (Odoo name)</t>
        </is>
      </c>
      <c r="B1" s="3" t="inlineStr">
        <is>
          <t>Project (Odoo name)</t>
        </is>
      </c>
      <c r="C1" s="3" t="inlineStr">
        <is>
          <t>Month (YYYY-MM)</t>
        </is>
      </c>
      <c r="D1" s="3" t="inlineStr">
        <is>
          <t>Allocated Hours</t>
        </is>
      </c>
    </row>
    <row r="2">
      <c r="A2" t="inlineStr">
        <is>
          <t>Afua Serwah Akoto Prempeh</t>
        </is>
      </c>
      <c r="B2" t="inlineStr">
        <is>
          <t>Non-Billable Tasks</t>
        </is>
      </c>
      <c r="C2" t="inlineStr">
        <is>
          <t>2026-01</t>
        </is>
      </c>
      <c r="D2" s="7" t="n"/>
    </row>
    <row r="3">
      <c r="A3" t="inlineStr">
        <is>
          <t>Afua Serwah Akoto Prempeh</t>
        </is>
      </c>
      <c r="B3" t="inlineStr">
        <is>
          <t>P23AC00C00 - FGMC</t>
        </is>
      </c>
      <c r="C3" t="inlineStr">
        <is>
          <t>2026-01</t>
        </is>
      </c>
      <c r="D3" s="7" t="n"/>
    </row>
    <row r="4">
      <c r="A4" t="inlineStr">
        <is>
          <t>Augustus Asamoah</t>
        </is>
      </c>
      <c r="B4" t="inlineStr">
        <is>
          <t>Non-Billable Tasks</t>
        </is>
      </c>
      <c r="C4" t="inlineStr">
        <is>
          <t>2026-01</t>
        </is>
      </c>
      <c r="D4" s="7" t="n"/>
    </row>
    <row r="5">
      <c r="A5" t="inlineStr">
        <is>
          <t>Augustus Asamoah</t>
        </is>
      </c>
      <c r="B5" t="inlineStr">
        <is>
          <t>P13NC00A00 - WALMART II</t>
        </is>
      </c>
      <c r="C5" t="inlineStr">
        <is>
          <t>2026-01</t>
        </is>
      </c>
      <c r="D5" s="7" t="n"/>
    </row>
    <row r="6">
      <c r="A6" t="inlineStr">
        <is>
          <t>Augustus Asamoah</t>
        </is>
      </c>
      <c r="B6" t="inlineStr">
        <is>
          <t>P13QC00A00 - EFI Programme</t>
        </is>
      </c>
      <c r="C6" t="inlineStr">
        <is>
          <t>2026-01</t>
        </is>
      </c>
      <c r="D6" s="7" t="n"/>
    </row>
    <row r="7">
      <c r="A7" t="inlineStr">
        <is>
          <t>Augustus Asamoah</t>
        </is>
      </c>
      <c r="B7" t="inlineStr">
        <is>
          <t>PCGH769</t>
        </is>
      </c>
      <c r="C7" t="inlineStr">
        <is>
          <t>2026-01</t>
        </is>
      </c>
      <c r="D7" s="7" t="n"/>
    </row>
    <row r="8">
      <c r="A8" t="inlineStr">
        <is>
          <t>Augustus Asamoah</t>
        </is>
      </c>
      <c r="B8" t="inlineStr">
        <is>
          <t>PCGH771</t>
        </is>
      </c>
      <c r="C8" t="inlineStr">
        <is>
          <t>2026-01</t>
        </is>
      </c>
      <c r="D8" s="7" t="n"/>
    </row>
    <row r="9">
      <c r="A9" t="inlineStr">
        <is>
          <t>Clement Obeng-Manu</t>
        </is>
      </c>
      <c r="B9" t="inlineStr">
        <is>
          <t>Non-Billable Tasks</t>
        </is>
      </c>
      <c r="C9" t="inlineStr">
        <is>
          <t>2026-01</t>
        </is>
      </c>
      <c r="D9" s="7" t="n"/>
    </row>
    <row r="10">
      <c r="A10" t="inlineStr">
        <is>
          <t>Clement Obeng-Manu</t>
        </is>
      </c>
      <c r="B10" t="inlineStr">
        <is>
          <t>PCGH722</t>
        </is>
      </c>
      <c r="C10" t="inlineStr">
        <is>
          <t>2026-01</t>
        </is>
      </c>
      <c r="D10" s="7" t="n"/>
    </row>
    <row r="11">
      <c r="A11" t="inlineStr">
        <is>
          <t>Clement Obeng-Manu</t>
        </is>
      </c>
      <c r="B11" t="inlineStr">
        <is>
          <t>PCGH752</t>
        </is>
      </c>
      <c r="C11" t="inlineStr">
        <is>
          <t>2026-01</t>
        </is>
      </c>
      <c r="D11" s="7" t="n"/>
    </row>
    <row r="12">
      <c r="A12" t="inlineStr">
        <is>
          <t>Clement Obeng-Manu</t>
        </is>
      </c>
      <c r="B12" t="inlineStr">
        <is>
          <t>PCGH769</t>
        </is>
      </c>
      <c r="C12" t="inlineStr">
        <is>
          <t>2026-01</t>
        </is>
      </c>
      <c r="D12" s="7" t="n"/>
    </row>
    <row r="13">
      <c r="A13" t="inlineStr">
        <is>
          <t>Daleba Bernard Kpenahi Raymond</t>
        </is>
      </c>
      <c r="B13" t="inlineStr">
        <is>
          <t>Non-Billable Tasks</t>
        </is>
      </c>
      <c r="C13" t="inlineStr">
        <is>
          <t>2026-01</t>
        </is>
      </c>
      <c r="D13" s="7" t="n"/>
    </row>
    <row r="14">
      <c r="A14" t="inlineStr">
        <is>
          <t>Daleba Bernard Kpenahi Raymond</t>
        </is>
      </c>
      <c r="B14" t="inlineStr">
        <is>
          <t>P23AC00C00 - FGMC</t>
        </is>
      </c>
      <c r="C14" t="inlineStr">
        <is>
          <t>2026-01</t>
        </is>
      </c>
      <c r="D14" s="7" t="n"/>
    </row>
    <row r="15">
      <c r="A15" t="inlineStr">
        <is>
          <t>Daleba Bernard Kpenahi Raymond</t>
        </is>
      </c>
      <c r="B15" t="inlineStr">
        <is>
          <t>PCGH775 - ESDD of Valency Operations for FMO</t>
        </is>
      </c>
      <c r="C15" t="inlineStr">
        <is>
          <t>2026-01</t>
        </is>
      </c>
      <c r="D15" s="7" t="n"/>
    </row>
    <row r="16">
      <c r="A16" t="inlineStr">
        <is>
          <t>Ekow Nyamekye Tawiah</t>
        </is>
      </c>
      <c r="B16" t="inlineStr">
        <is>
          <t>Non-Billable Tasks</t>
        </is>
      </c>
      <c r="C16" t="inlineStr">
        <is>
          <t>2026-01</t>
        </is>
      </c>
      <c r="D16" s="7" t="n"/>
    </row>
    <row r="17">
      <c r="A17" t="inlineStr">
        <is>
          <t>Ekow Nyamekye Tawiah</t>
        </is>
      </c>
      <c r="B17" t="inlineStr">
        <is>
          <t>PCGH722</t>
        </is>
      </c>
      <c r="C17" t="inlineStr">
        <is>
          <t>2026-01</t>
        </is>
      </c>
      <c r="D17" s="7" t="n"/>
    </row>
    <row r="18">
      <c r="A18" t="inlineStr">
        <is>
          <t>Ekow Nyamekye Tawiah</t>
        </is>
      </c>
      <c r="B18" t="inlineStr">
        <is>
          <t>PCGH761</t>
        </is>
      </c>
      <c r="C18" t="inlineStr">
        <is>
          <t>2026-01</t>
        </is>
      </c>
      <c r="D18" s="7" t="n"/>
    </row>
    <row r="19">
      <c r="A19" t="inlineStr">
        <is>
          <t>Ekow Nyamekye Tawiah</t>
        </is>
      </c>
      <c r="B19" t="inlineStr">
        <is>
          <t>PCGH778 - General Support</t>
        </is>
      </c>
      <c r="C19" t="inlineStr">
        <is>
          <t>2026-01</t>
        </is>
      </c>
      <c r="D19" s="7" t="n"/>
    </row>
    <row r="20">
      <c r="A20" t="inlineStr">
        <is>
          <t>Frederick Antwi</t>
        </is>
      </c>
      <c r="B20" t="inlineStr">
        <is>
          <t>Non-Billable Tasks</t>
        </is>
      </c>
      <c r="C20" t="inlineStr">
        <is>
          <t>2026-01</t>
        </is>
      </c>
      <c r="D20" s="7" t="n"/>
    </row>
    <row r="21">
      <c r="A21" t="inlineStr">
        <is>
          <t>Frederick Antwi</t>
        </is>
      </c>
      <c r="B21" t="inlineStr">
        <is>
          <t>P13NC00A00 - WALMART II</t>
        </is>
      </c>
      <c r="C21" t="inlineStr">
        <is>
          <t>2026-01</t>
        </is>
      </c>
      <c r="D21" s="7" t="n"/>
    </row>
    <row r="22">
      <c r="A22" t="inlineStr">
        <is>
          <t>Frederick Antwi</t>
        </is>
      </c>
      <c r="B22" t="inlineStr">
        <is>
          <t>PCGH759</t>
        </is>
      </c>
      <c r="C22" t="inlineStr">
        <is>
          <t>2026-01</t>
        </is>
      </c>
      <c r="D22" s="7" t="n"/>
    </row>
    <row r="23">
      <c r="A23" t="inlineStr">
        <is>
          <t>Frederick Antwi</t>
        </is>
      </c>
      <c r="B23" t="inlineStr">
        <is>
          <t>PCGH768</t>
        </is>
      </c>
      <c r="C23" t="inlineStr">
        <is>
          <t>2026-01</t>
        </is>
      </c>
      <c r="D23" s="7" t="n"/>
    </row>
    <row r="24">
      <c r="A24" t="inlineStr">
        <is>
          <t xml:space="preserve">Helena Tetteh </t>
        </is>
      </c>
      <c r="B24" t="inlineStr">
        <is>
          <t>Non-Billable Tasks</t>
        </is>
      </c>
      <c r="C24" t="inlineStr">
        <is>
          <t>2026-01</t>
        </is>
      </c>
      <c r="D24" s="7" t="n"/>
    </row>
    <row r="25">
      <c r="A25" t="inlineStr">
        <is>
          <t xml:space="preserve">Helena Tetteh </t>
        </is>
      </c>
      <c r="B25" t="inlineStr">
        <is>
          <t>P13GC00A00 - GAC Ulula</t>
        </is>
      </c>
      <c r="C25" t="inlineStr">
        <is>
          <t>2026-01</t>
        </is>
      </c>
      <c r="D25" s="7" t="n"/>
    </row>
    <row r="26">
      <c r="A26" t="inlineStr">
        <is>
          <t xml:space="preserve">Helena Tetteh </t>
        </is>
      </c>
      <c r="B26" t="inlineStr">
        <is>
          <t>P23AC00C00 - FGMC</t>
        </is>
      </c>
      <c r="C26" t="inlineStr">
        <is>
          <t>2026-01</t>
        </is>
      </c>
      <c r="D26" s="7" t="n"/>
    </row>
    <row r="27">
      <c r="A27" t="inlineStr">
        <is>
          <t xml:space="preserve">Helena Tetteh </t>
        </is>
      </c>
      <c r="B27" t="inlineStr">
        <is>
          <t>PCGH761</t>
        </is>
      </c>
      <c r="C27" t="inlineStr">
        <is>
          <t>2026-01</t>
        </is>
      </c>
      <c r="D27" s="7" t="n"/>
    </row>
    <row r="28">
      <c r="A28" t="inlineStr">
        <is>
          <t>James Parker Mckeown</t>
        </is>
      </c>
      <c r="B28" t="inlineStr">
        <is>
          <t>Non-Billable Tasks</t>
        </is>
      </c>
      <c r="C28" t="inlineStr">
        <is>
          <t>2026-01</t>
        </is>
      </c>
      <c r="D28" s="7" t="n"/>
    </row>
    <row r="29">
      <c r="A29" t="inlineStr">
        <is>
          <t>James Parker Mckeown</t>
        </is>
      </c>
      <c r="B29" t="inlineStr">
        <is>
          <t>P23AC00C00 - FGMC</t>
        </is>
      </c>
      <c r="C29" t="inlineStr">
        <is>
          <t>2026-01</t>
        </is>
      </c>
      <c r="D29" s="7" t="n"/>
    </row>
    <row r="30">
      <c r="A30" t="inlineStr">
        <is>
          <t>James Parker Mckeown</t>
        </is>
      </c>
      <c r="B30" t="inlineStr">
        <is>
          <t>PCGH761</t>
        </is>
      </c>
      <c r="C30" t="inlineStr">
        <is>
          <t>2026-01</t>
        </is>
      </c>
      <c r="D30" s="7" t="n"/>
    </row>
    <row r="31">
      <c r="A31" t="inlineStr">
        <is>
          <t>James Parker Mckeown</t>
        </is>
      </c>
      <c r="B31" t="inlineStr">
        <is>
          <t>PCGH762 - GVL HCSA Restoration Project</t>
        </is>
      </c>
      <c r="C31" t="inlineStr">
        <is>
          <t>2026-01</t>
        </is>
      </c>
      <c r="D31" s="7" t="n"/>
    </row>
    <row r="32">
      <c r="A32" t="inlineStr">
        <is>
          <t>James Parker Mckeown</t>
        </is>
      </c>
      <c r="B32" t="inlineStr">
        <is>
          <t>PCGH786 - Impact Level Baseline assessment for FGMC</t>
        </is>
      </c>
      <c r="C32" t="inlineStr">
        <is>
          <t>2026-01</t>
        </is>
      </c>
      <c r="D32" s="7" t="n"/>
    </row>
    <row r="33">
      <c r="A33" t="inlineStr">
        <is>
          <t>Joseph Isaiah Mensah</t>
        </is>
      </c>
      <c r="B33" t="inlineStr">
        <is>
          <t>Internal</t>
        </is>
      </c>
      <c r="C33" t="inlineStr">
        <is>
          <t>2026-01</t>
        </is>
      </c>
      <c r="D33" s="7" t="n"/>
    </row>
    <row r="34">
      <c r="A34" t="inlineStr">
        <is>
          <t>Joseph Isaiah Mensah</t>
        </is>
      </c>
      <c r="B34" t="inlineStr">
        <is>
          <t>Non-Billable Tasks</t>
        </is>
      </c>
      <c r="C34" t="inlineStr">
        <is>
          <t>2026-01</t>
        </is>
      </c>
      <c r="D34" s="7" t="n"/>
    </row>
    <row r="35">
      <c r="A35" t="inlineStr">
        <is>
          <t>Joseph Isaiah Mensah</t>
        </is>
      </c>
      <c r="B35" t="inlineStr">
        <is>
          <t>P13QC00A00 - EFI Programme</t>
        </is>
      </c>
      <c r="C35" t="inlineStr">
        <is>
          <t>2026-01</t>
        </is>
      </c>
      <c r="D35" s="7" t="n"/>
    </row>
    <row r="36">
      <c r="A36" t="inlineStr">
        <is>
          <t>Joseph Isaiah Mensah</t>
        </is>
      </c>
      <c r="B36" t="inlineStr">
        <is>
          <t>P23AC00C00 - FGMC</t>
        </is>
      </c>
      <c r="C36" t="inlineStr">
        <is>
          <t>2026-01</t>
        </is>
      </c>
      <c r="D36" s="7" t="n"/>
    </row>
    <row r="37">
      <c r="A37" t="inlineStr">
        <is>
          <t>Joseph Isaiah Mensah</t>
        </is>
      </c>
      <c r="B37" t="inlineStr">
        <is>
          <t>PCGH753 (General Support )</t>
        </is>
      </c>
      <c r="C37" t="inlineStr">
        <is>
          <t>2026-01</t>
        </is>
      </c>
      <c r="D37" s="7" t="n"/>
    </row>
    <row r="38">
      <c r="A38" t="inlineStr">
        <is>
          <t>Joseph Isaiah Mensah</t>
        </is>
      </c>
      <c r="B38" t="inlineStr">
        <is>
          <t>PCGH755 (Nestle Nigeria)</t>
        </is>
      </c>
      <c r="C38" t="inlineStr">
        <is>
          <t>2026-01</t>
        </is>
      </c>
      <c r="D38" s="7" t="n"/>
    </row>
    <row r="39">
      <c r="A39" t="inlineStr">
        <is>
          <t>Joseph Isaiah Mensah</t>
        </is>
      </c>
      <c r="B39" t="inlineStr">
        <is>
          <t>PCGH762 - GVL HCSA Restoration Project</t>
        </is>
      </c>
      <c r="C39" t="inlineStr">
        <is>
          <t>2026-01</t>
        </is>
      </c>
      <c r="D39" s="7" t="n"/>
    </row>
    <row r="40">
      <c r="A40" t="inlineStr">
        <is>
          <t>Joseph Isaiah Mensah</t>
        </is>
      </c>
      <c r="B40" t="inlineStr">
        <is>
          <t>PCGH775 - ESDD of Valency Operations for FMO</t>
        </is>
      </c>
      <c r="C40" t="inlineStr">
        <is>
          <t>2026-01</t>
        </is>
      </c>
      <c r="D40" s="7" t="n"/>
    </row>
    <row r="41">
      <c r="A41" t="inlineStr">
        <is>
          <t>Kingsley Fitz-Gerald Severine</t>
        </is>
      </c>
      <c r="B41" t="inlineStr">
        <is>
          <t>Non-Billable Tasks</t>
        </is>
      </c>
      <c r="C41" t="inlineStr">
        <is>
          <t>2026-01</t>
        </is>
      </c>
      <c r="D41" s="7" t="n"/>
    </row>
    <row r="42">
      <c r="A42" t="inlineStr">
        <is>
          <t>Kingsley Fitz-Gerald Severine</t>
        </is>
      </c>
      <c r="B42" t="inlineStr">
        <is>
          <t>PCGH686</t>
        </is>
      </c>
      <c r="C42" t="inlineStr">
        <is>
          <t>2026-01</t>
        </is>
      </c>
      <c r="D42" s="7" t="n"/>
    </row>
    <row r="43">
      <c r="A43" t="inlineStr">
        <is>
          <t>Kingsley Fitz-Gerald Severine</t>
        </is>
      </c>
      <c r="B43" t="inlineStr">
        <is>
          <t>PCGH769</t>
        </is>
      </c>
      <c r="C43" t="inlineStr">
        <is>
          <t>2026-01</t>
        </is>
      </c>
      <c r="D43" s="7" t="n"/>
    </row>
    <row r="44">
      <c r="A44" t="inlineStr">
        <is>
          <t>Kingsley Fitz-Gerald Severine</t>
        </is>
      </c>
      <c r="B44" t="inlineStr">
        <is>
          <t>PCGH771</t>
        </is>
      </c>
      <c r="C44" t="inlineStr">
        <is>
          <t>2026-01</t>
        </is>
      </c>
      <c r="D44" s="7" t="n"/>
    </row>
    <row r="45">
      <c r="A45" t="inlineStr">
        <is>
          <t>Kwadwo Baniako Nti</t>
        </is>
      </c>
      <c r="B45" t="inlineStr">
        <is>
          <t>Internal</t>
        </is>
      </c>
      <c r="C45" t="inlineStr">
        <is>
          <t>2026-01</t>
        </is>
      </c>
      <c r="D45" s="7" t="n"/>
    </row>
    <row r="46">
      <c r="A46" t="inlineStr">
        <is>
          <t>Kwadwo Baniako Nti</t>
        </is>
      </c>
      <c r="B46" t="inlineStr">
        <is>
          <t>Non-Billable Tasks</t>
        </is>
      </c>
      <c r="C46" t="inlineStr">
        <is>
          <t>2026-01</t>
        </is>
      </c>
      <c r="D46" s="7" t="n"/>
    </row>
    <row r="47">
      <c r="A47" t="inlineStr">
        <is>
          <t>Kwadwo Baniako Nti</t>
        </is>
      </c>
      <c r="B47" t="inlineStr">
        <is>
          <t>PCGH762 - GVL HCSA Restoration Project</t>
        </is>
      </c>
      <c r="C47" t="inlineStr">
        <is>
          <t>2026-01</t>
        </is>
      </c>
      <c r="D47" s="7" t="n"/>
    </row>
    <row r="48">
      <c r="A48" t="inlineStr">
        <is>
          <t>Louis Defo</t>
        </is>
      </c>
      <c r="B48" t="inlineStr">
        <is>
          <t>Internal</t>
        </is>
      </c>
      <c r="C48" t="inlineStr">
        <is>
          <t>2026-01</t>
        </is>
      </c>
      <c r="D48" s="7" t="n"/>
    </row>
    <row r="49">
      <c r="A49" t="inlineStr">
        <is>
          <t>Louis Defo</t>
        </is>
      </c>
      <c r="B49" t="inlineStr">
        <is>
          <t>Non-Billable Tasks</t>
        </is>
      </c>
      <c r="C49" t="inlineStr">
        <is>
          <t>2026-01</t>
        </is>
      </c>
      <c r="D49" s="7" t="n"/>
    </row>
    <row r="50">
      <c r="A50" t="inlineStr">
        <is>
          <t>Louis Defo</t>
        </is>
      </c>
      <c r="B50" t="inlineStr">
        <is>
          <t>P23AC00C00 - FGMC</t>
        </is>
      </c>
      <c r="C50" t="inlineStr">
        <is>
          <t>2026-01</t>
        </is>
      </c>
      <c r="D50" s="7" t="n"/>
    </row>
    <row r="51">
      <c r="A51" t="inlineStr">
        <is>
          <t>Patricia Offei</t>
        </is>
      </c>
      <c r="B51" t="inlineStr">
        <is>
          <t>Non-Billable Tasks</t>
        </is>
      </c>
      <c r="C51" t="inlineStr">
        <is>
          <t>2026-01</t>
        </is>
      </c>
      <c r="D51" s="7" t="n"/>
    </row>
    <row r="52">
      <c r="A52" t="inlineStr">
        <is>
          <t>Patricia Offei</t>
        </is>
      </c>
      <c r="B52" t="inlineStr">
        <is>
          <t>PCGH775 - ESDD of Valency Operations for FMO</t>
        </is>
      </c>
      <c r="C52" t="inlineStr">
        <is>
          <t>2026-01</t>
        </is>
      </c>
      <c r="D52" s="7" t="n"/>
    </row>
    <row r="53">
      <c r="A53" t="inlineStr">
        <is>
          <t>Patricia Offei</t>
        </is>
      </c>
      <c r="B53" t="inlineStr">
        <is>
          <t>PCGH778 - General Support</t>
        </is>
      </c>
      <c r="C53" t="inlineStr">
        <is>
          <t>2026-01</t>
        </is>
      </c>
      <c r="D53" s="7" t="n"/>
    </row>
    <row r="54">
      <c r="A54" t="inlineStr">
        <is>
          <t>Patricia Offei</t>
        </is>
      </c>
      <c r="B54" t="inlineStr">
        <is>
          <t>PCGH779 - Cote d'Ivoire）</t>
        </is>
      </c>
      <c r="C54" t="inlineStr">
        <is>
          <t>2026-01</t>
        </is>
      </c>
      <c r="D54" s="7" t="n"/>
    </row>
    <row r="55">
      <c r="A55" t="inlineStr">
        <is>
          <t>Stephen Doso</t>
        </is>
      </c>
      <c r="B55" t="inlineStr">
        <is>
          <t>Non-Billable Tasks</t>
        </is>
      </c>
      <c r="C55" t="inlineStr">
        <is>
          <t>2026-01</t>
        </is>
      </c>
      <c r="D55" s="7" t="n"/>
    </row>
    <row r="56">
      <c r="A56" t="inlineStr">
        <is>
          <t>Stephen Doso</t>
        </is>
      </c>
      <c r="B56" t="inlineStr">
        <is>
          <t>PCGH762 - GVL HCSA Restoration Project</t>
        </is>
      </c>
      <c r="C56" t="inlineStr">
        <is>
          <t>2026-01</t>
        </is>
      </c>
      <c r="D56" s="7" t="n"/>
    </row>
    <row r="57">
      <c r="A57" t="inlineStr">
        <is>
          <t>Stephen Doso</t>
        </is>
      </c>
      <c r="B57" t="inlineStr">
        <is>
          <t>PCGH769</t>
        </is>
      </c>
      <c r="C57" t="inlineStr">
        <is>
          <t>2026-01</t>
        </is>
      </c>
      <c r="D57" s="7" t="n"/>
    </row>
    <row r="58">
      <c r="A58" t="inlineStr">
        <is>
          <t>Stephen Doso</t>
        </is>
      </c>
      <c r="B58" t="inlineStr">
        <is>
          <t>PCGH772</t>
        </is>
      </c>
      <c r="C58" t="inlineStr">
        <is>
          <t>2026-01</t>
        </is>
      </c>
      <c r="D58" s="7" t="n"/>
    </row>
    <row r="59">
      <c r="A59" t="inlineStr">
        <is>
          <t>Stephen Doso</t>
        </is>
      </c>
      <c r="B59" t="inlineStr">
        <is>
          <t>PCGH774 -Evaluation Deep-Dive Action Plans by Socfin Group</t>
        </is>
      </c>
      <c r="C59" t="inlineStr">
        <is>
          <t>2026-01</t>
        </is>
      </c>
      <c r="D59" s="7" t="n"/>
    </row>
    <row r="60">
      <c r="A60" t="inlineStr">
        <is>
          <t>Stephen Doso</t>
        </is>
      </c>
      <c r="B60" t="inlineStr">
        <is>
          <t>PCGH775 - ESDD of Valency Operations for FMO</t>
        </is>
      </c>
      <c r="C60" t="inlineStr">
        <is>
          <t>2026-01</t>
        </is>
      </c>
      <c r="D60" s="7" t="n"/>
    </row>
    <row r="61">
      <c r="A61" t="inlineStr">
        <is>
          <t>Adwoa Fremah Ntosour-Amponsem</t>
        </is>
      </c>
      <c r="B61" t="inlineStr">
        <is>
          <t>Internal</t>
        </is>
      </c>
      <c r="C61" t="inlineStr">
        <is>
          <t>2026-02</t>
        </is>
      </c>
      <c r="D61" s="7" t="n"/>
    </row>
    <row r="62">
      <c r="A62" t="inlineStr">
        <is>
          <t>Afua Serwah Akoto Prempeh</t>
        </is>
      </c>
      <c r="B62" t="inlineStr">
        <is>
          <t>Non-Billable Tasks</t>
        </is>
      </c>
      <c r="C62" t="inlineStr">
        <is>
          <t>2026-02</t>
        </is>
      </c>
      <c r="D62" s="7" t="n"/>
    </row>
    <row r="63">
      <c r="A63" t="inlineStr">
        <is>
          <t>Afua Serwah Akoto Prempeh</t>
        </is>
      </c>
      <c r="B63" t="inlineStr">
        <is>
          <t>P23AC00C00 - FGMC</t>
        </is>
      </c>
      <c r="C63" t="inlineStr">
        <is>
          <t>2026-02</t>
        </is>
      </c>
      <c r="D63" s="7" t="n"/>
    </row>
    <row r="64">
      <c r="A64" t="inlineStr">
        <is>
          <t>Augustus Asamoah</t>
        </is>
      </c>
      <c r="B64" t="inlineStr">
        <is>
          <t>Non-Billable Tasks</t>
        </is>
      </c>
      <c r="C64" t="inlineStr">
        <is>
          <t>2026-02</t>
        </is>
      </c>
      <c r="D64" s="7" t="n"/>
    </row>
    <row r="65">
      <c r="A65" t="inlineStr">
        <is>
          <t>Augustus Asamoah</t>
        </is>
      </c>
      <c r="B65" t="inlineStr">
        <is>
          <t>P13NC00A00 - WALMART II</t>
        </is>
      </c>
      <c r="C65" t="inlineStr">
        <is>
          <t>2026-02</t>
        </is>
      </c>
      <c r="D65" s="7" t="n"/>
    </row>
    <row r="66">
      <c r="A66" t="inlineStr">
        <is>
          <t>Augustus Asamoah</t>
        </is>
      </c>
      <c r="B66" t="inlineStr">
        <is>
          <t>P13QC00A00 - EFI Programme</t>
        </is>
      </c>
      <c r="C66" t="inlineStr">
        <is>
          <t>2026-02</t>
        </is>
      </c>
      <c r="D66" s="7" t="n"/>
    </row>
    <row r="67">
      <c r="A67" t="inlineStr">
        <is>
          <t>Augustus Asamoah</t>
        </is>
      </c>
      <c r="B67" t="inlineStr">
        <is>
          <t>PCGH769</t>
        </is>
      </c>
      <c r="C67" t="inlineStr">
        <is>
          <t>2026-02</t>
        </is>
      </c>
      <c r="D67" s="7" t="n"/>
    </row>
    <row r="68">
      <c r="A68" t="inlineStr">
        <is>
          <t>Augustus Asamoah</t>
        </is>
      </c>
      <c r="B68" t="inlineStr">
        <is>
          <t>PCGH771</t>
        </is>
      </c>
      <c r="C68" t="inlineStr">
        <is>
          <t>2026-02</t>
        </is>
      </c>
      <c r="D68" s="7" t="n"/>
    </row>
    <row r="69">
      <c r="A69" t="inlineStr">
        <is>
          <t>Augustus Asamoah</t>
        </is>
      </c>
      <c r="B69" t="inlineStr">
        <is>
          <t>PCGH772</t>
        </is>
      </c>
      <c r="C69" t="inlineStr">
        <is>
          <t>2026-02</t>
        </is>
      </c>
      <c r="D69" s="7" t="n"/>
    </row>
    <row r="70">
      <c r="A70" t="inlineStr">
        <is>
          <t>Augustus Asamoah</t>
        </is>
      </c>
      <c r="B70" t="inlineStr">
        <is>
          <t>PCGH784</t>
        </is>
      </c>
      <c r="C70" t="inlineStr">
        <is>
          <t>2026-02</t>
        </is>
      </c>
      <c r="D70" s="7" t="n"/>
    </row>
    <row r="71">
      <c r="A71" t="inlineStr">
        <is>
          <t>Clement Obeng-Manu</t>
        </is>
      </c>
      <c r="B71" t="inlineStr">
        <is>
          <t>PCGH722</t>
        </is>
      </c>
      <c r="C71" t="inlineStr">
        <is>
          <t>2026-02</t>
        </is>
      </c>
      <c r="D71" s="7" t="n"/>
    </row>
    <row r="72">
      <c r="A72" t="inlineStr">
        <is>
          <t>Clement Obeng-Manu</t>
        </is>
      </c>
      <c r="B72" t="inlineStr">
        <is>
          <t>PCGH776 - Deforestation Risk-Assessment Cashew-Coast</t>
        </is>
      </c>
      <c r="C72" t="inlineStr">
        <is>
          <t>2026-02</t>
        </is>
      </c>
      <c r="D72" s="7" t="n"/>
    </row>
    <row r="73">
      <c r="A73" t="inlineStr">
        <is>
          <t>Clement Obeng-Manu</t>
        </is>
      </c>
      <c r="B73" t="inlineStr">
        <is>
          <t>PCGH777</t>
        </is>
      </c>
      <c r="C73" t="inlineStr">
        <is>
          <t>2026-02</t>
        </is>
      </c>
      <c r="D73" s="7" t="n"/>
    </row>
    <row r="74">
      <c r="A74" t="inlineStr">
        <is>
          <t>Daleba Bernard Kpenahi Raymond</t>
        </is>
      </c>
      <c r="B74" t="inlineStr">
        <is>
          <t>P23AC00C00 - FGMC</t>
        </is>
      </c>
      <c r="C74" t="inlineStr">
        <is>
          <t>2026-02</t>
        </is>
      </c>
      <c r="D74" s="7" t="n"/>
    </row>
    <row r="75">
      <c r="A75" t="inlineStr">
        <is>
          <t>Daleba Bernard Kpenahi Raymond</t>
        </is>
      </c>
      <c r="B75" t="inlineStr">
        <is>
          <t>PCGH754 (Cote D'voire)</t>
        </is>
      </c>
      <c r="C75" t="inlineStr">
        <is>
          <t>2026-02</t>
        </is>
      </c>
      <c r="D75" s="7" t="n"/>
    </row>
    <row r="76">
      <c r="A76" t="inlineStr">
        <is>
          <t>Daleba Bernard Kpenahi Raymond</t>
        </is>
      </c>
      <c r="B76" t="inlineStr">
        <is>
          <t>PCGH775 - ESDD of Valency Operations for FMO</t>
        </is>
      </c>
      <c r="C76" t="inlineStr">
        <is>
          <t>2026-02</t>
        </is>
      </c>
      <c r="D76" s="7" t="n"/>
    </row>
    <row r="77">
      <c r="A77" t="inlineStr">
        <is>
          <t>Ekow Nyamekye Tawiah</t>
        </is>
      </c>
      <c r="B77" t="inlineStr">
        <is>
          <t>Non-Billable Tasks</t>
        </is>
      </c>
      <c r="C77" t="inlineStr">
        <is>
          <t>2026-02</t>
        </is>
      </c>
      <c r="D77" s="7" t="n"/>
    </row>
    <row r="78">
      <c r="A78" t="inlineStr">
        <is>
          <t>Ekow Nyamekye Tawiah</t>
        </is>
      </c>
      <c r="B78" t="inlineStr">
        <is>
          <t>PCGH722</t>
        </is>
      </c>
      <c r="C78" t="inlineStr">
        <is>
          <t>2026-02</t>
        </is>
      </c>
      <c r="D78" s="7" t="n"/>
    </row>
    <row r="79">
      <c r="A79" t="inlineStr">
        <is>
          <t>Ekow Nyamekye Tawiah</t>
        </is>
      </c>
      <c r="B79" t="inlineStr">
        <is>
          <t>PCGH776 - Deforestation Risk-Assessment Cashew-Coast</t>
        </is>
      </c>
      <c r="C79" t="inlineStr">
        <is>
          <t>2026-02</t>
        </is>
      </c>
      <c r="D79" s="7" t="n"/>
    </row>
    <row r="80">
      <c r="A80" t="inlineStr">
        <is>
          <t>Ekow Nyamekye Tawiah</t>
        </is>
      </c>
      <c r="B80" t="inlineStr">
        <is>
          <t>PCGH777</t>
        </is>
      </c>
      <c r="C80" t="inlineStr">
        <is>
          <t>2026-02</t>
        </is>
      </c>
      <c r="D80" s="7" t="n"/>
    </row>
    <row r="81">
      <c r="A81" t="inlineStr">
        <is>
          <t>Ekow Nyamekye Tawiah</t>
        </is>
      </c>
      <c r="B81" t="inlineStr">
        <is>
          <t>PCGH778 - General Support</t>
        </is>
      </c>
      <c r="C81" t="inlineStr">
        <is>
          <t>2026-02</t>
        </is>
      </c>
      <c r="D81" s="7" t="n"/>
    </row>
    <row r="82">
      <c r="A82" t="inlineStr">
        <is>
          <t>Frederick Antwi</t>
        </is>
      </c>
      <c r="B82" t="inlineStr">
        <is>
          <t>P13NC00A00 - WALMART II</t>
        </is>
      </c>
      <c r="C82" t="inlineStr">
        <is>
          <t>2026-02</t>
        </is>
      </c>
      <c r="D82" s="7" t="n"/>
    </row>
    <row r="83">
      <c r="A83" t="inlineStr">
        <is>
          <t>Frederick Antwi</t>
        </is>
      </c>
      <c r="B83" t="inlineStr">
        <is>
          <t>P13PC00A00 - Private Sector Companies</t>
        </is>
      </c>
      <c r="C83" t="inlineStr">
        <is>
          <t>2026-02</t>
        </is>
      </c>
      <c r="D83" s="7" t="n"/>
    </row>
    <row r="84">
      <c r="A84" t="inlineStr">
        <is>
          <t>Frederick Antwi</t>
        </is>
      </c>
      <c r="B84" t="inlineStr">
        <is>
          <t>PCGH768</t>
        </is>
      </c>
      <c r="C84" t="inlineStr">
        <is>
          <t>2026-02</t>
        </is>
      </c>
      <c r="D84" s="7" t="n"/>
    </row>
    <row r="85">
      <c r="A85" t="inlineStr">
        <is>
          <t>Frederick Antwi</t>
        </is>
      </c>
      <c r="B85" t="inlineStr">
        <is>
          <t>PCGH777</t>
        </is>
      </c>
      <c r="C85" t="inlineStr">
        <is>
          <t>2026-02</t>
        </is>
      </c>
      <c r="D85" s="7" t="n"/>
    </row>
    <row r="86">
      <c r="A86" t="inlineStr">
        <is>
          <t xml:space="preserve">Helena Tetteh </t>
        </is>
      </c>
      <c r="B86" t="inlineStr">
        <is>
          <t>Non-Billable Tasks</t>
        </is>
      </c>
      <c r="C86" t="inlineStr">
        <is>
          <t>2026-02</t>
        </is>
      </c>
      <c r="D86" s="7" t="n"/>
    </row>
    <row r="87">
      <c r="A87" t="inlineStr">
        <is>
          <t xml:space="preserve">Helena Tetteh </t>
        </is>
      </c>
      <c r="B87" t="inlineStr">
        <is>
          <t>P13GC00A00 - GAC Ulula</t>
        </is>
      </c>
      <c r="C87" t="inlineStr">
        <is>
          <t>2026-02</t>
        </is>
      </c>
      <c r="D87" s="7" t="n"/>
    </row>
    <row r="88">
      <c r="A88" t="inlineStr">
        <is>
          <t xml:space="preserve">Helena Tetteh </t>
        </is>
      </c>
      <c r="B88" t="inlineStr">
        <is>
          <t>P23AC00C00 - FGMC</t>
        </is>
      </c>
      <c r="C88" t="inlineStr">
        <is>
          <t>2026-02</t>
        </is>
      </c>
      <c r="D88" s="7" t="n"/>
    </row>
    <row r="89">
      <c r="A89" t="inlineStr">
        <is>
          <t xml:space="preserve">Helena Tetteh </t>
        </is>
      </c>
      <c r="B89" t="inlineStr">
        <is>
          <t>PCGH761</t>
        </is>
      </c>
      <c r="C89" t="inlineStr">
        <is>
          <t>2026-02</t>
        </is>
      </c>
      <c r="D89" s="7" t="n"/>
    </row>
    <row r="90">
      <c r="A90" t="inlineStr">
        <is>
          <t xml:space="preserve">Helena Tetteh </t>
        </is>
      </c>
      <c r="B90" t="inlineStr">
        <is>
          <t>PCGH762 - GVL HCSA Restoration Project</t>
        </is>
      </c>
      <c r="C90" t="inlineStr">
        <is>
          <t>2026-02</t>
        </is>
      </c>
      <c r="D90" s="7" t="n"/>
    </row>
    <row r="91">
      <c r="A91" t="inlineStr">
        <is>
          <t>Jacqueline Nyakutse Afua</t>
        </is>
      </c>
      <c r="B91" t="inlineStr">
        <is>
          <t>Non-Billable Tasks</t>
        </is>
      </c>
      <c r="C91" t="inlineStr">
        <is>
          <t>2026-02</t>
        </is>
      </c>
      <c r="D91" s="7" t="n"/>
    </row>
    <row r="92">
      <c r="A92" t="inlineStr">
        <is>
          <t>Jacqueline Nyakutse Afua</t>
        </is>
      </c>
      <c r="B92" t="inlineStr">
        <is>
          <t>P13QC00A00 - EFI Programme</t>
        </is>
      </c>
      <c r="C92" t="inlineStr">
        <is>
          <t>2026-02</t>
        </is>
      </c>
      <c r="D92" s="7" t="n"/>
    </row>
    <row r="93">
      <c r="A93" t="inlineStr">
        <is>
          <t>Jacqueline Nyakutse Afua</t>
        </is>
      </c>
      <c r="B93" t="inlineStr">
        <is>
          <t>P23AC00C00 - FGMC</t>
        </is>
      </c>
      <c r="C93" t="inlineStr">
        <is>
          <t>2026-02</t>
        </is>
      </c>
      <c r="D93" s="7" t="n"/>
    </row>
    <row r="94">
      <c r="A94" t="inlineStr">
        <is>
          <t>Jacqueline Nyakutse Afua</t>
        </is>
      </c>
      <c r="B94" t="inlineStr">
        <is>
          <t>PCGH775 - ESDD of Valency Operations for FMO</t>
        </is>
      </c>
      <c r="C94" t="inlineStr">
        <is>
          <t>2026-02</t>
        </is>
      </c>
      <c r="D94" s="7" t="n"/>
    </row>
    <row r="95">
      <c r="A95" t="inlineStr">
        <is>
          <t>Jacqueline Nyakutse Afua</t>
        </is>
      </c>
      <c r="B95" t="inlineStr">
        <is>
          <t>PCGH778 - General Support</t>
        </is>
      </c>
      <c r="C95" t="inlineStr">
        <is>
          <t>2026-02</t>
        </is>
      </c>
      <c r="D95" s="7" t="n"/>
    </row>
    <row r="96">
      <c r="A96" t="inlineStr">
        <is>
          <t>James Parker Mckeown</t>
        </is>
      </c>
      <c r="B96" t="inlineStr">
        <is>
          <t>Global Internal Projects (GIPs)</t>
        </is>
      </c>
      <c r="C96" t="inlineStr">
        <is>
          <t>2026-02</t>
        </is>
      </c>
      <c r="D96" s="7" t="n"/>
    </row>
    <row r="97">
      <c r="A97" t="inlineStr">
        <is>
          <t>James Parker Mckeown</t>
        </is>
      </c>
      <c r="B97" t="inlineStr">
        <is>
          <t>Non-Billable Tasks</t>
        </is>
      </c>
      <c r="C97" t="inlineStr">
        <is>
          <t>2026-02</t>
        </is>
      </c>
      <c r="D97" s="7" t="n"/>
    </row>
    <row r="98">
      <c r="A98" t="inlineStr">
        <is>
          <t>James Parker Mckeown</t>
        </is>
      </c>
      <c r="B98" t="inlineStr">
        <is>
          <t>P23AC00C00 - FGMC</t>
        </is>
      </c>
      <c r="C98" t="inlineStr">
        <is>
          <t>2026-02</t>
        </is>
      </c>
      <c r="D98" s="7" t="n"/>
    </row>
    <row r="99">
      <c r="A99" t="inlineStr">
        <is>
          <t>James Parker Mckeown</t>
        </is>
      </c>
      <c r="B99" t="inlineStr">
        <is>
          <t>PCGH761</t>
        </is>
      </c>
      <c r="C99" t="inlineStr">
        <is>
          <t>2026-02</t>
        </is>
      </c>
      <c r="D99" s="7" t="n"/>
    </row>
    <row r="100">
      <c r="A100" t="inlineStr">
        <is>
          <t>James Parker Mckeown</t>
        </is>
      </c>
      <c r="B100" t="inlineStr">
        <is>
          <t>PCGH762 - GVL HCSA Restoration Project</t>
        </is>
      </c>
      <c r="C100" t="inlineStr">
        <is>
          <t>2026-02</t>
        </is>
      </c>
      <c r="D100" s="7" t="n"/>
    </row>
    <row r="101">
      <c r="A101" t="inlineStr">
        <is>
          <t>James Parker Mckeown</t>
        </is>
      </c>
      <c r="B101" t="inlineStr">
        <is>
          <t>PCGH763</t>
        </is>
      </c>
      <c r="C101" t="inlineStr">
        <is>
          <t>2026-02</t>
        </is>
      </c>
      <c r="D101" s="7" t="n"/>
    </row>
    <row r="102">
      <c r="A102" t="inlineStr">
        <is>
          <t>James Parker Mckeown</t>
        </is>
      </c>
      <c r="B102" t="inlineStr">
        <is>
          <t>PCGH786 - Impact Level Baseline assessment for FGMC</t>
        </is>
      </c>
      <c r="C102" t="inlineStr">
        <is>
          <t>2026-02</t>
        </is>
      </c>
      <c r="D102" s="7" t="n"/>
    </row>
    <row r="103">
      <c r="A103" t="inlineStr">
        <is>
          <t>Joseph Isaiah Mensah</t>
        </is>
      </c>
      <c r="B103" t="inlineStr">
        <is>
          <t>Non-Billable Tasks</t>
        </is>
      </c>
      <c r="C103" t="inlineStr">
        <is>
          <t>2026-02</t>
        </is>
      </c>
      <c r="D103" s="7" t="n"/>
    </row>
    <row r="104">
      <c r="A104" t="inlineStr">
        <is>
          <t>Joseph Isaiah Mensah</t>
        </is>
      </c>
      <c r="B104" t="inlineStr">
        <is>
          <t>P13QC00A00 - EFI Programme</t>
        </is>
      </c>
      <c r="C104" t="inlineStr">
        <is>
          <t>2026-02</t>
        </is>
      </c>
      <c r="D104" s="7" t="n"/>
    </row>
    <row r="105">
      <c r="A105" t="inlineStr">
        <is>
          <t>Joseph Isaiah Mensah</t>
        </is>
      </c>
      <c r="B105" t="inlineStr">
        <is>
          <t>P23AC00C00 - FGMC</t>
        </is>
      </c>
      <c r="C105" t="inlineStr">
        <is>
          <t>2026-02</t>
        </is>
      </c>
      <c r="D105" s="7" t="n"/>
    </row>
    <row r="106">
      <c r="A106" t="inlineStr">
        <is>
          <t>Joseph Isaiah Mensah</t>
        </is>
      </c>
      <c r="B106" t="inlineStr">
        <is>
          <t>PCGH722</t>
        </is>
      </c>
      <c r="C106" t="inlineStr">
        <is>
          <t>2026-02</t>
        </is>
      </c>
      <c r="D106" s="7" t="n"/>
    </row>
    <row r="107">
      <c r="A107" t="inlineStr">
        <is>
          <t>Joseph Isaiah Mensah</t>
        </is>
      </c>
      <c r="B107" t="inlineStr">
        <is>
          <t>PCGH774 -Evaluation Deep-Dive Action Plans by Socfin Group</t>
        </is>
      </c>
      <c r="C107" t="inlineStr">
        <is>
          <t>2026-02</t>
        </is>
      </c>
      <c r="D107" s="7" t="n"/>
    </row>
    <row r="108">
      <c r="A108" t="inlineStr">
        <is>
          <t>Joseph Isaiah Mensah</t>
        </is>
      </c>
      <c r="B108" t="inlineStr">
        <is>
          <t>PCGH775 - ESDD of Valency Operations for FMO</t>
        </is>
      </c>
      <c r="C108" t="inlineStr">
        <is>
          <t>2026-02</t>
        </is>
      </c>
      <c r="D108" s="7" t="n"/>
    </row>
    <row r="109">
      <c r="A109" t="inlineStr">
        <is>
          <t>Joseph Isaiah Mensah</t>
        </is>
      </c>
      <c r="B109" t="inlineStr">
        <is>
          <t>PCGH778 - General Support</t>
        </is>
      </c>
      <c r="C109" t="inlineStr">
        <is>
          <t>2026-02</t>
        </is>
      </c>
      <c r="D109" s="7" t="n"/>
    </row>
    <row r="110">
      <c r="A110" t="inlineStr">
        <is>
          <t>Joseph Isaiah Mensah</t>
        </is>
      </c>
      <c r="B110" t="inlineStr">
        <is>
          <t>PCGH780 - Nigeria</t>
        </is>
      </c>
      <c r="C110" t="inlineStr">
        <is>
          <t>2026-02</t>
        </is>
      </c>
      <c r="D110" s="7" t="n"/>
    </row>
    <row r="111">
      <c r="A111" t="inlineStr">
        <is>
          <t>Kingsley Fitz-Gerald Severine</t>
        </is>
      </c>
      <c r="B111" t="inlineStr">
        <is>
          <t>Non-Billable Tasks</t>
        </is>
      </c>
      <c r="C111" t="inlineStr">
        <is>
          <t>2026-02</t>
        </is>
      </c>
      <c r="D111" s="7" t="n"/>
    </row>
    <row r="112">
      <c r="A112" t="inlineStr">
        <is>
          <t>Kingsley Fitz-Gerald Severine</t>
        </is>
      </c>
      <c r="B112" t="inlineStr">
        <is>
          <t>PCGH771</t>
        </is>
      </c>
      <c r="C112" t="inlineStr">
        <is>
          <t>2026-02</t>
        </is>
      </c>
      <c r="D112" s="7" t="n"/>
    </row>
    <row r="113">
      <c r="A113" t="inlineStr">
        <is>
          <t>Kingsley Fitz-Gerald Severine</t>
        </is>
      </c>
      <c r="B113" t="inlineStr">
        <is>
          <t>PCGH772</t>
        </is>
      </c>
      <c r="C113" t="inlineStr">
        <is>
          <t>2026-02</t>
        </is>
      </c>
      <c r="D113" s="7" t="n"/>
    </row>
    <row r="114">
      <c r="A114" t="inlineStr">
        <is>
          <t>Kingsley Fitz-Gerald Severine</t>
        </is>
      </c>
      <c r="B114" t="inlineStr">
        <is>
          <t>PCGH784</t>
        </is>
      </c>
      <c r="C114" t="inlineStr">
        <is>
          <t>2026-02</t>
        </is>
      </c>
      <c r="D114" s="7" t="n"/>
    </row>
    <row r="115">
      <c r="A115" t="inlineStr">
        <is>
          <t>Kwadwo Baniako Nti</t>
        </is>
      </c>
      <c r="B115" t="inlineStr">
        <is>
          <t>Non-Billable Tasks</t>
        </is>
      </c>
      <c r="C115" t="inlineStr">
        <is>
          <t>2026-02</t>
        </is>
      </c>
      <c r="D115" s="7" t="n"/>
    </row>
    <row r="116">
      <c r="A116" t="inlineStr">
        <is>
          <t>Kwadwo Baniako Nti</t>
        </is>
      </c>
      <c r="B116" t="inlineStr">
        <is>
          <t>PCGH762 - GVL HCSA Restoration Project</t>
        </is>
      </c>
      <c r="C116" t="inlineStr">
        <is>
          <t>2026-02</t>
        </is>
      </c>
      <c r="D116" s="7" t="n"/>
    </row>
    <row r="117">
      <c r="A117" t="inlineStr">
        <is>
          <t>Kwadwo Baniako Nti</t>
        </is>
      </c>
      <c r="B117" t="inlineStr">
        <is>
          <t>PCGH774 -Evaluation Deep-Dive Action Plans by Socfin Group</t>
        </is>
      </c>
      <c r="C117" t="inlineStr">
        <is>
          <t>2026-02</t>
        </is>
      </c>
      <c r="D117" s="7" t="n"/>
    </row>
    <row r="118">
      <c r="A118" t="inlineStr">
        <is>
          <t>Kwadwo Baniako Nti</t>
        </is>
      </c>
      <c r="B118" t="inlineStr">
        <is>
          <t>PCGH775 - ESDD of Valency Operations for FMO</t>
        </is>
      </c>
      <c r="C118" t="inlineStr">
        <is>
          <t>2026-02</t>
        </is>
      </c>
      <c r="D118" s="7" t="n"/>
    </row>
    <row r="119">
      <c r="A119" t="inlineStr">
        <is>
          <t>Louis Defo</t>
        </is>
      </c>
      <c r="B119" t="inlineStr">
        <is>
          <t>Non-Billable Tasks</t>
        </is>
      </c>
      <c r="C119" t="inlineStr">
        <is>
          <t>2026-02</t>
        </is>
      </c>
      <c r="D119" s="7" t="n"/>
    </row>
    <row r="120">
      <c r="A120" t="inlineStr">
        <is>
          <t>Louis Defo</t>
        </is>
      </c>
      <c r="B120" t="inlineStr">
        <is>
          <t>P13LC00A00 - FAO Support in Cameroon</t>
        </is>
      </c>
      <c r="C120" t="inlineStr">
        <is>
          <t>2026-02</t>
        </is>
      </c>
      <c r="D120" s="7" t="n"/>
    </row>
    <row r="121">
      <c r="A121" t="inlineStr">
        <is>
          <t>Louis Defo</t>
        </is>
      </c>
      <c r="B121" t="inlineStr">
        <is>
          <t>P23AC00C00 - FGMC</t>
        </is>
      </c>
      <c r="C121" t="inlineStr">
        <is>
          <t>2026-02</t>
        </is>
      </c>
      <c r="D121" s="7" t="n"/>
    </row>
    <row r="122">
      <c r="A122" t="inlineStr">
        <is>
          <t>Louis Defo</t>
        </is>
      </c>
      <c r="B122" t="inlineStr">
        <is>
          <t>PCGH787</t>
        </is>
      </c>
      <c r="C122" t="inlineStr">
        <is>
          <t>2026-02</t>
        </is>
      </c>
      <c r="D122" s="7" t="n"/>
    </row>
    <row r="123">
      <c r="A123" t="inlineStr">
        <is>
          <t>Patricia Offei</t>
        </is>
      </c>
      <c r="B123" t="inlineStr">
        <is>
          <t>PCGH775 - ESDD of Valency Operations for FMO</t>
        </is>
      </c>
      <c r="C123" t="inlineStr">
        <is>
          <t>2026-02</t>
        </is>
      </c>
      <c r="D123" s="7" t="n"/>
    </row>
    <row r="124">
      <c r="A124" t="inlineStr">
        <is>
          <t>Stephen Doso</t>
        </is>
      </c>
      <c r="B124" t="inlineStr">
        <is>
          <t>PCGH774 -Evaluation Deep-Dive Action Plans by Socfin Group</t>
        </is>
      </c>
      <c r="C124" t="inlineStr">
        <is>
          <t>2026-02</t>
        </is>
      </c>
      <c r="D124" s="7" t="n"/>
    </row>
    <row r="125">
      <c r="A125" t="inlineStr">
        <is>
          <t>Stephen Doso</t>
        </is>
      </c>
      <c r="B125" t="inlineStr">
        <is>
          <t>PCGH775 - ESDD of Valency Operations for FMO</t>
        </is>
      </c>
      <c r="C125" t="inlineStr">
        <is>
          <t>2026-02</t>
        </is>
      </c>
      <c r="D125" s="7" t="n"/>
    </row>
    <row r="126">
      <c r="A126" t="inlineStr">
        <is>
          <t>Stephen Doso</t>
        </is>
      </c>
      <c r="B126" t="inlineStr">
        <is>
          <t>PCGH784</t>
        </is>
      </c>
      <c r="C126" t="inlineStr">
        <is>
          <t>2026-02</t>
        </is>
      </c>
      <c r="D126" s="7" t="n"/>
    </row>
    <row r="127">
      <c r="A127" t="inlineStr">
        <is>
          <t>Abel Ansu</t>
        </is>
      </c>
      <c r="B127" t="inlineStr">
        <is>
          <t>Internal</t>
        </is>
      </c>
      <c r="C127" t="inlineStr">
        <is>
          <t>2026-03</t>
        </is>
      </c>
      <c r="D127" s="7" t="n"/>
    </row>
    <row r="128">
      <c r="A128" t="inlineStr">
        <is>
          <t>Adwoa Fremah Ntosour-Amponsem</t>
        </is>
      </c>
      <c r="B128" t="inlineStr">
        <is>
          <t>Internal</t>
        </is>
      </c>
      <c r="C128" t="inlineStr">
        <is>
          <t>2026-03</t>
        </is>
      </c>
      <c r="D128" s="7" t="n"/>
    </row>
    <row r="129">
      <c r="A129" t="inlineStr">
        <is>
          <t>Afua Serwah Akoto Prempeh</t>
        </is>
      </c>
      <c r="B129" t="inlineStr">
        <is>
          <t>Non-Billable Tasks</t>
        </is>
      </c>
      <c r="C129" t="inlineStr">
        <is>
          <t>2026-03</t>
        </is>
      </c>
      <c r="D129" s="7" t="n"/>
    </row>
    <row r="130">
      <c r="A130" t="inlineStr">
        <is>
          <t>Afua Serwah Akoto Prempeh</t>
        </is>
      </c>
      <c r="B130" t="inlineStr">
        <is>
          <t>P23AC00C00 - FGMC</t>
        </is>
      </c>
      <c r="C130" t="inlineStr">
        <is>
          <t>2026-03</t>
        </is>
      </c>
      <c r="D130" s="7" t="n"/>
    </row>
    <row r="131">
      <c r="A131" t="inlineStr">
        <is>
          <t>Augustus Asamoah</t>
        </is>
      </c>
      <c r="B131" t="inlineStr">
        <is>
          <t>Non-Billable Tasks</t>
        </is>
      </c>
      <c r="C131" t="inlineStr">
        <is>
          <t>2026-03</t>
        </is>
      </c>
      <c r="D131" s="7" t="n"/>
    </row>
    <row r="132">
      <c r="A132" t="inlineStr">
        <is>
          <t>Augustus Asamoah</t>
        </is>
      </c>
      <c r="B132" t="inlineStr">
        <is>
          <t>P13NC00A00 - WALMART II</t>
        </is>
      </c>
      <c r="C132" t="inlineStr">
        <is>
          <t>2026-03</t>
        </is>
      </c>
      <c r="D132" s="7" t="n"/>
    </row>
    <row r="133">
      <c r="A133" t="inlineStr">
        <is>
          <t>Augustus Asamoah</t>
        </is>
      </c>
      <c r="B133" t="inlineStr">
        <is>
          <t>P13PC00A00 - Private Sector Companies</t>
        </is>
      </c>
      <c r="C133" t="inlineStr">
        <is>
          <t>2026-03</t>
        </is>
      </c>
      <c r="D133" s="7" t="n"/>
    </row>
    <row r="134">
      <c r="A134" t="inlineStr">
        <is>
          <t>Augustus Asamoah</t>
        </is>
      </c>
      <c r="B134" t="inlineStr">
        <is>
          <t>P13QC00A00 - EFI Programme</t>
        </is>
      </c>
      <c r="C134" t="inlineStr">
        <is>
          <t>2026-03</t>
        </is>
      </c>
      <c r="D134" s="7" t="n"/>
    </row>
    <row r="135">
      <c r="A135" t="inlineStr">
        <is>
          <t>Augustus Asamoah</t>
        </is>
      </c>
      <c r="B135" t="inlineStr">
        <is>
          <t>PCGH784</t>
        </is>
      </c>
      <c r="C135" t="inlineStr">
        <is>
          <t>2026-03</t>
        </is>
      </c>
      <c r="D135" s="7" t="n"/>
    </row>
    <row r="136">
      <c r="A136" t="inlineStr">
        <is>
          <t>Clement Obeng-Manu</t>
        </is>
      </c>
      <c r="B136" t="inlineStr">
        <is>
          <t>Internal</t>
        </is>
      </c>
      <c r="C136" t="inlineStr">
        <is>
          <t>2026-03</t>
        </is>
      </c>
      <c r="D136" s="7" t="n"/>
    </row>
    <row r="137">
      <c r="A137" t="inlineStr">
        <is>
          <t>Daleba Bernard Kpenahi Raymond</t>
        </is>
      </c>
      <c r="B137" t="inlineStr">
        <is>
          <t>Non-Billable Tasks</t>
        </is>
      </c>
      <c r="C137" t="inlineStr">
        <is>
          <t>2026-03</t>
        </is>
      </c>
      <c r="D137" s="7" t="n"/>
    </row>
    <row r="138">
      <c r="A138" t="inlineStr">
        <is>
          <t>Daleba Bernard Kpenahi Raymond</t>
        </is>
      </c>
      <c r="B138" t="inlineStr">
        <is>
          <t>PCGH754 (Cote D'voire)</t>
        </is>
      </c>
      <c r="C138" t="inlineStr">
        <is>
          <t>2026-03</t>
        </is>
      </c>
      <c r="D138" s="7" t="n"/>
    </row>
    <row r="139">
      <c r="A139" t="inlineStr">
        <is>
          <t>Daleba Bernard Kpenahi Raymond</t>
        </is>
      </c>
      <c r="B139" t="inlineStr">
        <is>
          <t>PCGH774 -Evaluation Deep-Dive Action Plans by Socfin Group</t>
        </is>
      </c>
      <c r="C139" t="inlineStr">
        <is>
          <t>2026-03</t>
        </is>
      </c>
      <c r="D139" s="7" t="n"/>
    </row>
    <row r="140">
      <c r="A140" t="inlineStr">
        <is>
          <t>Daleba Bernard Kpenahi Raymond</t>
        </is>
      </c>
      <c r="B140" t="inlineStr">
        <is>
          <t>PCGH776 - Deforestation Risk-Assessment Cashew-Coast</t>
        </is>
      </c>
      <c r="C140" t="inlineStr">
        <is>
          <t>2026-03</t>
        </is>
      </c>
      <c r="D140" s="7" t="n"/>
    </row>
    <row r="141">
      <c r="A141" t="inlineStr">
        <is>
          <t>Ekow Nyamekye Tawiah</t>
        </is>
      </c>
      <c r="B141" t="inlineStr">
        <is>
          <t>PCGH776 - Deforestation Risk-Assessment Cashew-Coast</t>
        </is>
      </c>
      <c r="C141" t="inlineStr">
        <is>
          <t>2026-03</t>
        </is>
      </c>
      <c r="D141" s="7" t="n"/>
    </row>
    <row r="142">
      <c r="A142" t="inlineStr">
        <is>
          <t>Ekow Nyamekye Tawiah</t>
        </is>
      </c>
      <c r="B142" t="inlineStr">
        <is>
          <t>PCGH777</t>
        </is>
      </c>
      <c r="C142" t="inlineStr">
        <is>
          <t>2026-03</t>
        </is>
      </c>
      <c r="D142" s="7" t="n"/>
    </row>
    <row r="143">
      <c r="A143" t="inlineStr">
        <is>
          <t>Ekow Nyamekye Tawiah</t>
        </is>
      </c>
      <c r="B143" t="inlineStr">
        <is>
          <t>PCGH779 - Cote d'Ivoire）</t>
        </is>
      </c>
      <c r="C143" t="inlineStr">
        <is>
          <t>2026-03</t>
        </is>
      </c>
      <c r="D143" s="7" t="n"/>
    </row>
    <row r="144">
      <c r="A144" t="inlineStr">
        <is>
          <t>Frederick Antwi</t>
        </is>
      </c>
      <c r="B144" t="inlineStr">
        <is>
          <t>Non-Billable Tasks</t>
        </is>
      </c>
      <c r="C144" t="inlineStr">
        <is>
          <t>2026-03</t>
        </is>
      </c>
      <c r="D144" s="7" t="n"/>
    </row>
    <row r="145">
      <c r="A145" t="inlineStr">
        <is>
          <t>Frederick Antwi</t>
        </is>
      </c>
      <c r="B145" t="inlineStr">
        <is>
          <t>P13NC00A00 - WALMART II</t>
        </is>
      </c>
      <c r="C145" t="inlineStr">
        <is>
          <t>2026-03</t>
        </is>
      </c>
      <c r="D145" s="7" t="n"/>
    </row>
    <row r="146">
      <c r="A146" t="inlineStr">
        <is>
          <t>Frederick Antwi</t>
        </is>
      </c>
      <c r="B146" t="inlineStr">
        <is>
          <t>P13PC00A00 - Private Sector Companies</t>
        </is>
      </c>
      <c r="C146" t="inlineStr">
        <is>
          <t>2026-03</t>
        </is>
      </c>
      <c r="D146" s="7" t="n"/>
    </row>
    <row r="147">
      <c r="A147" t="inlineStr">
        <is>
          <t>Frederick Antwi</t>
        </is>
      </c>
      <c r="B147" t="inlineStr">
        <is>
          <t>PCGH768</t>
        </is>
      </c>
      <c r="C147" t="inlineStr">
        <is>
          <t>2026-03</t>
        </is>
      </c>
      <c r="D147" s="7" t="n"/>
    </row>
    <row r="148">
      <c r="A148" t="inlineStr">
        <is>
          <t>Frederick Antwi</t>
        </is>
      </c>
      <c r="B148" t="inlineStr">
        <is>
          <t>PCGH774 -Evaluation Deep-Dive Action Plans by Socfin Group</t>
        </is>
      </c>
      <c r="C148" t="inlineStr">
        <is>
          <t>2026-03</t>
        </is>
      </c>
      <c r="D148" s="7" t="n"/>
    </row>
    <row r="149">
      <c r="A149" t="inlineStr">
        <is>
          <t xml:space="preserve">Helena Tetteh </t>
        </is>
      </c>
      <c r="B149" t="inlineStr">
        <is>
          <t>Non-Billable Tasks</t>
        </is>
      </c>
      <c r="C149" t="inlineStr">
        <is>
          <t>2026-03</t>
        </is>
      </c>
      <c r="D149" s="7" t="n"/>
    </row>
    <row r="150">
      <c r="A150" t="inlineStr">
        <is>
          <t xml:space="preserve">Helena Tetteh </t>
        </is>
      </c>
      <c r="B150" t="inlineStr">
        <is>
          <t>P23AC00C00 - FGMC</t>
        </is>
      </c>
      <c r="C150" t="inlineStr">
        <is>
          <t>2026-03</t>
        </is>
      </c>
      <c r="D150" s="7" t="n"/>
    </row>
    <row r="151">
      <c r="A151" t="inlineStr">
        <is>
          <t xml:space="preserve">Helena Tetteh </t>
        </is>
      </c>
      <c r="B151" t="inlineStr">
        <is>
          <t>PCGH762 - GVL HCSA Restoration Project</t>
        </is>
      </c>
      <c r="C151" t="inlineStr">
        <is>
          <t>2026-03</t>
        </is>
      </c>
      <c r="D151" s="7" t="n"/>
    </row>
    <row r="152">
      <c r="A152" t="inlineStr">
        <is>
          <t xml:space="preserve">Helena Tetteh </t>
        </is>
      </c>
      <c r="B152" t="inlineStr">
        <is>
          <t>PCGH776 - Deforestation Risk-Assessment Cashew-Coast</t>
        </is>
      </c>
      <c r="C152" t="inlineStr">
        <is>
          <t>2026-03</t>
        </is>
      </c>
      <c r="D152" s="7" t="n"/>
    </row>
    <row r="153">
      <c r="A153" t="inlineStr">
        <is>
          <t>Jacqueline Nyakutse Afua</t>
        </is>
      </c>
      <c r="B153" t="inlineStr">
        <is>
          <t>Non-Billable Tasks</t>
        </is>
      </c>
      <c r="C153" t="inlineStr">
        <is>
          <t>2026-03</t>
        </is>
      </c>
      <c r="D153" s="7" t="n"/>
    </row>
    <row r="154">
      <c r="A154" t="inlineStr">
        <is>
          <t>Jacqueline Nyakutse Afua</t>
        </is>
      </c>
      <c r="B154" t="inlineStr">
        <is>
          <t>P13QC00A00 - EFI Programme</t>
        </is>
      </c>
      <c r="C154" t="inlineStr">
        <is>
          <t>2026-03</t>
        </is>
      </c>
      <c r="D154" s="7" t="n"/>
    </row>
    <row r="155">
      <c r="A155" t="inlineStr">
        <is>
          <t>Jacqueline Nyakutse Afua</t>
        </is>
      </c>
      <c r="B155" t="inlineStr">
        <is>
          <t>P23AC00C00 - FGMC</t>
        </is>
      </c>
      <c r="C155" t="inlineStr">
        <is>
          <t>2026-03</t>
        </is>
      </c>
      <c r="D155" s="7" t="n"/>
    </row>
    <row r="156">
      <c r="A156" t="inlineStr">
        <is>
          <t>Jacqueline Nyakutse Afua</t>
        </is>
      </c>
      <c r="B156" t="inlineStr">
        <is>
          <t>PCGH774 -Evaluation Deep-Dive Action Plans by Socfin Group</t>
        </is>
      </c>
      <c r="C156" t="inlineStr">
        <is>
          <t>2026-03</t>
        </is>
      </c>
      <c r="D156" s="7" t="n"/>
    </row>
    <row r="157">
      <c r="A157" t="inlineStr">
        <is>
          <t>Jacqueline Nyakutse Afua</t>
        </is>
      </c>
      <c r="B157" t="inlineStr">
        <is>
          <t>PCGH775 - ESDD of Valency Operations for FMO</t>
        </is>
      </c>
      <c r="C157" t="inlineStr">
        <is>
          <t>2026-03</t>
        </is>
      </c>
      <c r="D157" s="7" t="n"/>
    </row>
    <row r="158">
      <c r="A158" t="inlineStr">
        <is>
          <t>Jacqueline Nyakutse Afua</t>
        </is>
      </c>
      <c r="B158" t="inlineStr">
        <is>
          <t>PCGH778 - General Support</t>
        </is>
      </c>
      <c r="C158" t="inlineStr">
        <is>
          <t>2026-03</t>
        </is>
      </c>
      <c r="D158" s="7" t="n"/>
    </row>
    <row r="159">
      <c r="A159" t="inlineStr">
        <is>
          <t>Jacqueline Nyakutse Afua</t>
        </is>
      </c>
      <c r="B159" t="inlineStr">
        <is>
          <t>PCGH780 - Nigeria</t>
        </is>
      </c>
      <c r="C159" t="inlineStr">
        <is>
          <t>2026-03</t>
        </is>
      </c>
      <c r="D159" s="7" t="n"/>
    </row>
    <row r="160">
      <c r="A160" t="inlineStr">
        <is>
          <t>Jacqueline Nyakutse Afua</t>
        </is>
      </c>
      <c r="B160" t="inlineStr">
        <is>
          <t>PCGH786 - Impact Level Baseline assessment for FGMC</t>
        </is>
      </c>
      <c r="C160" t="inlineStr">
        <is>
          <t>2026-03</t>
        </is>
      </c>
      <c r="D160" s="7" t="n"/>
    </row>
    <row r="161">
      <c r="A161" t="inlineStr">
        <is>
          <t>James Akossah</t>
        </is>
      </c>
      <c r="B161" t="inlineStr">
        <is>
          <t>Internal</t>
        </is>
      </c>
      <c r="C161" t="inlineStr">
        <is>
          <t>2026-03</t>
        </is>
      </c>
      <c r="D161" s="7" t="n"/>
    </row>
    <row r="162">
      <c r="A162" t="inlineStr">
        <is>
          <t>James Parker Mckeown</t>
        </is>
      </c>
      <c r="B162" t="inlineStr">
        <is>
          <t>Internal</t>
        </is>
      </c>
      <c r="C162" t="inlineStr">
        <is>
          <t>2026-03</t>
        </is>
      </c>
      <c r="D162" s="7" t="n"/>
    </row>
    <row r="163">
      <c r="A163" t="inlineStr">
        <is>
          <t>James Parker Mckeown</t>
        </is>
      </c>
      <c r="B163" t="inlineStr">
        <is>
          <t>Non-Billable Tasks</t>
        </is>
      </c>
      <c r="C163" t="inlineStr">
        <is>
          <t>2026-03</t>
        </is>
      </c>
      <c r="D163" s="7" t="n"/>
    </row>
    <row r="164">
      <c r="A164" t="inlineStr">
        <is>
          <t>James Parker Mckeown</t>
        </is>
      </c>
      <c r="B164" t="inlineStr">
        <is>
          <t>P23AC00C00 - FGMC</t>
        </is>
      </c>
      <c r="C164" t="inlineStr">
        <is>
          <t>2026-03</t>
        </is>
      </c>
      <c r="D164" s="7" t="n"/>
    </row>
    <row r="165">
      <c r="A165" t="inlineStr">
        <is>
          <t>James Parker Mckeown</t>
        </is>
      </c>
      <c r="B165" t="inlineStr">
        <is>
          <t>PCGH762 - GVL HCSA Restoration Project</t>
        </is>
      </c>
      <c r="C165" t="inlineStr">
        <is>
          <t>2026-03</t>
        </is>
      </c>
      <c r="D165" s="7" t="n"/>
    </row>
    <row r="166">
      <c r="A166" t="inlineStr">
        <is>
          <t>James Parker Mckeown</t>
        </is>
      </c>
      <c r="B166" t="inlineStr">
        <is>
          <t>PCGH786 - Impact Level Baseline assessment for FGMC</t>
        </is>
      </c>
      <c r="C166" t="inlineStr">
        <is>
          <t>2026-03</t>
        </is>
      </c>
      <c r="D166" s="7" t="n"/>
    </row>
    <row r="167">
      <c r="A167" t="inlineStr">
        <is>
          <t>Joseph Isaiah Mensah</t>
        </is>
      </c>
      <c r="B167" t="inlineStr">
        <is>
          <t>Non-Billable Tasks</t>
        </is>
      </c>
      <c r="C167" t="inlineStr">
        <is>
          <t>2026-03</t>
        </is>
      </c>
      <c r="D167" s="7" t="n"/>
    </row>
    <row r="168">
      <c r="A168" t="inlineStr">
        <is>
          <t>Joseph Isaiah Mensah</t>
        </is>
      </c>
      <c r="B168" t="inlineStr">
        <is>
          <t>PCGH722</t>
        </is>
      </c>
      <c r="C168" t="inlineStr">
        <is>
          <t>2026-03</t>
        </is>
      </c>
      <c r="D168" s="7" t="n"/>
    </row>
    <row r="169">
      <c r="A169" t="inlineStr">
        <is>
          <t>Joseph Isaiah Mensah</t>
        </is>
      </c>
      <c r="B169" t="inlineStr">
        <is>
          <t>PCGH778 - General Support</t>
        </is>
      </c>
      <c r="C169" t="inlineStr">
        <is>
          <t>2026-03</t>
        </is>
      </c>
      <c r="D169" s="7" t="n"/>
    </row>
    <row r="170">
      <c r="A170" t="inlineStr">
        <is>
          <t>Joseph Isaiah Mensah</t>
        </is>
      </c>
      <c r="B170" t="inlineStr">
        <is>
          <t>PCGH779 - Cote d'Ivoire）</t>
        </is>
      </c>
      <c r="C170" t="inlineStr">
        <is>
          <t>2026-03</t>
        </is>
      </c>
      <c r="D170" s="7" t="n"/>
    </row>
    <row r="171">
      <c r="A171" t="inlineStr">
        <is>
          <t>Kingsley Fitz-Gerald Severine</t>
        </is>
      </c>
      <c r="B171" t="inlineStr">
        <is>
          <t>Non-Billable Tasks</t>
        </is>
      </c>
      <c r="C171" t="inlineStr">
        <is>
          <t>2026-03</t>
        </is>
      </c>
      <c r="D171" s="7" t="n"/>
    </row>
    <row r="172">
      <c r="A172" t="inlineStr">
        <is>
          <t>Kingsley Fitz-Gerald Severine</t>
        </is>
      </c>
      <c r="B172" t="inlineStr">
        <is>
          <t>PCGH785</t>
        </is>
      </c>
      <c r="C172" t="inlineStr">
        <is>
          <t>2026-03</t>
        </is>
      </c>
      <c r="D172" s="7" t="n"/>
    </row>
    <row r="173">
      <c r="A173" t="inlineStr">
        <is>
          <t>Kingsley Fitz-Gerald Severine</t>
        </is>
      </c>
      <c r="B173" t="inlineStr">
        <is>
          <t>PCGH788 - CDC Boa &amp; Mondoni CV-HCS Scoping</t>
        </is>
      </c>
      <c r="C173" t="inlineStr">
        <is>
          <t>2026-03</t>
        </is>
      </c>
      <c r="D173" s="7" t="n"/>
    </row>
    <row r="174">
      <c r="A174" t="inlineStr">
        <is>
          <t>Kwadwo Baniako Nti</t>
        </is>
      </c>
      <c r="B174" t="inlineStr">
        <is>
          <t>Non-Billable Tasks</t>
        </is>
      </c>
      <c r="C174" t="inlineStr">
        <is>
          <t>2026-03</t>
        </is>
      </c>
      <c r="D174" s="7" t="n"/>
    </row>
    <row r="175">
      <c r="A175" t="inlineStr">
        <is>
          <t>Kwadwo Baniako Nti</t>
        </is>
      </c>
      <c r="B175" t="inlineStr">
        <is>
          <t>PCGH762 - GVL HCSA Restoration Project</t>
        </is>
      </c>
      <c r="C175" t="inlineStr">
        <is>
          <t>2026-03</t>
        </is>
      </c>
      <c r="D175" s="7" t="n"/>
    </row>
    <row r="176">
      <c r="A176" t="inlineStr">
        <is>
          <t>Kwadwo Baniako Nti</t>
        </is>
      </c>
      <c r="B176" t="inlineStr">
        <is>
          <t>PCGH774 -Evaluation Deep-Dive Action Plans by Socfin Group</t>
        </is>
      </c>
      <c r="C176" t="inlineStr">
        <is>
          <t>2026-03</t>
        </is>
      </c>
      <c r="D176" s="7" t="n"/>
    </row>
    <row r="177">
      <c r="A177" t="inlineStr">
        <is>
          <t>Kwadwo Baniako Nti</t>
        </is>
      </c>
      <c r="B177" t="inlineStr">
        <is>
          <t>PCGH775 - ESDD of Valency Operations for FMO</t>
        </is>
      </c>
      <c r="C177" t="inlineStr">
        <is>
          <t>2026-03</t>
        </is>
      </c>
      <c r="D177" s="7" t="n"/>
    </row>
    <row r="178">
      <c r="A178" t="inlineStr">
        <is>
          <t>Louis Defo</t>
        </is>
      </c>
      <c r="B178" t="inlineStr">
        <is>
          <t>Non-Billable Tasks</t>
        </is>
      </c>
      <c r="C178" t="inlineStr">
        <is>
          <t>2026-03</t>
        </is>
      </c>
      <c r="D178" s="7" t="n"/>
    </row>
    <row r="179">
      <c r="A179" t="inlineStr">
        <is>
          <t>Louis Defo</t>
        </is>
      </c>
      <c r="B179" t="inlineStr">
        <is>
          <t>P23AC00C00 - FGMC</t>
        </is>
      </c>
      <c r="C179" t="inlineStr">
        <is>
          <t>2026-03</t>
        </is>
      </c>
      <c r="D179" s="7" t="n"/>
    </row>
    <row r="180">
      <c r="A180" t="inlineStr">
        <is>
          <t>Louis Defo</t>
        </is>
      </c>
      <c r="B180" t="inlineStr">
        <is>
          <t>PCGH788 - CDC Boa &amp; Mondoni CV-HCS Scoping</t>
        </is>
      </c>
      <c r="C180" t="inlineStr">
        <is>
          <t>2026-03</t>
        </is>
      </c>
      <c r="D180" s="7" t="n"/>
    </row>
    <row r="181">
      <c r="A181" t="inlineStr">
        <is>
          <t>Naana Agyekum Nkansah</t>
        </is>
      </c>
      <c r="B181" t="inlineStr">
        <is>
          <t>Internal</t>
        </is>
      </c>
      <c r="C181" t="inlineStr">
        <is>
          <t>2026-03</t>
        </is>
      </c>
      <c r="D181" s="7" t="n"/>
    </row>
    <row r="182">
      <c r="A182" t="inlineStr">
        <is>
          <t>Patricia Offei</t>
        </is>
      </c>
      <c r="B182" t="inlineStr">
        <is>
          <t>Internal</t>
        </is>
      </c>
      <c r="C182" t="inlineStr">
        <is>
          <t>2026-03</t>
        </is>
      </c>
      <c r="D182" s="7" t="n"/>
    </row>
    <row r="183">
      <c r="A183" t="inlineStr">
        <is>
          <t>Patricia Offei</t>
        </is>
      </c>
      <c r="B183" t="inlineStr">
        <is>
          <t>Non-Billable Tasks</t>
        </is>
      </c>
      <c r="C183" t="inlineStr">
        <is>
          <t>2026-03</t>
        </is>
      </c>
      <c r="D183" s="7" t="n"/>
    </row>
    <row r="184">
      <c r="A184" t="inlineStr">
        <is>
          <t>Patricia Offei</t>
        </is>
      </c>
      <c r="B184" t="inlineStr">
        <is>
          <t>PCGH778 - General Support</t>
        </is>
      </c>
      <c r="C184" t="inlineStr">
        <is>
          <t>2026-03</t>
        </is>
      </c>
      <c r="D184" s="7" t="n"/>
    </row>
    <row r="185">
      <c r="A185" t="inlineStr">
        <is>
          <t>Patricia Offei</t>
        </is>
      </c>
      <c r="B185" t="inlineStr">
        <is>
          <t>PCGH779 - Cote d'Ivoire）</t>
        </is>
      </c>
      <c r="C185" t="inlineStr">
        <is>
          <t>2026-03</t>
        </is>
      </c>
      <c r="D185" s="7" t="n"/>
    </row>
    <row r="186">
      <c r="A186" t="inlineStr">
        <is>
          <t>Stephen Doso</t>
        </is>
      </c>
      <c r="B186" t="inlineStr">
        <is>
          <t>Internal</t>
        </is>
      </c>
      <c r="C186" t="inlineStr">
        <is>
          <t>2026-03</t>
        </is>
      </c>
      <c r="D186" s="7" t="n"/>
    </row>
    <row r="187">
      <c r="A187" t="inlineStr">
        <is>
          <t>Stephen Doso</t>
        </is>
      </c>
      <c r="B187" t="inlineStr">
        <is>
          <t>Non-Billable Tasks</t>
        </is>
      </c>
      <c r="C187" t="inlineStr">
        <is>
          <t>2026-03</t>
        </is>
      </c>
      <c r="D187" s="7" t="n"/>
    </row>
    <row r="188">
      <c r="A188" t="inlineStr">
        <is>
          <t>Stephen Doso</t>
        </is>
      </c>
      <c r="B188" t="inlineStr">
        <is>
          <t>PCGH774 -Evaluation Deep-Dive Action Plans by Socfin Group</t>
        </is>
      </c>
      <c r="C188" t="inlineStr">
        <is>
          <t>2026-03</t>
        </is>
      </c>
      <c r="D188" s="7" t="n"/>
    </row>
    <row r="189">
      <c r="A189" t="inlineStr">
        <is>
          <t>Stephen Doso</t>
        </is>
      </c>
      <c r="B189" t="inlineStr">
        <is>
          <t>PCGH775 - ESDD of Valency Operations for FMO</t>
        </is>
      </c>
      <c r="C189" t="inlineStr">
        <is>
          <t>2026-03</t>
        </is>
      </c>
      <c r="D189" s="7" t="n"/>
    </row>
    <row r="190">
      <c r="A190" t="inlineStr">
        <is>
          <t>Stephen Doso</t>
        </is>
      </c>
      <c r="B190" t="inlineStr">
        <is>
          <t>PCGH784</t>
        </is>
      </c>
      <c r="C190" t="inlineStr">
        <is>
          <t>2026-03</t>
        </is>
      </c>
      <c r="D190" s="7" t="n"/>
    </row>
    <row r="191">
      <c r="A191" t="inlineStr">
        <is>
          <t>Stephen Doso</t>
        </is>
      </c>
      <c r="B191" t="inlineStr">
        <is>
          <t>PCGH785</t>
        </is>
      </c>
      <c r="C191" t="inlineStr">
        <is>
          <t>2026-03</t>
        </is>
      </c>
      <c r="D191" s="7" t="n"/>
    </row>
    <row r="192">
      <c r="A192" t="inlineStr">
        <is>
          <t>Stephen Doso</t>
        </is>
      </c>
      <c r="B192" t="inlineStr">
        <is>
          <t>PCGH788 - CDC Boa &amp; Mondoni CV-HCS Scoping</t>
        </is>
      </c>
      <c r="C192" t="inlineStr">
        <is>
          <t>2026-03</t>
        </is>
      </c>
      <c r="D192" s="7" t="n"/>
    </row>
    <row r="193">
      <c r="A193" t="inlineStr">
        <is>
          <t>Abel Ansu</t>
        </is>
      </c>
      <c r="B193" t="inlineStr">
        <is>
          <t>Internal</t>
        </is>
      </c>
      <c r="C193" t="inlineStr">
        <is>
          <t>2026-04</t>
        </is>
      </c>
      <c r="D193" s="7" t="n"/>
    </row>
    <row r="194">
      <c r="A194" t="inlineStr">
        <is>
          <t>Adwoa Fremah Ntosour-Amponsem</t>
        </is>
      </c>
      <c r="B194" t="inlineStr">
        <is>
          <t>Internal</t>
        </is>
      </c>
      <c r="C194" t="inlineStr">
        <is>
          <t>2026-04</t>
        </is>
      </c>
      <c r="D194" s="7" t="n"/>
    </row>
    <row r="195">
      <c r="A195" t="inlineStr">
        <is>
          <t>Afua Serwah Akoto Prempeh</t>
        </is>
      </c>
      <c r="B195" t="inlineStr">
        <is>
          <t>Non-Billable Tasks</t>
        </is>
      </c>
      <c r="C195" t="inlineStr">
        <is>
          <t>2026-04</t>
        </is>
      </c>
      <c r="D195" s="7" t="n"/>
    </row>
    <row r="196">
      <c r="A196" t="inlineStr">
        <is>
          <t>Augustus Asamoah</t>
        </is>
      </c>
      <c r="B196" t="inlineStr">
        <is>
          <t>Internal</t>
        </is>
      </c>
      <c r="C196" t="inlineStr">
        <is>
          <t>2026-04</t>
        </is>
      </c>
      <c r="D196" s="7" t="n"/>
    </row>
    <row r="197">
      <c r="A197" t="inlineStr">
        <is>
          <t>Augustus Asamoah</t>
        </is>
      </c>
      <c r="B197" t="inlineStr">
        <is>
          <t>Non-Billable Tasks</t>
        </is>
      </c>
      <c r="C197" t="inlineStr">
        <is>
          <t>2026-04</t>
        </is>
      </c>
      <c r="D197" s="7" t="n"/>
    </row>
    <row r="198">
      <c r="A198" t="inlineStr">
        <is>
          <t>Augustus Asamoah</t>
        </is>
      </c>
      <c r="B198" t="inlineStr">
        <is>
          <t>P13NC00A00 - WALMART II</t>
        </is>
      </c>
      <c r="C198" t="inlineStr">
        <is>
          <t>2026-04</t>
        </is>
      </c>
      <c r="D198" s="7" t="n"/>
    </row>
    <row r="199">
      <c r="A199" t="inlineStr">
        <is>
          <t>Augustus Asamoah</t>
        </is>
      </c>
      <c r="B199" t="inlineStr">
        <is>
          <t>P13PC00A00 - Private Sector Companies</t>
        </is>
      </c>
      <c r="C199" t="inlineStr">
        <is>
          <t>2026-04</t>
        </is>
      </c>
      <c r="D199" s="7" t="n"/>
    </row>
    <row r="200">
      <c r="A200" t="inlineStr">
        <is>
          <t>Augustus Asamoah</t>
        </is>
      </c>
      <c r="B200" t="inlineStr">
        <is>
          <t>P13QC00A00 - EFI Programme</t>
        </is>
      </c>
      <c r="C200" t="inlineStr">
        <is>
          <t>2026-04</t>
        </is>
      </c>
      <c r="D200" s="7" t="n"/>
    </row>
    <row r="201">
      <c r="A201" t="inlineStr">
        <is>
          <t>Augustus Asamoah</t>
        </is>
      </c>
      <c r="B201" t="inlineStr">
        <is>
          <t>PCGH769</t>
        </is>
      </c>
      <c r="C201" t="inlineStr">
        <is>
          <t>2026-04</t>
        </is>
      </c>
      <c r="D201" s="7" t="n"/>
    </row>
    <row r="202">
      <c r="A202" t="inlineStr">
        <is>
          <t>Augustus Asamoah</t>
        </is>
      </c>
      <c r="B202" t="inlineStr">
        <is>
          <t>PCGH784</t>
        </is>
      </c>
      <c r="C202" t="inlineStr">
        <is>
          <t>2026-04</t>
        </is>
      </c>
      <c r="D202" s="7" t="n"/>
    </row>
    <row r="203">
      <c r="A203" t="inlineStr">
        <is>
          <t>Clement Obeng-Manu</t>
        </is>
      </c>
      <c r="B203" t="inlineStr">
        <is>
          <t>Internal</t>
        </is>
      </c>
      <c r="C203" t="inlineStr">
        <is>
          <t>2026-04</t>
        </is>
      </c>
      <c r="D203" s="7" t="n"/>
    </row>
    <row r="204">
      <c r="A204" t="inlineStr">
        <is>
          <t>Clement Obeng-Manu</t>
        </is>
      </c>
      <c r="B204" t="inlineStr">
        <is>
          <t>PCGH777</t>
        </is>
      </c>
      <c r="C204" t="inlineStr">
        <is>
          <t>2026-04</t>
        </is>
      </c>
      <c r="D204" s="7" t="n"/>
    </row>
    <row r="205">
      <c r="A205" t="inlineStr">
        <is>
          <t>Clement Obeng-Manu</t>
        </is>
      </c>
      <c r="B205" t="inlineStr">
        <is>
          <t>PCGH785</t>
        </is>
      </c>
      <c r="C205" t="inlineStr">
        <is>
          <t>2026-04</t>
        </is>
      </c>
      <c r="D205" s="7" t="n"/>
    </row>
    <row r="206">
      <c r="A206" t="inlineStr">
        <is>
          <t>Daleba Bernard Kpenahi Raymond</t>
        </is>
      </c>
      <c r="B206" t="inlineStr">
        <is>
          <t>Internal</t>
        </is>
      </c>
      <c r="C206" t="inlineStr">
        <is>
          <t>2026-04</t>
        </is>
      </c>
      <c r="D206" s="7" t="n"/>
    </row>
    <row r="207">
      <c r="A207" t="inlineStr">
        <is>
          <t>Daleba Bernard Kpenahi Raymond</t>
        </is>
      </c>
      <c r="B207" t="inlineStr">
        <is>
          <t>Non-Billable Tasks</t>
        </is>
      </c>
      <c r="C207" t="inlineStr">
        <is>
          <t>2026-04</t>
        </is>
      </c>
      <c r="D207" s="7" t="n"/>
    </row>
    <row r="208">
      <c r="A208" t="inlineStr">
        <is>
          <t>Daleba Bernard Kpenahi Raymond</t>
        </is>
      </c>
      <c r="B208" t="inlineStr">
        <is>
          <t>PCGH776 - Deforestation Risk-Assessment Cashew-Coast</t>
        </is>
      </c>
      <c r="C208" t="inlineStr">
        <is>
          <t>2026-04</t>
        </is>
      </c>
      <c r="D208" s="7" t="n"/>
    </row>
    <row r="209">
      <c r="A209" t="inlineStr">
        <is>
          <t>Daleba Bernard Kpenahi Raymond</t>
        </is>
      </c>
      <c r="B209" t="inlineStr">
        <is>
          <t>PCGH779 - Cote d'Ivoire）</t>
        </is>
      </c>
      <c r="C209" t="inlineStr">
        <is>
          <t>2026-04</t>
        </is>
      </c>
      <c r="D209" s="7" t="n"/>
    </row>
    <row r="210">
      <c r="A210" t="inlineStr">
        <is>
          <t>Ekow Nyamekye Tawiah</t>
        </is>
      </c>
      <c r="B210" t="inlineStr">
        <is>
          <t>Non-Billable Tasks</t>
        </is>
      </c>
      <c r="C210" t="inlineStr">
        <is>
          <t>2026-04</t>
        </is>
      </c>
      <c r="D210" s="7" t="n"/>
    </row>
    <row r="211">
      <c r="A211" t="inlineStr">
        <is>
          <t>Ekow Nyamekye Tawiah</t>
        </is>
      </c>
      <c r="B211" t="inlineStr">
        <is>
          <t>PCGH776 - Deforestation Risk-Assessment Cashew-Coast</t>
        </is>
      </c>
      <c r="C211" t="inlineStr">
        <is>
          <t>2026-04</t>
        </is>
      </c>
      <c r="D211" s="7" t="n"/>
    </row>
    <row r="212">
      <c r="A212" t="inlineStr">
        <is>
          <t>Ekow Nyamekye Tawiah</t>
        </is>
      </c>
      <c r="B212" t="inlineStr">
        <is>
          <t>PCGH777</t>
        </is>
      </c>
      <c r="C212" t="inlineStr">
        <is>
          <t>2026-04</t>
        </is>
      </c>
      <c r="D212" s="7" t="n"/>
    </row>
    <row r="213">
      <c r="A213" t="inlineStr">
        <is>
          <t>Ekow Nyamekye Tawiah</t>
        </is>
      </c>
      <c r="B213" t="inlineStr">
        <is>
          <t>PCGH778 - General Support</t>
        </is>
      </c>
      <c r="C213" t="inlineStr">
        <is>
          <t>2026-04</t>
        </is>
      </c>
      <c r="D213" s="7" t="n"/>
    </row>
    <row r="214">
      <c r="A214" t="inlineStr">
        <is>
          <t>Ekow Nyamekye Tawiah</t>
        </is>
      </c>
      <c r="B214" t="inlineStr">
        <is>
          <t>PCGH785</t>
        </is>
      </c>
      <c r="C214" t="inlineStr">
        <is>
          <t>2026-04</t>
        </is>
      </c>
      <c r="D214" s="7" t="n"/>
    </row>
    <row r="215">
      <c r="A215" t="inlineStr">
        <is>
          <t>Ernestina Incoom</t>
        </is>
      </c>
      <c r="B215" t="inlineStr">
        <is>
          <t>Internal</t>
        </is>
      </c>
      <c r="C215" t="inlineStr">
        <is>
          <t>2026-04</t>
        </is>
      </c>
      <c r="D215" s="7" t="n"/>
    </row>
    <row r="216">
      <c r="A216" t="inlineStr">
        <is>
          <t>Frederick Antwi</t>
        </is>
      </c>
      <c r="B216" t="inlineStr">
        <is>
          <t>Internal</t>
        </is>
      </c>
      <c r="C216" t="inlineStr">
        <is>
          <t>2026-04</t>
        </is>
      </c>
      <c r="D216" s="7" t="n"/>
    </row>
    <row r="217">
      <c r="A217" t="inlineStr">
        <is>
          <t>Frederick Antwi</t>
        </is>
      </c>
      <c r="B217" t="inlineStr">
        <is>
          <t>P13NC00A00 - WALMART II</t>
        </is>
      </c>
      <c r="C217" t="inlineStr">
        <is>
          <t>2026-04</t>
        </is>
      </c>
      <c r="D217" s="7" t="n"/>
    </row>
    <row r="218">
      <c r="A218" t="inlineStr">
        <is>
          <t>Frederick Antwi</t>
        </is>
      </c>
      <c r="B218" t="inlineStr">
        <is>
          <t>P13PC00A00 - Private Sector Companies</t>
        </is>
      </c>
      <c r="C218" t="inlineStr">
        <is>
          <t>2026-04</t>
        </is>
      </c>
      <c r="D218" s="7" t="n"/>
    </row>
    <row r="219">
      <c r="A219" t="inlineStr">
        <is>
          <t>Frederick Antwi</t>
        </is>
      </c>
      <c r="B219" t="inlineStr">
        <is>
          <t>P13QC00A00 - EFI Programme</t>
        </is>
      </c>
      <c r="C219" t="inlineStr">
        <is>
          <t>2026-04</t>
        </is>
      </c>
      <c r="D219" s="7" t="n"/>
    </row>
    <row r="220">
      <c r="A220" t="inlineStr">
        <is>
          <t>Frederick Antwi</t>
        </is>
      </c>
      <c r="B220" t="inlineStr">
        <is>
          <t>PCGH768</t>
        </is>
      </c>
      <c r="C220" t="inlineStr">
        <is>
          <t>2026-04</t>
        </is>
      </c>
      <c r="D220" s="7" t="n"/>
    </row>
    <row r="221">
      <c r="A221" t="inlineStr">
        <is>
          <t xml:space="preserve">Helena Tetteh </t>
        </is>
      </c>
      <c r="B221" t="inlineStr">
        <is>
          <t>Internal</t>
        </is>
      </c>
      <c r="C221" t="inlineStr">
        <is>
          <t>2026-04</t>
        </is>
      </c>
      <c r="D221" s="7" t="n"/>
    </row>
    <row r="222">
      <c r="A222" t="inlineStr">
        <is>
          <t xml:space="preserve">Helena Tetteh </t>
        </is>
      </c>
      <c r="B222" t="inlineStr">
        <is>
          <t>Non-Billable Tasks</t>
        </is>
      </c>
      <c r="C222" t="inlineStr">
        <is>
          <t>2026-04</t>
        </is>
      </c>
      <c r="D222" s="7" t="n"/>
    </row>
    <row r="223">
      <c r="A223" t="inlineStr">
        <is>
          <t xml:space="preserve">Helena Tetteh </t>
        </is>
      </c>
      <c r="B223" t="inlineStr">
        <is>
          <t>P23AC00C00 - FGMC</t>
        </is>
      </c>
      <c r="C223" t="inlineStr">
        <is>
          <t>2026-04</t>
        </is>
      </c>
      <c r="D223" s="7" t="n"/>
    </row>
    <row r="224">
      <c r="A224" t="inlineStr">
        <is>
          <t>Jacqueline Nyakutse Afua</t>
        </is>
      </c>
      <c r="B224" t="inlineStr">
        <is>
          <t>Non-Billable Tasks</t>
        </is>
      </c>
      <c r="C224" t="inlineStr">
        <is>
          <t>2026-04</t>
        </is>
      </c>
      <c r="D224" s="7" t="n"/>
    </row>
    <row r="225">
      <c r="A225" t="inlineStr">
        <is>
          <t>Jacqueline Nyakutse Afua</t>
        </is>
      </c>
      <c r="B225" t="inlineStr">
        <is>
          <t>P23AC00C00 - FGMC</t>
        </is>
      </c>
      <c r="C225" t="inlineStr">
        <is>
          <t>2026-04</t>
        </is>
      </c>
      <c r="D225" s="7" t="n"/>
    </row>
    <row r="226">
      <c r="A226" t="inlineStr">
        <is>
          <t>Jacqueline Nyakutse Afua</t>
        </is>
      </c>
      <c r="B226" t="inlineStr">
        <is>
          <t>PCGH774 -Evaluation Deep-Dive Action Plans by Socfin Group</t>
        </is>
      </c>
      <c r="C226" t="inlineStr">
        <is>
          <t>2026-04</t>
        </is>
      </c>
      <c r="D226" s="7" t="n"/>
    </row>
    <row r="227">
      <c r="A227" t="inlineStr">
        <is>
          <t>Jacqueline Nyakutse Afua</t>
        </is>
      </c>
      <c r="B227" t="inlineStr">
        <is>
          <t>PCGH780 - Nigeria</t>
        </is>
      </c>
      <c r="C227" t="inlineStr">
        <is>
          <t>2026-04</t>
        </is>
      </c>
      <c r="D227" s="7" t="n"/>
    </row>
    <row r="228">
      <c r="A228" t="inlineStr">
        <is>
          <t>Jacqueline Nyakutse Afua</t>
        </is>
      </c>
      <c r="B228" t="inlineStr">
        <is>
          <t>PCGH786 - Impact Level Baseline assessment for FGMC</t>
        </is>
      </c>
      <c r="C228" t="inlineStr">
        <is>
          <t>2026-04</t>
        </is>
      </c>
      <c r="D228" s="7" t="n"/>
    </row>
    <row r="229">
      <c r="A229" t="inlineStr">
        <is>
          <t>James Parker Mckeown</t>
        </is>
      </c>
      <c r="B229" t="inlineStr">
        <is>
          <t>Global Internal Projects (GIPs)</t>
        </is>
      </c>
      <c r="C229" t="inlineStr">
        <is>
          <t>2026-04</t>
        </is>
      </c>
      <c r="D229" s="7" t="n"/>
    </row>
    <row r="230">
      <c r="A230" t="inlineStr">
        <is>
          <t>James Parker Mckeown</t>
        </is>
      </c>
      <c r="B230" t="inlineStr">
        <is>
          <t>Non-Billable Tasks</t>
        </is>
      </c>
      <c r="C230" t="inlineStr">
        <is>
          <t>2026-04</t>
        </is>
      </c>
      <c r="D230" s="7" t="n"/>
    </row>
    <row r="231">
      <c r="A231" t="inlineStr">
        <is>
          <t>James Parker Mckeown</t>
        </is>
      </c>
      <c r="B231" t="inlineStr">
        <is>
          <t>P23AC00C00 - FGMC</t>
        </is>
      </c>
      <c r="C231" t="inlineStr">
        <is>
          <t>2026-04</t>
        </is>
      </c>
      <c r="D231" s="7" t="n"/>
    </row>
    <row r="232">
      <c r="A232" t="inlineStr">
        <is>
          <t>James Parker Mckeown</t>
        </is>
      </c>
      <c r="B232" t="inlineStr">
        <is>
          <t>PCGH762 - GVL HCSA Restoration Project</t>
        </is>
      </c>
      <c r="C232" t="inlineStr">
        <is>
          <t>2026-04</t>
        </is>
      </c>
      <c r="D232" s="7" t="n"/>
    </row>
    <row r="233">
      <c r="A233" t="inlineStr">
        <is>
          <t>James Parker Mckeown</t>
        </is>
      </c>
      <c r="B233" t="inlineStr">
        <is>
          <t>PCGH786 - Impact Level Baseline assessment for FGMC</t>
        </is>
      </c>
      <c r="C233" t="inlineStr">
        <is>
          <t>2026-04</t>
        </is>
      </c>
      <c r="D233" s="7" t="n"/>
    </row>
    <row r="234">
      <c r="A234" t="inlineStr">
        <is>
          <t>Joseph Isaiah Mensah</t>
        </is>
      </c>
      <c r="B234" t="inlineStr">
        <is>
          <t>Internal</t>
        </is>
      </c>
      <c r="C234" t="inlineStr">
        <is>
          <t>2026-04</t>
        </is>
      </c>
      <c r="D234" s="7" t="n"/>
    </row>
    <row r="235">
      <c r="A235" t="inlineStr">
        <is>
          <t>Joseph Isaiah Mensah</t>
        </is>
      </c>
      <c r="B235" t="inlineStr">
        <is>
          <t>Non-Billable Tasks</t>
        </is>
      </c>
      <c r="C235" t="inlineStr">
        <is>
          <t>2026-04</t>
        </is>
      </c>
      <c r="D235" s="7" t="n"/>
    </row>
    <row r="236">
      <c r="A236" t="inlineStr">
        <is>
          <t>Joseph Isaiah Mensah</t>
        </is>
      </c>
      <c r="B236" t="inlineStr">
        <is>
          <t>PCGH774 -Evaluation Deep-Dive Action Plans by Socfin Group</t>
        </is>
      </c>
      <c r="C236" t="inlineStr">
        <is>
          <t>2026-04</t>
        </is>
      </c>
      <c r="D236" s="7" t="n"/>
    </row>
    <row r="237">
      <c r="A237" t="inlineStr">
        <is>
          <t>Joseph Isaiah Mensah</t>
        </is>
      </c>
      <c r="B237" t="inlineStr">
        <is>
          <t>PCGH778 - General Support</t>
        </is>
      </c>
      <c r="C237" t="inlineStr">
        <is>
          <t>2026-04</t>
        </is>
      </c>
      <c r="D237" s="7" t="n"/>
    </row>
    <row r="238">
      <c r="A238" t="inlineStr">
        <is>
          <t>Kingsley Fitz-Gerald Severine</t>
        </is>
      </c>
      <c r="B238" t="inlineStr">
        <is>
          <t>Non-Billable Tasks</t>
        </is>
      </c>
      <c r="C238" t="inlineStr">
        <is>
          <t>2026-04</t>
        </is>
      </c>
      <c r="D238" s="7" t="n"/>
    </row>
    <row r="239">
      <c r="A239" t="inlineStr">
        <is>
          <t>Kingsley Fitz-Gerald Severine</t>
        </is>
      </c>
      <c r="B239" t="inlineStr">
        <is>
          <t>PCGH784</t>
        </is>
      </c>
      <c r="C239" t="inlineStr">
        <is>
          <t>2026-04</t>
        </is>
      </c>
      <c r="D239" s="7" t="n"/>
    </row>
    <row r="240">
      <c r="A240" t="inlineStr">
        <is>
          <t>Kingsley Fitz-Gerald Severine</t>
        </is>
      </c>
      <c r="B240" t="inlineStr">
        <is>
          <t>PCGH788 - CDC Boa &amp; Mondoni CV-HCS Scoping</t>
        </is>
      </c>
      <c r="C240" t="inlineStr">
        <is>
          <t>2026-04</t>
        </is>
      </c>
      <c r="D240" s="7" t="n"/>
    </row>
    <row r="241">
      <c r="A241" t="inlineStr">
        <is>
          <t>Kingsley Fitz-Gerald Severine</t>
        </is>
      </c>
      <c r="B241" t="inlineStr">
        <is>
          <t>PCGH789 - Valency MSMO EHS audit</t>
        </is>
      </c>
      <c r="C241" t="inlineStr">
        <is>
          <t>2026-04</t>
        </is>
      </c>
      <c r="D241" s="7" t="n"/>
    </row>
    <row r="242">
      <c r="A242" t="inlineStr">
        <is>
          <t>Kingsley Fitz-Gerald Severine</t>
        </is>
      </c>
      <c r="B242" t="inlineStr">
        <is>
          <t>PCGH792</t>
        </is>
      </c>
      <c r="C242" t="inlineStr">
        <is>
          <t>2026-04</t>
        </is>
      </c>
      <c r="D242" s="7" t="n"/>
    </row>
    <row r="243">
      <c r="A243" t="inlineStr">
        <is>
          <t>Kwadwo Baniako Nti</t>
        </is>
      </c>
      <c r="B243" t="inlineStr">
        <is>
          <t>Global Internal Projects (GIPs)</t>
        </is>
      </c>
      <c r="C243" t="inlineStr">
        <is>
          <t>2026-04</t>
        </is>
      </c>
      <c r="D243" s="7" t="n"/>
    </row>
    <row r="244">
      <c r="A244" t="inlineStr">
        <is>
          <t>Kwadwo Baniako Nti</t>
        </is>
      </c>
      <c r="B244" t="inlineStr">
        <is>
          <t>Non-Billable Tasks</t>
        </is>
      </c>
      <c r="C244" t="inlineStr">
        <is>
          <t>2026-04</t>
        </is>
      </c>
      <c r="D244" s="7" t="n"/>
    </row>
    <row r="245">
      <c r="A245" t="inlineStr">
        <is>
          <t>Kwadwo Baniako Nti</t>
        </is>
      </c>
      <c r="B245" t="inlineStr">
        <is>
          <t>PCGH762 - GVL HCSA Restoration Project</t>
        </is>
      </c>
      <c r="C245" t="inlineStr">
        <is>
          <t>2026-04</t>
        </is>
      </c>
      <c r="D245" s="7" t="n"/>
    </row>
    <row r="246">
      <c r="A246" t="inlineStr">
        <is>
          <t>Kwadwo Baniako Nti</t>
        </is>
      </c>
      <c r="B246" t="inlineStr">
        <is>
          <t>PCGH774 -Evaluation Deep-Dive Action Plans by Socfin Group</t>
        </is>
      </c>
      <c r="C246" t="inlineStr">
        <is>
          <t>2026-04</t>
        </is>
      </c>
      <c r="D246" s="7" t="n"/>
    </row>
    <row r="247">
      <c r="A247" t="inlineStr">
        <is>
          <t>Kwadwo Baniako Nti</t>
        </is>
      </c>
      <c r="B247" t="inlineStr">
        <is>
          <t>PCGH775 - ESDD of Valency Operations for FMO</t>
        </is>
      </c>
      <c r="C247" t="inlineStr">
        <is>
          <t>2026-04</t>
        </is>
      </c>
      <c r="D247" s="7" t="n"/>
    </row>
    <row r="248">
      <c r="A248" t="inlineStr">
        <is>
          <t>Kwadwo Baniako Nti</t>
        </is>
      </c>
      <c r="B248" t="inlineStr">
        <is>
          <t>PCGH786 - Impact Level Baseline assessment for FGMC</t>
        </is>
      </c>
      <c r="C248" t="inlineStr">
        <is>
          <t>2026-04</t>
        </is>
      </c>
      <c r="D248" s="7" t="n"/>
    </row>
    <row r="249">
      <c r="A249" t="inlineStr">
        <is>
          <t>Louis Defo</t>
        </is>
      </c>
      <c r="B249" t="inlineStr">
        <is>
          <t>P23AC00C00 - FGMC</t>
        </is>
      </c>
      <c r="C249" t="inlineStr">
        <is>
          <t>2026-04</t>
        </is>
      </c>
      <c r="D249" s="7" t="n"/>
    </row>
    <row r="250">
      <c r="A250" t="inlineStr">
        <is>
          <t>Louis Defo</t>
        </is>
      </c>
      <c r="B250" t="inlineStr">
        <is>
          <t>PCGH774 -Evaluation Deep-Dive Action Plans by Socfin Group</t>
        </is>
      </c>
      <c r="C250" t="inlineStr">
        <is>
          <t>2026-04</t>
        </is>
      </c>
      <c r="D250" s="7" t="n"/>
    </row>
    <row r="251">
      <c r="A251" t="inlineStr">
        <is>
          <t>Patricia Offei</t>
        </is>
      </c>
      <c r="B251" t="inlineStr">
        <is>
          <t>Internal</t>
        </is>
      </c>
      <c r="C251" t="inlineStr">
        <is>
          <t>2026-04</t>
        </is>
      </c>
      <c r="D251" s="7" t="n"/>
    </row>
    <row r="252">
      <c r="A252" t="inlineStr">
        <is>
          <t>Patricia Offei</t>
        </is>
      </c>
      <c r="B252" t="inlineStr">
        <is>
          <t>Non-Billable Tasks</t>
        </is>
      </c>
      <c r="C252" t="inlineStr">
        <is>
          <t>2026-04</t>
        </is>
      </c>
      <c r="D252" s="7" t="n"/>
    </row>
    <row r="253">
      <c r="A253" t="inlineStr">
        <is>
          <t>Patricia Offei</t>
        </is>
      </c>
      <c r="B253" t="inlineStr">
        <is>
          <t>PCGH774 -Evaluation Deep-Dive Action Plans by Socfin Group</t>
        </is>
      </c>
      <c r="C253" t="inlineStr">
        <is>
          <t>2026-04</t>
        </is>
      </c>
      <c r="D253" s="7" t="n"/>
    </row>
    <row r="254">
      <c r="A254" t="inlineStr">
        <is>
          <t>Soro TCHEREGNIMIN</t>
        </is>
      </c>
      <c r="B254" t="inlineStr">
        <is>
          <t>Internal</t>
        </is>
      </c>
      <c r="C254" t="inlineStr">
        <is>
          <t>2026-04</t>
        </is>
      </c>
      <c r="D254" s="7" t="n"/>
    </row>
    <row r="255">
      <c r="A255" t="inlineStr">
        <is>
          <t>Soro TCHEREGNIMIN</t>
        </is>
      </c>
      <c r="B255" t="inlineStr">
        <is>
          <t>Non-Billable Tasks</t>
        </is>
      </c>
      <c r="C255" t="inlineStr">
        <is>
          <t>2026-04</t>
        </is>
      </c>
      <c r="D255" s="7" t="n"/>
    </row>
    <row r="256">
      <c r="A256" t="inlineStr">
        <is>
          <t>Soro TCHEREGNIMIN</t>
        </is>
      </c>
      <c r="B256" t="inlineStr">
        <is>
          <t>PCGH787</t>
        </is>
      </c>
      <c r="C256" t="inlineStr">
        <is>
          <t>2026-04</t>
        </is>
      </c>
      <c r="D256" s="7" t="n"/>
    </row>
    <row r="257">
      <c r="A257" t="inlineStr">
        <is>
          <t>Stephen Doso</t>
        </is>
      </c>
      <c r="B257" t="inlineStr">
        <is>
          <t>Global Internal Projects (GIPs)</t>
        </is>
      </c>
      <c r="C257" t="inlineStr">
        <is>
          <t>2026-04</t>
        </is>
      </c>
      <c r="D257" s="7" t="n"/>
    </row>
    <row r="258">
      <c r="A258" t="inlineStr">
        <is>
          <t>Stephen Doso</t>
        </is>
      </c>
      <c r="B258" t="inlineStr">
        <is>
          <t>Internal</t>
        </is>
      </c>
      <c r="C258" t="inlineStr">
        <is>
          <t>2026-04</t>
        </is>
      </c>
      <c r="D258" s="7" t="n"/>
    </row>
    <row r="259">
      <c r="A259" t="inlineStr">
        <is>
          <t>Stephen Doso</t>
        </is>
      </c>
      <c r="B259" t="inlineStr">
        <is>
          <t>Non-Billable Tasks</t>
        </is>
      </c>
      <c r="C259" t="inlineStr">
        <is>
          <t>2026-04</t>
        </is>
      </c>
      <c r="D259" s="7" t="n"/>
    </row>
    <row r="260">
      <c r="A260" t="inlineStr">
        <is>
          <t>Stephen Doso</t>
        </is>
      </c>
      <c r="B260" t="inlineStr">
        <is>
          <t>PCGH762 - GVL HCSA Restoration Project</t>
        </is>
      </c>
      <c r="C260" t="inlineStr">
        <is>
          <t>2026-04</t>
        </is>
      </c>
      <c r="D260" s="7" t="n"/>
    </row>
    <row r="261">
      <c r="A261" t="inlineStr">
        <is>
          <t>Stephen Doso</t>
        </is>
      </c>
      <c r="B261" t="inlineStr">
        <is>
          <t>PCGH769</t>
        </is>
      </c>
      <c r="C261" t="inlineStr">
        <is>
          <t>2026-04</t>
        </is>
      </c>
      <c r="D261" s="7" t="n"/>
    </row>
    <row r="262">
      <c r="A262" t="inlineStr">
        <is>
          <t>Stephen Doso</t>
        </is>
      </c>
      <c r="B262" t="inlineStr">
        <is>
          <t>PCGH784</t>
        </is>
      </c>
      <c r="C262" t="inlineStr">
        <is>
          <t>2026-04</t>
        </is>
      </c>
      <c r="D262" s="7" t="n"/>
    </row>
    <row r="263">
      <c r="A263" t="inlineStr">
        <is>
          <t>Stephen Doso</t>
        </is>
      </c>
      <c r="B263" t="inlineStr">
        <is>
          <t>PCGH785</t>
        </is>
      </c>
      <c r="C263" t="inlineStr">
        <is>
          <t>2026-04</t>
        </is>
      </c>
      <c r="D263" s="7" t="n"/>
    </row>
    <row r="264">
      <c r="A264" t="inlineStr">
        <is>
          <t>Stephen Doso</t>
        </is>
      </c>
      <c r="B264" t="inlineStr">
        <is>
          <t>PCGH789 - Valency MSMO EHS audit</t>
        </is>
      </c>
      <c r="C264" t="inlineStr">
        <is>
          <t>2026-04</t>
        </is>
      </c>
      <c r="D264" s="7" t="n"/>
    </row>
    <row r="265">
      <c r="A265" t="inlineStr">
        <is>
          <t>Stephen Doso</t>
        </is>
      </c>
      <c r="B265" t="inlineStr">
        <is>
          <t>PCGH792</t>
        </is>
      </c>
      <c r="C265" t="inlineStr">
        <is>
          <t>2026-04</t>
        </is>
      </c>
      <c r="D265" s="7" t="n"/>
    </row>
    <row r="266">
      <c r="A266" t="inlineStr">
        <is>
          <t>Abel Ansu</t>
        </is>
      </c>
      <c r="B266" t="inlineStr">
        <is>
          <t>Internal</t>
        </is>
      </c>
      <c r="C266" t="inlineStr">
        <is>
          <t>2026-05</t>
        </is>
      </c>
      <c r="D266" s="7" t="n"/>
    </row>
    <row r="267">
      <c r="A267" t="inlineStr">
        <is>
          <t>Afua Serwah Akoto Prempeh</t>
        </is>
      </c>
      <c r="B267" t="inlineStr">
        <is>
          <t>Business and Project Management Training</t>
        </is>
      </c>
      <c r="C267" t="inlineStr">
        <is>
          <t>2026-05</t>
        </is>
      </c>
      <c r="D267" s="7" t="n"/>
    </row>
    <row r="268">
      <c r="A268" t="inlineStr">
        <is>
          <t>Afua Serwah Akoto Prempeh</t>
        </is>
      </c>
      <c r="B268" t="inlineStr">
        <is>
          <t>Internal</t>
        </is>
      </c>
      <c r="C268" t="inlineStr">
        <is>
          <t>2026-05</t>
        </is>
      </c>
      <c r="D268" s="7" t="n"/>
    </row>
    <row r="269">
      <c r="A269" t="inlineStr">
        <is>
          <t>Afua Serwah Akoto Prempeh</t>
        </is>
      </c>
      <c r="B269" t="inlineStr">
        <is>
          <t>Non-Billable Tasks</t>
        </is>
      </c>
      <c r="C269" t="inlineStr">
        <is>
          <t>2026-05</t>
        </is>
      </c>
      <c r="D269" s="7" t="n"/>
    </row>
    <row r="270">
      <c r="A270" t="inlineStr">
        <is>
          <t>Augustus Asamoah</t>
        </is>
      </c>
      <c r="B270" t="inlineStr">
        <is>
          <t>Internal</t>
        </is>
      </c>
      <c r="C270" t="inlineStr">
        <is>
          <t>2026-05</t>
        </is>
      </c>
      <c r="D270" s="7" t="n"/>
    </row>
    <row r="271">
      <c r="A271" t="inlineStr">
        <is>
          <t>Augustus Asamoah</t>
        </is>
      </c>
      <c r="B271" t="inlineStr">
        <is>
          <t>Non-Billable Tasks</t>
        </is>
      </c>
      <c r="C271" t="inlineStr">
        <is>
          <t>2026-05</t>
        </is>
      </c>
      <c r="D271" s="7" t="n"/>
    </row>
    <row r="272">
      <c r="A272" t="inlineStr">
        <is>
          <t>Augustus Asamoah</t>
        </is>
      </c>
      <c r="B272" t="inlineStr">
        <is>
          <t>P13NC00A00 - WALMART II</t>
        </is>
      </c>
      <c r="C272" t="inlineStr">
        <is>
          <t>2026-05</t>
        </is>
      </c>
      <c r="D272" s="7" t="n"/>
    </row>
    <row r="273">
      <c r="A273" t="inlineStr">
        <is>
          <t>Augustus Asamoah</t>
        </is>
      </c>
      <c r="B273" t="inlineStr">
        <is>
          <t>P13PC00A00 - Private Sector Companies</t>
        </is>
      </c>
      <c r="C273" t="inlineStr">
        <is>
          <t>2026-05</t>
        </is>
      </c>
      <c r="D273" s="7" t="n"/>
    </row>
    <row r="274">
      <c r="A274" t="inlineStr">
        <is>
          <t>Augustus Asamoah</t>
        </is>
      </c>
      <c r="B274" t="inlineStr">
        <is>
          <t>P13QC00A00 - EFI Programme</t>
        </is>
      </c>
      <c r="C274" t="inlineStr">
        <is>
          <t>2026-05</t>
        </is>
      </c>
      <c r="D274" s="7" t="n"/>
    </row>
    <row r="275">
      <c r="A275" t="inlineStr">
        <is>
          <t>Augustus Asamoah</t>
        </is>
      </c>
      <c r="B275" t="inlineStr">
        <is>
          <t>PCGH784</t>
        </is>
      </c>
      <c r="C275" t="inlineStr">
        <is>
          <t>2026-05</t>
        </is>
      </c>
      <c r="D275" s="7" t="n"/>
    </row>
    <row r="276">
      <c r="A276" t="inlineStr">
        <is>
          <t>Clement Obeng-Manu</t>
        </is>
      </c>
      <c r="B276" t="inlineStr">
        <is>
          <t>PCGH777</t>
        </is>
      </c>
      <c r="C276" t="inlineStr">
        <is>
          <t>2026-05</t>
        </is>
      </c>
      <c r="D276" s="7" t="n"/>
    </row>
    <row r="277">
      <c r="A277" t="inlineStr">
        <is>
          <t>Clement Obeng-Manu</t>
        </is>
      </c>
      <c r="B277" t="inlineStr">
        <is>
          <t>PCGH793</t>
        </is>
      </c>
      <c r="C277" t="inlineStr">
        <is>
          <t>2026-05</t>
        </is>
      </c>
      <c r="D277" s="7" t="n"/>
    </row>
    <row r="278">
      <c r="A278" t="inlineStr">
        <is>
          <t>Daleba Bernard Kpenahi Raymond</t>
        </is>
      </c>
      <c r="B278" t="inlineStr">
        <is>
          <t>Non-Billable Tasks</t>
        </is>
      </c>
      <c r="C278" t="inlineStr">
        <is>
          <t>2026-05</t>
        </is>
      </c>
      <c r="D278" s="7" t="n"/>
    </row>
    <row r="279">
      <c r="A279" t="inlineStr">
        <is>
          <t>Daleba Bernard Kpenahi Raymond</t>
        </is>
      </c>
      <c r="B279" t="inlineStr">
        <is>
          <t>PCGH774 -Evaluation Deep-Dive Action Plans by Socfin Group</t>
        </is>
      </c>
      <c r="C279" t="inlineStr">
        <is>
          <t>2026-05</t>
        </is>
      </c>
      <c r="D279" s="7" t="n"/>
    </row>
    <row r="280">
      <c r="A280" t="inlineStr">
        <is>
          <t>Daleba Bernard Kpenahi Raymond</t>
        </is>
      </c>
      <c r="B280" t="inlineStr">
        <is>
          <t>PCGH779 - Cote d'Ivoire）</t>
        </is>
      </c>
      <c r="C280" t="inlineStr">
        <is>
          <t>2026-05</t>
        </is>
      </c>
      <c r="D280" s="7" t="n"/>
    </row>
    <row r="281">
      <c r="A281" t="inlineStr">
        <is>
          <t>Ekow Nyamekye Tawiah</t>
        </is>
      </c>
      <c r="B281" t="inlineStr">
        <is>
          <t>Global Internal Projects (GIPs)</t>
        </is>
      </c>
      <c r="C281" t="inlineStr">
        <is>
          <t>2026-05</t>
        </is>
      </c>
      <c r="D281" s="7" t="n"/>
    </row>
    <row r="282">
      <c r="A282" t="inlineStr">
        <is>
          <t>Ekow Nyamekye Tawiah</t>
        </is>
      </c>
      <c r="B282" t="inlineStr">
        <is>
          <t>Non-Billable Tasks</t>
        </is>
      </c>
      <c r="C282" t="inlineStr">
        <is>
          <t>2026-05</t>
        </is>
      </c>
      <c r="D282" s="7" t="n"/>
    </row>
    <row r="283">
      <c r="A283" t="inlineStr">
        <is>
          <t>Ekow Nyamekye Tawiah</t>
        </is>
      </c>
      <c r="B283" t="inlineStr">
        <is>
          <t>PCGH722</t>
        </is>
      </c>
      <c r="C283" t="inlineStr">
        <is>
          <t>2026-05</t>
        </is>
      </c>
      <c r="D283" s="7" t="n"/>
    </row>
    <row r="284">
      <c r="A284" t="inlineStr">
        <is>
          <t>Ekow Nyamekye Tawiah</t>
        </is>
      </c>
      <c r="B284" t="inlineStr">
        <is>
          <t>PCGH778 - General Support</t>
        </is>
      </c>
      <c r="C284" t="inlineStr">
        <is>
          <t>2026-05</t>
        </is>
      </c>
      <c r="D284" s="7" t="n"/>
    </row>
    <row r="285">
      <c r="A285" t="inlineStr">
        <is>
          <t>Frederick Antwi</t>
        </is>
      </c>
      <c r="B285" t="inlineStr">
        <is>
          <t>Non-Billable Tasks</t>
        </is>
      </c>
      <c r="C285" t="inlineStr">
        <is>
          <t>2026-05</t>
        </is>
      </c>
      <c r="D285" s="7" t="n"/>
    </row>
    <row r="286">
      <c r="A286" t="inlineStr">
        <is>
          <t>Frederick Antwi</t>
        </is>
      </c>
      <c r="B286" t="inlineStr">
        <is>
          <t>P13NC00A00 - WALMART II</t>
        </is>
      </c>
      <c r="C286" t="inlineStr">
        <is>
          <t>2026-05</t>
        </is>
      </c>
      <c r="D286" s="7" t="n"/>
    </row>
    <row r="287">
      <c r="A287" t="inlineStr">
        <is>
          <t>Frederick Antwi</t>
        </is>
      </c>
      <c r="B287" t="inlineStr">
        <is>
          <t>P13PC00A00 - Private Sector Companies</t>
        </is>
      </c>
      <c r="C287" t="inlineStr">
        <is>
          <t>2026-05</t>
        </is>
      </c>
      <c r="D287" s="7" t="n"/>
    </row>
    <row r="288">
      <c r="A288" t="inlineStr">
        <is>
          <t>Frederick Antwi</t>
        </is>
      </c>
      <c r="B288" t="inlineStr">
        <is>
          <t>P13QC00A00 - EFI Programme</t>
        </is>
      </c>
      <c r="C288" t="inlineStr">
        <is>
          <t>2026-05</t>
        </is>
      </c>
      <c r="D288" s="7" t="n"/>
    </row>
    <row r="289">
      <c r="A289" t="inlineStr">
        <is>
          <t>Frederick Antwi</t>
        </is>
      </c>
      <c r="B289" t="inlineStr">
        <is>
          <t>PCGH768</t>
        </is>
      </c>
      <c r="C289" t="inlineStr">
        <is>
          <t>2026-05</t>
        </is>
      </c>
      <c r="D289" s="7" t="n"/>
    </row>
    <row r="290">
      <c r="A290" t="inlineStr">
        <is>
          <t>Frederick Antwi</t>
        </is>
      </c>
      <c r="B290" t="inlineStr">
        <is>
          <t>PCGH774 -Evaluation Deep-Dive Action Plans by Socfin Group</t>
        </is>
      </c>
      <c r="C290" t="inlineStr">
        <is>
          <t>2026-05</t>
        </is>
      </c>
      <c r="D290" s="7" t="n"/>
    </row>
    <row r="291">
      <c r="A291" t="inlineStr">
        <is>
          <t>Frederick Antwi</t>
        </is>
      </c>
      <c r="B291" t="inlineStr">
        <is>
          <t>PCGH790 - Nestle Soy Support</t>
        </is>
      </c>
      <c r="C291" t="inlineStr">
        <is>
          <t>2026-05</t>
        </is>
      </c>
      <c r="D291" s="7" t="n"/>
    </row>
    <row r="292">
      <c r="A292" t="inlineStr">
        <is>
          <t xml:space="preserve">Helena Tetteh </t>
        </is>
      </c>
      <c r="B292" t="inlineStr">
        <is>
          <t>Internal</t>
        </is>
      </c>
      <c r="C292" t="inlineStr">
        <is>
          <t>2026-05</t>
        </is>
      </c>
      <c r="D292" s="7" t="n"/>
    </row>
    <row r="293">
      <c r="A293" t="inlineStr">
        <is>
          <t xml:space="preserve">Helena Tetteh </t>
        </is>
      </c>
      <c r="B293" t="inlineStr">
        <is>
          <t>Non-Billable Tasks</t>
        </is>
      </c>
      <c r="C293" t="inlineStr">
        <is>
          <t>2026-05</t>
        </is>
      </c>
      <c r="D293" s="7" t="n"/>
    </row>
    <row r="294">
      <c r="A294" t="inlineStr">
        <is>
          <t xml:space="preserve">Helena Tetteh </t>
        </is>
      </c>
      <c r="B294" t="inlineStr">
        <is>
          <t>P23AC00C00 - FGMC</t>
        </is>
      </c>
      <c r="C294" t="inlineStr">
        <is>
          <t>2026-05</t>
        </is>
      </c>
      <c r="D294" s="7" t="n"/>
    </row>
    <row r="295">
      <c r="A295" t="inlineStr">
        <is>
          <t>James Parker Mckeown</t>
        </is>
      </c>
      <c r="B295" t="inlineStr">
        <is>
          <t>Non-Billable Tasks</t>
        </is>
      </c>
      <c r="C295" t="inlineStr">
        <is>
          <t>2026-05</t>
        </is>
      </c>
      <c r="D295" s="7" t="n"/>
    </row>
    <row r="296">
      <c r="A296" t="inlineStr">
        <is>
          <t>James Parker Mckeown</t>
        </is>
      </c>
      <c r="B296" t="inlineStr">
        <is>
          <t>P23AC00C00 - FGMC</t>
        </is>
      </c>
      <c r="C296" t="inlineStr">
        <is>
          <t>2026-05</t>
        </is>
      </c>
      <c r="D296" s="7" t="n"/>
    </row>
    <row r="297">
      <c r="A297" t="inlineStr">
        <is>
          <t>James Parker Mckeown</t>
        </is>
      </c>
      <c r="B297" t="inlineStr">
        <is>
          <t>PCGH762 - GVL HCSA Restoration Project</t>
        </is>
      </c>
      <c r="C297" t="inlineStr">
        <is>
          <t>2026-05</t>
        </is>
      </c>
      <c r="D297" s="7" t="n"/>
    </row>
    <row r="298">
      <c r="A298" t="inlineStr">
        <is>
          <t>James Parker Mckeown</t>
        </is>
      </c>
      <c r="B298" t="inlineStr">
        <is>
          <t>PCGH786 - Impact Level Baseline assessment for FGMC</t>
        </is>
      </c>
      <c r="C298" t="inlineStr">
        <is>
          <t>2026-05</t>
        </is>
      </c>
      <c r="D298" s="7" t="n"/>
    </row>
    <row r="299">
      <c r="A299" t="inlineStr">
        <is>
          <t>Joseph Isaiah Mensah</t>
        </is>
      </c>
      <c r="B299" t="inlineStr">
        <is>
          <t>Non-Billable Tasks</t>
        </is>
      </c>
      <c r="C299" t="inlineStr">
        <is>
          <t>2026-05</t>
        </is>
      </c>
      <c r="D299" s="7" t="n"/>
    </row>
    <row r="300">
      <c r="A300" t="inlineStr">
        <is>
          <t>Kingsley Fitz-Gerald Severine</t>
        </is>
      </c>
      <c r="B300" t="inlineStr">
        <is>
          <t>Non-Billable Tasks</t>
        </is>
      </c>
      <c r="C300" t="inlineStr">
        <is>
          <t>2026-05</t>
        </is>
      </c>
      <c r="D300" s="7" t="n"/>
    </row>
    <row r="301">
      <c r="A301" t="inlineStr">
        <is>
          <t>Kingsley Fitz-Gerald Severine</t>
        </is>
      </c>
      <c r="B301" t="inlineStr">
        <is>
          <t>PCGH785</t>
        </is>
      </c>
      <c r="C301" t="inlineStr">
        <is>
          <t>2026-05</t>
        </is>
      </c>
      <c r="D301" s="7" t="n"/>
    </row>
    <row r="302">
      <c r="A302" t="inlineStr">
        <is>
          <t>Kingsley Fitz-Gerald Severine</t>
        </is>
      </c>
      <c r="B302" t="inlineStr">
        <is>
          <t>PCGH792</t>
        </is>
      </c>
      <c r="C302" t="inlineStr">
        <is>
          <t>2026-05</t>
        </is>
      </c>
      <c r="D302" s="7" t="n"/>
    </row>
    <row r="303">
      <c r="A303" t="inlineStr">
        <is>
          <t>Kwadwo Baniako Nti</t>
        </is>
      </c>
      <c r="B303" t="inlineStr">
        <is>
          <t>Global Internal Projects (GIPs)</t>
        </is>
      </c>
      <c r="C303" t="inlineStr">
        <is>
          <t>2026-05</t>
        </is>
      </c>
      <c r="D303" s="7" t="n"/>
    </row>
    <row r="304">
      <c r="A304" t="inlineStr">
        <is>
          <t>Kwadwo Baniako Nti</t>
        </is>
      </c>
      <c r="B304" t="inlineStr">
        <is>
          <t>Internal</t>
        </is>
      </c>
      <c r="C304" t="inlineStr">
        <is>
          <t>2026-05</t>
        </is>
      </c>
      <c r="D304" s="7" t="n"/>
    </row>
    <row r="305">
      <c r="A305" t="inlineStr">
        <is>
          <t>Kwadwo Baniako Nti</t>
        </is>
      </c>
      <c r="B305" t="inlineStr">
        <is>
          <t>Non-Billable Tasks</t>
        </is>
      </c>
      <c r="C305" t="inlineStr">
        <is>
          <t>2026-05</t>
        </is>
      </c>
      <c r="D305" s="7" t="n"/>
    </row>
    <row r="306">
      <c r="A306" t="inlineStr">
        <is>
          <t>Kwadwo Baniako Nti</t>
        </is>
      </c>
      <c r="B306" t="inlineStr">
        <is>
          <t>PCGH762 - GVL HCSA Restoration Project</t>
        </is>
      </c>
      <c r="C306" t="inlineStr">
        <is>
          <t>2026-05</t>
        </is>
      </c>
      <c r="D306" s="7" t="n"/>
    </row>
    <row r="307">
      <c r="A307" t="inlineStr">
        <is>
          <t>Kwadwo Baniako Nti</t>
        </is>
      </c>
      <c r="B307" t="inlineStr">
        <is>
          <t>PCGH786 - Impact Level Baseline assessment for FGMC</t>
        </is>
      </c>
      <c r="C307" t="inlineStr">
        <is>
          <t>2026-05</t>
        </is>
      </c>
      <c r="D307" s="7" t="n"/>
    </row>
    <row r="308">
      <c r="A308" t="inlineStr">
        <is>
          <t>Kwadwo Baniako Nti</t>
        </is>
      </c>
      <c r="B308" t="inlineStr">
        <is>
          <t>PCGH793</t>
        </is>
      </c>
      <c r="C308" t="inlineStr">
        <is>
          <t>2026-05</t>
        </is>
      </c>
      <c r="D308" s="7" t="n"/>
    </row>
    <row r="309">
      <c r="A309" t="inlineStr">
        <is>
          <t>Louis Defo</t>
        </is>
      </c>
      <c r="B309" t="inlineStr">
        <is>
          <t>Non-Billable Tasks</t>
        </is>
      </c>
      <c r="C309" t="inlineStr">
        <is>
          <t>2026-05</t>
        </is>
      </c>
      <c r="D309" s="7" t="n"/>
    </row>
    <row r="310">
      <c r="A310" t="inlineStr">
        <is>
          <t>Louis Defo</t>
        </is>
      </c>
      <c r="B310" t="inlineStr">
        <is>
          <t>P23AC00C00 - FGMC</t>
        </is>
      </c>
      <c r="C310" t="inlineStr">
        <is>
          <t>2026-05</t>
        </is>
      </c>
      <c r="D310" s="7" t="n"/>
    </row>
    <row r="311">
      <c r="A311" t="inlineStr">
        <is>
          <t>Louis Defo</t>
        </is>
      </c>
      <c r="B311" t="inlineStr">
        <is>
          <t>PCGH787</t>
        </is>
      </c>
      <c r="C311" t="inlineStr">
        <is>
          <t>2026-05</t>
        </is>
      </c>
      <c r="D311" s="7" t="n"/>
    </row>
    <row r="312">
      <c r="A312" t="inlineStr">
        <is>
          <t>Patricia Offei</t>
        </is>
      </c>
      <c r="B312" t="inlineStr">
        <is>
          <t>Non-Billable Tasks</t>
        </is>
      </c>
      <c r="C312" t="inlineStr">
        <is>
          <t>2026-05</t>
        </is>
      </c>
      <c r="D312" s="7" t="n"/>
    </row>
    <row r="313">
      <c r="A313" t="inlineStr">
        <is>
          <t>Patricia Offei</t>
        </is>
      </c>
      <c r="B313" t="inlineStr">
        <is>
          <t>PCGH722</t>
        </is>
      </c>
      <c r="C313" t="inlineStr">
        <is>
          <t>2026-05</t>
        </is>
      </c>
      <c r="D313" s="7" t="n"/>
    </row>
    <row r="314">
      <c r="A314" t="inlineStr">
        <is>
          <t>Patricia Offei</t>
        </is>
      </c>
      <c r="B314" t="inlineStr">
        <is>
          <t>PCGH774 -Evaluation Deep-Dive Action Plans by Socfin Group</t>
        </is>
      </c>
      <c r="C314" t="inlineStr">
        <is>
          <t>2026-05</t>
        </is>
      </c>
      <c r="D314" s="7" t="n"/>
    </row>
    <row r="315">
      <c r="A315" t="inlineStr">
        <is>
          <t>Patricia Offei</t>
        </is>
      </c>
      <c r="B315" t="inlineStr">
        <is>
          <t>PCGH778 - General Support</t>
        </is>
      </c>
      <c r="C315" t="inlineStr">
        <is>
          <t>2026-05</t>
        </is>
      </c>
      <c r="D315" s="7" t="n"/>
    </row>
    <row r="316">
      <c r="A316" t="inlineStr">
        <is>
          <t>Patricia Offei</t>
        </is>
      </c>
      <c r="B316" t="inlineStr">
        <is>
          <t>PCGH779 - Cote d'Ivoire）</t>
        </is>
      </c>
      <c r="C316" t="inlineStr">
        <is>
          <t>2026-05</t>
        </is>
      </c>
      <c r="D316" s="7" t="n"/>
    </row>
    <row r="317">
      <c r="A317" t="inlineStr">
        <is>
          <t>Patricia Offei</t>
        </is>
      </c>
      <c r="B317" t="inlineStr">
        <is>
          <t>PCGH783 - Zimbabwe HRDD</t>
        </is>
      </c>
      <c r="C317" t="inlineStr">
        <is>
          <t>2026-05</t>
        </is>
      </c>
      <c r="D317" s="7" t="n"/>
    </row>
    <row r="318">
      <c r="A318" t="inlineStr">
        <is>
          <t>Soro TCHEREGNIMIN</t>
        </is>
      </c>
      <c r="B318" t="inlineStr">
        <is>
          <t>Non-Billable Tasks</t>
        </is>
      </c>
      <c r="C318" t="inlineStr">
        <is>
          <t>2026-05</t>
        </is>
      </c>
      <c r="D318" s="7" t="n"/>
    </row>
    <row r="319">
      <c r="A319" t="inlineStr">
        <is>
          <t>Soro TCHEREGNIMIN</t>
        </is>
      </c>
      <c r="B319" t="inlineStr">
        <is>
          <t>PCGH774 -Evaluation Deep-Dive Action Plans by Socfin Group</t>
        </is>
      </c>
      <c r="C319" t="inlineStr">
        <is>
          <t>2026-05</t>
        </is>
      </c>
      <c r="D319" s="7" t="n"/>
    </row>
    <row r="320">
      <c r="A320" t="inlineStr">
        <is>
          <t>Soro TCHEREGNIMIN</t>
        </is>
      </c>
      <c r="B320" t="inlineStr">
        <is>
          <t>PCGH779 - Cote d'Ivoire）</t>
        </is>
      </c>
      <c r="C320" t="inlineStr">
        <is>
          <t>2026-05</t>
        </is>
      </c>
      <c r="D320" s="7" t="n"/>
    </row>
    <row r="321">
      <c r="A321" t="inlineStr">
        <is>
          <t>Stephen Doso</t>
        </is>
      </c>
      <c r="B321" t="inlineStr">
        <is>
          <t>Non-Billable Tasks</t>
        </is>
      </c>
      <c r="C321" t="inlineStr">
        <is>
          <t>2026-05</t>
        </is>
      </c>
      <c r="D321" s="7" t="n"/>
    </row>
    <row r="322">
      <c r="A322" t="inlineStr">
        <is>
          <t>Stephen Doso</t>
        </is>
      </c>
      <c r="B322" t="inlineStr">
        <is>
          <t>PCGH769</t>
        </is>
      </c>
      <c r="C322" t="inlineStr">
        <is>
          <t>2026-05</t>
        </is>
      </c>
      <c r="D322" s="7" t="n"/>
    </row>
    <row r="323">
      <c r="A323" t="inlineStr">
        <is>
          <t>Stephen Doso</t>
        </is>
      </c>
      <c r="B323" t="inlineStr">
        <is>
          <t>PCGH775 - ESDD of Valency Operations for FMO</t>
        </is>
      </c>
      <c r="C323" t="inlineStr">
        <is>
          <t>2026-05</t>
        </is>
      </c>
      <c r="D323" s="7" t="n"/>
    </row>
    <row r="324">
      <c r="A324" t="inlineStr">
        <is>
          <t>Stephen Doso</t>
        </is>
      </c>
      <c r="B324" t="inlineStr">
        <is>
          <t>PCGH785</t>
        </is>
      </c>
      <c r="C324" t="inlineStr">
        <is>
          <t>2026-05</t>
        </is>
      </c>
      <c r="D324" s="7" t="n"/>
    </row>
    <row r="325">
      <c r="A325" t="inlineStr">
        <is>
          <t>Stephen Doso</t>
        </is>
      </c>
      <c r="B325" t="inlineStr">
        <is>
          <t>PCGH788 - CDC Boa &amp; Mondoni CV-HCS Scoping</t>
        </is>
      </c>
      <c r="C325" t="inlineStr">
        <is>
          <t>2026-05</t>
        </is>
      </c>
      <c r="D325" s="7" t="n"/>
    </row>
    <row r="326">
      <c r="A326" t="inlineStr">
        <is>
          <t>Stephen Doso</t>
        </is>
      </c>
      <c r="B326" t="inlineStr">
        <is>
          <t>PCGH793</t>
        </is>
      </c>
      <c r="C326" t="inlineStr">
        <is>
          <t>2026-05</t>
        </is>
      </c>
      <c r="D326" s="7" t="n"/>
    </row>
    <row r="327">
      <c r="A327" t="inlineStr">
        <is>
          <t>Abel Ansu</t>
        </is>
      </c>
      <c r="B327" t="inlineStr">
        <is>
          <t>Non-Billable Tasks</t>
        </is>
      </c>
      <c r="C327" t="inlineStr">
        <is>
          <t>2026-06</t>
        </is>
      </c>
      <c r="D327" s="7" t="n"/>
    </row>
    <row r="328">
      <c r="A328" t="inlineStr">
        <is>
          <t>Abel Ansu</t>
        </is>
      </c>
      <c r="B328" t="inlineStr">
        <is>
          <t>P13NC00A00 - WALMART II</t>
        </is>
      </c>
      <c r="C328" t="inlineStr">
        <is>
          <t>2026-06</t>
        </is>
      </c>
      <c r="D328" s="7" t="n"/>
    </row>
    <row r="329">
      <c r="A329" t="inlineStr">
        <is>
          <t>Abel Ansu</t>
        </is>
      </c>
      <c r="B329" t="inlineStr">
        <is>
          <t>P13PC00A00 - Private Sector Companies</t>
        </is>
      </c>
      <c r="C329" t="inlineStr">
        <is>
          <t>2026-06</t>
        </is>
      </c>
      <c r="D329" s="7" t="n"/>
    </row>
    <row r="330">
      <c r="A330" t="inlineStr">
        <is>
          <t>Adwoa Fremah Ntosour-Amponsem</t>
        </is>
      </c>
      <c r="B330" t="inlineStr">
        <is>
          <t>Internal</t>
        </is>
      </c>
      <c r="C330" t="inlineStr">
        <is>
          <t>2026-06</t>
        </is>
      </c>
      <c r="D330" s="7" t="n"/>
    </row>
    <row r="331">
      <c r="A331" t="inlineStr">
        <is>
          <t>Afua Serwah Akoto Prempeh</t>
        </is>
      </c>
      <c r="B331" t="inlineStr">
        <is>
          <t>Business and Project Management Training</t>
        </is>
      </c>
      <c r="C331" t="inlineStr">
        <is>
          <t>2026-06</t>
        </is>
      </c>
      <c r="D331" s="7" t="n"/>
    </row>
    <row r="332">
      <c r="A332" t="inlineStr">
        <is>
          <t>Afua Serwah Akoto Prempeh</t>
        </is>
      </c>
      <c r="B332" t="inlineStr">
        <is>
          <t>Non-Billable Tasks</t>
        </is>
      </c>
      <c r="C332" t="inlineStr">
        <is>
          <t>2026-06</t>
        </is>
      </c>
      <c r="D332" s="7" t="n"/>
    </row>
    <row r="333">
      <c r="A333" t="inlineStr">
        <is>
          <t>Afua Serwah Akoto Prempeh</t>
        </is>
      </c>
      <c r="B333" t="inlineStr">
        <is>
          <t>P23AC00C00 - FGMC</t>
        </is>
      </c>
      <c r="C333" t="inlineStr">
        <is>
          <t>2026-06</t>
        </is>
      </c>
      <c r="D333" s="7" t="n"/>
    </row>
    <row r="334">
      <c r="A334" t="inlineStr">
        <is>
          <t>Augustus Asamoah</t>
        </is>
      </c>
      <c r="B334" t="inlineStr">
        <is>
          <t>Non-Billable Tasks</t>
        </is>
      </c>
      <c r="C334" t="inlineStr">
        <is>
          <t>2026-06</t>
        </is>
      </c>
      <c r="D334" s="7" t="n"/>
    </row>
    <row r="335">
      <c r="A335" t="inlineStr">
        <is>
          <t>Augustus Asamoah</t>
        </is>
      </c>
      <c r="B335" t="inlineStr">
        <is>
          <t>P13NC00A00 - WALMART II</t>
        </is>
      </c>
      <c r="C335" t="inlineStr">
        <is>
          <t>2026-06</t>
        </is>
      </c>
      <c r="D335" s="7" t="n"/>
    </row>
    <row r="336">
      <c r="A336" t="inlineStr">
        <is>
          <t>Augustus Asamoah</t>
        </is>
      </c>
      <c r="B336" t="inlineStr">
        <is>
          <t>P13PC00A00 - Private Sector Companies</t>
        </is>
      </c>
      <c r="C336" t="inlineStr">
        <is>
          <t>2026-06</t>
        </is>
      </c>
      <c r="D336" s="7" t="n"/>
    </row>
    <row r="337">
      <c r="A337" t="inlineStr">
        <is>
          <t>Augustus Asamoah</t>
        </is>
      </c>
      <c r="B337" t="inlineStr">
        <is>
          <t>P13QC00A00 - EFI Programme</t>
        </is>
      </c>
      <c r="C337" t="inlineStr">
        <is>
          <t>2026-06</t>
        </is>
      </c>
      <c r="D337" s="7" t="n"/>
    </row>
    <row r="338">
      <c r="A338" t="inlineStr">
        <is>
          <t>Augustus Asamoah</t>
        </is>
      </c>
      <c r="B338" t="inlineStr">
        <is>
          <t>PCGH771</t>
        </is>
      </c>
      <c r="C338" t="inlineStr">
        <is>
          <t>2026-06</t>
        </is>
      </c>
      <c r="D338" s="7" t="n"/>
    </row>
    <row r="339">
      <c r="A339" t="inlineStr">
        <is>
          <t>Augustus Asamoah</t>
        </is>
      </c>
      <c r="B339" t="inlineStr">
        <is>
          <t>PCGH784</t>
        </is>
      </c>
      <c r="C339" t="inlineStr">
        <is>
          <t>2026-06</t>
        </is>
      </c>
      <c r="D339" s="7" t="n"/>
    </row>
    <row r="340">
      <c r="A340" t="inlineStr">
        <is>
          <t>Clement Obeng-Manu</t>
        </is>
      </c>
      <c r="B340" t="inlineStr">
        <is>
          <t>Non-Billable Tasks</t>
        </is>
      </c>
      <c r="C340" t="inlineStr">
        <is>
          <t>2026-06</t>
        </is>
      </c>
      <c r="D340" s="7" t="n"/>
    </row>
    <row r="341">
      <c r="A341" t="inlineStr">
        <is>
          <t>Clement Obeng-Manu</t>
        </is>
      </c>
      <c r="B341" t="inlineStr">
        <is>
          <t>PCGH776 - Deforestation Risk-Assessment Cashew-Coast</t>
        </is>
      </c>
      <c r="C341" t="inlineStr">
        <is>
          <t>2026-06</t>
        </is>
      </c>
      <c r="D341" s="7" t="n"/>
    </row>
    <row r="342">
      <c r="A342" t="inlineStr">
        <is>
          <t>Daleba Bernard Kpenahi Raymond</t>
        </is>
      </c>
      <c r="B342" t="inlineStr">
        <is>
          <t>Non-Billable Tasks</t>
        </is>
      </c>
      <c r="C342" t="inlineStr">
        <is>
          <t>2026-06</t>
        </is>
      </c>
      <c r="D342" s="7" t="n"/>
    </row>
    <row r="343">
      <c r="A343" t="inlineStr">
        <is>
          <t>Ebenezer Gyadu</t>
        </is>
      </c>
      <c r="B343" t="inlineStr">
        <is>
          <t>Internal</t>
        </is>
      </c>
      <c r="C343" t="inlineStr">
        <is>
          <t>2026-06</t>
        </is>
      </c>
      <c r="D343" s="7" t="n"/>
    </row>
    <row r="344">
      <c r="A344" t="inlineStr">
        <is>
          <t>Ekow Nyamekye Tawiah</t>
        </is>
      </c>
      <c r="B344" t="inlineStr">
        <is>
          <t>Non-Billable Tasks</t>
        </is>
      </c>
      <c r="C344" t="inlineStr">
        <is>
          <t>2026-06</t>
        </is>
      </c>
      <c r="D344" s="7" t="n"/>
    </row>
    <row r="345">
      <c r="A345" t="inlineStr">
        <is>
          <t>Ekow Nyamekye Tawiah</t>
        </is>
      </c>
      <c r="B345" t="inlineStr">
        <is>
          <t>PCGH778 - General Support</t>
        </is>
      </c>
      <c r="C345" t="inlineStr">
        <is>
          <t>2026-06</t>
        </is>
      </c>
      <c r="D345" s="7" t="n"/>
    </row>
    <row r="346">
      <c r="A346" t="inlineStr">
        <is>
          <t>Frederick Antwi</t>
        </is>
      </c>
      <c r="B346" t="inlineStr">
        <is>
          <t>Business and Project Management Training</t>
        </is>
      </c>
      <c r="C346" t="inlineStr">
        <is>
          <t>2026-06</t>
        </is>
      </c>
      <c r="D346" s="7" t="n"/>
    </row>
    <row r="347">
      <c r="A347" t="inlineStr">
        <is>
          <t>Frederick Antwi</t>
        </is>
      </c>
      <c r="B347" t="inlineStr">
        <is>
          <t>P13NC00A00 - WALMART II</t>
        </is>
      </c>
      <c r="C347" t="inlineStr">
        <is>
          <t>2026-06</t>
        </is>
      </c>
      <c r="D347" s="7" t="n"/>
    </row>
    <row r="348">
      <c r="A348" t="inlineStr">
        <is>
          <t>Frederick Antwi</t>
        </is>
      </c>
      <c r="B348" t="inlineStr">
        <is>
          <t>P13PC00A00 - Private Sector Companies</t>
        </is>
      </c>
      <c r="C348" t="inlineStr">
        <is>
          <t>2026-06</t>
        </is>
      </c>
      <c r="D348" s="7" t="n"/>
    </row>
    <row r="349">
      <c r="A349" t="inlineStr">
        <is>
          <t>Frederick Antwi</t>
        </is>
      </c>
      <c r="B349" t="inlineStr">
        <is>
          <t>P13QC00A00 - EFI Programme</t>
        </is>
      </c>
      <c r="C349" t="inlineStr">
        <is>
          <t>2026-06</t>
        </is>
      </c>
      <c r="D349" s="7" t="n"/>
    </row>
    <row r="350">
      <c r="A350" t="inlineStr">
        <is>
          <t xml:space="preserve">Helena Tetteh </t>
        </is>
      </c>
      <c r="B350" t="inlineStr">
        <is>
          <t>Non-Billable Tasks</t>
        </is>
      </c>
      <c r="C350" t="inlineStr">
        <is>
          <t>2026-06</t>
        </is>
      </c>
      <c r="D350" s="7" t="n"/>
    </row>
    <row r="351">
      <c r="A351" t="inlineStr">
        <is>
          <t xml:space="preserve">Helena Tetteh </t>
        </is>
      </c>
      <c r="B351" t="inlineStr">
        <is>
          <t>P23AC00C00 - FGMC</t>
        </is>
      </c>
      <c r="C351" t="inlineStr">
        <is>
          <t>2026-06</t>
        </is>
      </c>
      <c r="D351" s="7" t="n"/>
    </row>
    <row r="352">
      <c r="A352" t="inlineStr">
        <is>
          <t>Jacqueline Nyakutse Afua</t>
        </is>
      </c>
      <c r="B352" t="inlineStr">
        <is>
          <t>Internal</t>
        </is>
      </c>
      <c r="C352" t="inlineStr">
        <is>
          <t>2026-06</t>
        </is>
      </c>
      <c r="D352" s="7" t="n"/>
    </row>
    <row r="353">
      <c r="A353" t="inlineStr">
        <is>
          <t>Kwadwo Baniako Nti</t>
        </is>
      </c>
      <c r="B353" t="inlineStr">
        <is>
          <t>Global Internal Projects (GIPs)</t>
        </is>
      </c>
      <c r="C353" t="inlineStr">
        <is>
          <t>2026-06</t>
        </is>
      </c>
      <c r="D353" s="7" t="n"/>
    </row>
    <row r="354">
      <c r="A354" t="inlineStr">
        <is>
          <t>Kwadwo Baniako Nti</t>
        </is>
      </c>
      <c r="B354" t="inlineStr">
        <is>
          <t>Non-Billable Tasks</t>
        </is>
      </c>
      <c r="C354" t="inlineStr">
        <is>
          <t>2026-06</t>
        </is>
      </c>
      <c r="D354" s="7" t="n"/>
    </row>
    <row r="355">
      <c r="A355" t="inlineStr">
        <is>
          <t>Kwadwo Baniako Nti</t>
        </is>
      </c>
      <c r="B355" t="inlineStr">
        <is>
          <t>PCGH762 - GVL HCSA Restoration Project</t>
        </is>
      </c>
      <c r="C355" t="inlineStr">
        <is>
          <t>2026-06</t>
        </is>
      </c>
      <c r="D355" s="7" t="n"/>
    </row>
    <row r="356">
      <c r="A356" t="inlineStr">
        <is>
          <t>Kwadwo Baniako Nti</t>
        </is>
      </c>
      <c r="B356" t="inlineStr">
        <is>
          <t>PCGH793</t>
        </is>
      </c>
      <c r="C356" t="inlineStr">
        <is>
          <t>2026-06</t>
        </is>
      </c>
      <c r="D356" s="7" t="n"/>
    </row>
    <row r="357">
      <c r="A357" t="inlineStr">
        <is>
          <t>Louis Defo</t>
        </is>
      </c>
      <c r="B357" t="inlineStr">
        <is>
          <t>Non-Billable Tasks</t>
        </is>
      </c>
      <c r="C357" t="inlineStr">
        <is>
          <t>2026-06</t>
        </is>
      </c>
      <c r="D357" s="7" t="n"/>
    </row>
    <row r="358">
      <c r="A358" t="inlineStr">
        <is>
          <t>Louis Defo</t>
        </is>
      </c>
      <c r="B358" t="inlineStr">
        <is>
          <t>P23AC00C00 - FGMC</t>
        </is>
      </c>
      <c r="C358" t="inlineStr">
        <is>
          <t>2026-06</t>
        </is>
      </c>
      <c r="D358" s="7" t="n"/>
    </row>
    <row r="359">
      <c r="A359" t="inlineStr">
        <is>
          <t>Louis Defo</t>
        </is>
      </c>
      <c r="B359" t="inlineStr">
        <is>
          <t>PCGH787</t>
        </is>
      </c>
      <c r="C359" t="inlineStr">
        <is>
          <t>2026-06</t>
        </is>
      </c>
      <c r="D359" s="7" t="n"/>
    </row>
    <row r="360">
      <c r="A360" t="inlineStr">
        <is>
          <t>Michael Anim Ofosu</t>
        </is>
      </c>
      <c r="B360" t="inlineStr">
        <is>
          <t>Internal</t>
        </is>
      </c>
      <c r="C360" t="inlineStr">
        <is>
          <t>2026-06</t>
        </is>
      </c>
      <c r="D360" s="7" t="n"/>
    </row>
    <row r="361">
      <c r="A361" t="inlineStr">
        <is>
          <t>Patricia Offei</t>
        </is>
      </c>
      <c r="B361" t="inlineStr">
        <is>
          <t>Non-Billable Tasks</t>
        </is>
      </c>
      <c r="C361" t="inlineStr">
        <is>
          <t>2026-06</t>
        </is>
      </c>
      <c r="D361" s="7" t="n"/>
    </row>
    <row r="362">
      <c r="A362" t="inlineStr">
        <is>
          <t>Patricia Offei</t>
        </is>
      </c>
      <c r="B362" t="inlineStr">
        <is>
          <t>PCGH722</t>
        </is>
      </c>
      <c r="C362" t="inlineStr">
        <is>
          <t>2026-06</t>
        </is>
      </c>
      <c r="D362" s="7" t="n"/>
    </row>
    <row r="363">
      <c r="A363" t="inlineStr">
        <is>
          <t>Patricia Offei</t>
        </is>
      </c>
      <c r="B363" t="inlineStr">
        <is>
          <t>PCGH774 -Evaluation Deep-Dive Action Plans by Socfin Group</t>
        </is>
      </c>
      <c r="C363" t="inlineStr">
        <is>
          <t>2026-06</t>
        </is>
      </c>
      <c r="D363" s="7" t="n"/>
    </row>
    <row r="364">
      <c r="A364" t="inlineStr">
        <is>
          <t>Patricia Offei</t>
        </is>
      </c>
      <c r="B364" t="inlineStr">
        <is>
          <t>PCGH778 - General Support</t>
        </is>
      </c>
      <c r="C364" t="inlineStr">
        <is>
          <t>2026-06</t>
        </is>
      </c>
      <c r="D364" s="7" t="n"/>
    </row>
    <row r="365">
      <c r="A365" t="inlineStr">
        <is>
          <t>Patricia Offei</t>
        </is>
      </c>
      <c r="B365" t="inlineStr">
        <is>
          <t>PCGH779 - Cote d'Ivoire）</t>
        </is>
      </c>
      <c r="C365" t="inlineStr">
        <is>
          <t>2026-06</t>
        </is>
      </c>
      <c r="D365" s="7" t="n"/>
    </row>
    <row r="366">
      <c r="A366" t="inlineStr">
        <is>
          <t>Patricia Offei</t>
        </is>
      </c>
      <c r="B366" t="inlineStr">
        <is>
          <t>PCGH783 - Zimbabwe HRDD</t>
        </is>
      </c>
      <c r="C366" t="inlineStr">
        <is>
          <t>2026-06</t>
        </is>
      </c>
      <c r="D366" s="7" t="n"/>
    </row>
    <row r="367">
      <c r="A367" t="inlineStr">
        <is>
          <t>Soro TCHEREGNIMIN</t>
        </is>
      </c>
      <c r="B367" t="inlineStr">
        <is>
          <t>Business and Project Management Training</t>
        </is>
      </c>
      <c r="C367" t="inlineStr">
        <is>
          <t>2026-06</t>
        </is>
      </c>
      <c r="D367" s="7" t="n"/>
    </row>
    <row r="368">
      <c r="A368" t="inlineStr">
        <is>
          <t>Soro TCHEREGNIMIN</t>
        </is>
      </c>
      <c r="B368" t="inlineStr">
        <is>
          <t>PCGH774 -Evaluation Deep-Dive Action Plans by Socfin Group</t>
        </is>
      </c>
      <c r="C368" t="inlineStr">
        <is>
          <t>2026-06</t>
        </is>
      </c>
      <c r="D368" s="7" t="n"/>
    </row>
    <row r="369">
      <c r="A369" t="inlineStr">
        <is>
          <t>Soro TCHEREGNIMIN</t>
        </is>
      </c>
      <c r="B369" t="inlineStr">
        <is>
          <t>PCGH787</t>
        </is>
      </c>
      <c r="C369" t="inlineStr">
        <is>
          <t>2026-06</t>
        </is>
      </c>
      <c r="D369" s="7" t="n"/>
    </row>
    <row r="370">
      <c r="A370" t="inlineStr">
        <is>
          <t>Stephen Doso</t>
        </is>
      </c>
      <c r="B370" t="inlineStr">
        <is>
          <t>Non-Billable Tasks</t>
        </is>
      </c>
      <c r="C370" t="inlineStr">
        <is>
          <t>2026-06</t>
        </is>
      </c>
      <c r="D370" s="7" t="n"/>
    </row>
    <row r="371">
      <c r="A371" t="inlineStr">
        <is>
          <t>Stephen Doso</t>
        </is>
      </c>
      <c r="B371" t="inlineStr">
        <is>
          <t>PCGH769</t>
        </is>
      </c>
      <c r="C371" t="inlineStr">
        <is>
          <t>2026-06</t>
        </is>
      </c>
      <c r="D371" s="7" t="n"/>
    </row>
    <row r="372">
      <c r="A372" t="inlineStr">
        <is>
          <t>Stephen Doso</t>
        </is>
      </c>
      <c r="B372" t="inlineStr">
        <is>
          <t>PCGH775 - ESDD of Valency Operations for FMO</t>
        </is>
      </c>
      <c r="C372" t="inlineStr">
        <is>
          <t>2026-06</t>
        </is>
      </c>
      <c r="D372" s="7" t="n"/>
    </row>
    <row r="373">
      <c r="A373" t="inlineStr">
        <is>
          <t>Stephen Doso</t>
        </is>
      </c>
      <c r="B373" t="inlineStr">
        <is>
          <t>PCGH788 - CDC Boa &amp; Mondoni CV-HCS Scoping</t>
        </is>
      </c>
      <c r="C373" t="inlineStr">
        <is>
          <t>2026-06</t>
        </is>
      </c>
      <c r="D373" s="7" t="n"/>
    </row>
    <row r="374">
      <c r="A374" t="inlineStr">
        <is>
          <t>Stephen Doso</t>
        </is>
      </c>
      <c r="B374" t="inlineStr">
        <is>
          <t>PCGH789 - Valency MSMO EHS audit</t>
        </is>
      </c>
      <c r="C374" t="inlineStr">
        <is>
          <t>2026-06</t>
        </is>
      </c>
      <c r="D374" s="7" t="n"/>
    </row>
    <row r="375">
      <c r="A375" t="inlineStr">
        <is>
          <t>Stephen Doso</t>
        </is>
      </c>
      <c r="B375" t="inlineStr">
        <is>
          <t>PCGH791</t>
        </is>
      </c>
      <c r="C375" t="inlineStr">
        <is>
          <t>2026-06</t>
        </is>
      </c>
      <c r="D375" s="7" t="n"/>
    </row>
    <row r="376">
      <c r="A376" t="inlineStr">
        <is>
          <t>Stephen Doso</t>
        </is>
      </c>
      <c r="B376" t="inlineStr">
        <is>
          <t>PCGH792</t>
        </is>
      </c>
      <c r="C376" t="inlineStr">
        <is>
          <t>2026-06</t>
        </is>
      </c>
      <c r="D376" s="7" t="n"/>
    </row>
    <row r="377">
      <c r="A377" t="inlineStr">
        <is>
          <t>Abel Ansu</t>
        </is>
      </c>
      <c r="B377" t="inlineStr">
        <is>
          <t>P13NC00A00 - WALMART II</t>
        </is>
      </c>
      <c r="C377" t="inlineStr">
        <is>
          <t>2026-07</t>
        </is>
      </c>
      <c r="D377" s="7" t="n"/>
    </row>
    <row r="378">
      <c r="A378" t="inlineStr">
        <is>
          <t>Abel Ansu</t>
        </is>
      </c>
      <c r="B378" t="inlineStr">
        <is>
          <t>P13PC00A00 - Private Sector Companies</t>
        </is>
      </c>
      <c r="C378" t="inlineStr">
        <is>
          <t>2026-07</t>
        </is>
      </c>
      <c r="D378" s="7" t="n"/>
    </row>
    <row r="379">
      <c r="A379" t="inlineStr">
        <is>
          <t>Afua Serwah Akoto Prempeh</t>
        </is>
      </c>
      <c r="B379" t="inlineStr">
        <is>
          <t>P23AC00C00 - FGMC</t>
        </is>
      </c>
      <c r="C379" t="inlineStr">
        <is>
          <t>2026-07</t>
        </is>
      </c>
      <c r="D379" s="7" t="n"/>
    </row>
    <row r="380">
      <c r="A380" t="inlineStr">
        <is>
          <t>Augustus Asamoah</t>
        </is>
      </c>
      <c r="B380" t="inlineStr">
        <is>
          <t>P13NC00A00 - WALMART II</t>
        </is>
      </c>
      <c r="C380" t="inlineStr">
        <is>
          <t>2026-07</t>
        </is>
      </c>
      <c r="D380" s="7" t="n"/>
    </row>
    <row r="381">
      <c r="A381" t="inlineStr">
        <is>
          <t>Augustus Asamoah</t>
        </is>
      </c>
      <c r="B381" t="inlineStr">
        <is>
          <t>P13PC00A00 - Private Sector Companies</t>
        </is>
      </c>
      <c r="C381" t="inlineStr">
        <is>
          <t>2026-07</t>
        </is>
      </c>
      <c r="D381" s="7" t="n"/>
    </row>
    <row r="382">
      <c r="A382" t="inlineStr">
        <is>
          <t>Augustus Asamoah</t>
        </is>
      </c>
      <c r="B382" t="inlineStr">
        <is>
          <t>P13QC00A00 - EFI Programme</t>
        </is>
      </c>
      <c r="C382" t="inlineStr">
        <is>
          <t>2026-07</t>
        </is>
      </c>
      <c r="D382" s="7" t="n"/>
    </row>
    <row r="383">
      <c r="A383" t="inlineStr">
        <is>
          <t>Ekow Nyamekye Tawiah</t>
        </is>
      </c>
      <c r="B383" t="inlineStr">
        <is>
          <t>Non-Billable Tasks</t>
        </is>
      </c>
      <c r="C383" t="inlineStr">
        <is>
          <t>2026-07</t>
        </is>
      </c>
      <c r="D383" s="7" t="n"/>
    </row>
    <row r="384">
      <c r="A384" t="inlineStr">
        <is>
          <t>Ekow Nyamekye Tawiah</t>
        </is>
      </c>
      <c r="B384" t="inlineStr">
        <is>
          <t>PCGH738</t>
        </is>
      </c>
      <c r="C384" t="inlineStr">
        <is>
          <t>2026-07</t>
        </is>
      </c>
      <c r="D384" s="7" t="n"/>
    </row>
    <row r="385">
      <c r="A385" t="inlineStr">
        <is>
          <t>Ekow Nyamekye Tawiah</t>
        </is>
      </c>
      <c r="B385" t="inlineStr">
        <is>
          <t>PCGH778 - General Support</t>
        </is>
      </c>
      <c r="C385" t="inlineStr">
        <is>
          <t>2026-07</t>
        </is>
      </c>
      <c r="D385" s="7" t="n"/>
    </row>
    <row r="386">
      <c r="A386" t="inlineStr">
        <is>
          <t>Louis Defo</t>
        </is>
      </c>
      <c r="B386" t="inlineStr">
        <is>
          <t>PCGH787</t>
        </is>
      </c>
      <c r="C386" t="inlineStr">
        <is>
          <t>2026-07</t>
        </is>
      </c>
      <c r="D386" s="7" t="n"/>
    </row>
    <row r="387">
      <c r="A387" t="inlineStr">
        <is>
          <t>Stephen Doso</t>
        </is>
      </c>
      <c r="B387" t="inlineStr">
        <is>
          <t>Non-Billable Tasks</t>
        </is>
      </c>
      <c r="C387" t="inlineStr">
        <is>
          <t>2026-07</t>
        </is>
      </c>
      <c r="D387" s="7" t="n"/>
    </row>
    <row r="388">
      <c r="A388" t="inlineStr">
        <is>
          <t>Stephen Doso</t>
        </is>
      </c>
      <c r="B388" t="inlineStr">
        <is>
          <t>PCGH738</t>
        </is>
      </c>
      <c r="C388" t="inlineStr">
        <is>
          <t>2026-07</t>
        </is>
      </c>
      <c r="D388" s="7" t="n"/>
    </row>
    <row r="389">
      <c r="A389" t="inlineStr">
        <is>
          <t>Stephen Doso</t>
        </is>
      </c>
      <c r="B389" t="inlineStr">
        <is>
          <t>PCGH775 - ESDD of Valency Operations for FMO</t>
        </is>
      </c>
      <c r="C389" t="inlineStr">
        <is>
          <t>2026-07</t>
        </is>
      </c>
      <c r="D389" s="7" t="n"/>
    </row>
    <row r="390">
      <c r="A390" t="inlineStr">
        <is>
          <t>Stephen Doso</t>
        </is>
      </c>
      <c r="B390" t="inlineStr">
        <is>
          <t>PCGH788 - CDC Boa &amp; Mondoni CV-HCS Scoping</t>
        </is>
      </c>
      <c r="C390" t="inlineStr">
        <is>
          <t>2026-07</t>
        </is>
      </c>
      <c r="D390" s="7" t="n"/>
    </row>
  </sheetData>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30" customWidth="1" min="1" max="1"/>
    <col width="18" customWidth="1" min="2" max="2"/>
    <col width="28" customWidth="1" min="3" max="3"/>
    <col width="4" customWidth="1" min="4" max="4"/>
    <col width="46" customWidth="1" min="5" max="5"/>
    <col width="40" customWidth="1" min="6" max="6"/>
    <col width="24" customWidth="1" min="7" max="7"/>
  </cols>
  <sheetData>
    <row r="1">
      <c r="A1" s="1" t="inlineStr">
        <is>
          <t>EMPLOYEE MAPPING</t>
        </is>
      </c>
      <c r="E1" s="1" t="inlineStr">
        <is>
          <t>PROJECT MAPPING</t>
        </is>
      </c>
    </row>
    <row r="2">
      <c r="A2" s="3" t="inlineStr">
        <is>
          <t>Odoo Employee Name</t>
        </is>
      </c>
      <c r="B2" s="3" t="inlineStr">
        <is>
          <t>Dashboard Staff ID</t>
        </is>
      </c>
      <c r="C2" s="3" t="inlineStr">
        <is>
          <t>Dashboard Staff Name</t>
        </is>
      </c>
      <c r="E2" s="8" t="inlineStr">
        <is>
          <t>Odoo Project Name</t>
        </is>
      </c>
      <c r="F2" s="8" t="inlineStr">
        <is>
          <t>Dashboard Project Name</t>
        </is>
      </c>
      <c r="G2" s="8" t="inlineStr">
        <is>
          <t>Program</t>
        </is>
      </c>
    </row>
    <row r="3">
      <c r="A3" t="inlineStr">
        <is>
          <t>Abel Ansu</t>
        </is>
      </c>
      <c r="B3" s="7" t="inlineStr">
        <is>
          <t>STF-001</t>
        </is>
      </c>
      <c r="C3" s="7" t="inlineStr">
        <is>
          <t>Abel Ansu</t>
        </is>
      </c>
      <c r="E3" t="inlineStr">
        <is>
          <t>Business and Project Management Training</t>
        </is>
      </c>
      <c r="F3" s="7" t="inlineStr">
        <is>
          <t>Business and Project Management Training</t>
        </is>
      </c>
      <c r="G3" s="7" t="n"/>
    </row>
    <row r="4">
      <c r="A4" t="inlineStr">
        <is>
          <t>Adwoa Fremah Ntosour-Amponsem</t>
        </is>
      </c>
      <c r="B4" s="7" t="inlineStr">
        <is>
          <t>STF-002</t>
        </is>
      </c>
      <c r="C4" s="7" t="inlineStr">
        <is>
          <t>Adwoa Fremah Ntosour-Amponsem</t>
        </is>
      </c>
      <c r="E4" t="inlineStr">
        <is>
          <t>Global Internal Projects (GIPs)</t>
        </is>
      </c>
      <c r="F4" s="7" t="inlineStr">
        <is>
          <t>Global Internal Projects (GIPs)</t>
        </is>
      </c>
      <c r="G4" s="7" t="n"/>
    </row>
    <row r="5">
      <c r="A5" t="inlineStr">
        <is>
          <t>Afua Serwah Akoto Prempeh</t>
        </is>
      </c>
      <c r="B5" s="7" t="inlineStr">
        <is>
          <t>STF-003</t>
        </is>
      </c>
      <c r="C5" s="7" t="inlineStr">
        <is>
          <t>Afua Serwah Akoto Prempeh</t>
        </is>
      </c>
      <c r="E5" t="inlineStr">
        <is>
          <t>Internal</t>
        </is>
      </c>
      <c r="F5" s="7" t="inlineStr">
        <is>
          <t>Internal</t>
        </is>
      </c>
      <c r="G5" s="7" t="n"/>
    </row>
    <row r="6">
      <c r="A6" t="inlineStr">
        <is>
          <t>Augustus Asamoah</t>
        </is>
      </c>
      <c r="B6" s="7" t="inlineStr">
        <is>
          <t>STF-004</t>
        </is>
      </c>
      <c r="C6" s="7" t="inlineStr">
        <is>
          <t>Augustus Asamoah</t>
        </is>
      </c>
      <c r="E6" t="inlineStr">
        <is>
          <t>Non-Billable Tasks</t>
        </is>
      </c>
      <c r="F6" s="7" t="inlineStr">
        <is>
          <t>Non-Billable Tasks</t>
        </is>
      </c>
      <c r="G6" s="7" t="n"/>
    </row>
    <row r="7">
      <c r="A7" t="inlineStr">
        <is>
          <t>Clement Obeng-Manu</t>
        </is>
      </c>
      <c r="B7" s="7" t="inlineStr">
        <is>
          <t>STF-005</t>
        </is>
      </c>
      <c r="C7" s="7" t="inlineStr">
        <is>
          <t>Clement Obeng-Manu</t>
        </is>
      </c>
      <c r="E7" t="inlineStr">
        <is>
          <t>P13GC00A00 - GAC Ulula</t>
        </is>
      </c>
      <c r="F7" s="7" t="inlineStr">
        <is>
          <t>GAC Ulula</t>
        </is>
      </c>
      <c r="G7" s="7" t="n"/>
    </row>
    <row r="8">
      <c r="A8" t="inlineStr">
        <is>
          <t>Daleba Bernard Kpenahi Raymond</t>
        </is>
      </c>
      <c r="B8" s="7" t="inlineStr">
        <is>
          <t>STF-006</t>
        </is>
      </c>
      <c r="C8" s="7" t="inlineStr">
        <is>
          <t>Daleba Bernard Kpenahi Raymond</t>
        </is>
      </c>
      <c r="E8" t="inlineStr">
        <is>
          <t>P13LC00A00 - FAO Support in Cameroon</t>
        </is>
      </c>
      <c r="F8" s="7" t="inlineStr">
        <is>
          <t>FAO Support in Cameroon</t>
        </is>
      </c>
      <c r="G8" s="7" t="n"/>
    </row>
    <row r="9">
      <c r="A9" t="inlineStr">
        <is>
          <t>Ebenezer Gyadu</t>
        </is>
      </c>
      <c r="B9" s="7" t="inlineStr">
        <is>
          <t>STF-007</t>
        </is>
      </c>
      <c r="C9" s="7" t="inlineStr">
        <is>
          <t>Ebenezer Gyadu</t>
        </is>
      </c>
      <c r="E9" t="inlineStr">
        <is>
          <t>P13NC00A00 - WALMART II</t>
        </is>
      </c>
      <c r="F9" s="7" t="inlineStr">
        <is>
          <t>WALMART II</t>
        </is>
      </c>
      <c r="G9" s="7" t="n"/>
    </row>
    <row r="10">
      <c r="A10" t="inlineStr">
        <is>
          <t>Ekow Nyamekye Tawiah</t>
        </is>
      </c>
      <c r="B10" s="7" t="inlineStr">
        <is>
          <t>STF-008</t>
        </is>
      </c>
      <c r="C10" s="7" t="inlineStr">
        <is>
          <t>Ekow Nyamekye Tawiah</t>
        </is>
      </c>
      <c r="E10" t="inlineStr">
        <is>
          <t>P13PC00A00 - Private Sector Companies</t>
        </is>
      </c>
      <c r="F10" s="7" t="inlineStr">
        <is>
          <t>Private Sector Companies</t>
        </is>
      </c>
      <c r="G10" s="7" t="n"/>
    </row>
    <row r="11">
      <c r="A11" t="inlineStr">
        <is>
          <t>Ernestina Incoom</t>
        </is>
      </c>
      <c r="B11" s="7" t="inlineStr">
        <is>
          <t>STF-009</t>
        </is>
      </c>
      <c r="C11" s="7" t="inlineStr">
        <is>
          <t>Ernestina Incoom</t>
        </is>
      </c>
      <c r="E11" t="inlineStr">
        <is>
          <t>P13QC00A00 - EFI Programme</t>
        </is>
      </c>
      <c r="F11" s="7" t="inlineStr">
        <is>
          <t>EFI Programme</t>
        </is>
      </c>
      <c r="G11" s="7" t="n"/>
    </row>
    <row r="12">
      <c r="A12" t="inlineStr">
        <is>
          <t>Frederick Antwi</t>
        </is>
      </c>
      <c r="B12" s="7" t="inlineStr">
        <is>
          <t>STF-010</t>
        </is>
      </c>
      <c r="C12" s="7" t="inlineStr">
        <is>
          <t>Frederick Antwi</t>
        </is>
      </c>
      <c r="E12" t="inlineStr">
        <is>
          <t>P23AC00C00 - FGMC</t>
        </is>
      </c>
      <c r="F12" s="7" t="inlineStr">
        <is>
          <t>FGMC</t>
        </is>
      </c>
      <c r="G12" s="7" t="n"/>
    </row>
    <row r="13">
      <c r="A13" t="inlineStr">
        <is>
          <t xml:space="preserve">Helena Tetteh </t>
        </is>
      </c>
      <c r="B13" s="7" t="inlineStr">
        <is>
          <t>STF-011</t>
        </is>
      </c>
      <c r="C13" s="7" t="inlineStr">
        <is>
          <t>Helena Tetteh</t>
        </is>
      </c>
      <c r="E13" t="inlineStr">
        <is>
          <t>PCGH686</t>
        </is>
      </c>
      <c r="F13" s="7" t="inlineStr">
        <is>
          <t>PCGH686</t>
        </is>
      </c>
      <c r="G13" s="7" t="n"/>
    </row>
    <row r="14">
      <c r="A14" t="inlineStr">
        <is>
          <t>Jacqueline Nyakutse Afua</t>
        </is>
      </c>
      <c r="B14" s="7" t="inlineStr">
        <is>
          <t>STF-012</t>
        </is>
      </c>
      <c r="C14" s="7" t="inlineStr">
        <is>
          <t>Jacqueline Nyakutse Afua</t>
        </is>
      </c>
      <c r="E14" t="inlineStr">
        <is>
          <t>PCGH722</t>
        </is>
      </c>
      <c r="F14" s="7" t="inlineStr">
        <is>
          <t>PCGH722</t>
        </is>
      </c>
      <c r="G14" s="7" t="n"/>
    </row>
    <row r="15">
      <c r="A15" t="inlineStr">
        <is>
          <t>James Akossah</t>
        </is>
      </c>
      <c r="B15" s="7" t="inlineStr">
        <is>
          <t>STF-013</t>
        </is>
      </c>
      <c r="C15" s="7" t="inlineStr">
        <is>
          <t>James Akossah</t>
        </is>
      </c>
      <c r="E15" t="inlineStr">
        <is>
          <t>PCGH738</t>
        </is>
      </c>
      <c r="F15" s="7" t="inlineStr">
        <is>
          <t>PCGH738</t>
        </is>
      </c>
      <c r="G15" s="7" t="n"/>
    </row>
    <row r="16">
      <c r="A16" t="inlineStr">
        <is>
          <t>James Parker Mckeown</t>
        </is>
      </c>
      <c r="B16" s="7" t="inlineStr">
        <is>
          <t>STF-014</t>
        </is>
      </c>
      <c r="C16" s="7" t="inlineStr">
        <is>
          <t>James Parker Mckeown</t>
        </is>
      </c>
      <c r="E16" t="inlineStr">
        <is>
          <t>PCGH752</t>
        </is>
      </c>
      <c r="F16" s="7" t="inlineStr">
        <is>
          <t>PCGH752</t>
        </is>
      </c>
      <c r="G16" s="7" t="n"/>
    </row>
    <row r="17">
      <c r="A17" t="inlineStr">
        <is>
          <t>Joseph Isaiah Mensah</t>
        </is>
      </c>
      <c r="B17" s="7" t="inlineStr">
        <is>
          <t>STF-015</t>
        </is>
      </c>
      <c r="C17" s="7" t="inlineStr">
        <is>
          <t>Joseph Isaiah Mensah</t>
        </is>
      </c>
      <c r="E17" t="inlineStr">
        <is>
          <t>PCGH753 (General Support )</t>
        </is>
      </c>
      <c r="F17" s="7" t="inlineStr">
        <is>
          <t>PCGH753 (General Support )</t>
        </is>
      </c>
      <c r="G17" s="7" t="n"/>
    </row>
    <row r="18">
      <c r="A18" t="inlineStr">
        <is>
          <t>Kingsley Fitz-Gerald Severine</t>
        </is>
      </c>
      <c r="B18" s="7" t="inlineStr">
        <is>
          <t>STF-016</t>
        </is>
      </c>
      <c r="C18" s="7" t="inlineStr">
        <is>
          <t>Kingsley Fitz-Gerald Severine</t>
        </is>
      </c>
      <c r="E18" t="inlineStr">
        <is>
          <t>PCGH754 (Cote D'voire)</t>
        </is>
      </c>
      <c r="F18" s="7" t="inlineStr">
        <is>
          <t>PCGH754 (Cote D'voire)</t>
        </is>
      </c>
      <c r="G18" s="7" t="n"/>
    </row>
    <row r="19">
      <c r="A19" t="inlineStr">
        <is>
          <t>Kwadwo Baniako Nti</t>
        </is>
      </c>
      <c r="B19" s="7" t="inlineStr">
        <is>
          <t>STF-017</t>
        </is>
      </c>
      <c r="C19" s="7" t="inlineStr">
        <is>
          <t>Kwadwo Baniako Nti</t>
        </is>
      </c>
      <c r="E19" t="inlineStr">
        <is>
          <t>PCGH755 (Nestle Nigeria)</t>
        </is>
      </c>
      <c r="F19" s="7" t="inlineStr">
        <is>
          <t>PCGH755 (Nestle Nigeria)</t>
        </is>
      </c>
      <c r="G19" s="7" t="n"/>
    </row>
    <row r="20">
      <c r="A20" t="inlineStr">
        <is>
          <t>Louis Defo</t>
        </is>
      </c>
      <c r="B20" s="7" t="inlineStr">
        <is>
          <t>STF-018</t>
        </is>
      </c>
      <c r="C20" s="7" t="inlineStr">
        <is>
          <t>Louis Defo</t>
        </is>
      </c>
      <c r="E20" t="inlineStr">
        <is>
          <t>PCGH759</t>
        </is>
      </c>
      <c r="F20" s="7" t="inlineStr">
        <is>
          <t>PCGH759</t>
        </is>
      </c>
      <c r="G20" s="7" t="n"/>
    </row>
    <row r="21">
      <c r="A21" t="inlineStr">
        <is>
          <t>Michael Anim Ofosu</t>
        </is>
      </c>
      <c r="B21" s="7" t="inlineStr">
        <is>
          <t>STF-019</t>
        </is>
      </c>
      <c r="C21" s="7" t="inlineStr">
        <is>
          <t>Michael Anim Ofosu</t>
        </is>
      </c>
      <c r="E21" t="inlineStr">
        <is>
          <t>PCGH761</t>
        </is>
      </c>
      <c r="F21" s="7" t="inlineStr">
        <is>
          <t>PCGH761</t>
        </is>
      </c>
      <c r="G21" s="7" t="n"/>
    </row>
    <row r="22">
      <c r="A22" t="inlineStr">
        <is>
          <t>Naana Agyekum Nkansah</t>
        </is>
      </c>
      <c r="B22" s="7" t="inlineStr">
        <is>
          <t>STF-020</t>
        </is>
      </c>
      <c r="C22" s="7" t="inlineStr">
        <is>
          <t>Naana Agyekum Nkansah</t>
        </is>
      </c>
      <c r="E22" t="inlineStr">
        <is>
          <t>PCGH762 - GVL HCSA Restoration Project</t>
        </is>
      </c>
      <c r="F22" s="7" t="inlineStr">
        <is>
          <t>GVL HCSA Restoration Project</t>
        </is>
      </c>
      <c r="G22" s="7" t="n"/>
    </row>
    <row r="23">
      <c r="A23" t="inlineStr">
        <is>
          <t>Patricia Offei</t>
        </is>
      </c>
      <c r="B23" s="7" t="inlineStr">
        <is>
          <t>STF-021</t>
        </is>
      </c>
      <c r="C23" s="7" t="inlineStr">
        <is>
          <t>Patricia Offei</t>
        </is>
      </c>
      <c r="E23" t="inlineStr">
        <is>
          <t>PCGH763</t>
        </is>
      </c>
      <c r="F23" s="7" t="inlineStr">
        <is>
          <t>PCGH763</t>
        </is>
      </c>
      <c r="G23" s="7" t="n"/>
    </row>
    <row r="24">
      <c r="A24" t="inlineStr">
        <is>
          <t>Soro TCHEREGNIMIN</t>
        </is>
      </c>
      <c r="B24" s="7" t="inlineStr">
        <is>
          <t>STF-022</t>
        </is>
      </c>
      <c r="C24" s="7" t="inlineStr">
        <is>
          <t>Soro TCHEREGNIMIN</t>
        </is>
      </c>
      <c r="E24" t="inlineStr">
        <is>
          <t>PCGH768</t>
        </is>
      </c>
      <c r="F24" s="7" t="inlineStr">
        <is>
          <t>PCGH768</t>
        </is>
      </c>
      <c r="G24" s="7" t="n"/>
    </row>
    <row r="25">
      <c r="A25" t="inlineStr">
        <is>
          <t>Stephen Doso</t>
        </is>
      </c>
      <c r="B25" s="7" t="inlineStr">
        <is>
          <t>STF-023</t>
        </is>
      </c>
      <c r="C25" s="7" t="inlineStr">
        <is>
          <t>Stephen Doso</t>
        </is>
      </c>
      <c r="E25" t="inlineStr">
        <is>
          <t>PCGH769</t>
        </is>
      </c>
      <c r="F25" s="7" t="inlineStr">
        <is>
          <t>PCGH769</t>
        </is>
      </c>
      <c r="G25" s="7" t="n"/>
    </row>
    <row r="26">
      <c r="E26" t="inlineStr">
        <is>
          <t>PCGH771</t>
        </is>
      </c>
      <c r="F26" s="7" t="inlineStr">
        <is>
          <t>PCGH771</t>
        </is>
      </c>
      <c r="G26" s="7" t="n"/>
    </row>
    <row r="27">
      <c r="E27" t="inlineStr">
        <is>
          <t>PCGH772</t>
        </is>
      </c>
      <c r="F27" s="7" t="inlineStr">
        <is>
          <t>PCGH772</t>
        </is>
      </c>
      <c r="G27" s="7" t="n"/>
    </row>
    <row r="28">
      <c r="E28" t="inlineStr">
        <is>
          <t>PCGH774 -Evaluation Deep-Dive Action Plans by Socfin Group</t>
        </is>
      </c>
      <c r="F28" s="7" t="inlineStr">
        <is>
          <t>Evaluation Deep-Dive Action Plans by Socfin Group</t>
        </is>
      </c>
      <c r="G28" s="7" t="n"/>
    </row>
    <row r="29">
      <c r="E29" t="inlineStr">
        <is>
          <t>PCGH775 - ESDD of Valency Operations for FMO</t>
        </is>
      </c>
      <c r="F29" s="7" t="inlineStr">
        <is>
          <t>ESDD of Valency Operations for FMO</t>
        </is>
      </c>
      <c r="G29" s="7" t="n"/>
    </row>
    <row r="30">
      <c r="E30" t="inlineStr">
        <is>
          <t>PCGH776 - Deforestation Risk-Assessment Cashew-Coast</t>
        </is>
      </c>
      <c r="F30" s="7" t="inlineStr">
        <is>
          <t>Deforestation Risk-Assessment Cashew-Coast</t>
        </is>
      </c>
      <c r="G30" s="7" t="n"/>
    </row>
    <row r="31">
      <c r="E31" t="inlineStr">
        <is>
          <t>PCGH777</t>
        </is>
      </c>
      <c r="F31" s="7" t="inlineStr">
        <is>
          <t>PCGH777</t>
        </is>
      </c>
      <c r="G31" s="7" t="n"/>
    </row>
    <row r="32">
      <c r="E32" t="inlineStr">
        <is>
          <t>PCGH778 - General Support</t>
        </is>
      </c>
      <c r="F32" s="7" t="inlineStr">
        <is>
          <t>General Support</t>
        </is>
      </c>
      <c r="G32" s="7" t="n"/>
    </row>
    <row r="33">
      <c r="E33" t="inlineStr">
        <is>
          <t>PCGH779 - Cote d'Ivoire）</t>
        </is>
      </c>
      <c r="F33" s="7" t="inlineStr">
        <is>
          <t>Cote d'Ivoire）</t>
        </is>
      </c>
      <c r="G33" s="7" t="n"/>
    </row>
    <row r="34">
      <c r="E34" t="inlineStr">
        <is>
          <t>PCGH780 - Nigeria</t>
        </is>
      </c>
      <c r="F34" s="7" t="inlineStr">
        <is>
          <t>Nigeria</t>
        </is>
      </c>
      <c r="G34" s="7" t="n"/>
    </row>
    <row r="35">
      <c r="E35" t="inlineStr">
        <is>
          <t>PCGH783 - Zimbabwe HRDD</t>
        </is>
      </c>
      <c r="F35" s="7" t="inlineStr">
        <is>
          <t>Zimbabwe HRDD</t>
        </is>
      </c>
      <c r="G35" s="7" t="n"/>
    </row>
    <row r="36">
      <c r="E36" t="inlineStr">
        <is>
          <t>PCGH784</t>
        </is>
      </c>
      <c r="F36" s="7" t="inlineStr">
        <is>
          <t>PCGH784</t>
        </is>
      </c>
      <c r="G36" s="7" t="n"/>
    </row>
    <row r="37">
      <c r="E37" t="inlineStr">
        <is>
          <t>PCGH785</t>
        </is>
      </c>
      <c r="F37" s="7" t="inlineStr">
        <is>
          <t>PCGH785</t>
        </is>
      </c>
      <c r="G37" s="7" t="n"/>
    </row>
    <row r="38">
      <c r="E38" t="inlineStr">
        <is>
          <t>PCGH786 - Impact Level Baseline assessment for FGMC</t>
        </is>
      </c>
      <c r="F38" s="7" t="inlineStr">
        <is>
          <t>Impact Level Baseline assessment for FGMC</t>
        </is>
      </c>
      <c r="G38" s="7" t="n"/>
    </row>
    <row r="39">
      <c r="E39" t="inlineStr">
        <is>
          <t>PCGH787</t>
        </is>
      </c>
      <c r="F39" s="7" t="inlineStr">
        <is>
          <t>PCGH787</t>
        </is>
      </c>
      <c r="G39" s="7" t="n"/>
    </row>
    <row r="40">
      <c r="E40" t="inlineStr">
        <is>
          <t>PCGH788 - CDC Boa &amp; Mondoni CV-HCS Scoping</t>
        </is>
      </c>
      <c r="F40" s="7" t="inlineStr">
        <is>
          <t>CDC Boa &amp; Mondoni CV-HCS Scoping</t>
        </is>
      </c>
      <c r="G40" s="7" t="n"/>
    </row>
    <row r="41">
      <c r="E41" t="inlineStr">
        <is>
          <t>PCGH789 - Valency MSMO EHS audit</t>
        </is>
      </c>
      <c r="F41" s="7" t="inlineStr">
        <is>
          <t>Valency MSMO EHS audit</t>
        </is>
      </c>
      <c r="G41" s="7" t="n"/>
    </row>
    <row r="42">
      <c r="E42" t="inlineStr">
        <is>
          <t>PCGH790 - Nestle Soy Support</t>
        </is>
      </c>
      <c r="F42" s="7" t="inlineStr">
        <is>
          <t>Nestle Soy Support</t>
        </is>
      </c>
      <c r="G42" s="7" t="n"/>
    </row>
    <row r="43">
      <c r="E43" t="inlineStr">
        <is>
          <t>PCGH791</t>
        </is>
      </c>
      <c r="F43" s="7" t="inlineStr">
        <is>
          <t>PCGH791</t>
        </is>
      </c>
      <c r="G43" s="7" t="n"/>
    </row>
    <row r="44">
      <c r="E44" t="inlineStr">
        <is>
          <t>PCGH792</t>
        </is>
      </c>
      <c r="F44" s="7" t="inlineStr">
        <is>
          <t>PCGH792</t>
        </is>
      </c>
      <c r="G44" s="7" t="n"/>
    </row>
    <row r="45">
      <c r="E45" t="inlineStr">
        <is>
          <t>PCGH793</t>
        </is>
      </c>
      <c r="F45" s="7" t="inlineStr">
        <is>
          <t>PCGH793</t>
        </is>
      </c>
      <c r="G45" s="7" t="n"/>
    </row>
  </sheetData>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H1007"/>
  <sheetViews>
    <sheetView workbookViewId="0">
      <pane ySplit="7" topLeftCell="A8" activePane="bottomLeft" state="frozen"/>
      <selection pane="bottomLeft" activeCell="A1" sqref="A1"/>
    </sheetView>
  </sheetViews>
  <sheetFormatPr baseColWidth="8" defaultRowHeight="15"/>
  <cols>
    <col width="12" customWidth="1" min="1" max="1"/>
    <col width="28" customWidth="1" min="2" max="2"/>
    <col width="42" customWidth="1" min="3" max="3"/>
    <col width="24" customWidth="1" min="4" max="4"/>
    <col width="12" customWidth="1" min="5" max="5"/>
    <col width="16" customWidth="1" min="6" max="6"/>
    <col width="14" customWidth="1" min="7" max="7"/>
    <col width="26" customWidth="1" min="8" max="8"/>
  </cols>
  <sheetData>
    <row r="1">
      <c r="A1" s="9" t="inlineStr">
        <is>
          <t>CHECKS (all must be OK before uploading)</t>
        </is>
      </c>
    </row>
    <row r="2">
      <c r="A2" s="10" t="inlineStr">
        <is>
          <t>Total hours reconcile (RAW_004 = UPLOAD):</t>
        </is>
      </c>
      <c r="C2" s="6">
        <f>IF(ROUND(SUM(RAW_004!I2:I10001)-SUM(G8:G1007),2)=0,"OK","MISMATCH: "&amp;TEXT(SUM(RAW_004!I2:I10001)-SUM(G8:G1007),"0.00")&amp;" hrs not in UPLOAD - add missing rows in ALLOCATIONS")</f>
        <v/>
      </c>
    </row>
    <row r="3">
      <c r="A3" s="10" t="inlineStr">
        <is>
          <t>All employees mapped:</t>
        </is>
      </c>
      <c r="C3" s="6">
        <f>IF(SUMPRODUCT((RAW_004!D2:D10001&lt;&gt;"")*ISNA(MATCH(RAW_004!D2:D10001,MAPPING!A3:A302,0)))=0,"OK","UNMAPPED EMPLOYEES: add them in MAPPING")</f>
        <v/>
      </c>
    </row>
    <row r="4">
      <c r="A4" s="10" t="inlineStr">
        <is>
          <t>All projects mapped:</t>
        </is>
      </c>
      <c r="C4" s="6">
        <f>IF(SUMPRODUCT((RAW_004!H2:H10001&lt;&gt;"")*ISNA(MATCH(RAW_004!H2:H10001,MAPPING!E3:E302,0)))=0,"OK","UNMAPPED PROJECTS: add them in MAPPING")</f>
        <v/>
      </c>
    </row>
    <row r="6">
      <c r="A6" s="9" t="inlineStr">
        <is>
          <t>UPLOAD DATA - while on this tab, File &gt; Save As &gt; CSV, then upload the CSV to the TFS Dashboard</t>
        </is>
      </c>
    </row>
    <row r="7">
      <c r="A7" s="3" t="inlineStr">
        <is>
          <t>Staff ID</t>
        </is>
      </c>
      <c r="B7" s="3" t="inlineStr">
        <is>
          <t>Staff Name</t>
        </is>
      </c>
      <c r="C7" s="3" t="inlineStr">
        <is>
          <t>Project</t>
        </is>
      </c>
      <c r="D7" s="3" t="inlineStr">
        <is>
          <t>Program</t>
        </is>
      </c>
      <c r="E7" s="3" t="inlineStr">
        <is>
          <t>Period</t>
        </is>
      </c>
      <c r="F7" s="3" t="inlineStr">
        <is>
          <t>Allocated Hours</t>
        </is>
      </c>
      <c r="G7" s="3" t="inlineStr">
        <is>
          <t>Actual Hours</t>
        </is>
      </c>
      <c r="H7" s="3" t="inlineStr">
        <is>
          <t>Variance (Actual - Allocated)</t>
        </is>
      </c>
    </row>
    <row r="8">
      <c r="A8" s="6">
        <f>IF(ALLOCATIONS!A2="","",IFERROR(VLOOKUP(ALLOCATIONS!A2,MAPPING!$A$3:$C$302,2,FALSE),"UNMAPPED"))</f>
        <v/>
      </c>
      <c r="B8" s="6">
        <f>IF(ALLOCATIONS!A2="","",IFERROR(VLOOKUP(ALLOCATIONS!A2,MAPPING!$A$3:$C$302,3,FALSE),ALLOCATIONS!A2))</f>
        <v/>
      </c>
      <c r="C8" s="6">
        <f>IF(ALLOCATIONS!A2="","",IFERROR(VLOOKUP(ALLOCATIONS!B2,MAPPING!$E$3:$G$302,2,FALSE),"UNMAPPED"))</f>
        <v/>
      </c>
      <c r="D8" s="6">
        <f>IF(ALLOCATIONS!A2="","",IFERROR(IF(VLOOKUP(ALLOCATIONS!B2,MAPPING!$E$3:$G$302,3,FALSE)="","",VLOOKUP(ALLOCATIONS!B2,MAPPING!$E$3:$G$302,3,FALSE)),""))</f>
        <v/>
      </c>
      <c r="E8" s="6">
        <f>IF(ALLOCATIONS!A2="","",ALLOCATIONS!C2)</f>
        <v/>
      </c>
      <c r="F8" s="6">
        <f>IF(ALLOCATIONS!A2="","",IF(ALLOCATIONS!D2="",0,ALLOCATIONS!D2))</f>
        <v/>
      </c>
      <c r="G8" s="6">
        <f>IF(ALLOCATIONS!A2="","",SUMIFS(RAW_004!$I$2:$I$10001,RAW_004!$D$2:$D$10001,ALLOCATIONS!A2,RAW_004!$H$2:$H$10001,ALLOCATIONS!B2,RAW_004!$N$2:$N$10001,ALLOCATIONS!C2))</f>
        <v/>
      </c>
      <c r="H8" s="6">
        <f>IF(A8="","",G8-F8)</f>
        <v/>
      </c>
    </row>
    <row r="9">
      <c r="A9" s="6">
        <f>IF(ALLOCATIONS!A3="","",IFERROR(VLOOKUP(ALLOCATIONS!A3,MAPPING!$A$3:$C$302,2,FALSE),"UNMAPPED"))</f>
        <v/>
      </c>
      <c r="B9" s="6">
        <f>IF(ALLOCATIONS!A3="","",IFERROR(VLOOKUP(ALLOCATIONS!A3,MAPPING!$A$3:$C$302,3,FALSE),ALLOCATIONS!A3))</f>
        <v/>
      </c>
      <c r="C9" s="6">
        <f>IF(ALLOCATIONS!A3="","",IFERROR(VLOOKUP(ALLOCATIONS!B3,MAPPING!$E$3:$G$302,2,FALSE),"UNMAPPED"))</f>
        <v/>
      </c>
      <c r="D9" s="6">
        <f>IF(ALLOCATIONS!A3="","",IFERROR(IF(VLOOKUP(ALLOCATIONS!B3,MAPPING!$E$3:$G$302,3,FALSE)="","",VLOOKUP(ALLOCATIONS!B3,MAPPING!$E$3:$G$302,3,FALSE)),""))</f>
        <v/>
      </c>
      <c r="E9" s="6">
        <f>IF(ALLOCATIONS!A3="","",ALLOCATIONS!C3)</f>
        <v/>
      </c>
      <c r="F9" s="6">
        <f>IF(ALLOCATIONS!A3="","",IF(ALLOCATIONS!D3="",0,ALLOCATIONS!D3))</f>
        <v/>
      </c>
      <c r="G9" s="6">
        <f>IF(ALLOCATIONS!A3="","",SUMIFS(RAW_004!$I$2:$I$10001,RAW_004!$D$2:$D$10001,ALLOCATIONS!A3,RAW_004!$H$2:$H$10001,ALLOCATIONS!B3,RAW_004!$N$2:$N$10001,ALLOCATIONS!C3))</f>
        <v/>
      </c>
      <c r="H9" s="6">
        <f>IF(A9="","",G9-F9)</f>
        <v/>
      </c>
    </row>
    <row r="10">
      <c r="A10" s="6">
        <f>IF(ALLOCATIONS!A4="","",IFERROR(VLOOKUP(ALLOCATIONS!A4,MAPPING!$A$3:$C$302,2,FALSE),"UNMAPPED"))</f>
        <v/>
      </c>
      <c r="B10" s="6">
        <f>IF(ALLOCATIONS!A4="","",IFERROR(VLOOKUP(ALLOCATIONS!A4,MAPPING!$A$3:$C$302,3,FALSE),ALLOCATIONS!A4))</f>
        <v/>
      </c>
      <c r="C10" s="6">
        <f>IF(ALLOCATIONS!A4="","",IFERROR(VLOOKUP(ALLOCATIONS!B4,MAPPING!$E$3:$G$302,2,FALSE),"UNMAPPED"))</f>
        <v/>
      </c>
      <c r="D10" s="6">
        <f>IF(ALLOCATIONS!A4="","",IFERROR(IF(VLOOKUP(ALLOCATIONS!B4,MAPPING!$E$3:$G$302,3,FALSE)="","",VLOOKUP(ALLOCATIONS!B4,MAPPING!$E$3:$G$302,3,FALSE)),""))</f>
        <v/>
      </c>
      <c r="E10" s="6">
        <f>IF(ALLOCATIONS!A4="","",ALLOCATIONS!C4)</f>
        <v/>
      </c>
      <c r="F10" s="6">
        <f>IF(ALLOCATIONS!A4="","",IF(ALLOCATIONS!D4="",0,ALLOCATIONS!D4))</f>
        <v/>
      </c>
      <c r="G10" s="6">
        <f>IF(ALLOCATIONS!A4="","",SUMIFS(RAW_004!$I$2:$I$10001,RAW_004!$D$2:$D$10001,ALLOCATIONS!A4,RAW_004!$H$2:$H$10001,ALLOCATIONS!B4,RAW_004!$N$2:$N$10001,ALLOCATIONS!C4))</f>
        <v/>
      </c>
      <c r="H10" s="6">
        <f>IF(A10="","",G10-F10)</f>
        <v/>
      </c>
    </row>
    <row r="11">
      <c r="A11" s="6">
        <f>IF(ALLOCATIONS!A5="","",IFERROR(VLOOKUP(ALLOCATIONS!A5,MAPPING!$A$3:$C$302,2,FALSE),"UNMAPPED"))</f>
        <v/>
      </c>
      <c r="B11" s="6">
        <f>IF(ALLOCATIONS!A5="","",IFERROR(VLOOKUP(ALLOCATIONS!A5,MAPPING!$A$3:$C$302,3,FALSE),ALLOCATIONS!A5))</f>
        <v/>
      </c>
      <c r="C11" s="6">
        <f>IF(ALLOCATIONS!A5="","",IFERROR(VLOOKUP(ALLOCATIONS!B5,MAPPING!$E$3:$G$302,2,FALSE),"UNMAPPED"))</f>
        <v/>
      </c>
      <c r="D11" s="6">
        <f>IF(ALLOCATIONS!A5="","",IFERROR(IF(VLOOKUP(ALLOCATIONS!B5,MAPPING!$E$3:$G$302,3,FALSE)="","",VLOOKUP(ALLOCATIONS!B5,MAPPING!$E$3:$G$302,3,FALSE)),""))</f>
        <v/>
      </c>
      <c r="E11" s="6">
        <f>IF(ALLOCATIONS!A5="","",ALLOCATIONS!C5)</f>
        <v/>
      </c>
      <c r="F11" s="6">
        <f>IF(ALLOCATIONS!A5="","",IF(ALLOCATIONS!D5="",0,ALLOCATIONS!D5))</f>
        <v/>
      </c>
      <c r="G11" s="6">
        <f>IF(ALLOCATIONS!A5="","",SUMIFS(RAW_004!$I$2:$I$10001,RAW_004!$D$2:$D$10001,ALLOCATIONS!A5,RAW_004!$H$2:$H$10001,ALLOCATIONS!B5,RAW_004!$N$2:$N$10001,ALLOCATIONS!C5))</f>
        <v/>
      </c>
      <c r="H11" s="6">
        <f>IF(A11="","",G11-F11)</f>
        <v/>
      </c>
    </row>
    <row r="12">
      <c r="A12" s="6">
        <f>IF(ALLOCATIONS!A6="","",IFERROR(VLOOKUP(ALLOCATIONS!A6,MAPPING!$A$3:$C$302,2,FALSE),"UNMAPPED"))</f>
        <v/>
      </c>
      <c r="B12" s="6">
        <f>IF(ALLOCATIONS!A6="","",IFERROR(VLOOKUP(ALLOCATIONS!A6,MAPPING!$A$3:$C$302,3,FALSE),ALLOCATIONS!A6))</f>
        <v/>
      </c>
      <c r="C12" s="6">
        <f>IF(ALLOCATIONS!A6="","",IFERROR(VLOOKUP(ALLOCATIONS!B6,MAPPING!$E$3:$G$302,2,FALSE),"UNMAPPED"))</f>
        <v/>
      </c>
      <c r="D12" s="6">
        <f>IF(ALLOCATIONS!A6="","",IFERROR(IF(VLOOKUP(ALLOCATIONS!B6,MAPPING!$E$3:$G$302,3,FALSE)="","",VLOOKUP(ALLOCATIONS!B6,MAPPING!$E$3:$G$302,3,FALSE)),""))</f>
        <v/>
      </c>
      <c r="E12" s="6">
        <f>IF(ALLOCATIONS!A6="","",ALLOCATIONS!C6)</f>
        <v/>
      </c>
      <c r="F12" s="6">
        <f>IF(ALLOCATIONS!A6="","",IF(ALLOCATIONS!D6="",0,ALLOCATIONS!D6))</f>
        <v/>
      </c>
      <c r="G12" s="6">
        <f>IF(ALLOCATIONS!A6="","",SUMIFS(RAW_004!$I$2:$I$10001,RAW_004!$D$2:$D$10001,ALLOCATIONS!A6,RAW_004!$H$2:$H$10001,ALLOCATIONS!B6,RAW_004!$N$2:$N$10001,ALLOCATIONS!C6))</f>
        <v/>
      </c>
      <c r="H12" s="6">
        <f>IF(A12="","",G12-F12)</f>
        <v/>
      </c>
    </row>
    <row r="13">
      <c r="A13" s="6">
        <f>IF(ALLOCATIONS!A7="","",IFERROR(VLOOKUP(ALLOCATIONS!A7,MAPPING!$A$3:$C$302,2,FALSE),"UNMAPPED"))</f>
        <v/>
      </c>
      <c r="B13" s="6">
        <f>IF(ALLOCATIONS!A7="","",IFERROR(VLOOKUP(ALLOCATIONS!A7,MAPPING!$A$3:$C$302,3,FALSE),ALLOCATIONS!A7))</f>
        <v/>
      </c>
      <c r="C13" s="6">
        <f>IF(ALLOCATIONS!A7="","",IFERROR(VLOOKUP(ALLOCATIONS!B7,MAPPING!$E$3:$G$302,2,FALSE),"UNMAPPED"))</f>
        <v/>
      </c>
      <c r="D13" s="6">
        <f>IF(ALLOCATIONS!A7="","",IFERROR(IF(VLOOKUP(ALLOCATIONS!B7,MAPPING!$E$3:$G$302,3,FALSE)="","",VLOOKUP(ALLOCATIONS!B7,MAPPING!$E$3:$G$302,3,FALSE)),""))</f>
        <v/>
      </c>
      <c r="E13" s="6">
        <f>IF(ALLOCATIONS!A7="","",ALLOCATIONS!C7)</f>
        <v/>
      </c>
      <c r="F13" s="6">
        <f>IF(ALLOCATIONS!A7="","",IF(ALLOCATIONS!D7="",0,ALLOCATIONS!D7))</f>
        <v/>
      </c>
      <c r="G13" s="6">
        <f>IF(ALLOCATIONS!A7="","",SUMIFS(RAW_004!$I$2:$I$10001,RAW_004!$D$2:$D$10001,ALLOCATIONS!A7,RAW_004!$H$2:$H$10001,ALLOCATIONS!B7,RAW_004!$N$2:$N$10001,ALLOCATIONS!C7))</f>
        <v/>
      </c>
      <c r="H13" s="6">
        <f>IF(A13="","",G13-F13)</f>
        <v/>
      </c>
    </row>
    <row r="14">
      <c r="A14" s="6">
        <f>IF(ALLOCATIONS!A8="","",IFERROR(VLOOKUP(ALLOCATIONS!A8,MAPPING!$A$3:$C$302,2,FALSE),"UNMAPPED"))</f>
        <v/>
      </c>
      <c r="B14" s="6">
        <f>IF(ALLOCATIONS!A8="","",IFERROR(VLOOKUP(ALLOCATIONS!A8,MAPPING!$A$3:$C$302,3,FALSE),ALLOCATIONS!A8))</f>
        <v/>
      </c>
      <c r="C14" s="6">
        <f>IF(ALLOCATIONS!A8="","",IFERROR(VLOOKUP(ALLOCATIONS!B8,MAPPING!$E$3:$G$302,2,FALSE),"UNMAPPED"))</f>
        <v/>
      </c>
      <c r="D14" s="6">
        <f>IF(ALLOCATIONS!A8="","",IFERROR(IF(VLOOKUP(ALLOCATIONS!B8,MAPPING!$E$3:$G$302,3,FALSE)="","",VLOOKUP(ALLOCATIONS!B8,MAPPING!$E$3:$G$302,3,FALSE)),""))</f>
        <v/>
      </c>
      <c r="E14" s="6">
        <f>IF(ALLOCATIONS!A8="","",ALLOCATIONS!C8)</f>
        <v/>
      </c>
      <c r="F14" s="6">
        <f>IF(ALLOCATIONS!A8="","",IF(ALLOCATIONS!D8="",0,ALLOCATIONS!D8))</f>
        <v/>
      </c>
      <c r="G14" s="6">
        <f>IF(ALLOCATIONS!A8="","",SUMIFS(RAW_004!$I$2:$I$10001,RAW_004!$D$2:$D$10001,ALLOCATIONS!A8,RAW_004!$H$2:$H$10001,ALLOCATIONS!B8,RAW_004!$N$2:$N$10001,ALLOCATIONS!C8))</f>
        <v/>
      </c>
      <c r="H14" s="6">
        <f>IF(A14="","",G14-F14)</f>
        <v/>
      </c>
    </row>
    <row r="15">
      <c r="A15" s="6">
        <f>IF(ALLOCATIONS!A9="","",IFERROR(VLOOKUP(ALLOCATIONS!A9,MAPPING!$A$3:$C$302,2,FALSE),"UNMAPPED"))</f>
        <v/>
      </c>
      <c r="B15" s="6">
        <f>IF(ALLOCATIONS!A9="","",IFERROR(VLOOKUP(ALLOCATIONS!A9,MAPPING!$A$3:$C$302,3,FALSE),ALLOCATIONS!A9))</f>
        <v/>
      </c>
      <c r="C15" s="6">
        <f>IF(ALLOCATIONS!A9="","",IFERROR(VLOOKUP(ALLOCATIONS!B9,MAPPING!$E$3:$G$302,2,FALSE),"UNMAPPED"))</f>
        <v/>
      </c>
      <c r="D15" s="6">
        <f>IF(ALLOCATIONS!A9="","",IFERROR(IF(VLOOKUP(ALLOCATIONS!B9,MAPPING!$E$3:$G$302,3,FALSE)="","",VLOOKUP(ALLOCATIONS!B9,MAPPING!$E$3:$G$302,3,FALSE)),""))</f>
        <v/>
      </c>
      <c r="E15" s="6">
        <f>IF(ALLOCATIONS!A9="","",ALLOCATIONS!C9)</f>
        <v/>
      </c>
      <c r="F15" s="6">
        <f>IF(ALLOCATIONS!A9="","",IF(ALLOCATIONS!D9="",0,ALLOCATIONS!D9))</f>
        <v/>
      </c>
      <c r="G15" s="6">
        <f>IF(ALLOCATIONS!A9="","",SUMIFS(RAW_004!$I$2:$I$10001,RAW_004!$D$2:$D$10001,ALLOCATIONS!A9,RAW_004!$H$2:$H$10001,ALLOCATIONS!B9,RAW_004!$N$2:$N$10001,ALLOCATIONS!C9))</f>
        <v/>
      </c>
      <c r="H15" s="6">
        <f>IF(A15="","",G15-F15)</f>
        <v/>
      </c>
    </row>
    <row r="16">
      <c r="A16" s="6">
        <f>IF(ALLOCATIONS!A10="","",IFERROR(VLOOKUP(ALLOCATIONS!A10,MAPPING!$A$3:$C$302,2,FALSE),"UNMAPPED"))</f>
        <v/>
      </c>
      <c r="B16" s="6">
        <f>IF(ALLOCATIONS!A10="","",IFERROR(VLOOKUP(ALLOCATIONS!A10,MAPPING!$A$3:$C$302,3,FALSE),ALLOCATIONS!A10))</f>
        <v/>
      </c>
      <c r="C16" s="6">
        <f>IF(ALLOCATIONS!A10="","",IFERROR(VLOOKUP(ALLOCATIONS!B10,MAPPING!$E$3:$G$302,2,FALSE),"UNMAPPED"))</f>
        <v/>
      </c>
      <c r="D16" s="6">
        <f>IF(ALLOCATIONS!A10="","",IFERROR(IF(VLOOKUP(ALLOCATIONS!B10,MAPPING!$E$3:$G$302,3,FALSE)="","",VLOOKUP(ALLOCATIONS!B10,MAPPING!$E$3:$G$302,3,FALSE)),""))</f>
        <v/>
      </c>
      <c r="E16" s="6">
        <f>IF(ALLOCATIONS!A10="","",ALLOCATIONS!C10)</f>
        <v/>
      </c>
      <c r="F16" s="6">
        <f>IF(ALLOCATIONS!A10="","",IF(ALLOCATIONS!D10="",0,ALLOCATIONS!D10))</f>
        <v/>
      </c>
      <c r="G16" s="6">
        <f>IF(ALLOCATIONS!A10="","",SUMIFS(RAW_004!$I$2:$I$10001,RAW_004!$D$2:$D$10001,ALLOCATIONS!A10,RAW_004!$H$2:$H$10001,ALLOCATIONS!B10,RAW_004!$N$2:$N$10001,ALLOCATIONS!C10))</f>
        <v/>
      </c>
      <c r="H16" s="6">
        <f>IF(A16="","",G16-F16)</f>
        <v/>
      </c>
    </row>
    <row r="17">
      <c r="A17" s="6">
        <f>IF(ALLOCATIONS!A11="","",IFERROR(VLOOKUP(ALLOCATIONS!A11,MAPPING!$A$3:$C$302,2,FALSE),"UNMAPPED"))</f>
        <v/>
      </c>
      <c r="B17" s="6">
        <f>IF(ALLOCATIONS!A11="","",IFERROR(VLOOKUP(ALLOCATIONS!A11,MAPPING!$A$3:$C$302,3,FALSE),ALLOCATIONS!A11))</f>
        <v/>
      </c>
      <c r="C17" s="6">
        <f>IF(ALLOCATIONS!A11="","",IFERROR(VLOOKUP(ALLOCATIONS!B11,MAPPING!$E$3:$G$302,2,FALSE),"UNMAPPED"))</f>
        <v/>
      </c>
      <c r="D17" s="6">
        <f>IF(ALLOCATIONS!A11="","",IFERROR(IF(VLOOKUP(ALLOCATIONS!B11,MAPPING!$E$3:$G$302,3,FALSE)="","",VLOOKUP(ALLOCATIONS!B11,MAPPING!$E$3:$G$302,3,FALSE)),""))</f>
        <v/>
      </c>
      <c r="E17" s="6">
        <f>IF(ALLOCATIONS!A11="","",ALLOCATIONS!C11)</f>
        <v/>
      </c>
      <c r="F17" s="6">
        <f>IF(ALLOCATIONS!A11="","",IF(ALLOCATIONS!D11="",0,ALLOCATIONS!D11))</f>
        <v/>
      </c>
      <c r="G17" s="6">
        <f>IF(ALLOCATIONS!A11="","",SUMIFS(RAW_004!$I$2:$I$10001,RAW_004!$D$2:$D$10001,ALLOCATIONS!A11,RAW_004!$H$2:$H$10001,ALLOCATIONS!B11,RAW_004!$N$2:$N$10001,ALLOCATIONS!C11))</f>
        <v/>
      </c>
      <c r="H17" s="6">
        <f>IF(A17="","",G17-F17)</f>
        <v/>
      </c>
    </row>
    <row r="18">
      <c r="A18" s="6">
        <f>IF(ALLOCATIONS!A12="","",IFERROR(VLOOKUP(ALLOCATIONS!A12,MAPPING!$A$3:$C$302,2,FALSE),"UNMAPPED"))</f>
        <v/>
      </c>
      <c r="B18" s="6">
        <f>IF(ALLOCATIONS!A12="","",IFERROR(VLOOKUP(ALLOCATIONS!A12,MAPPING!$A$3:$C$302,3,FALSE),ALLOCATIONS!A12))</f>
        <v/>
      </c>
      <c r="C18" s="6">
        <f>IF(ALLOCATIONS!A12="","",IFERROR(VLOOKUP(ALLOCATIONS!B12,MAPPING!$E$3:$G$302,2,FALSE),"UNMAPPED"))</f>
        <v/>
      </c>
      <c r="D18" s="6">
        <f>IF(ALLOCATIONS!A12="","",IFERROR(IF(VLOOKUP(ALLOCATIONS!B12,MAPPING!$E$3:$G$302,3,FALSE)="","",VLOOKUP(ALLOCATIONS!B12,MAPPING!$E$3:$G$302,3,FALSE)),""))</f>
        <v/>
      </c>
      <c r="E18" s="6">
        <f>IF(ALLOCATIONS!A12="","",ALLOCATIONS!C12)</f>
        <v/>
      </c>
      <c r="F18" s="6">
        <f>IF(ALLOCATIONS!A12="","",IF(ALLOCATIONS!D12="",0,ALLOCATIONS!D12))</f>
        <v/>
      </c>
      <c r="G18" s="6">
        <f>IF(ALLOCATIONS!A12="","",SUMIFS(RAW_004!$I$2:$I$10001,RAW_004!$D$2:$D$10001,ALLOCATIONS!A12,RAW_004!$H$2:$H$10001,ALLOCATIONS!B12,RAW_004!$N$2:$N$10001,ALLOCATIONS!C12))</f>
        <v/>
      </c>
      <c r="H18" s="6">
        <f>IF(A18="","",G18-F18)</f>
        <v/>
      </c>
    </row>
    <row r="19">
      <c r="A19" s="6">
        <f>IF(ALLOCATIONS!A13="","",IFERROR(VLOOKUP(ALLOCATIONS!A13,MAPPING!$A$3:$C$302,2,FALSE),"UNMAPPED"))</f>
        <v/>
      </c>
      <c r="B19" s="6">
        <f>IF(ALLOCATIONS!A13="","",IFERROR(VLOOKUP(ALLOCATIONS!A13,MAPPING!$A$3:$C$302,3,FALSE),ALLOCATIONS!A13))</f>
        <v/>
      </c>
      <c r="C19" s="6">
        <f>IF(ALLOCATIONS!A13="","",IFERROR(VLOOKUP(ALLOCATIONS!B13,MAPPING!$E$3:$G$302,2,FALSE),"UNMAPPED"))</f>
        <v/>
      </c>
      <c r="D19" s="6">
        <f>IF(ALLOCATIONS!A13="","",IFERROR(IF(VLOOKUP(ALLOCATIONS!B13,MAPPING!$E$3:$G$302,3,FALSE)="","",VLOOKUP(ALLOCATIONS!B13,MAPPING!$E$3:$G$302,3,FALSE)),""))</f>
        <v/>
      </c>
      <c r="E19" s="6">
        <f>IF(ALLOCATIONS!A13="","",ALLOCATIONS!C13)</f>
        <v/>
      </c>
      <c r="F19" s="6">
        <f>IF(ALLOCATIONS!A13="","",IF(ALLOCATIONS!D13="",0,ALLOCATIONS!D13))</f>
        <v/>
      </c>
      <c r="G19" s="6">
        <f>IF(ALLOCATIONS!A13="","",SUMIFS(RAW_004!$I$2:$I$10001,RAW_004!$D$2:$D$10001,ALLOCATIONS!A13,RAW_004!$H$2:$H$10001,ALLOCATIONS!B13,RAW_004!$N$2:$N$10001,ALLOCATIONS!C13))</f>
        <v/>
      </c>
      <c r="H19" s="6">
        <f>IF(A19="","",G19-F19)</f>
        <v/>
      </c>
    </row>
    <row r="20">
      <c r="A20" s="6">
        <f>IF(ALLOCATIONS!A14="","",IFERROR(VLOOKUP(ALLOCATIONS!A14,MAPPING!$A$3:$C$302,2,FALSE),"UNMAPPED"))</f>
        <v/>
      </c>
      <c r="B20" s="6">
        <f>IF(ALLOCATIONS!A14="","",IFERROR(VLOOKUP(ALLOCATIONS!A14,MAPPING!$A$3:$C$302,3,FALSE),ALLOCATIONS!A14))</f>
        <v/>
      </c>
      <c r="C20" s="6">
        <f>IF(ALLOCATIONS!A14="","",IFERROR(VLOOKUP(ALLOCATIONS!B14,MAPPING!$E$3:$G$302,2,FALSE),"UNMAPPED"))</f>
        <v/>
      </c>
      <c r="D20" s="6">
        <f>IF(ALLOCATIONS!A14="","",IFERROR(IF(VLOOKUP(ALLOCATIONS!B14,MAPPING!$E$3:$G$302,3,FALSE)="","",VLOOKUP(ALLOCATIONS!B14,MAPPING!$E$3:$G$302,3,FALSE)),""))</f>
        <v/>
      </c>
      <c r="E20" s="6">
        <f>IF(ALLOCATIONS!A14="","",ALLOCATIONS!C14)</f>
        <v/>
      </c>
      <c r="F20" s="6">
        <f>IF(ALLOCATIONS!A14="","",IF(ALLOCATIONS!D14="",0,ALLOCATIONS!D14))</f>
        <v/>
      </c>
      <c r="G20" s="6">
        <f>IF(ALLOCATIONS!A14="","",SUMIFS(RAW_004!$I$2:$I$10001,RAW_004!$D$2:$D$10001,ALLOCATIONS!A14,RAW_004!$H$2:$H$10001,ALLOCATIONS!B14,RAW_004!$N$2:$N$10001,ALLOCATIONS!C14))</f>
        <v/>
      </c>
      <c r="H20" s="6">
        <f>IF(A20="","",G20-F20)</f>
        <v/>
      </c>
    </row>
    <row r="21">
      <c r="A21" s="6">
        <f>IF(ALLOCATIONS!A15="","",IFERROR(VLOOKUP(ALLOCATIONS!A15,MAPPING!$A$3:$C$302,2,FALSE),"UNMAPPED"))</f>
        <v/>
      </c>
      <c r="B21" s="6">
        <f>IF(ALLOCATIONS!A15="","",IFERROR(VLOOKUP(ALLOCATIONS!A15,MAPPING!$A$3:$C$302,3,FALSE),ALLOCATIONS!A15))</f>
        <v/>
      </c>
      <c r="C21" s="6">
        <f>IF(ALLOCATIONS!A15="","",IFERROR(VLOOKUP(ALLOCATIONS!B15,MAPPING!$E$3:$G$302,2,FALSE),"UNMAPPED"))</f>
        <v/>
      </c>
      <c r="D21" s="6">
        <f>IF(ALLOCATIONS!A15="","",IFERROR(IF(VLOOKUP(ALLOCATIONS!B15,MAPPING!$E$3:$G$302,3,FALSE)="","",VLOOKUP(ALLOCATIONS!B15,MAPPING!$E$3:$G$302,3,FALSE)),""))</f>
        <v/>
      </c>
      <c r="E21" s="6">
        <f>IF(ALLOCATIONS!A15="","",ALLOCATIONS!C15)</f>
        <v/>
      </c>
      <c r="F21" s="6">
        <f>IF(ALLOCATIONS!A15="","",IF(ALLOCATIONS!D15="",0,ALLOCATIONS!D15))</f>
        <v/>
      </c>
      <c r="G21" s="6">
        <f>IF(ALLOCATIONS!A15="","",SUMIFS(RAW_004!$I$2:$I$10001,RAW_004!$D$2:$D$10001,ALLOCATIONS!A15,RAW_004!$H$2:$H$10001,ALLOCATIONS!B15,RAW_004!$N$2:$N$10001,ALLOCATIONS!C15))</f>
        <v/>
      </c>
      <c r="H21" s="6">
        <f>IF(A21="","",G21-F21)</f>
        <v/>
      </c>
    </row>
    <row r="22">
      <c r="A22" s="6">
        <f>IF(ALLOCATIONS!A16="","",IFERROR(VLOOKUP(ALLOCATIONS!A16,MAPPING!$A$3:$C$302,2,FALSE),"UNMAPPED"))</f>
        <v/>
      </c>
      <c r="B22" s="6">
        <f>IF(ALLOCATIONS!A16="","",IFERROR(VLOOKUP(ALLOCATIONS!A16,MAPPING!$A$3:$C$302,3,FALSE),ALLOCATIONS!A16))</f>
        <v/>
      </c>
      <c r="C22" s="6">
        <f>IF(ALLOCATIONS!A16="","",IFERROR(VLOOKUP(ALLOCATIONS!B16,MAPPING!$E$3:$G$302,2,FALSE),"UNMAPPED"))</f>
        <v/>
      </c>
      <c r="D22" s="6">
        <f>IF(ALLOCATIONS!A16="","",IFERROR(IF(VLOOKUP(ALLOCATIONS!B16,MAPPING!$E$3:$G$302,3,FALSE)="","",VLOOKUP(ALLOCATIONS!B16,MAPPING!$E$3:$G$302,3,FALSE)),""))</f>
        <v/>
      </c>
      <c r="E22" s="6">
        <f>IF(ALLOCATIONS!A16="","",ALLOCATIONS!C16)</f>
        <v/>
      </c>
      <c r="F22" s="6">
        <f>IF(ALLOCATIONS!A16="","",IF(ALLOCATIONS!D16="",0,ALLOCATIONS!D16))</f>
        <v/>
      </c>
      <c r="G22" s="6">
        <f>IF(ALLOCATIONS!A16="","",SUMIFS(RAW_004!$I$2:$I$10001,RAW_004!$D$2:$D$10001,ALLOCATIONS!A16,RAW_004!$H$2:$H$10001,ALLOCATIONS!B16,RAW_004!$N$2:$N$10001,ALLOCATIONS!C16))</f>
        <v/>
      </c>
      <c r="H22" s="6">
        <f>IF(A22="","",G22-F22)</f>
        <v/>
      </c>
    </row>
    <row r="23">
      <c r="A23" s="6">
        <f>IF(ALLOCATIONS!A17="","",IFERROR(VLOOKUP(ALLOCATIONS!A17,MAPPING!$A$3:$C$302,2,FALSE),"UNMAPPED"))</f>
        <v/>
      </c>
      <c r="B23" s="6">
        <f>IF(ALLOCATIONS!A17="","",IFERROR(VLOOKUP(ALLOCATIONS!A17,MAPPING!$A$3:$C$302,3,FALSE),ALLOCATIONS!A17))</f>
        <v/>
      </c>
      <c r="C23" s="6">
        <f>IF(ALLOCATIONS!A17="","",IFERROR(VLOOKUP(ALLOCATIONS!B17,MAPPING!$E$3:$G$302,2,FALSE),"UNMAPPED"))</f>
        <v/>
      </c>
      <c r="D23" s="6">
        <f>IF(ALLOCATIONS!A17="","",IFERROR(IF(VLOOKUP(ALLOCATIONS!B17,MAPPING!$E$3:$G$302,3,FALSE)="","",VLOOKUP(ALLOCATIONS!B17,MAPPING!$E$3:$G$302,3,FALSE)),""))</f>
        <v/>
      </c>
      <c r="E23" s="6">
        <f>IF(ALLOCATIONS!A17="","",ALLOCATIONS!C17)</f>
        <v/>
      </c>
      <c r="F23" s="6">
        <f>IF(ALLOCATIONS!A17="","",IF(ALLOCATIONS!D17="",0,ALLOCATIONS!D17))</f>
        <v/>
      </c>
      <c r="G23" s="6">
        <f>IF(ALLOCATIONS!A17="","",SUMIFS(RAW_004!$I$2:$I$10001,RAW_004!$D$2:$D$10001,ALLOCATIONS!A17,RAW_004!$H$2:$H$10001,ALLOCATIONS!B17,RAW_004!$N$2:$N$10001,ALLOCATIONS!C17))</f>
        <v/>
      </c>
      <c r="H23" s="6">
        <f>IF(A23="","",G23-F23)</f>
        <v/>
      </c>
    </row>
    <row r="24">
      <c r="A24" s="6">
        <f>IF(ALLOCATIONS!A18="","",IFERROR(VLOOKUP(ALLOCATIONS!A18,MAPPING!$A$3:$C$302,2,FALSE),"UNMAPPED"))</f>
        <v/>
      </c>
      <c r="B24" s="6">
        <f>IF(ALLOCATIONS!A18="","",IFERROR(VLOOKUP(ALLOCATIONS!A18,MAPPING!$A$3:$C$302,3,FALSE),ALLOCATIONS!A18))</f>
        <v/>
      </c>
      <c r="C24" s="6">
        <f>IF(ALLOCATIONS!A18="","",IFERROR(VLOOKUP(ALLOCATIONS!B18,MAPPING!$E$3:$G$302,2,FALSE),"UNMAPPED"))</f>
        <v/>
      </c>
      <c r="D24" s="6">
        <f>IF(ALLOCATIONS!A18="","",IFERROR(IF(VLOOKUP(ALLOCATIONS!B18,MAPPING!$E$3:$G$302,3,FALSE)="","",VLOOKUP(ALLOCATIONS!B18,MAPPING!$E$3:$G$302,3,FALSE)),""))</f>
        <v/>
      </c>
      <c r="E24" s="6">
        <f>IF(ALLOCATIONS!A18="","",ALLOCATIONS!C18)</f>
        <v/>
      </c>
      <c r="F24" s="6">
        <f>IF(ALLOCATIONS!A18="","",IF(ALLOCATIONS!D18="",0,ALLOCATIONS!D18))</f>
        <v/>
      </c>
      <c r="G24" s="6">
        <f>IF(ALLOCATIONS!A18="","",SUMIFS(RAW_004!$I$2:$I$10001,RAW_004!$D$2:$D$10001,ALLOCATIONS!A18,RAW_004!$H$2:$H$10001,ALLOCATIONS!B18,RAW_004!$N$2:$N$10001,ALLOCATIONS!C18))</f>
        <v/>
      </c>
      <c r="H24" s="6">
        <f>IF(A24="","",G24-F24)</f>
        <v/>
      </c>
    </row>
    <row r="25">
      <c r="A25" s="6">
        <f>IF(ALLOCATIONS!A19="","",IFERROR(VLOOKUP(ALLOCATIONS!A19,MAPPING!$A$3:$C$302,2,FALSE),"UNMAPPED"))</f>
        <v/>
      </c>
      <c r="B25" s="6">
        <f>IF(ALLOCATIONS!A19="","",IFERROR(VLOOKUP(ALLOCATIONS!A19,MAPPING!$A$3:$C$302,3,FALSE),ALLOCATIONS!A19))</f>
        <v/>
      </c>
      <c r="C25" s="6">
        <f>IF(ALLOCATIONS!A19="","",IFERROR(VLOOKUP(ALLOCATIONS!B19,MAPPING!$E$3:$G$302,2,FALSE),"UNMAPPED"))</f>
        <v/>
      </c>
      <c r="D25" s="6">
        <f>IF(ALLOCATIONS!A19="","",IFERROR(IF(VLOOKUP(ALLOCATIONS!B19,MAPPING!$E$3:$G$302,3,FALSE)="","",VLOOKUP(ALLOCATIONS!B19,MAPPING!$E$3:$G$302,3,FALSE)),""))</f>
        <v/>
      </c>
      <c r="E25" s="6">
        <f>IF(ALLOCATIONS!A19="","",ALLOCATIONS!C19)</f>
        <v/>
      </c>
      <c r="F25" s="6">
        <f>IF(ALLOCATIONS!A19="","",IF(ALLOCATIONS!D19="",0,ALLOCATIONS!D19))</f>
        <v/>
      </c>
      <c r="G25" s="6">
        <f>IF(ALLOCATIONS!A19="","",SUMIFS(RAW_004!$I$2:$I$10001,RAW_004!$D$2:$D$10001,ALLOCATIONS!A19,RAW_004!$H$2:$H$10001,ALLOCATIONS!B19,RAW_004!$N$2:$N$10001,ALLOCATIONS!C19))</f>
        <v/>
      </c>
      <c r="H25" s="6">
        <f>IF(A25="","",G25-F25)</f>
        <v/>
      </c>
    </row>
    <row r="26">
      <c r="A26" s="6">
        <f>IF(ALLOCATIONS!A20="","",IFERROR(VLOOKUP(ALLOCATIONS!A20,MAPPING!$A$3:$C$302,2,FALSE),"UNMAPPED"))</f>
        <v/>
      </c>
      <c r="B26" s="6">
        <f>IF(ALLOCATIONS!A20="","",IFERROR(VLOOKUP(ALLOCATIONS!A20,MAPPING!$A$3:$C$302,3,FALSE),ALLOCATIONS!A20))</f>
        <v/>
      </c>
      <c r="C26" s="6">
        <f>IF(ALLOCATIONS!A20="","",IFERROR(VLOOKUP(ALLOCATIONS!B20,MAPPING!$E$3:$G$302,2,FALSE),"UNMAPPED"))</f>
        <v/>
      </c>
      <c r="D26" s="6">
        <f>IF(ALLOCATIONS!A20="","",IFERROR(IF(VLOOKUP(ALLOCATIONS!B20,MAPPING!$E$3:$G$302,3,FALSE)="","",VLOOKUP(ALLOCATIONS!B20,MAPPING!$E$3:$G$302,3,FALSE)),""))</f>
        <v/>
      </c>
      <c r="E26" s="6">
        <f>IF(ALLOCATIONS!A20="","",ALLOCATIONS!C20)</f>
        <v/>
      </c>
      <c r="F26" s="6">
        <f>IF(ALLOCATIONS!A20="","",IF(ALLOCATIONS!D20="",0,ALLOCATIONS!D20))</f>
        <v/>
      </c>
      <c r="G26" s="6">
        <f>IF(ALLOCATIONS!A20="","",SUMIFS(RAW_004!$I$2:$I$10001,RAW_004!$D$2:$D$10001,ALLOCATIONS!A20,RAW_004!$H$2:$H$10001,ALLOCATIONS!B20,RAW_004!$N$2:$N$10001,ALLOCATIONS!C20))</f>
        <v/>
      </c>
      <c r="H26" s="6">
        <f>IF(A26="","",G26-F26)</f>
        <v/>
      </c>
    </row>
    <row r="27">
      <c r="A27" s="6">
        <f>IF(ALLOCATIONS!A21="","",IFERROR(VLOOKUP(ALLOCATIONS!A21,MAPPING!$A$3:$C$302,2,FALSE),"UNMAPPED"))</f>
        <v/>
      </c>
      <c r="B27" s="6">
        <f>IF(ALLOCATIONS!A21="","",IFERROR(VLOOKUP(ALLOCATIONS!A21,MAPPING!$A$3:$C$302,3,FALSE),ALLOCATIONS!A21))</f>
        <v/>
      </c>
      <c r="C27" s="6">
        <f>IF(ALLOCATIONS!A21="","",IFERROR(VLOOKUP(ALLOCATIONS!B21,MAPPING!$E$3:$G$302,2,FALSE),"UNMAPPED"))</f>
        <v/>
      </c>
      <c r="D27" s="6">
        <f>IF(ALLOCATIONS!A21="","",IFERROR(IF(VLOOKUP(ALLOCATIONS!B21,MAPPING!$E$3:$G$302,3,FALSE)="","",VLOOKUP(ALLOCATIONS!B21,MAPPING!$E$3:$G$302,3,FALSE)),""))</f>
        <v/>
      </c>
      <c r="E27" s="6">
        <f>IF(ALLOCATIONS!A21="","",ALLOCATIONS!C21)</f>
        <v/>
      </c>
      <c r="F27" s="6">
        <f>IF(ALLOCATIONS!A21="","",IF(ALLOCATIONS!D21="",0,ALLOCATIONS!D21))</f>
        <v/>
      </c>
      <c r="G27" s="6">
        <f>IF(ALLOCATIONS!A21="","",SUMIFS(RAW_004!$I$2:$I$10001,RAW_004!$D$2:$D$10001,ALLOCATIONS!A21,RAW_004!$H$2:$H$10001,ALLOCATIONS!B21,RAW_004!$N$2:$N$10001,ALLOCATIONS!C21))</f>
        <v/>
      </c>
      <c r="H27" s="6">
        <f>IF(A27="","",G27-F27)</f>
        <v/>
      </c>
    </row>
    <row r="28">
      <c r="A28" s="6">
        <f>IF(ALLOCATIONS!A22="","",IFERROR(VLOOKUP(ALLOCATIONS!A22,MAPPING!$A$3:$C$302,2,FALSE),"UNMAPPED"))</f>
        <v/>
      </c>
      <c r="B28" s="6">
        <f>IF(ALLOCATIONS!A22="","",IFERROR(VLOOKUP(ALLOCATIONS!A22,MAPPING!$A$3:$C$302,3,FALSE),ALLOCATIONS!A22))</f>
        <v/>
      </c>
      <c r="C28" s="6">
        <f>IF(ALLOCATIONS!A22="","",IFERROR(VLOOKUP(ALLOCATIONS!B22,MAPPING!$E$3:$G$302,2,FALSE),"UNMAPPED"))</f>
        <v/>
      </c>
      <c r="D28" s="6">
        <f>IF(ALLOCATIONS!A22="","",IFERROR(IF(VLOOKUP(ALLOCATIONS!B22,MAPPING!$E$3:$G$302,3,FALSE)="","",VLOOKUP(ALLOCATIONS!B22,MAPPING!$E$3:$G$302,3,FALSE)),""))</f>
        <v/>
      </c>
      <c r="E28" s="6">
        <f>IF(ALLOCATIONS!A22="","",ALLOCATIONS!C22)</f>
        <v/>
      </c>
      <c r="F28" s="6">
        <f>IF(ALLOCATIONS!A22="","",IF(ALLOCATIONS!D22="",0,ALLOCATIONS!D22))</f>
        <v/>
      </c>
      <c r="G28" s="6">
        <f>IF(ALLOCATIONS!A22="","",SUMIFS(RAW_004!$I$2:$I$10001,RAW_004!$D$2:$D$10001,ALLOCATIONS!A22,RAW_004!$H$2:$H$10001,ALLOCATIONS!B22,RAW_004!$N$2:$N$10001,ALLOCATIONS!C22))</f>
        <v/>
      </c>
      <c r="H28" s="6">
        <f>IF(A28="","",G28-F28)</f>
        <v/>
      </c>
    </row>
    <row r="29">
      <c r="A29" s="6">
        <f>IF(ALLOCATIONS!A23="","",IFERROR(VLOOKUP(ALLOCATIONS!A23,MAPPING!$A$3:$C$302,2,FALSE),"UNMAPPED"))</f>
        <v/>
      </c>
      <c r="B29" s="6">
        <f>IF(ALLOCATIONS!A23="","",IFERROR(VLOOKUP(ALLOCATIONS!A23,MAPPING!$A$3:$C$302,3,FALSE),ALLOCATIONS!A23))</f>
        <v/>
      </c>
      <c r="C29" s="6">
        <f>IF(ALLOCATIONS!A23="","",IFERROR(VLOOKUP(ALLOCATIONS!B23,MAPPING!$E$3:$G$302,2,FALSE),"UNMAPPED"))</f>
        <v/>
      </c>
      <c r="D29" s="6">
        <f>IF(ALLOCATIONS!A23="","",IFERROR(IF(VLOOKUP(ALLOCATIONS!B23,MAPPING!$E$3:$G$302,3,FALSE)="","",VLOOKUP(ALLOCATIONS!B23,MAPPING!$E$3:$G$302,3,FALSE)),""))</f>
        <v/>
      </c>
      <c r="E29" s="6">
        <f>IF(ALLOCATIONS!A23="","",ALLOCATIONS!C23)</f>
        <v/>
      </c>
      <c r="F29" s="6">
        <f>IF(ALLOCATIONS!A23="","",IF(ALLOCATIONS!D23="",0,ALLOCATIONS!D23))</f>
        <v/>
      </c>
      <c r="G29" s="6">
        <f>IF(ALLOCATIONS!A23="","",SUMIFS(RAW_004!$I$2:$I$10001,RAW_004!$D$2:$D$10001,ALLOCATIONS!A23,RAW_004!$H$2:$H$10001,ALLOCATIONS!B23,RAW_004!$N$2:$N$10001,ALLOCATIONS!C23))</f>
        <v/>
      </c>
      <c r="H29" s="6">
        <f>IF(A29="","",G29-F29)</f>
        <v/>
      </c>
    </row>
    <row r="30">
      <c r="A30" s="6">
        <f>IF(ALLOCATIONS!A24="","",IFERROR(VLOOKUP(ALLOCATIONS!A24,MAPPING!$A$3:$C$302,2,FALSE),"UNMAPPED"))</f>
        <v/>
      </c>
      <c r="B30" s="6">
        <f>IF(ALLOCATIONS!A24="","",IFERROR(VLOOKUP(ALLOCATIONS!A24,MAPPING!$A$3:$C$302,3,FALSE),ALLOCATIONS!A24))</f>
        <v/>
      </c>
      <c r="C30" s="6">
        <f>IF(ALLOCATIONS!A24="","",IFERROR(VLOOKUP(ALLOCATIONS!B24,MAPPING!$E$3:$G$302,2,FALSE),"UNMAPPED"))</f>
        <v/>
      </c>
      <c r="D30" s="6">
        <f>IF(ALLOCATIONS!A24="","",IFERROR(IF(VLOOKUP(ALLOCATIONS!B24,MAPPING!$E$3:$G$302,3,FALSE)="","",VLOOKUP(ALLOCATIONS!B24,MAPPING!$E$3:$G$302,3,FALSE)),""))</f>
        <v/>
      </c>
      <c r="E30" s="6">
        <f>IF(ALLOCATIONS!A24="","",ALLOCATIONS!C24)</f>
        <v/>
      </c>
      <c r="F30" s="6">
        <f>IF(ALLOCATIONS!A24="","",IF(ALLOCATIONS!D24="",0,ALLOCATIONS!D24))</f>
        <v/>
      </c>
      <c r="G30" s="6">
        <f>IF(ALLOCATIONS!A24="","",SUMIFS(RAW_004!$I$2:$I$10001,RAW_004!$D$2:$D$10001,ALLOCATIONS!A24,RAW_004!$H$2:$H$10001,ALLOCATIONS!B24,RAW_004!$N$2:$N$10001,ALLOCATIONS!C24))</f>
        <v/>
      </c>
      <c r="H30" s="6">
        <f>IF(A30="","",G30-F30)</f>
        <v/>
      </c>
    </row>
    <row r="31">
      <c r="A31" s="6">
        <f>IF(ALLOCATIONS!A25="","",IFERROR(VLOOKUP(ALLOCATIONS!A25,MAPPING!$A$3:$C$302,2,FALSE),"UNMAPPED"))</f>
        <v/>
      </c>
      <c r="B31" s="6">
        <f>IF(ALLOCATIONS!A25="","",IFERROR(VLOOKUP(ALLOCATIONS!A25,MAPPING!$A$3:$C$302,3,FALSE),ALLOCATIONS!A25))</f>
        <v/>
      </c>
      <c r="C31" s="6">
        <f>IF(ALLOCATIONS!A25="","",IFERROR(VLOOKUP(ALLOCATIONS!B25,MAPPING!$E$3:$G$302,2,FALSE),"UNMAPPED"))</f>
        <v/>
      </c>
      <c r="D31" s="6">
        <f>IF(ALLOCATIONS!A25="","",IFERROR(IF(VLOOKUP(ALLOCATIONS!B25,MAPPING!$E$3:$G$302,3,FALSE)="","",VLOOKUP(ALLOCATIONS!B25,MAPPING!$E$3:$G$302,3,FALSE)),""))</f>
        <v/>
      </c>
      <c r="E31" s="6">
        <f>IF(ALLOCATIONS!A25="","",ALLOCATIONS!C25)</f>
        <v/>
      </c>
      <c r="F31" s="6">
        <f>IF(ALLOCATIONS!A25="","",IF(ALLOCATIONS!D25="",0,ALLOCATIONS!D25))</f>
        <v/>
      </c>
      <c r="G31" s="6">
        <f>IF(ALLOCATIONS!A25="","",SUMIFS(RAW_004!$I$2:$I$10001,RAW_004!$D$2:$D$10001,ALLOCATIONS!A25,RAW_004!$H$2:$H$10001,ALLOCATIONS!B25,RAW_004!$N$2:$N$10001,ALLOCATIONS!C25))</f>
        <v/>
      </c>
      <c r="H31" s="6">
        <f>IF(A31="","",G31-F31)</f>
        <v/>
      </c>
    </row>
    <row r="32">
      <c r="A32" s="6">
        <f>IF(ALLOCATIONS!A26="","",IFERROR(VLOOKUP(ALLOCATIONS!A26,MAPPING!$A$3:$C$302,2,FALSE),"UNMAPPED"))</f>
        <v/>
      </c>
      <c r="B32" s="6">
        <f>IF(ALLOCATIONS!A26="","",IFERROR(VLOOKUP(ALLOCATIONS!A26,MAPPING!$A$3:$C$302,3,FALSE),ALLOCATIONS!A26))</f>
        <v/>
      </c>
      <c r="C32" s="6">
        <f>IF(ALLOCATIONS!A26="","",IFERROR(VLOOKUP(ALLOCATIONS!B26,MAPPING!$E$3:$G$302,2,FALSE),"UNMAPPED"))</f>
        <v/>
      </c>
      <c r="D32" s="6">
        <f>IF(ALLOCATIONS!A26="","",IFERROR(IF(VLOOKUP(ALLOCATIONS!B26,MAPPING!$E$3:$G$302,3,FALSE)="","",VLOOKUP(ALLOCATIONS!B26,MAPPING!$E$3:$G$302,3,FALSE)),""))</f>
        <v/>
      </c>
      <c r="E32" s="6">
        <f>IF(ALLOCATIONS!A26="","",ALLOCATIONS!C26)</f>
        <v/>
      </c>
      <c r="F32" s="6">
        <f>IF(ALLOCATIONS!A26="","",IF(ALLOCATIONS!D26="",0,ALLOCATIONS!D26))</f>
        <v/>
      </c>
      <c r="G32" s="6">
        <f>IF(ALLOCATIONS!A26="","",SUMIFS(RAW_004!$I$2:$I$10001,RAW_004!$D$2:$D$10001,ALLOCATIONS!A26,RAW_004!$H$2:$H$10001,ALLOCATIONS!B26,RAW_004!$N$2:$N$10001,ALLOCATIONS!C26))</f>
        <v/>
      </c>
      <c r="H32" s="6">
        <f>IF(A32="","",G32-F32)</f>
        <v/>
      </c>
    </row>
    <row r="33">
      <c r="A33" s="6">
        <f>IF(ALLOCATIONS!A27="","",IFERROR(VLOOKUP(ALLOCATIONS!A27,MAPPING!$A$3:$C$302,2,FALSE),"UNMAPPED"))</f>
        <v/>
      </c>
      <c r="B33" s="6">
        <f>IF(ALLOCATIONS!A27="","",IFERROR(VLOOKUP(ALLOCATIONS!A27,MAPPING!$A$3:$C$302,3,FALSE),ALLOCATIONS!A27))</f>
        <v/>
      </c>
      <c r="C33" s="6">
        <f>IF(ALLOCATIONS!A27="","",IFERROR(VLOOKUP(ALLOCATIONS!B27,MAPPING!$E$3:$G$302,2,FALSE),"UNMAPPED"))</f>
        <v/>
      </c>
      <c r="D33" s="6">
        <f>IF(ALLOCATIONS!A27="","",IFERROR(IF(VLOOKUP(ALLOCATIONS!B27,MAPPING!$E$3:$G$302,3,FALSE)="","",VLOOKUP(ALLOCATIONS!B27,MAPPING!$E$3:$G$302,3,FALSE)),""))</f>
        <v/>
      </c>
      <c r="E33" s="6">
        <f>IF(ALLOCATIONS!A27="","",ALLOCATIONS!C27)</f>
        <v/>
      </c>
      <c r="F33" s="6">
        <f>IF(ALLOCATIONS!A27="","",IF(ALLOCATIONS!D27="",0,ALLOCATIONS!D27))</f>
        <v/>
      </c>
      <c r="G33" s="6">
        <f>IF(ALLOCATIONS!A27="","",SUMIFS(RAW_004!$I$2:$I$10001,RAW_004!$D$2:$D$10001,ALLOCATIONS!A27,RAW_004!$H$2:$H$10001,ALLOCATIONS!B27,RAW_004!$N$2:$N$10001,ALLOCATIONS!C27))</f>
        <v/>
      </c>
      <c r="H33" s="6">
        <f>IF(A33="","",G33-F33)</f>
        <v/>
      </c>
    </row>
    <row r="34">
      <c r="A34" s="6">
        <f>IF(ALLOCATIONS!A28="","",IFERROR(VLOOKUP(ALLOCATIONS!A28,MAPPING!$A$3:$C$302,2,FALSE),"UNMAPPED"))</f>
        <v/>
      </c>
      <c r="B34" s="6">
        <f>IF(ALLOCATIONS!A28="","",IFERROR(VLOOKUP(ALLOCATIONS!A28,MAPPING!$A$3:$C$302,3,FALSE),ALLOCATIONS!A28))</f>
        <v/>
      </c>
      <c r="C34" s="6">
        <f>IF(ALLOCATIONS!A28="","",IFERROR(VLOOKUP(ALLOCATIONS!B28,MAPPING!$E$3:$G$302,2,FALSE),"UNMAPPED"))</f>
        <v/>
      </c>
      <c r="D34" s="6">
        <f>IF(ALLOCATIONS!A28="","",IFERROR(IF(VLOOKUP(ALLOCATIONS!B28,MAPPING!$E$3:$G$302,3,FALSE)="","",VLOOKUP(ALLOCATIONS!B28,MAPPING!$E$3:$G$302,3,FALSE)),""))</f>
        <v/>
      </c>
      <c r="E34" s="6">
        <f>IF(ALLOCATIONS!A28="","",ALLOCATIONS!C28)</f>
        <v/>
      </c>
      <c r="F34" s="6">
        <f>IF(ALLOCATIONS!A28="","",IF(ALLOCATIONS!D28="",0,ALLOCATIONS!D28))</f>
        <v/>
      </c>
      <c r="G34" s="6">
        <f>IF(ALLOCATIONS!A28="","",SUMIFS(RAW_004!$I$2:$I$10001,RAW_004!$D$2:$D$10001,ALLOCATIONS!A28,RAW_004!$H$2:$H$10001,ALLOCATIONS!B28,RAW_004!$N$2:$N$10001,ALLOCATIONS!C28))</f>
        <v/>
      </c>
      <c r="H34" s="6">
        <f>IF(A34="","",G34-F34)</f>
        <v/>
      </c>
    </row>
    <row r="35">
      <c r="A35" s="6">
        <f>IF(ALLOCATIONS!A29="","",IFERROR(VLOOKUP(ALLOCATIONS!A29,MAPPING!$A$3:$C$302,2,FALSE),"UNMAPPED"))</f>
        <v/>
      </c>
      <c r="B35" s="6">
        <f>IF(ALLOCATIONS!A29="","",IFERROR(VLOOKUP(ALLOCATIONS!A29,MAPPING!$A$3:$C$302,3,FALSE),ALLOCATIONS!A29))</f>
        <v/>
      </c>
      <c r="C35" s="6">
        <f>IF(ALLOCATIONS!A29="","",IFERROR(VLOOKUP(ALLOCATIONS!B29,MAPPING!$E$3:$G$302,2,FALSE),"UNMAPPED"))</f>
        <v/>
      </c>
      <c r="D35" s="6">
        <f>IF(ALLOCATIONS!A29="","",IFERROR(IF(VLOOKUP(ALLOCATIONS!B29,MAPPING!$E$3:$G$302,3,FALSE)="","",VLOOKUP(ALLOCATIONS!B29,MAPPING!$E$3:$G$302,3,FALSE)),""))</f>
        <v/>
      </c>
      <c r="E35" s="6">
        <f>IF(ALLOCATIONS!A29="","",ALLOCATIONS!C29)</f>
        <v/>
      </c>
      <c r="F35" s="6">
        <f>IF(ALLOCATIONS!A29="","",IF(ALLOCATIONS!D29="",0,ALLOCATIONS!D29))</f>
        <v/>
      </c>
      <c r="G35" s="6">
        <f>IF(ALLOCATIONS!A29="","",SUMIFS(RAW_004!$I$2:$I$10001,RAW_004!$D$2:$D$10001,ALLOCATIONS!A29,RAW_004!$H$2:$H$10001,ALLOCATIONS!B29,RAW_004!$N$2:$N$10001,ALLOCATIONS!C29))</f>
        <v/>
      </c>
      <c r="H35" s="6">
        <f>IF(A35="","",G35-F35)</f>
        <v/>
      </c>
    </row>
    <row r="36">
      <c r="A36" s="6">
        <f>IF(ALLOCATIONS!A30="","",IFERROR(VLOOKUP(ALLOCATIONS!A30,MAPPING!$A$3:$C$302,2,FALSE),"UNMAPPED"))</f>
        <v/>
      </c>
      <c r="B36" s="6">
        <f>IF(ALLOCATIONS!A30="","",IFERROR(VLOOKUP(ALLOCATIONS!A30,MAPPING!$A$3:$C$302,3,FALSE),ALLOCATIONS!A30))</f>
        <v/>
      </c>
      <c r="C36" s="6">
        <f>IF(ALLOCATIONS!A30="","",IFERROR(VLOOKUP(ALLOCATIONS!B30,MAPPING!$E$3:$G$302,2,FALSE),"UNMAPPED"))</f>
        <v/>
      </c>
      <c r="D36" s="6">
        <f>IF(ALLOCATIONS!A30="","",IFERROR(IF(VLOOKUP(ALLOCATIONS!B30,MAPPING!$E$3:$G$302,3,FALSE)="","",VLOOKUP(ALLOCATIONS!B30,MAPPING!$E$3:$G$302,3,FALSE)),""))</f>
        <v/>
      </c>
      <c r="E36" s="6">
        <f>IF(ALLOCATIONS!A30="","",ALLOCATIONS!C30)</f>
        <v/>
      </c>
      <c r="F36" s="6">
        <f>IF(ALLOCATIONS!A30="","",IF(ALLOCATIONS!D30="",0,ALLOCATIONS!D30))</f>
        <v/>
      </c>
      <c r="G36" s="6">
        <f>IF(ALLOCATIONS!A30="","",SUMIFS(RAW_004!$I$2:$I$10001,RAW_004!$D$2:$D$10001,ALLOCATIONS!A30,RAW_004!$H$2:$H$10001,ALLOCATIONS!B30,RAW_004!$N$2:$N$10001,ALLOCATIONS!C30))</f>
        <v/>
      </c>
      <c r="H36" s="6">
        <f>IF(A36="","",G36-F36)</f>
        <v/>
      </c>
    </row>
    <row r="37">
      <c r="A37" s="6">
        <f>IF(ALLOCATIONS!A31="","",IFERROR(VLOOKUP(ALLOCATIONS!A31,MAPPING!$A$3:$C$302,2,FALSE),"UNMAPPED"))</f>
        <v/>
      </c>
      <c r="B37" s="6">
        <f>IF(ALLOCATIONS!A31="","",IFERROR(VLOOKUP(ALLOCATIONS!A31,MAPPING!$A$3:$C$302,3,FALSE),ALLOCATIONS!A31))</f>
        <v/>
      </c>
      <c r="C37" s="6">
        <f>IF(ALLOCATIONS!A31="","",IFERROR(VLOOKUP(ALLOCATIONS!B31,MAPPING!$E$3:$G$302,2,FALSE),"UNMAPPED"))</f>
        <v/>
      </c>
      <c r="D37" s="6">
        <f>IF(ALLOCATIONS!A31="","",IFERROR(IF(VLOOKUP(ALLOCATIONS!B31,MAPPING!$E$3:$G$302,3,FALSE)="","",VLOOKUP(ALLOCATIONS!B31,MAPPING!$E$3:$G$302,3,FALSE)),""))</f>
        <v/>
      </c>
      <c r="E37" s="6">
        <f>IF(ALLOCATIONS!A31="","",ALLOCATIONS!C31)</f>
        <v/>
      </c>
      <c r="F37" s="6">
        <f>IF(ALLOCATIONS!A31="","",IF(ALLOCATIONS!D31="",0,ALLOCATIONS!D31))</f>
        <v/>
      </c>
      <c r="G37" s="6">
        <f>IF(ALLOCATIONS!A31="","",SUMIFS(RAW_004!$I$2:$I$10001,RAW_004!$D$2:$D$10001,ALLOCATIONS!A31,RAW_004!$H$2:$H$10001,ALLOCATIONS!B31,RAW_004!$N$2:$N$10001,ALLOCATIONS!C31))</f>
        <v/>
      </c>
      <c r="H37" s="6">
        <f>IF(A37="","",G37-F37)</f>
        <v/>
      </c>
    </row>
    <row r="38">
      <c r="A38" s="6">
        <f>IF(ALLOCATIONS!A32="","",IFERROR(VLOOKUP(ALLOCATIONS!A32,MAPPING!$A$3:$C$302,2,FALSE),"UNMAPPED"))</f>
        <v/>
      </c>
      <c r="B38" s="6">
        <f>IF(ALLOCATIONS!A32="","",IFERROR(VLOOKUP(ALLOCATIONS!A32,MAPPING!$A$3:$C$302,3,FALSE),ALLOCATIONS!A32))</f>
        <v/>
      </c>
      <c r="C38" s="6">
        <f>IF(ALLOCATIONS!A32="","",IFERROR(VLOOKUP(ALLOCATIONS!B32,MAPPING!$E$3:$G$302,2,FALSE),"UNMAPPED"))</f>
        <v/>
      </c>
      <c r="D38" s="6">
        <f>IF(ALLOCATIONS!A32="","",IFERROR(IF(VLOOKUP(ALLOCATIONS!B32,MAPPING!$E$3:$G$302,3,FALSE)="","",VLOOKUP(ALLOCATIONS!B32,MAPPING!$E$3:$G$302,3,FALSE)),""))</f>
        <v/>
      </c>
      <c r="E38" s="6">
        <f>IF(ALLOCATIONS!A32="","",ALLOCATIONS!C32)</f>
        <v/>
      </c>
      <c r="F38" s="6">
        <f>IF(ALLOCATIONS!A32="","",IF(ALLOCATIONS!D32="",0,ALLOCATIONS!D32))</f>
        <v/>
      </c>
      <c r="G38" s="6">
        <f>IF(ALLOCATIONS!A32="","",SUMIFS(RAW_004!$I$2:$I$10001,RAW_004!$D$2:$D$10001,ALLOCATIONS!A32,RAW_004!$H$2:$H$10001,ALLOCATIONS!B32,RAW_004!$N$2:$N$10001,ALLOCATIONS!C32))</f>
        <v/>
      </c>
      <c r="H38" s="6">
        <f>IF(A38="","",G38-F38)</f>
        <v/>
      </c>
    </row>
    <row r="39">
      <c r="A39" s="6">
        <f>IF(ALLOCATIONS!A33="","",IFERROR(VLOOKUP(ALLOCATIONS!A33,MAPPING!$A$3:$C$302,2,FALSE),"UNMAPPED"))</f>
        <v/>
      </c>
      <c r="B39" s="6">
        <f>IF(ALLOCATIONS!A33="","",IFERROR(VLOOKUP(ALLOCATIONS!A33,MAPPING!$A$3:$C$302,3,FALSE),ALLOCATIONS!A33))</f>
        <v/>
      </c>
      <c r="C39" s="6">
        <f>IF(ALLOCATIONS!A33="","",IFERROR(VLOOKUP(ALLOCATIONS!B33,MAPPING!$E$3:$G$302,2,FALSE),"UNMAPPED"))</f>
        <v/>
      </c>
      <c r="D39" s="6">
        <f>IF(ALLOCATIONS!A33="","",IFERROR(IF(VLOOKUP(ALLOCATIONS!B33,MAPPING!$E$3:$G$302,3,FALSE)="","",VLOOKUP(ALLOCATIONS!B33,MAPPING!$E$3:$G$302,3,FALSE)),""))</f>
        <v/>
      </c>
      <c r="E39" s="6">
        <f>IF(ALLOCATIONS!A33="","",ALLOCATIONS!C33)</f>
        <v/>
      </c>
      <c r="F39" s="6">
        <f>IF(ALLOCATIONS!A33="","",IF(ALLOCATIONS!D33="",0,ALLOCATIONS!D33))</f>
        <v/>
      </c>
      <c r="G39" s="6">
        <f>IF(ALLOCATIONS!A33="","",SUMIFS(RAW_004!$I$2:$I$10001,RAW_004!$D$2:$D$10001,ALLOCATIONS!A33,RAW_004!$H$2:$H$10001,ALLOCATIONS!B33,RAW_004!$N$2:$N$10001,ALLOCATIONS!C33))</f>
        <v/>
      </c>
      <c r="H39" s="6">
        <f>IF(A39="","",G39-F39)</f>
        <v/>
      </c>
    </row>
    <row r="40">
      <c r="A40" s="6">
        <f>IF(ALLOCATIONS!A34="","",IFERROR(VLOOKUP(ALLOCATIONS!A34,MAPPING!$A$3:$C$302,2,FALSE),"UNMAPPED"))</f>
        <v/>
      </c>
      <c r="B40" s="6">
        <f>IF(ALLOCATIONS!A34="","",IFERROR(VLOOKUP(ALLOCATIONS!A34,MAPPING!$A$3:$C$302,3,FALSE),ALLOCATIONS!A34))</f>
        <v/>
      </c>
      <c r="C40" s="6">
        <f>IF(ALLOCATIONS!A34="","",IFERROR(VLOOKUP(ALLOCATIONS!B34,MAPPING!$E$3:$G$302,2,FALSE),"UNMAPPED"))</f>
        <v/>
      </c>
      <c r="D40" s="6">
        <f>IF(ALLOCATIONS!A34="","",IFERROR(IF(VLOOKUP(ALLOCATIONS!B34,MAPPING!$E$3:$G$302,3,FALSE)="","",VLOOKUP(ALLOCATIONS!B34,MAPPING!$E$3:$G$302,3,FALSE)),""))</f>
        <v/>
      </c>
      <c r="E40" s="6">
        <f>IF(ALLOCATIONS!A34="","",ALLOCATIONS!C34)</f>
        <v/>
      </c>
      <c r="F40" s="6">
        <f>IF(ALLOCATIONS!A34="","",IF(ALLOCATIONS!D34="",0,ALLOCATIONS!D34))</f>
        <v/>
      </c>
      <c r="G40" s="6">
        <f>IF(ALLOCATIONS!A34="","",SUMIFS(RAW_004!$I$2:$I$10001,RAW_004!$D$2:$D$10001,ALLOCATIONS!A34,RAW_004!$H$2:$H$10001,ALLOCATIONS!B34,RAW_004!$N$2:$N$10001,ALLOCATIONS!C34))</f>
        <v/>
      </c>
      <c r="H40" s="6">
        <f>IF(A40="","",G40-F40)</f>
        <v/>
      </c>
    </row>
    <row r="41">
      <c r="A41" s="6">
        <f>IF(ALLOCATIONS!A35="","",IFERROR(VLOOKUP(ALLOCATIONS!A35,MAPPING!$A$3:$C$302,2,FALSE),"UNMAPPED"))</f>
        <v/>
      </c>
      <c r="B41" s="6">
        <f>IF(ALLOCATIONS!A35="","",IFERROR(VLOOKUP(ALLOCATIONS!A35,MAPPING!$A$3:$C$302,3,FALSE),ALLOCATIONS!A35))</f>
        <v/>
      </c>
      <c r="C41" s="6">
        <f>IF(ALLOCATIONS!A35="","",IFERROR(VLOOKUP(ALLOCATIONS!B35,MAPPING!$E$3:$G$302,2,FALSE),"UNMAPPED"))</f>
        <v/>
      </c>
      <c r="D41" s="6">
        <f>IF(ALLOCATIONS!A35="","",IFERROR(IF(VLOOKUP(ALLOCATIONS!B35,MAPPING!$E$3:$G$302,3,FALSE)="","",VLOOKUP(ALLOCATIONS!B35,MAPPING!$E$3:$G$302,3,FALSE)),""))</f>
        <v/>
      </c>
      <c r="E41" s="6">
        <f>IF(ALLOCATIONS!A35="","",ALLOCATIONS!C35)</f>
        <v/>
      </c>
      <c r="F41" s="6">
        <f>IF(ALLOCATIONS!A35="","",IF(ALLOCATIONS!D35="",0,ALLOCATIONS!D35))</f>
        <v/>
      </c>
      <c r="G41" s="6">
        <f>IF(ALLOCATIONS!A35="","",SUMIFS(RAW_004!$I$2:$I$10001,RAW_004!$D$2:$D$10001,ALLOCATIONS!A35,RAW_004!$H$2:$H$10001,ALLOCATIONS!B35,RAW_004!$N$2:$N$10001,ALLOCATIONS!C35))</f>
        <v/>
      </c>
      <c r="H41" s="6">
        <f>IF(A41="","",G41-F41)</f>
        <v/>
      </c>
    </row>
    <row r="42">
      <c r="A42" s="6">
        <f>IF(ALLOCATIONS!A36="","",IFERROR(VLOOKUP(ALLOCATIONS!A36,MAPPING!$A$3:$C$302,2,FALSE),"UNMAPPED"))</f>
        <v/>
      </c>
      <c r="B42" s="6">
        <f>IF(ALLOCATIONS!A36="","",IFERROR(VLOOKUP(ALLOCATIONS!A36,MAPPING!$A$3:$C$302,3,FALSE),ALLOCATIONS!A36))</f>
        <v/>
      </c>
      <c r="C42" s="6">
        <f>IF(ALLOCATIONS!A36="","",IFERROR(VLOOKUP(ALLOCATIONS!B36,MAPPING!$E$3:$G$302,2,FALSE),"UNMAPPED"))</f>
        <v/>
      </c>
      <c r="D42" s="6">
        <f>IF(ALLOCATIONS!A36="","",IFERROR(IF(VLOOKUP(ALLOCATIONS!B36,MAPPING!$E$3:$G$302,3,FALSE)="","",VLOOKUP(ALLOCATIONS!B36,MAPPING!$E$3:$G$302,3,FALSE)),""))</f>
        <v/>
      </c>
      <c r="E42" s="6">
        <f>IF(ALLOCATIONS!A36="","",ALLOCATIONS!C36)</f>
        <v/>
      </c>
      <c r="F42" s="6">
        <f>IF(ALLOCATIONS!A36="","",IF(ALLOCATIONS!D36="",0,ALLOCATIONS!D36))</f>
        <v/>
      </c>
      <c r="G42" s="6">
        <f>IF(ALLOCATIONS!A36="","",SUMIFS(RAW_004!$I$2:$I$10001,RAW_004!$D$2:$D$10001,ALLOCATIONS!A36,RAW_004!$H$2:$H$10001,ALLOCATIONS!B36,RAW_004!$N$2:$N$10001,ALLOCATIONS!C36))</f>
        <v/>
      </c>
      <c r="H42" s="6">
        <f>IF(A42="","",G42-F42)</f>
        <v/>
      </c>
    </row>
    <row r="43">
      <c r="A43" s="6">
        <f>IF(ALLOCATIONS!A37="","",IFERROR(VLOOKUP(ALLOCATIONS!A37,MAPPING!$A$3:$C$302,2,FALSE),"UNMAPPED"))</f>
        <v/>
      </c>
      <c r="B43" s="6">
        <f>IF(ALLOCATIONS!A37="","",IFERROR(VLOOKUP(ALLOCATIONS!A37,MAPPING!$A$3:$C$302,3,FALSE),ALLOCATIONS!A37))</f>
        <v/>
      </c>
      <c r="C43" s="6">
        <f>IF(ALLOCATIONS!A37="","",IFERROR(VLOOKUP(ALLOCATIONS!B37,MAPPING!$E$3:$G$302,2,FALSE),"UNMAPPED"))</f>
        <v/>
      </c>
      <c r="D43" s="6">
        <f>IF(ALLOCATIONS!A37="","",IFERROR(IF(VLOOKUP(ALLOCATIONS!B37,MAPPING!$E$3:$G$302,3,FALSE)="","",VLOOKUP(ALLOCATIONS!B37,MAPPING!$E$3:$G$302,3,FALSE)),""))</f>
        <v/>
      </c>
      <c r="E43" s="6">
        <f>IF(ALLOCATIONS!A37="","",ALLOCATIONS!C37)</f>
        <v/>
      </c>
      <c r="F43" s="6">
        <f>IF(ALLOCATIONS!A37="","",IF(ALLOCATIONS!D37="",0,ALLOCATIONS!D37))</f>
        <v/>
      </c>
      <c r="G43" s="6">
        <f>IF(ALLOCATIONS!A37="","",SUMIFS(RAW_004!$I$2:$I$10001,RAW_004!$D$2:$D$10001,ALLOCATIONS!A37,RAW_004!$H$2:$H$10001,ALLOCATIONS!B37,RAW_004!$N$2:$N$10001,ALLOCATIONS!C37))</f>
        <v/>
      </c>
      <c r="H43" s="6">
        <f>IF(A43="","",G43-F43)</f>
        <v/>
      </c>
    </row>
    <row r="44">
      <c r="A44" s="6">
        <f>IF(ALLOCATIONS!A38="","",IFERROR(VLOOKUP(ALLOCATIONS!A38,MAPPING!$A$3:$C$302,2,FALSE),"UNMAPPED"))</f>
        <v/>
      </c>
      <c r="B44" s="6">
        <f>IF(ALLOCATIONS!A38="","",IFERROR(VLOOKUP(ALLOCATIONS!A38,MAPPING!$A$3:$C$302,3,FALSE),ALLOCATIONS!A38))</f>
        <v/>
      </c>
      <c r="C44" s="6">
        <f>IF(ALLOCATIONS!A38="","",IFERROR(VLOOKUP(ALLOCATIONS!B38,MAPPING!$E$3:$G$302,2,FALSE),"UNMAPPED"))</f>
        <v/>
      </c>
      <c r="D44" s="6">
        <f>IF(ALLOCATIONS!A38="","",IFERROR(IF(VLOOKUP(ALLOCATIONS!B38,MAPPING!$E$3:$G$302,3,FALSE)="","",VLOOKUP(ALLOCATIONS!B38,MAPPING!$E$3:$G$302,3,FALSE)),""))</f>
        <v/>
      </c>
      <c r="E44" s="6">
        <f>IF(ALLOCATIONS!A38="","",ALLOCATIONS!C38)</f>
        <v/>
      </c>
      <c r="F44" s="6">
        <f>IF(ALLOCATIONS!A38="","",IF(ALLOCATIONS!D38="",0,ALLOCATIONS!D38))</f>
        <v/>
      </c>
      <c r="G44" s="6">
        <f>IF(ALLOCATIONS!A38="","",SUMIFS(RAW_004!$I$2:$I$10001,RAW_004!$D$2:$D$10001,ALLOCATIONS!A38,RAW_004!$H$2:$H$10001,ALLOCATIONS!B38,RAW_004!$N$2:$N$10001,ALLOCATIONS!C38))</f>
        <v/>
      </c>
      <c r="H44" s="6">
        <f>IF(A44="","",G44-F44)</f>
        <v/>
      </c>
    </row>
    <row r="45">
      <c r="A45" s="6">
        <f>IF(ALLOCATIONS!A39="","",IFERROR(VLOOKUP(ALLOCATIONS!A39,MAPPING!$A$3:$C$302,2,FALSE),"UNMAPPED"))</f>
        <v/>
      </c>
      <c r="B45" s="6">
        <f>IF(ALLOCATIONS!A39="","",IFERROR(VLOOKUP(ALLOCATIONS!A39,MAPPING!$A$3:$C$302,3,FALSE),ALLOCATIONS!A39))</f>
        <v/>
      </c>
      <c r="C45" s="6">
        <f>IF(ALLOCATIONS!A39="","",IFERROR(VLOOKUP(ALLOCATIONS!B39,MAPPING!$E$3:$G$302,2,FALSE),"UNMAPPED"))</f>
        <v/>
      </c>
      <c r="D45" s="6">
        <f>IF(ALLOCATIONS!A39="","",IFERROR(IF(VLOOKUP(ALLOCATIONS!B39,MAPPING!$E$3:$G$302,3,FALSE)="","",VLOOKUP(ALLOCATIONS!B39,MAPPING!$E$3:$G$302,3,FALSE)),""))</f>
        <v/>
      </c>
      <c r="E45" s="6">
        <f>IF(ALLOCATIONS!A39="","",ALLOCATIONS!C39)</f>
        <v/>
      </c>
      <c r="F45" s="6">
        <f>IF(ALLOCATIONS!A39="","",IF(ALLOCATIONS!D39="",0,ALLOCATIONS!D39))</f>
        <v/>
      </c>
      <c r="G45" s="6">
        <f>IF(ALLOCATIONS!A39="","",SUMIFS(RAW_004!$I$2:$I$10001,RAW_004!$D$2:$D$10001,ALLOCATIONS!A39,RAW_004!$H$2:$H$10001,ALLOCATIONS!B39,RAW_004!$N$2:$N$10001,ALLOCATIONS!C39))</f>
        <v/>
      </c>
      <c r="H45" s="6">
        <f>IF(A45="","",G45-F45)</f>
        <v/>
      </c>
    </row>
    <row r="46">
      <c r="A46" s="6">
        <f>IF(ALLOCATIONS!A40="","",IFERROR(VLOOKUP(ALLOCATIONS!A40,MAPPING!$A$3:$C$302,2,FALSE),"UNMAPPED"))</f>
        <v/>
      </c>
      <c r="B46" s="6">
        <f>IF(ALLOCATIONS!A40="","",IFERROR(VLOOKUP(ALLOCATIONS!A40,MAPPING!$A$3:$C$302,3,FALSE),ALLOCATIONS!A40))</f>
        <v/>
      </c>
      <c r="C46" s="6">
        <f>IF(ALLOCATIONS!A40="","",IFERROR(VLOOKUP(ALLOCATIONS!B40,MAPPING!$E$3:$G$302,2,FALSE),"UNMAPPED"))</f>
        <v/>
      </c>
      <c r="D46" s="6">
        <f>IF(ALLOCATIONS!A40="","",IFERROR(IF(VLOOKUP(ALLOCATIONS!B40,MAPPING!$E$3:$G$302,3,FALSE)="","",VLOOKUP(ALLOCATIONS!B40,MAPPING!$E$3:$G$302,3,FALSE)),""))</f>
        <v/>
      </c>
      <c r="E46" s="6">
        <f>IF(ALLOCATIONS!A40="","",ALLOCATIONS!C40)</f>
        <v/>
      </c>
      <c r="F46" s="6">
        <f>IF(ALLOCATIONS!A40="","",IF(ALLOCATIONS!D40="",0,ALLOCATIONS!D40))</f>
        <v/>
      </c>
      <c r="G46" s="6">
        <f>IF(ALLOCATIONS!A40="","",SUMIFS(RAW_004!$I$2:$I$10001,RAW_004!$D$2:$D$10001,ALLOCATIONS!A40,RAW_004!$H$2:$H$10001,ALLOCATIONS!B40,RAW_004!$N$2:$N$10001,ALLOCATIONS!C40))</f>
        <v/>
      </c>
      <c r="H46" s="6">
        <f>IF(A46="","",G46-F46)</f>
        <v/>
      </c>
    </row>
    <row r="47">
      <c r="A47" s="6">
        <f>IF(ALLOCATIONS!A41="","",IFERROR(VLOOKUP(ALLOCATIONS!A41,MAPPING!$A$3:$C$302,2,FALSE),"UNMAPPED"))</f>
        <v/>
      </c>
      <c r="B47" s="6">
        <f>IF(ALLOCATIONS!A41="","",IFERROR(VLOOKUP(ALLOCATIONS!A41,MAPPING!$A$3:$C$302,3,FALSE),ALLOCATIONS!A41))</f>
        <v/>
      </c>
      <c r="C47" s="6">
        <f>IF(ALLOCATIONS!A41="","",IFERROR(VLOOKUP(ALLOCATIONS!B41,MAPPING!$E$3:$G$302,2,FALSE),"UNMAPPED"))</f>
        <v/>
      </c>
      <c r="D47" s="6">
        <f>IF(ALLOCATIONS!A41="","",IFERROR(IF(VLOOKUP(ALLOCATIONS!B41,MAPPING!$E$3:$G$302,3,FALSE)="","",VLOOKUP(ALLOCATIONS!B41,MAPPING!$E$3:$G$302,3,FALSE)),""))</f>
        <v/>
      </c>
      <c r="E47" s="6">
        <f>IF(ALLOCATIONS!A41="","",ALLOCATIONS!C41)</f>
        <v/>
      </c>
      <c r="F47" s="6">
        <f>IF(ALLOCATIONS!A41="","",IF(ALLOCATIONS!D41="",0,ALLOCATIONS!D41))</f>
        <v/>
      </c>
      <c r="G47" s="6">
        <f>IF(ALLOCATIONS!A41="","",SUMIFS(RAW_004!$I$2:$I$10001,RAW_004!$D$2:$D$10001,ALLOCATIONS!A41,RAW_004!$H$2:$H$10001,ALLOCATIONS!B41,RAW_004!$N$2:$N$10001,ALLOCATIONS!C41))</f>
        <v/>
      </c>
      <c r="H47" s="6">
        <f>IF(A47="","",G47-F47)</f>
        <v/>
      </c>
    </row>
    <row r="48">
      <c r="A48" s="6">
        <f>IF(ALLOCATIONS!A42="","",IFERROR(VLOOKUP(ALLOCATIONS!A42,MAPPING!$A$3:$C$302,2,FALSE),"UNMAPPED"))</f>
        <v/>
      </c>
      <c r="B48" s="6">
        <f>IF(ALLOCATIONS!A42="","",IFERROR(VLOOKUP(ALLOCATIONS!A42,MAPPING!$A$3:$C$302,3,FALSE),ALLOCATIONS!A42))</f>
        <v/>
      </c>
      <c r="C48" s="6">
        <f>IF(ALLOCATIONS!A42="","",IFERROR(VLOOKUP(ALLOCATIONS!B42,MAPPING!$E$3:$G$302,2,FALSE),"UNMAPPED"))</f>
        <v/>
      </c>
      <c r="D48" s="6">
        <f>IF(ALLOCATIONS!A42="","",IFERROR(IF(VLOOKUP(ALLOCATIONS!B42,MAPPING!$E$3:$G$302,3,FALSE)="","",VLOOKUP(ALLOCATIONS!B42,MAPPING!$E$3:$G$302,3,FALSE)),""))</f>
        <v/>
      </c>
      <c r="E48" s="6">
        <f>IF(ALLOCATIONS!A42="","",ALLOCATIONS!C42)</f>
        <v/>
      </c>
      <c r="F48" s="6">
        <f>IF(ALLOCATIONS!A42="","",IF(ALLOCATIONS!D42="",0,ALLOCATIONS!D42))</f>
        <v/>
      </c>
      <c r="G48" s="6">
        <f>IF(ALLOCATIONS!A42="","",SUMIFS(RAW_004!$I$2:$I$10001,RAW_004!$D$2:$D$10001,ALLOCATIONS!A42,RAW_004!$H$2:$H$10001,ALLOCATIONS!B42,RAW_004!$N$2:$N$10001,ALLOCATIONS!C42))</f>
        <v/>
      </c>
      <c r="H48" s="6">
        <f>IF(A48="","",G48-F48)</f>
        <v/>
      </c>
    </row>
    <row r="49">
      <c r="A49" s="6">
        <f>IF(ALLOCATIONS!A43="","",IFERROR(VLOOKUP(ALLOCATIONS!A43,MAPPING!$A$3:$C$302,2,FALSE),"UNMAPPED"))</f>
        <v/>
      </c>
      <c r="B49" s="6">
        <f>IF(ALLOCATIONS!A43="","",IFERROR(VLOOKUP(ALLOCATIONS!A43,MAPPING!$A$3:$C$302,3,FALSE),ALLOCATIONS!A43))</f>
        <v/>
      </c>
      <c r="C49" s="6">
        <f>IF(ALLOCATIONS!A43="","",IFERROR(VLOOKUP(ALLOCATIONS!B43,MAPPING!$E$3:$G$302,2,FALSE),"UNMAPPED"))</f>
        <v/>
      </c>
      <c r="D49" s="6">
        <f>IF(ALLOCATIONS!A43="","",IFERROR(IF(VLOOKUP(ALLOCATIONS!B43,MAPPING!$E$3:$G$302,3,FALSE)="","",VLOOKUP(ALLOCATIONS!B43,MAPPING!$E$3:$G$302,3,FALSE)),""))</f>
        <v/>
      </c>
      <c r="E49" s="6">
        <f>IF(ALLOCATIONS!A43="","",ALLOCATIONS!C43)</f>
        <v/>
      </c>
      <c r="F49" s="6">
        <f>IF(ALLOCATIONS!A43="","",IF(ALLOCATIONS!D43="",0,ALLOCATIONS!D43))</f>
        <v/>
      </c>
      <c r="G49" s="6">
        <f>IF(ALLOCATIONS!A43="","",SUMIFS(RAW_004!$I$2:$I$10001,RAW_004!$D$2:$D$10001,ALLOCATIONS!A43,RAW_004!$H$2:$H$10001,ALLOCATIONS!B43,RAW_004!$N$2:$N$10001,ALLOCATIONS!C43))</f>
        <v/>
      </c>
      <c r="H49" s="6">
        <f>IF(A49="","",G49-F49)</f>
        <v/>
      </c>
    </row>
    <row r="50">
      <c r="A50" s="6">
        <f>IF(ALLOCATIONS!A44="","",IFERROR(VLOOKUP(ALLOCATIONS!A44,MAPPING!$A$3:$C$302,2,FALSE),"UNMAPPED"))</f>
        <v/>
      </c>
      <c r="B50" s="6">
        <f>IF(ALLOCATIONS!A44="","",IFERROR(VLOOKUP(ALLOCATIONS!A44,MAPPING!$A$3:$C$302,3,FALSE),ALLOCATIONS!A44))</f>
        <v/>
      </c>
      <c r="C50" s="6">
        <f>IF(ALLOCATIONS!A44="","",IFERROR(VLOOKUP(ALLOCATIONS!B44,MAPPING!$E$3:$G$302,2,FALSE),"UNMAPPED"))</f>
        <v/>
      </c>
      <c r="D50" s="6">
        <f>IF(ALLOCATIONS!A44="","",IFERROR(IF(VLOOKUP(ALLOCATIONS!B44,MAPPING!$E$3:$G$302,3,FALSE)="","",VLOOKUP(ALLOCATIONS!B44,MAPPING!$E$3:$G$302,3,FALSE)),""))</f>
        <v/>
      </c>
      <c r="E50" s="6">
        <f>IF(ALLOCATIONS!A44="","",ALLOCATIONS!C44)</f>
        <v/>
      </c>
      <c r="F50" s="6">
        <f>IF(ALLOCATIONS!A44="","",IF(ALLOCATIONS!D44="",0,ALLOCATIONS!D44))</f>
        <v/>
      </c>
      <c r="G50" s="6">
        <f>IF(ALLOCATIONS!A44="","",SUMIFS(RAW_004!$I$2:$I$10001,RAW_004!$D$2:$D$10001,ALLOCATIONS!A44,RAW_004!$H$2:$H$10001,ALLOCATIONS!B44,RAW_004!$N$2:$N$10001,ALLOCATIONS!C44))</f>
        <v/>
      </c>
      <c r="H50" s="6">
        <f>IF(A50="","",G50-F50)</f>
        <v/>
      </c>
    </row>
    <row r="51">
      <c r="A51" s="6">
        <f>IF(ALLOCATIONS!A45="","",IFERROR(VLOOKUP(ALLOCATIONS!A45,MAPPING!$A$3:$C$302,2,FALSE),"UNMAPPED"))</f>
        <v/>
      </c>
      <c r="B51" s="6">
        <f>IF(ALLOCATIONS!A45="","",IFERROR(VLOOKUP(ALLOCATIONS!A45,MAPPING!$A$3:$C$302,3,FALSE),ALLOCATIONS!A45))</f>
        <v/>
      </c>
      <c r="C51" s="6">
        <f>IF(ALLOCATIONS!A45="","",IFERROR(VLOOKUP(ALLOCATIONS!B45,MAPPING!$E$3:$G$302,2,FALSE),"UNMAPPED"))</f>
        <v/>
      </c>
      <c r="D51" s="6">
        <f>IF(ALLOCATIONS!A45="","",IFERROR(IF(VLOOKUP(ALLOCATIONS!B45,MAPPING!$E$3:$G$302,3,FALSE)="","",VLOOKUP(ALLOCATIONS!B45,MAPPING!$E$3:$G$302,3,FALSE)),""))</f>
        <v/>
      </c>
      <c r="E51" s="6">
        <f>IF(ALLOCATIONS!A45="","",ALLOCATIONS!C45)</f>
        <v/>
      </c>
      <c r="F51" s="6">
        <f>IF(ALLOCATIONS!A45="","",IF(ALLOCATIONS!D45="",0,ALLOCATIONS!D45))</f>
        <v/>
      </c>
      <c r="G51" s="6">
        <f>IF(ALLOCATIONS!A45="","",SUMIFS(RAW_004!$I$2:$I$10001,RAW_004!$D$2:$D$10001,ALLOCATIONS!A45,RAW_004!$H$2:$H$10001,ALLOCATIONS!B45,RAW_004!$N$2:$N$10001,ALLOCATIONS!C45))</f>
        <v/>
      </c>
      <c r="H51" s="6">
        <f>IF(A51="","",G51-F51)</f>
        <v/>
      </c>
    </row>
    <row r="52">
      <c r="A52" s="6">
        <f>IF(ALLOCATIONS!A46="","",IFERROR(VLOOKUP(ALLOCATIONS!A46,MAPPING!$A$3:$C$302,2,FALSE),"UNMAPPED"))</f>
        <v/>
      </c>
      <c r="B52" s="6">
        <f>IF(ALLOCATIONS!A46="","",IFERROR(VLOOKUP(ALLOCATIONS!A46,MAPPING!$A$3:$C$302,3,FALSE),ALLOCATIONS!A46))</f>
        <v/>
      </c>
      <c r="C52" s="6">
        <f>IF(ALLOCATIONS!A46="","",IFERROR(VLOOKUP(ALLOCATIONS!B46,MAPPING!$E$3:$G$302,2,FALSE),"UNMAPPED"))</f>
        <v/>
      </c>
      <c r="D52" s="6">
        <f>IF(ALLOCATIONS!A46="","",IFERROR(IF(VLOOKUP(ALLOCATIONS!B46,MAPPING!$E$3:$G$302,3,FALSE)="","",VLOOKUP(ALLOCATIONS!B46,MAPPING!$E$3:$G$302,3,FALSE)),""))</f>
        <v/>
      </c>
      <c r="E52" s="6">
        <f>IF(ALLOCATIONS!A46="","",ALLOCATIONS!C46)</f>
        <v/>
      </c>
      <c r="F52" s="6">
        <f>IF(ALLOCATIONS!A46="","",IF(ALLOCATIONS!D46="",0,ALLOCATIONS!D46))</f>
        <v/>
      </c>
      <c r="G52" s="6">
        <f>IF(ALLOCATIONS!A46="","",SUMIFS(RAW_004!$I$2:$I$10001,RAW_004!$D$2:$D$10001,ALLOCATIONS!A46,RAW_004!$H$2:$H$10001,ALLOCATIONS!B46,RAW_004!$N$2:$N$10001,ALLOCATIONS!C46))</f>
        <v/>
      </c>
      <c r="H52" s="6">
        <f>IF(A52="","",G52-F52)</f>
        <v/>
      </c>
    </row>
    <row r="53">
      <c r="A53" s="6">
        <f>IF(ALLOCATIONS!A47="","",IFERROR(VLOOKUP(ALLOCATIONS!A47,MAPPING!$A$3:$C$302,2,FALSE),"UNMAPPED"))</f>
        <v/>
      </c>
      <c r="B53" s="6">
        <f>IF(ALLOCATIONS!A47="","",IFERROR(VLOOKUP(ALLOCATIONS!A47,MAPPING!$A$3:$C$302,3,FALSE),ALLOCATIONS!A47))</f>
        <v/>
      </c>
      <c r="C53" s="6">
        <f>IF(ALLOCATIONS!A47="","",IFERROR(VLOOKUP(ALLOCATIONS!B47,MAPPING!$E$3:$G$302,2,FALSE),"UNMAPPED"))</f>
        <v/>
      </c>
      <c r="D53" s="6">
        <f>IF(ALLOCATIONS!A47="","",IFERROR(IF(VLOOKUP(ALLOCATIONS!B47,MAPPING!$E$3:$G$302,3,FALSE)="","",VLOOKUP(ALLOCATIONS!B47,MAPPING!$E$3:$G$302,3,FALSE)),""))</f>
        <v/>
      </c>
      <c r="E53" s="6">
        <f>IF(ALLOCATIONS!A47="","",ALLOCATIONS!C47)</f>
        <v/>
      </c>
      <c r="F53" s="6">
        <f>IF(ALLOCATIONS!A47="","",IF(ALLOCATIONS!D47="",0,ALLOCATIONS!D47))</f>
        <v/>
      </c>
      <c r="G53" s="6">
        <f>IF(ALLOCATIONS!A47="","",SUMIFS(RAW_004!$I$2:$I$10001,RAW_004!$D$2:$D$10001,ALLOCATIONS!A47,RAW_004!$H$2:$H$10001,ALLOCATIONS!B47,RAW_004!$N$2:$N$10001,ALLOCATIONS!C47))</f>
        <v/>
      </c>
      <c r="H53" s="6">
        <f>IF(A53="","",G53-F53)</f>
        <v/>
      </c>
    </row>
    <row r="54">
      <c r="A54" s="6">
        <f>IF(ALLOCATIONS!A48="","",IFERROR(VLOOKUP(ALLOCATIONS!A48,MAPPING!$A$3:$C$302,2,FALSE),"UNMAPPED"))</f>
        <v/>
      </c>
      <c r="B54" s="6">
        <f>IF(ALLOCATIONS!A48="","",IFERROR(VLOOKUP(ALLOCATIONS!A48,MAPPING!$A$3:$C$302,3,FALSE),ALLOCATIONS!A48))</f>
        <v/>
      </c>
      <c r="C54" s="6">
        <f>IF(ALLOCATIONS!A48="","",IFERROR(VLOOKUP(ALLOCATIONS!B48,MAPPING!$E$3:$G$302,2,FALSE),"UNMAPPED"))</f>
        <v/>
      </c>
      <c r="D54" s="6">
        <f>IF(ALLOCATIONS!A48="","",IFERROR(IF(VLOOKUP(ALLOCATIONS!B48,MAPPING!$E$3:$G$302,3,FALSE)="","",VLOOKUP(ALLOCATIONS!B48,MAPPING!$E$3:$G$302,3,FALSE)),""))</f>
        <v/>
      </c>
      <c r="E54" s="6">
        <f>IF(ALLOCATIONS!A48="","",ALLOCATIONS!C48)</f>
        <v/>
      </c>
      <c r="F54" s="6">
        <f>IF(ALLOCATIONS!A48="","",IF(ALLOCATIONS!D48="",0,ALLOCATIONS!D48))</f>
        <v/>
      </c>
      <c r="G54" s="6">
        <f>IF(ALLOCATIONS!A48="","",SUMIFS(RAW_004!$I$2:$I$10001,RAW_004!$D$2:$D$10001,ALLOCATIONS!A48,RAW_004!$H$2:$H$10001,ALLOCATIONS!B48,RAW_004!$N$2:$N$10001,ALLOCATIONS!C48))</f>
        <v/>
      </c>
      <c r="H54" s="6">
        <f>IF(A54="","",G54-F54)</f>
        <v/>
      </c>
    </row>
    <row r="55">
      <c r="A55" s="6">
        <f>IF(ALLOCATIONS!A49="","",IFERROR(VLOOKUP(ALLOCATIONS!A49,MAPPING!$A$3:$C$302,2,FALSE),"UNMAPPED"))</f>
        <v/>
      </c>
      <c r="B55" s="6">
        <f>IF(ALLOCATIONS!A49="","",IFERROR(VLOOKUP(ALLOCATIONS!A49,MAPPING!$A$3:$C$302,3,FALSE),ALLOCATIONS!A49))</f>
        <v/>
      </c>
      <c r="C55" s="6">
        <f>IF(ALLOCATIONS!A49="","",IFERROR(VLOOKUP(ALLOCATIONS!B49,MAPPING!$E$3:$G$302,2,FALSE),"UNMAPPED"))</f>
        <v/>
      </c>
      <c r="D55" s="6">
        <f>IF(ALLOCATIONS!A49="","",IFERROR(IF(VLOOKUP(ALLOCATIONS!B49,MAPPING!$E$3:$G$302,3,FALSE)="","",VLOOKUP(ALLOCATIONS!B49,MAPPING!$E$3:$G$302,3,FALSE)),""))</f>
        <v/>
      </c>
      <c r="E55" s="6">
        <f>IF(ALLOCATIONS!A49="","",ALLOCATIONS!C49)</f>
        <v/>
      </c>
      <c r="F55" s="6">
        <f>IF(ALLOCATIONS!A49="","",IF(ALLOCATIONS!D49="",0,ALLOCATIONS!D49))</f>
        <v/>
      </c>
      <c r="G55" s="6">
        <f>IF(ALLOCATIONS!A49="","",SUMIFS(RAW_004!$I$2:$I$10001,RAW_004!$D$2:$D$10001,ALLOCATIONS!A49,RAW_004!$H$2:$H$10001,ALLOCATIONS!B49,RAW_004!$N$2:$N$10001,ALLOCATIONS!C49))</f>
        <v/>
      </c>
      <c r="H55" s="6">
        <f>IF(A55="","",G55-F55)</f>
        <v/>
      </c>
    </row>
    <row r="56">
      <c r="A56" s="6">
        <f>IF(ALLOCATIONS!A50="","",IFERROR(VLOOKUP(ALLOCATIONS!A50,MAPPING!$A$3:$C$302,2,FALSE),"UNMAPPED"))</f>
        <v/>
      </c>
      <c r="B56" s="6">
        <f>IF(ALLOCATIONS!A50="","",IFERROR(VLOOKUP(ALLOCATIONS!A50,MAPPING!$A$3:$C$302,3,FALSE),ALLOCATIONS!A50))</f>
        <v/>
      </c>
      <c r="C56" s="6">
        <f>IF(ALLOCATIONS!A50="","",IFERROR(VLOOKUP(ALLOCATIONS!B50,MAPPING!$E$3:$G$302,2,FALSE),"UNMAPPED"))</f>
        <v/>
      </c>
      <c r="D56" s="6">
        <f>IF(ALLOCATIONS!A50="","",IFERROR(IF(VLOOKUP(ALLOCATIONS!B50,MAPPING!$E$3:$G$302,3,FALSE)="","",VLOOKUP(ALLOCATIONS!B50,MAPPING!$E$3:$G$302,3,FALSE)),""))</f>
        <v/>
      </c>
      <c r="E56" s="6">
        <f>IF(ALLOCATIONS!A50="","",ALLOCATIONS!C50)</f>
        <v/>
      </c>
      <c r="F56" s="6">
        <f>IF(ALLOCATIONS!A50="","",IF(ALLOCATIONS!D50="",0,ALLOCATIONS!D50))</f>
        <v/>
      </c>
      <c r="G56" s="6">
        <f>IF(ALLOCATIONS!A50="","",SUMIFS(RAW_004!$I$2:$I$10001,RAW_004!$D$2:$D$10001,ALLOCATIONS!A50,RAW_004!$H$2:$H$10001,ALLOCATIONS!B50,RAW_004!$N$2:$N$10001,ALLOCATIONS!C50))</f>
        <v/>
      </c>
      <c r="H56" s="6">
        <f>IF(A56="","",G56-F56)</f>
        <v/>
      </c>
    </row>
    <row r="57">
      <c r="A57" s="6">
        <f>IF(ALLOCATIONS!A51="","",IFERROR(VLOOKUP(ALLOCATIONS!A51,MAPPING!$A$3:$C$302,2,FALSE),"UNMAPPED"))</f>
        <v/>
      </c>
      <c r="B57" s="6">
        <f>IF(ALLOCATIONS!A51="","",IFERROR(VLOOKUP(ALLOCATIONS!A51,MAPPING!$A$3:$C$302,3,FALSE),ALLOCATIONS!A51))</f>
        <v/>
      </c>
      <c r="C57" s="6">
        <f>IF(ALLOCATIONS!A51="","",IFERROR(VLOOKUP(ALLOCATIONS!B51,MAPPING!$E$3:$G$302,2,FALSE),"UNMAPPED"))</f>
        <v/>
      </c>
      <c r="D57" s="6">
        <f>IF(ALLOCATIONS!A51="","",IFERROR(IF(VLOOKUP(ALLOCATIONS!B51,MAPPING!$E$3:$G$302,3,FALSE)="","",VLOOKUP(ALLOCATIONS!B51,MAPPING!$E$3:$G$302,3,FALSE)),""))</f>
        <v/>
      </c>
      <c r="E57" s="6">
        <f>IF(ALLOCATIONS!A51="","",ALLOCATIONS!C51)</f>
        <v/>
      </c>
      <c r="F57" s="6">
        <f>IF(ALLOCATIONS!A51="","",IF(ALLOCATIONS!D51="",0,ALLOCATIONS!D51))</f>
        <v/>
      </c>
      <c r="G57" s="6">
        <f>IF(ALLOCATIONS!A51="","",SUMIFS(RAW_004!$I$2:$I$10001,RAW_004!$D$2:$D$10001,ALLOCATIONS!A51,RAW_004!$H$2:$H$10001,ALLOCATIONS!B51,RAW_004!$N$2:$N$10001,ALLOCATIONS!C51))</f>
        <v/>
      </c>
      <c r="H57" s="6">
        <f>IF(A57="","",G57-F57)</f>
        <v/>
      </c>
    </row>
    <row r="58">
      <c r="A58" s="6">
        <f>IF(ALLOCATIONS!A52="","",IFERROR(VLOOKUP(ALLOCATIONS!A52,MAPPING!$A$3:$C$302,2,FALSE),"UNMAPPED"))</f>
        <v/>
      </c>
      <c r="B58" s="6">
        <f>IF(ALLOCATIONS!A52="","",IFERROR(VLOOKUP(ALLOCATIONS!A52,MAPPING!$A$3:$C$302,3,FALSE),ALLOCATIONS!A52))</f>
        <v/>
      </c>
      <c r="C58" s="6">
        <f>IF(ALLOCATIONS!A52="","",IFERROR(VLOOKUP(ALLOCATIONS!B52,MAPPING!$E$3:$G$302,2,FALSE),"UNMAPPED"))</f>
        <v/>
      </c>
      <c r="D58" s="6">
        <f>IF(ALLOCATIONS!A52="","",IFERROR(IF(VLOOKUP(ALLOCATIONS!B52,MAPPING!$E$3:$G$302,3,FALSE)="","",VLOOKUP(ALLOCATIONS!B52,MAPPING!$E$3:$G$302,3,FALSE)),""))</f>
        <v/>
      </c>
      <c r="E58" s="6">
        <f>IF(ALLOCATIONS!A52="","",ALLOCATIONS!C52)</f>
        <v/>
      </c>
      <c r="F58" s="6">
        <f>IF(ALLOCATIONS!A52="","",IF(ALLOCATIONS!D52="",0,ALLOCATIONS!D52))</f>
        <v/>
      </c>
      <c r="G58" s="6">
        <f>IF(ALLOCATIONS!A52="","",SUMIFS(RAW_004!$I$2:$I$10001,RAW_004!$D$2:$D$10001,ALLOCATIONS!A52,RAW_004!$H$2:$H$10001,ALLOCATIONS!B52,RAW_004!$N$2:$N$10001,ALLOCATIONS!C52))</f>
        <v/>
      </c>
      <c r="H58" s="6">
        <f>IF(A58="","",G58-F58)</f>
        <v/>
      </c>
    </row>
    <row r="59">
      <c r="A59" s="6">
        <f>IF(ALLOCATIONS!A53="","",IFERROR(VLOOKUP(ALLOCATIONS!A53,MAPPING!$A$3:$C$302,2,FALSE),"UNMAPPED"))</f>
        <v/>
      </c>
      <c r="B59" s="6">
        <f>IF(ALLOCATIONS!A53="","",IFERROR(VLOOKUP(ALLOCATIONS!A53,MAPPING!$A$3:$C$302,3,FALSE),ALLOCATIONS!A53))</f>
        <v/>
      </c>
      <c r="C59" s="6">
        <f>IF(ALLOCATIONS!A53="","",IFERROR(VLOOKUP(ALLOCATIONS!B53,MAPPING!$E$3:$G$302,2,FALSE),"UNMAPPED"))</f>
        <v/>
      </c>
      <c r="D59" s="6">
        <f>IF(ALLOCATIONS!A53="","",IFERROR(IF(VLOOKUP(ALLOCATIONS!B53,MAPPING!$E$3:$G$302,3,FALSE)="","",VLOOKUP(ALLOCATIONS!B53,MAPPING!$E$3:$G$302,3,FALSE)),""))</f>
        <v/>
      </c>
      <c r="E59" s="6">
        <f>IF(ALLOCATIONS!A53="","",ALLOCATIONS!C53)</f>
        <v/>
      </c>
      <c r="F59" s="6">
        <f>IF(ALLOCATIONS!A53="","",IF(ALLOCATIONS!D53="",0,ALLOCATIONS!D53))</f>
        <v/>
      </c>
      <c r="G59" s="6">
        <f>IF(ALLOCATIONS!A53="","",SUMIFS(RAW_004!$I$2:$I$10001,RAW_004!$D$2:$D$10001,ALLOCATIONS!A53,RAW_004!$H$2:$H$10001,ALLOCATIONS!B53,RAW_004!$N$2:$N$10001,ALLOCATIONS!C53))</f>
        <v/>
      </c>
      <c r="H59" s="6">
        <f>IF(A59="","",G59-F59)</f>
        <v/>
      </c>
    </row>
    <row r="60">
      <c r="A60" s="6">
        <f>IF(ALLOCATIONS!A54="","",IFERROR(VLOOKUP(ALLOCATIONS!A54,MAPPING!$A$3:$C$302,2,FALSE),"UNMAPPED"))</f>
        <v/>
      </c>
      <c r="B60" s="6">
        <f>IF(ALLOCATIONS!A54="","",IFERROR(VLOOKUP(ALLOCATIONS!A54,MAPPING!$A$3:$C$302,3,FALSE),ALLOCATIONS!A54))</f>
        <v/>
      </c>
      <c r="C60" s="6">
        <f>IF(ALLOCATIONS!A54="","",IFERROR(VLOOKUP(ALLOCATIONS!B54,MAPPING!$E$3:$G$302,2,FALSE),"UNMAPPED"))</f>
        <v/>
      </c>
      <c r="D60" s="6">
        <f>IF(ALLOCATIONS!A54="","",IFERROR(IF(VLOOKUP(ALLOCATIONS!B54,MAPPING!$E$3:$G$302,3,FALSE)="","",VLOOKUP(ALLOCATIONS!B54,MAPPING!$E$3:$G$302,3,FALSE)),""))</f>
        <v/>
      </c>
      <c r="E60" s="6">
        <f>IF(ALLOCATIONS!A54="","",ALLOCATIONS!C54)</f>
        <v/>
      </c>
      <c r="F60" s="6">
        <f>IF(ALLOCATIONS!A54="","",IF(ALLOCATIONS!D54="",0,ALLOCATIONS!D54))</f>
        <v/>
      </c>
      <c r="G60" s="6">
        <f>IF(ALLOCATIONS!A54="","",SUMIFS(RAW_004!$I$2:$I$10001,RAW_004!$D$2:$D$10001,ALLOCATIONS!A54,RAW_004!$H$2:$H$10001,ALLOCATIONS!B54,RAW_004!$N$2:$N$10001,ALLOCATIONS!C54))</f>
        <v/>
      </c>
      <c r="H60" s="6">
        <f>IF(A60="","",G60-F60)</f>
        <v/>
      </c>
    </row>
    <row r="61">
      <c r="A61" s="6">
        <f>IF(ALLOCATIONS!A55="","",IFERROR(VLOOKUP(ALLOCATIONS!A55,MAPPING!$A$3:$C$302,2,FALSE),"UNMAPPED"))</f>
        <v/>
      </c>
      <c r="B61" s="6">
        <f>IF(ALLOCATIONS!A55="","",IFERROR(VLOOKUP(ALLOCATIONS!A55,MAPPING!$A$3:$C$302,3,FALSE),ALLOCATIONS!A55))</f>
        <v/>
      </c>
      <c r="C61" s="6">
        <f>IF(ALLOCATIONS!A55="","",IFERROR(VLOOKUP(ALLOCATIONS!B55,MAPPING!$E$3:$G$302,2,FALSE),"UNMAPPED"))</f>
        <v/>
      </c>
      <c r="D61" s="6">
        <f>IF(ALLOCATIONS!A55="","",IFERROR(IF(VLOOKUP(ALLOCATIONS!B55,MAPPING!$E$3:$G$302,3,FALSE)="","",VLOOKUP(ALLOCATIONS!B55,MAPPING!$E$3:$G$302,3,FALSE)),""))</f>
        <v/>
      </c>
      <c r="E61" s="6">
        <f>IF(ALLOCATIONS!A55="","",ALLOCATIONS!C55)</f>
        <v/>
      </c>
      <c r="F61" s="6">
        <f>IF(ALLOCATIONS!A55="","",IF(ALLOCATIONS!D55="",0,ALLOCATIONS!D55))</f>
        <v/>
      </c>
      <c r="G61" s="6">
        <f>IF(ALLOCATIONS!A55="","",SUMIFS(RAW_004!$I$2:$I$10001,RAW_004!$D$2:$D$10001,ALLOCATIONS!A55,RAW_004!$H$2:$H$10001,ALLOCATIONS!B55,RAW_004!$N$2:$N$10001,ALLOCATIONS!C55))</f>
        <v/>
      </c>
      <c r="H61" s="6">
        <f>IF(A61="","",G61-F61)</f>
        <v/>
      </c>
    </row>
    <row r="62">
      <c r="A62" s="6">
        <f>IF(ALLOCATIONS!A56="","",IFERROR(VLOOKUP(ALLOCATIONS!A56,MAPPING!$A$3:$C$302,2,FALSE),"UNMAPPED"))</f>
        <v/>
      </c>
      <c r="B62" s="6">
        <f>IF(ALLOCATIONS!A56="","",IFERROR(VLOOKUP(ALLOCATIONS!A56,MAPPING!$A$3:$C$302,3,FALSE),ALLOCATIONS!A56))</f>
        <v/>
      </c>
      <c r="C62" s="6">
        <f>IF(ALLOCATIONS!A56="","",IFERROR(VLOOKUP(ALLOCATIONS!B56,MAPPING!$E$3:$G$302,2,FALSE),"UNMAPPED"))</f>
        <v/>
      </c>
      <c r="D62" s="6">
        <f>IF(ALLOCATIONS!A56="","",IFERROR(IF(VLOOKUP(ALLOCATIONS!B56,MAPPING!$E$3:$G$302,3,FALSE)="","",VLOOKUP(ALLOCATIONS!B56,MAPPING!$E$3:$G$302,3,FALSE)),""))</f>
        <v/>
      </c>
      <c r="E62" s="6">
        <f>IF(ALLOCATIONS!A56="","",ALLOCATIONS!C56)</f>
        <v/>
      </c>
      <c r="F62" s="6">
        <f>IF(ALLOCATIONS!A56="","",IF(ALLOCATIONS!D56="",0,ALLOCATIONS!D56))</f>
        <v/>
      </c>
      <c r="G62" s="6">
        <f>IF(ALLOCATIONS!A56="","",SUMIFS(RAW_004!$I$2:$I$10001,RAW_004!$D$2:$D$10001,ALLOCATIONS!A56,RAW_004!$H$2:$H$10001,ALLOCATIONS!B56,RAW_004!$N$2:$N$10001,ALLOCATIONS!C56))</f>
        <v/>
      </c>
      <c r="H62" s="6">
        <f>IF(A62="","",G62-F62)</f>
        <v/>
      </c>
    </row>
    <row r="63">
      <c r="A63" s="6">
        <f>IF(ALLOCATIONS!A57="","",IFERROR(VLOOKUP(ALLOCATIONS!A57,MAPPING!$A$3:$C$302,2,FALSE),"UNMAPPED"))</f>
        <v/>
      </c>
      <c r="B63" s="6">
        <f>IF(ALLOCATIONS!A57="","",IFERROR(VLOOKUP(ALLOCATIONS!A57,MAPPING!$A$3:$C$302,3,FALSE),ALLOCATIONS!A57))</f>
        <v/>
      </c>
      <c r="C63" s="6">
        <f>IF(ALLOCATIONS!A57="","",IFERROR(VLOOKUP(ALLOCATIONS!B57,MAPPING!$E$3:$G$302,2,FALSE),"UNMAPPED"))</f>
        <v/>
      </c>
      <c r="D63" s="6">
        <f>IF(ALLOCATIONS!A57="","",IFERROR(IF(VLOOKUP(ALLOCATIONS!B57,MAPPING!$E$3:$G$302,3,FALSE)="","",VLOOKUP(ALLOCATIONS!B57,MAPPING!$E$3:$G$302,3,FALSE)),""))</f>
        <v/>
      </c>
      <c r="E63" s="6">
        <f>IF(ALLOCATIONS!A57="","",ALLOCATIONS!C57)</f>
        <v/>
      </c>
      <c r="F63" s="6">
        <f>IF(ALLOCATIONS!A57="","",IF(ALLOCATIONS!D57="",0,ALLOCATIONS!D57))</f>
        <v/>
      </c>
      <c r="G63" s="6">
        <f>IF(ALLOCATIONS!A57="","",SUMIFS(RAW_004!$I$2:$I$10001,RAW_004!$D$2:$D$10001,ALLOCATIONS!A57,RAW_004!$H$2:$H$10001,ALLOCATIONS!B57,RAW_004!$N$2:$N$10001,ALLOCATIONS!C57))</f>
        <v/>
      </c>
      <c r="H63" s="6">
        <f>IF(A63="","",G63-F63)</f>
        <v/>
      </c>
    </row>
    <row r="64">
      <c r="A64" s="6">
        <f>IF(ALLOCATIONS!A58="","",IFERROR(VLOOKUP(ALLOCATIONS!A58,MAPPING!$A$3:$C$302,2,FALSE),"UNMAPPED"))</f>
        <v/>
      </c>
      <c r="B64" s="6">
        <f>IF(ALLOCATIONS!A58="","",IFERROR(VLOOKUP(ALLOCATIONS!A58,MAPPING!$A$3:$C$302,3,FALSE),ALLOCATIONS!A58))</f>
        <v/>
      </c>
      <c r="C64" s="6">
        <f>IF(ALLOCATIONS!A58="","",IFERROR(VLOOKUP(ALLOCATIONS!B58,MAPPING!$E$3:$G$302,2,FALSE),"UNMAPPED"))</f>
        <v/>
      </c>
      <c r="D64" s="6">
        <f>IF(ALLOCATIONS!A58="","",IFERROR(IF(VLOOKUP(ALLOCATIONS!B58,MAPPING!$E$3:$G$302,3,FALSE)="","",VLOOKUP(ALLOCATIONS!B58,MAPPING!$E$3:$G$302,3,FALSE)),""))</f>
        <v/>
      </c>
      <c r="E64" s="6">
        <f>IF(ALLOCATIONS!A58="","",ALLOCATIONS!C58)</f>
        <v/>
      </c>
      <c r="F64" s="6">
        <f>IF(ALLOCATIONS!A58="","",IF(ALLOCATIONS!D58="",0,ALLOCATIONS!D58))</f>
        <v/>
      </c>
      <c r="G64" s="6">
        <f>IF(ALLOCATIONS!A58="","",SUMIFS(RAW_004!$I$2:$I$10001,RAW_004!$D$2:$D$10001,ALLOCATIONS!A58,RAW_004!$H$2:$H$10001,ALLOCATIONS!B58,RAW_004!$N$2:$N$10001,ALLOCATIONS!C58))</f>
        <v/>
      </c>
      <c r="H64" s="6">
        <f>IF(A64="","",G64-F64)</f>
        <v/>
      </c>
    </row>
    <row r="65">
      <c r="A65" s="6">
        <f>IF(ALLOCATIONS!A59="","",IFERROR(VLOOKUP(ALLOCATIONS!A59,MAPPING!$A$3:$C$302,2,FALSE),"UNMAPPED"))</f>
        <v/>
      </c>
      <c r="B65" s="6">
        <f>IF(ALLOCATIONS!A59="","",IFERROR(VLOOKUP(ALLOCATIONS!A59,MAPPING!$A$3:$C$302,3,FALSE),ALLOCATIONS!A59))</f>
        <v/>
      </c>
      <c r="C65" s="6">
        <f>IF(ALLOCATIONS!A59="","",IFERROR(VLOOKUP(ALLOCATIONS!B59,MAPPING!$E$3:$G$302,2,FALSE),"UNMAPPED"))</f>
        <v/>
      </c>
      <c r="D65" s="6">
        <f>IF(ALLOCATIONS!A59="","",IFERROR(IF(VLOOKUP(ALLOCATIONS!B59,MAPPING!$E$3:$G$302,3,FALSE)="","",VLOOKUP(ALLOCATIONS!B59,MAPPING!$E$3:$G$302,3,FALSE)),""))</f>
        <v/>
      </c>
      <c r="E65" s="6">
        <f>IF(ALLOCATIONS!A59="","",ALLOCATIONS!C59)</f>
        <v/>
      </c>
      <c r="F65" s="6">
        <f>IF(ALLOCATIONS!A59="","",IF(ALLOCATIONS!D59="",0,ALLOCATIONS!D59))</f>
        <v/>
      </c>
      <c r="G65" s="6">
        <f>IF(ALLOCATIONS!A59="","",SUMIFS(RAW_004!$I$2:$I$10001,RAW_004!$D$2:$D$10001,ALLOCATIONS!A59,RAW_004!$H$2:$H$10001,ALLOCATIONS!B59,RAW_004!$N$2:$N$10001,ALLOCATIONS!C59))</f>
        <v/>
      </c>
      <c r="H65" s="6">
        <f>IF(A65="","",G65-F65)</f>
        <v/>
      </c>
    </row>
    <row r="66">
      <c r="A66" s="6">
        <f>IF(ALLOCATIONS!A60="","",IFERROR(VLOOKUP(ALLOCATIONS!A60,MAPPING!$A$3:$C$302,2,FALSE),"UNMAPPED"))</f>
        <v/>
      </c>
      <c r="B66" s="6">
        <f>IF(ALLOCATIONS!A60="","",IFERROR(VLOOKUP(ALLOCATIONS!A60,MAPPING!$A$3:$C$302,3,FALSE),ALLOCATIONS!A60))</f>
        <v/>
      </c>
      <c r="C66" s="6">
        <f>IF(ALLOCATIONS!A60="","",IFERROR(VLOOKUP(ALLOCATIONS!B60,MAPPING!$E$3:$G$302,2,FALSE),"UNMAPPED"))</f>
        <v/>
      </c>
      <c r="D66" s="6">
        <f>IF(ALLOCATIONS!A60="","",IFERROR(IF(VLOOKUP(ALLOCATIONS!B60,MAPPING!$E$3:$G$302,3,FALSE)="","",VLOOKUP(ALLOCATIONS!B60,MAPPING!$E$3:$G$302,3,FALSE)),""))</f>
        <v/>
      </c>
      <c r="E66" s="6">
        <f>IF(ALLOCATIONS!A60="","",ALLOCATIONS!C60)</f>
        <v/>
      </c>
      <c r="F66" s="6">
        <f>IF(ALLOCATIONS!A60="","",IF(ALLOCATIONS!D60="",0,ALLOCATIONS!D60))</f>
        <v/>
      </c>
      <c r="G66" s="6">
        <f>IF(ALLOCATIONS!A60="","",SUMIFS(RAW_004!$I$2:$I$10001,RAW_004!$D$2:$D$10001,ALLOCATIONS!A60,RAW_004!$H$2:$H$10001,ALLOCATIONS!B60,RAW_004!$N$2:$N$10001,ALLOCATIONS!C60))</f>
        <v/>
      </c>
      <c r="H66" s="6">
        <f>IF(A66="","",G66-F66)</f>
        <v/>
      </c>
    </row>
    <row r="67">
      <c r="A67" s="6">
        <f>IF(ALLOCATIONS!A61="","",IFERROR(VLOOKUP(ALLOCATIONS!A61,MAPPING!$A$3:$C$302,2,FALSE),"UNMAPPED"))</f>
        <v/>
      </c>
      <c r="B67" s="6">
        <f>IF(ALLOCATIONS!A61="","",IFERROR(VLOOKUP(ALLOCATIONS!A61,MAPPING!$A$3:$C$302,3,FALSE),ALLOCATIONS!A61))</f>
        <v/>
      </c>
      <c r="C67" s="6">
        <f>IF(ALLOCATIONS!A61="","",IFERROR(VLOOKUP(ALLOCATIONS!B61,MAPPING!$E$3:$G$302,2,FALSE),"UNMAPPED"))</f>
        <v/>
      </c>
      <c r="D67" s="6">
        <f>IF(ALLOCATIONS!A61="","",IFERROR(IF(VLOOKUP(ALLOCATIONS!B61,MAPPING!$E$3:$G$302,3,FALSE)="","",VLOOKUP(ALLOCATIONS!B61,MAPPING!$E$3:$G$302,3,FALSE)),""))</f>
        <v/>
      </c>
      <c r="E67" s="6">
        <f>IF(ALLOCATIONS!A61="","",ALLOCATIONS!C61)</f>
        <v/>
      </c>
      <c r="F67" s="6">
        <f>IF(ALLOCATIONS!A61="","",IF(ALLOCATIONS!D61="",0,ALLOCATIONS!D61))</f>
        <v/>
      </c>
      <c r="G67" s="6">
        <f>IF(ALLOCATIONS!A61="","",SUMIFS(RAW_004!$I$2:$I$10001,RAW_004!$D$2:$D$10001,ALLOCATIONS!A61,RAW_004!$H$2:$H$10001,ALLOCATIONS!B61,RAW_004!$N$2:$N$10001,ALLOCATIONS!C61))</f>
        <v/>
      </c>
      <c r="H67" s="6">
        <f>IF(A67="","",G67-F67)</f>
        <v/>
      </c>
    </row>
    <row r="68">
      <c r="A68" s="6">
        <f>IF(ALLOCATIONS!A62="","",IFERROR(VLOOKUP(ALLOCATIONS!A62,MAPPING!$A$3:$C$302,2,FALSE),"UNMAPPED"))</f>
        <v/>
      </c>
      <c r="B68" s="6">
        <f>IF(ALLOCATIONS!A62="","",IFERROR(VLOOKUP(ALLOCATIONS!A62,MAPPING!$A$3:$C$302,3,FALSE),ALLOCATIONS!A62))</f>
        <v/>
      </c>
      <c r="C68" s="6">
        <f>IF(ALLOCATIONS!A62="","",IFERROR(VLOOKUP(ALLOCATIONS!B62,MAPPING!$E$3:$G$302,2,FALSE),"UNMAPPED"))</f>
        <v/>
      </c>
      <c r="D68" s="6">
        <f>IF(ALLOCATIONS!A62="","",IFERROR(IF(VLOOKUP(ALLOCATIONS!B62,MAPPING!$E$3:$G$302,3,FALSE)="","",VLOOKUP(ALLOCATIONS!B62,MAPPING!$E$3:$G$302,3,FALSE)),""))</f>
        <v/>
      </c>
      <c r="E68" s="6">
        <f>IF(ALLOCATIONS!A62="","",ALLOCATIONS!C62)</f>
        <v/>
      </c>
      <c r="F68" s="6">
        <f>IF(ALLOCATIONS!A62="","",IF(ALLOCATIONS!D62="",0,ALLOCATIONS!D62))</f>
        <v/>
      </c>
      <c r="G68" s="6">
        <f>IF(ALLOCATIONS!A62="","",SUMIFS(RAW_004!$I$2:$I$10001,RAW_004!$D$2:$D$10001,ALLOCATIONS!A62,RAW_004!$H$2:$H$10001,ALLOCATIONS!B62,RAW_004!$N$2:$N$10001,ALLOCATIONS!C62))</f>
        <v/>
      </c>
      <c r="H68" s="6">
        <f>IF(A68="","",G68-F68)</f>
        <v/>
      </c>
    </row>
    <row r="69">
      <c r="A69" s="6">
        <f>IF(ALLOCATIONS!A63="","",IFERROR(VLOOKUP(ALLOCATIONS!A63,MAPPING!$A$3:$C$302,2,FALSE),"UNMAPPED"))</f>
        <v/>
      </c>
      <c r="B69" s="6">
        <f>IF(ALLOCATIONS!A63="","",IFERROR(VLOOKUP(ALLOCATIONS!A63,MAPPING!$A$3:$C$302,3,FALSE),ALLOCATIONS!A63))</f>
        <v/>
      </c>
      <c r="C69" s="6">
        <f>IF(ALLOCATIONS!A63="","",IFERROR(VLOOKUP(ALLOCATIONS!B63,MAPPING!$E$3:$G$302,2,FALSE),"UNMAPPED"))</f>
        <v/>
      </c>
      <c r="D69" s="6">
        <f>IF(ALLOCATIONS!A63="","",IFERROR(IF(VLOOKUP(ALLOCATIONS!B63,MAPPING!$E$3:$G$302,3,FALSE)="","",VLOOKUP(ALLOCATIONS!B63,MAPPING!$E$3:$G$302,3,FALSE)),""))</f>
        <v/>
      </c>
      <c r="E69" s="6">
        <f>IF(ALLOCATIONS!A63="","",ALLOCATIONS!C63)</f>
        <v/>
      </c>
      <c r="F69" s="6">
        <f>IF(ALLOCATIONS!A63="","",IF(ALLOCATIONS!D63="",0,ALLOCATIONS!D63))</f>
        <v/>
      </c>
      <c r="G69" s="6">
        <f>IF(ALLOCATIONS!A63="","",SUMIFS(RAW_004!$I$2:$I$10001,RAW_004!$D$2:$D$10001,ALLOCATIONS!A63,RAW_004!$H$2:$H$10001,ALLOCATIONS!B63,RAW_004!$N$2:$N$10001,ALLOCATIONS!C63))</f>
        <v/>
      </c>
      <c r="H69" s="6">
        <f>IF(A69="","",G69-F69)</f>
        <v/>
      </c>
    </row>
    <row r="70">
      <c r="A70" s="6">
        <f>IF(ALLOCATIONS!A64="","",IFERROR(VLOOKUP(ALLOCATIONS!A64,MAPPING!$A$3:$C$302,2,FALSE),"UNMAPPED"))</f>
        <v/>
      </c>
      <c r="B70" s="6">
        <f>IF(ALLOCATIONS!A64="","",IFERROR(VLOOKUP(ALLOCATIONS!A64,MAPPING!$A$3:$C$302,3,FALSE),ALLOCATIONS!A64))</f>
        <v/>
      </c>
      <c r="C70" s="6">
        <f>IF(ALLOCATIONS!A64="","",IFERROR(VLOOKUP(ALLOCATIONS!B64,MAPPING!$E$3:$G$302,2,FALSE),"UNMAPPED"))</f>
        <v/>
      </c>
      <c r="D70" s="6">
        <f>IF(ALLOCATIONS!A64="","",IFERROR(IF(VLOOKUP(ALLOCATIONS!B64,MAPPING!$E$3:$G$302,3,FALSE)="","",VLOOKUP(ALLOCATIONS!B64,MAPPING!$E$3:$G$302,3,FALSE)),""))</f>
        <v/>
      </c>
      <c r="E70" s="6">
        <f>IF(ALLOCATIONS!A64="","",ALLOCATIONS!C64)</f>
        <v/>
      </c>
      <c r="F70" s="6">
        <f>IF(ALLOCATIONS!A64="","",IF(ALLOCATIONS!D64="",0,ALLOCATIONS!D64))</f>
        <v/>
      </c>
      <c r="G70" s="6">
        <f>IF(ALLOCATIONS!A64="","",SUMIFS(RAW_004!$I$2:$I$10001,RAW_004!$D$2:$D$10001,ALLOCATIONS!A64,RAW_004!$H$2:$H$10001,ALLOCATIONS!B64,RAW_004!$N$2:$N$10001,ALLOCATIONS!C64))</f>
        <v/>
      </c>
      <c r="H70" s="6">
        <f>IF(A70="","",G70-F70)</f>
        <v/>
      </c>
    </row>
    <row r="71">
      <c r="A71" s="6">
        <f>IF(ALLOCATIONS!A65="","",IFERROR(VLOOKUP(ALLOCATIONS!A65,MAPPING!$A$3:$C$302,2,FALSE),"UNMAPPED"))</f>
        <v/>
      </c>
      <c r="B71" s="6">
        <f>IF(ALLOCATIONS!A65="","",IFERROR(VLOOKUP(ALLOCATIONS!A65,MAPPING!$A$3:$C$302,3,FALSE),ALLOCATIONS!A65))</f>
        <v/>
      </c>
      <c r="C71" s="6">
        <f>IF(ALLOCATIONS!A65="","",IFERROR(VLOOKUP(ALLOCATIONS!B65,MAPPING!$E$3:$G$302,2,FALSE),"UNMAPPED"))</f>
        <v/>
      </c>
      <c r="D71" s="6">
        <f>IF(ALLOCATIONS!A65="","",IFERROR(IF(VLOOKUP(ALLOCATIONS!B65,MAPPING!$E$3:$G$302,3,FALSE)="","",VLOOKUP(ALLOCATIONS!B65,MAPPING!$E$3:$G$302,3,FALSE)),""))</f>
        <v/>
      </c>
      <c r="E71" s="6">
        <f>IF(ALLOCATIONS!A65="","",ALLOCATIONS!C65)</f>
        <v/>
      </c>
      <c r="F71" s="6">
        <f>IF(ALLOCATIONS!A65="","",IF(ALLOCATIONS!D65="",0,ALLOCATIONS!D65))</f>
        <v/>
      </c>
      <c r="G71" s="6">
        <f>IF(ALLOCATIONS!A65="","",SUMIFS(RAW_004!$I$2:$I$10001,RAW_004!$D$2:$D$10001,ALLOCATIONS!A65,RAW_004!$H$2:$H$10001,ALLOCATIONS!B65,RAW_004!$N$2:$N$10001,ALLOCATIONS!C65))</f>
        <v/>
      </c>
      <c r="H71" s="6">
        <f>IF(A71="","",G71-F71)</f>
        <v/>
      </c>
    </row>
    <row r="72">
      <c r="A72" s="6">
        <f>IF(ALLOCATIONS!A66="","",IFERROR(VLOOKUP(ALLOCATIONS!A66,MAPPING!$A$3:$C$302,2,FALSE),"UNMAPPED"))</f>
        <v/>
      </c>
      <c r="B72" s="6">
        <f>IF(ALLOCATIONS!A66="","",IFERROR(VLOOKUP(ALLOCATIONS!A66,MAPPING!$A$3:$C$302,3,FALSE),ALLOCATIONS!A66))</f>
        <v/>
      </c>
      <c r="C72" s="6">
        <f>IF(ALLOCATIONS!A66="","",IFERROR(VLOOKUP(ALLOCATIONS!B66,MAPPING!$E$3:$G$302,2,FALSE),"UNMAPPED"))</f>
        <v/>
      </c>
      <c r="D72" s="6">
        <f>IF(ALLOCATIONS!A66="","",IFERROR(IF(VLOOKUP(ALLOCATIONS!B66,MAPPING!$E$3:$G$302,3,FALSE)="","",VLOOKUP(ALLOCATIONS!B66,MAPPING!$E$3:$G$302,3,FALSE)),""))</f>
        <v/>
      </c>
      <c r="E72" s="6">
        <f>IF(ALLOCATIONS!A66="","",ALLOCATIONS!C66)</f>
        <v/>
      </c>
      <c r="F72" s="6">
        <f>IF(ALLOCATIONS!A66="","",IF(ALLOCATIONS!D66="",0,ALLOCATIONS!D66))</f>
        <v/>
      </c>
      <c r="G72" s="6">
        <f>IF(ALLOCATIONS!A66="","",SUMIFS(RAW_004!$I$2:$I$10001,RAW_004!$D$2:$D$10001,ALLOCATIONS!A66,RAW_004!$H$2:$H$10001,ALLOCATIONS!B66,RAW_004!$N$2:$N$10001,ALLOCATIONS!C66))</f>
        <v/>
      </c>
      <c r="H72" s="6">
        <f>IF(A72="","",G72-F72)</f>
        <v/>
      </c>
    </row>
    <row r="73">
      <c r="A73" s="6">
        <f>IF(ALLOCATIONS!A67="","",IFERROR(VLOOKUP(ALLOCATIONS!A67,MAPPING!$A$3:$C$302,2,FALSE),"UNMAPPED"))</f>
        <v/>
      </c>
      <c r="B73" s="6">
        <f>IF(ALLOCATIONS!A67="","",IFERROR(VLOOKUP(ALLOCATIONS!A67,MAPPING!$A$3:$C$302,3,FALSE),ALLOCATIONS!A67))</f>
        <v/>
      </c>
      <c r="C73" s="6">
        <f>IF(ALLOCATIONS!A67="","",IFERROR(VLOOKUP(ALLOCATIONS!B67,MAPPING!$E$3:$G$302,2,FALSE),"UNMAPPED"))</f>
        <v/>
      </c>
      <c r="D73" s="6">
        <f>IF(ALLOCATIONS!A67="","",IFERROR(IF(VLOOKUP(ALLOCATIONS!B67,MAPPING!$E$3:$G$302,3,FALSE)="","",VLOOKUP(ALLOCATIONS!B67,MAPPING!$E$3:$G$302,3,FALSE)),""))</f>
        <v/>
      </c>
      <c r="E73" s="6">
        <f>IF(ALLOCATIONS!A67="","",ALLOCATIONS!C67)</f>
        <v/>
      </c>
      <c r="F73" s="6">
        <f>IF(ALLOCATIONS!A67="","",IF(ALLOCATIONS!D67="",0,ALLOCATIONS!D67))</f>
        <v/>
      </c>
      <c r="G73" s="6">
        <f>IF(ALLOCATIONS!A67="","",SUMIFS(RAW_004!$I$2:$I$10001,RAW_004!$D$2:$D$10001,ALLOCATIONS!A67,RAW_004!$H$2:$H$10001,ALLOCATIONS!B67,RAW_004!$N$2:$N$10001,ALLOCATIONS!C67))</f>
        <v/>
      </c>
      <c r="H73" s="6">
        <f>IF(A73="","",G73-F73)</f>
        <v/>
      </c>
    </row>
    <row r="74">
      <c r="A74" s="6">
        <f>IF(ALLOCATIONS!A68="","",IFERROR(VLOOKUP(ALLOCATIONS!A68,MAPPING!$A$3:$C$302,2,FALSE),"UNMAPPED"))</f>
        <v/>
      </c>
      <c r="B74" s="6">
        <f>IF(ALLOCATIONS!A68="","",IFERROR(VLOOKUP(ALLOCATIONS!A68,MAPPING!$A$3:$C$302,3,FALSE),ALLOCATIONS!A68))</f>
        <v/>
      </c>
      <c r="C74" s="6">
        <f>IF(ALLOCATIONS!A68="","",IFERROR(VLOOKUP(ALLOCATIONS!B68,MAPPING!$E$3:$G$302,2,FALSE),"UNMAPPED"))</f>
        <v/>
      </c>
      <c r="D74" s="6">
        <f>IF(ALLOCATIONS!A68="","",IFERROR(IF(VLOOKUP(ALLOCATIONS!B68,MAPPING!$E$3:$G$302,3,FALSE)="","",VLOOKUP(ALLOCATIONS!B68,MAPPING!$E$3:$G$302,3,FALSE)),""))</f>
        <v/>
      </c>
      <c r="E74" s="6">
        <f>IF(ALLOCATIONS!A68="","",ALLOCATIONS!C68)</f>
        <v/>
      </c>
      <c r="F74" s="6">
        <f>IF(ALLOCATIONS!A68="","",IF(ALLOCATIONS!D68="",0,ALLOCATIONS!D68))</f>
        <v/>
      </c>
      <c r="G74" s="6">
        <f>IF(ALLOCATIONS!A68="","",SUMIFS(RAW_004!$I$2:$I$10001,RAW_004!$D$2:$D$10001,ALLOCATIONS!A68,RAW_004!$H$2:$H$10001,ALLOCATIONS!B68,RAW_004!$N$2:$N$10001,ALLOCATIONS!C68))</f>
        <v/>
      </c>
      <c r="H74" s="6">
        <f>IF(A74="","",G74-F74)</f>
        <v/>
      </c>
    </row>
    <row r="75">
      <c r="A75" s="6">
        <f>IF(ALLOCATIONS!A69="","",IFERROR(VLOOKUP(ALLOCATIONS!A69,MAPPING!$A$3:$C$302,2,FALSE),"UNMAPPED"))</f>
        <v/>
      </c>
      <c r="B75" s="6">
        <f>IF(ALLOCATIONS!A69="","",IFERROR(VLOOKUP(ALLOCATIONS!A69,MAPPING!$A$3:$C$302,3,FALSE),ALLOCATIONS!A69))</f>
        <v/>
      </c>
      <c r="C75" s="6">
        <f>IF(ALLOCATIONS!A69="","",IFERROR(VLOOKUP(ALLOCATIONS!B69,MAPPING!$E$3:$G$302,2,FALSE),"UNMAPPED"))</f>
        <v/>
      </c>
      <c r="D75" s="6">
        <f>IF(ALLOCATIONS!A69="","",IFERROR(IF(VLOOKUP(ALLOCATIONS!B69,MAPPING!$E$3:$G$302,3,FALSE)="","",VLOOKUP(ALLOCATIONS!B69,MAPPING!$E$3:$G$302,3,FALSE)),""))</f>
        <v/>
      </c>
      <c r="E75" s="6">
        <f>IF(ALLOCATIONS!A69="","",ALLOCATIONS!C69)</f>
        <v/>
      </c>
      <c r="F75" s="6">
        <f>IF(ALLOCATIONS!A69="","",IF(ALLOCATIONS!D69="",0,ALLOCATIONS!D69))</f>
        <v/>
      </c>
      <c r="G75" s="6">
        <f>IF(ALLOCATIONS!A69="","",SUMIFS(RAW_004!$I$2:$I$10001,RAW_004!$D$2:$D$10001,ALLOCATIONS!A69,RAW_004!$H$2:$H$10001,ALLOCATIONS!B69,RAW_004!$N$2:$N$10001,ALLOCATIONS!C69))</f>
        <v/>
      </c>
      <c r="H75" s="6">
        <f>IF(A75="","",G75-F75)</f>
        <v/>
      </c>
    </row>
    <row r="76">
      <c r="A76" s="6">
        <f>IF(ALLOCATIONS!A70="","",IFERROR(VLOOKUP(ALLOCATIONS!A70,MAPPING!$A$3:$C$302,2,FALSE),"UNMAPPED"))</f>
        <v/>
      </c>
      <c r="B76" s="6">
        <f>IF(ALLOCATIONS!A70="","",IFERROR(VLOOKUP(ALLOCATIONS!A70,MAPPING!$A$3:$C$302,3,FALSE),ALLOCATIONS!A70))</f>
        <v/>
      </c>
      <c r="C76" s="6">
        <f>IF(ALLOCATIONS!A70="","",IFERROR(VLOOKUP(ALLOCATIONS!B70,MAPPING!$E$3:$G$302,2,FALSE),"UNMAPPED"))</f>
        <v/>
      </c>
      <c r="D76" s="6">
        <f>IF(ALLOCATIONS!A70="","",IFERROR(IF(VLOOKUP(ALLOCATIONS!B70,MAPPING!$E$3:$G$302,3,FALSE)="","",VLOOKUP(ALLOCATIONS!B70,MAPPING!$E$3:$G$302,3,FALSE)),""))</f>
        <v/>
      </c>
      <c r="E76" s="6">
        <f>IF(ALLOCATIONS!A70="","",ALLOCATIONS!C70)</f>
        <v/>
      </c>
      <c r="F76" s="6">
        <f>IF(ALLOCATIONS!A70="","",IF(ALLOCATIONS!D70="",0,ALLOCATIONS!D70))</f>
        <v/>
      </c>
      <c r="G76" s="6">
        <f>IF(ALLOCATIONS!A70="","",SUMIFS(RAW_004!$I$2:$I$10001,RAW_004!$D$2:$D$10001,ALLOCATIONS!A70,RAW_004!$H$2:$H$10001,ALLOCATIONS!B70,RAW_004!$N$2:$N$10001,ALLOCATIONS!C70))</f>
        <v/>
      </c>
      <c r="H76" s="6">
        <f>IF(A76="","",G76-F76)</f>
        <v/>
      </c>
    </row>
    <row r="77">
      <c r="A77" s="6">
        <f>IF(ALLOCATIONS!A71="","",IFERROR(VLOOKUP(ALLOCATIONS!A71,MAPPING!$A$3:$C$302,2,FALSE),"UNMAPPED"))</f>
        <v/>
      </c>
      <c r="B77" s="6">
        <f>IF(ALLOCATIONS!A71="","",IFERROR(VLOOKUP(ALLOCATIONS!A71,MAPPING!$A$3:$C$302,3,FALSE),ALLOCATIONS!A71))</f>
        <v/>
      </c>
      <c r="C77" s="6">
        <f>IF(ALLOCATIONS!A71="","",IFERROR(VLOOKUP(ALLOCATIONS!B71,MAPPING!$E$3:$G$302,2,FALSE),"UNMAPPED"))</f>
        <v/>
      </c>
      <c r="D77" s="6">
        <f>IF(ALLOCATIONS!A71="","",IFERROR(IF(VLOOKUP(ALLOCATIONS!B71,MAPPING!$E$3:$G$302,3,FALSE)="","",VLOOKUP(ALLOCATIONS!B71,MAPPING!$E$3:$G$302,3,FALSE)),""))</f>
        <v/>
      </c>
      <c r="E77" s="6">
        <f>IF(ALLOCATIONS!A71="","",ALLOCATIONS!C71)</f>
        <v/>
      </c>
      <c r="F77" s="6">
        <f>IF(ALLOCATIONS!A71="","",IF(ALLOCATIONS!D71="",0,ALLOCATIONS!D71))</f>
        <v/>
      </c>
      <c r="G77" s="6">
        <f>IF(ALLOCATIONS!A71="","",SUMIFS(RAW_004!$I$2:$I$10001,RAW_004!$D$2:$D$10001,ALLOCATIONS!A71,RAW_004!$H$2:$H$10001,ALLOCATIONS!B71,RAW_004!$N$2:$N$10001,ALLOCATIONS!C71))</f>
        <v/>
      </c>
      <c r="H77" s="6">
        <f>IF(A77="","",G77-F77)</f>
        <v/>
      </c>
    </row>
    <row r="78">
      <c r="A78" s="6">
        <f>IF(ALLOCATIONS!A72="","",IFERROR(VLOOKUP(ALLOCATIONS!A72,MAPPING!$A$3:$C$302,2,FALSE),"UNMAPPED"))</f>
        <v/>
      </c>
      <c r="B78" s="6">
        <f>IF(ALLOCATIONS!A72="","",IFERROR(VLOOKUP(ALLOCATIONS!A72,MAPPING!$A$3:$C$302,3,FALSE),ALLOCATIONS!A72))</f>
        <v/>
      </c>
      <c r="C78" s="6">
        <f>IF(ALLOCATIONS!A72="","",IFERROR(VLOOKUP(ALLOCATIONS!B72,MAPPING!$E$3:$G$302,2,FALSE),"UNMAPPED"))</f>
        <v/>
      </c>
      <c r="D78" s="6">
        <f>IF(ALLOCATIONS!A72="","",IFERROR(IF(VLOOKUP(ALLOCATIONS!B72,MAPPING!$E$3:$G$302,3,FALSE)="","",VLOOKUP(ALLOCATIONS!B72,MAPPING!$E$3:$G$302,3,FALSE)),""))</f>
        <v/>
      </c>
      <c r="E78" s="6">
        <f>IF(ALLOCATIONS!A72="","",ALLOCATIONS!C72)</f>
        <v/>
      </c>
      <c r="F78" s="6">
        <f>IF(ALLOCATIONS!A72="","",IF(ALLOCATIONS!D72="",0,ALLOCATIONS!D72))</f>
        <v/>
      </c>
      <c r="G78" s="6">
        <f>IF(ALLOCATIONS!A72="","",SUMIFS(RAW_004!$I$2:$I$10001,RAW_004!$D$2:$D$10001,ALLOCATIONS!A72,RAW_004!$H$2:$H$10001,ALLOCATIONS!B72,RAW_004!$N$2:$N$10001,ALLOCATIONS!C72))</f>
        <v/>
      </c>
      <c r="H78" s="6">
        <f>IF(A78="","",G78-F78)</f>
        <v/>
      </c>
    </row>
    <row r="79">
      <c r="A79" s="6">
        <f>IF(ALLOCATIONS!A73="","",IFERROR(VLOOKUP(ALLOCATIONS!A73,MAPPING!$A$3:$C$302,2,FALSE),"UNMAPPED"))</f>
        <v/>
      </c>
      <c r="B79" s="6">
        <f>IF(ALLOCATIONS!A73="","",IFERROR(VLOOKUP(ALLOCATIONS!A73,MAPPING!$A$3:$C$302,3,FALSE),ALLOCATIONS!A73))</f>
        <v/>
      </c>
      <c r="C79" s="6">
        <f>IF(ALLOCATIONS!A73="","",IFERROR(VLOOKUP(ALLOCATIONS!B73,MAPPING!$E$3:$G$302,2,FALSE),"UNMAPPED"))</f>
        <v/>
      </c>
      <c r="D79" s="6">
        <f>IF(ALLOCATIONS!A73="","",IFERROR(IF(VLOOKUP(ALLOCATIONS!B73,MAPPING!$E$3:$G$302,3,FALSE)="","",VLOOKUP(ALLOCATIONS!B73,MAPPING!$E$3:$G$302,3,FALSE)),""))</f>
        <v/>
      </c>
      <c r="E79" s="6">
        <f>IF(ALLOCATIONS!A73="","",ALLOCATIONS!C73)</f>
        <v/>
      </c>
      <c r="F79" s="6">
        <f>IF(ALLOCATIONS!A73="","",IF(ALLOCATIONS!D73="",0,ALLOCATIONS!D73))</f>
        <v/>
      </c>
      <c r="G79" s="6">
        <f>IF(ALLOCATIONS!A73="","",SUMIFS(RAW_004!$I$2:$I$10001,RAW_004!$D$2:$D$10001,ALLOCATIONS!A73,RAW_004!$H$2:$H$10001,ALLOCATIONS!B73,RAW_004!$N$2:$N$10001,ALLOCATIONS!C73))</f>
        <v/>
      </c>
      <c r="H79" s="6">
        <f>IF(A79="","",G79-F79)</f>
        <v/>
      </c>
    </row>
    <row r="80">
      <c r="A80" s="6">
        <f>IF(ALLOCATIONS!A74="","",IFERROR(VLOOKUP(ALLOCATIONS!A74,MAPPING!$A$3:$C$302,2,FALSE),"UNMAPPED"))</f>
        <v/>
      </c>
      <c r="B80" s="6">
        <f>IF(ALLOCATIONS!A74="","",IFERROR(VLOOKUP(ALLOCATIONS!A74,MAPPING!$A$3:$C$302,3,FALSE),ALLOCATIONS!A74))</f>
        <v/>
      </c>
      <c r="C80" s="6">
        <f>IF(ALLOCATIONS!A74="","",IFERROR(VLOOKUP(ALLOCATIONS!B74,MAPPING!$E$3:$G$302,2,FALSE),"UNMAPPED"))</f>
        <v/>
      </c>
      <c r="D80" s="6">
        <f>IF(ALLOCATIONS!A74="","",IFERROR(IF(VLOOKUP(ALLOCATIONS!B74,MAPPING!$E$3:$G$302,3,FALSE)="","",VLOOKUP(ALLOCATIONS!B74,MAPPING!$E$3:$G$302,3,FALSE)),""))</f>
        <v/>
      </c>
      <c r="E80" s="6">
        <f>IF(ALLOCATIONS!A74="","",ALLOCATIONS!C74)</f>
        <v/>
      </c>
      <c r="F80" s="6">
        <f>IF(ALLOCATIONS!A74="","",IF(ALLOCATIONS!D74="",0,ALLOCATIONS!D74))</f>
        <v/>
      </c>
      <c r="G80" s="6">
        <f>IF(ALLOCATIONS!A74="","",SUMIFS(RAW_004!$I$2:$I$10001,RAW_004!$D$2:$D$10001,ALLOCATIONS!A74,RAW_004!$H$2:$H$10001,ALLOCATIONS!B74,RAW_004!$N$2:$N$10001,ALLOCATIONS!C74))</f>
        <v/>
      </c>
      <c r="H80" s="6">
        <f>IF(A80="","",G80-F80)</f>
        <v/>
      </c>
    </row>
    <row r="81">
      <c r="A81" s="6">
        <f>IF(ALLOCATIONS!A75="","",IFERROR(VLOOKUP(ALLOCATIONS!A75,MAPPING!$A$3:$C$302,2,FALSE),"UNMAPPED"))</f>
        <v/>
      </c>
      <c r="B81" s="6">
        <f>IF(ALLOCATIONS!A75="","",IFERROR(VLOOKUP(ALLOCATIONS!A75,MAPPING!$A$3:$C$302,3,FALSE),ALLOCATIONS!A75))</f>
        <v/>
      </c>
      <c r="C81" s="6">
        <f>IF(ALLOCATIONS!A75="","",IFERROR(VLOOKUP(ALLOCATIONS!B75,MAPPING!$E$3:$G$302,2,FALSE),"UNMAPPED"))</f>
        <v/>
      </c>
      <c r="D81" s="6">
        <f>IF(ALLOCATIONS!A75="","",IFERROR(IF(VLOOKUP(ALLOCATIONS!B75,MAPPING!$E$3:$G$302,3,FALSE)="","",VLOOKUP(ALLOCATIONS!B75,MAPPING!$E$3:$G$302,3,FALSE)),""))</f>
        <v/>
      </c>
      <c r="E81" s="6">
        <f>IF(ALLOCATIONS!A75="","",ALLOCATIONS!C75)</f>
        <v/>
      </c>
      <c r="F81" s="6">
        <f>IF(ALLOCATIONS!A75="","",IF(ALLOCATIONS!D75="",0,ALLOCATIONS!D75))</f>
        <v/>
      </c>
      <c r="G81" s="6">
        <f>IF(ALLOCATIONS!A75="","",SUMIFS(RAW_004!$I$2:$I$10001,RAW_004!$D$2:$D$10001,ALLOCATIONS!A75,RAW_004!$H$2:$H$10001,ALLOCATIONS!B75,RAW_004!$N$2:$N$10001,ALLOCATIONS!C75))</f>
        <v/>
      </c>
      <c r="H81" s="6">
        <f>IF(A81="","",G81-F81)</f>
        <v/>
      </c>
    </row>
    <row r="82">
      <c r="A82" s="6">
        <f>IF(ALLOCATIONS!A76="","",IFERROR(VLOOKUP(ALLOCATIONS!A76,MAPPING!$A$3:$C$302,2,FALSE),"UNMAPPED"))</f>
        <v/>
      </c>
      <c r="B82" s="6">
        <f>IF(ALLOCATIONS!A76="","",IFERROR(VLOOKUP(ALLOCATIONS!A76,MAPPING!$A$3:$C$302,3,FALSE),ALLOCATIONS!A76))</f>
        <v/>
      </c>
      <c r="C82" s="6">
        <f>IF(ALLOCATIONS!A76="","",IFERROR(VLOOKUP(ALLOCATIONS!B76,MAPPING!$E$3:$G$302,2,FALSE),"UNMAPPED"))</f>
        <v/>
      </c>
      <c r="D82" s="6">
        <f>IF(ALLOCATIONS!A76="","",IFERROR(IF(VLOOKUP(ALLOCATIONS!B76,MAPPING!$E$3:$G$302,3,FALSE)="","",VLOOKUP(ALLOCATIONS!B76,MAPPING!$E$3:$G$302,3,FALSE)),""))</f>
        <v/>
      </c>
      <c r="E82" s="6">
        <f>IF(ALLOCATIONS!A76="","",ALLOCATIONS!C76)</f>
        <v/>
      </c>
      <c r="F82" s="6">
        <f>IF(ALLOCATIONS!A76="","",IF(ALLOCATIONS!D76="",0,ALLOCATIONS!D76))</f>
        <v/>
      </c>
      <c r="G82" s="6">
        <f>IF(ALLOCATIONS!A76="","",SUMIFS(RAW_004!$I$2:$I$10001,RAW_004!$D$2:$D$10001,ALLOCATIONS!A76,RAW_004!$H$2:$H$10001,ALLOCATIONS!B76,RAW_004!$N$2:$N$10001,ALLOCATIONS!C76))</f>
        <v/>
      </c>
      <c r="H82" s="6">
        <f>IF(A82="","",G82-F82)</f>
        <v/>
      </c>
    </row>
    <row r="83">
      <c r="A83" s="6">
        <f>IF(ALLOCATIONS!A77="","",IFERROR(VLOOKUP(ALLOCATIONS!A77,MAPPING!$A$3:$C$302,2,FALSE),"UNMAPPED"))</f>
        <v/>
      </c>
      <c r="B83" s="6">
        <f>IF(ALLOCATIONS!A77="","",IFERROR(VLOOKUP(ALLOCATIONS!A77,MAPPING!$A$3:$C$302,3,FALSE),ALLOCATIONS!A77))</f>
        <v/>
      </c>
      <c r="C83" s="6">
        <f>IF(ALLOCATIONS!A77="","",IFERROR(VLOOKUP(ALLOCATIONS!B77,MAPPING!$E$3:$G$302,2,FALSE),"UNMAPPED"))</f>
        <v/>
      </c>
      <c r="D83" s="6">
        <f>IF(ALLOCATIONS!A77="","",IFERROR(IF(VLOOKUP(ALLOCATIONS!B77,MAPPING!$E$3:$G$302,3,FALSE)="","",VLOOKUP(ALLOCATIONS!B77,MAPPING!$E$3:$G$302,3,FALSE)),""))</f>
        <v/>
      </c>
      <c r="E83" s="6">
        <f>IF(ALLOCATIONS!A77="","",ALLOCATIONS!C77)</f>
        <v/>
      </c>
      <c r="F83" s="6">
        <f>IF(ALLOCATIONS!A77="","",IF(ALLOCATIONS!D77="",0,ALLOCATIONS!D77))</f>
        <v/>
      </c>
      <c r="G83" s="6">
        <f>IF(ALLOCATIONS!A77="","",SUMIFS(RAW_004!$I$2:$I$10001,RAW_004!$D$2:$D$10001,ALLOCATIONS!A77,RAW_004!$H$2:$H$10001,ALLOCATIONS!B77,RAW_004!$N$2:$N$10001,ALLOCATIONS!C77))</f>
        <v/>
      </c>
      <c r="H83" s="6">
        <f>IF(A83="","",G83-F83)</f>
        <v/>
      </c>
    </row>
    <row r="84">
      <c r="A84" s="6">
        <f>IF(ALLOCATIONS!A78="","",IFERROR(VLOOKUP(ALLOCATIONS!A78,MAPPING!$A$3:$C$302,2,FALSE),"UNMAPPED"))</f>
        <v/>
      </c>
      <c r="B84" s="6">
        <f>IF(ALLOCATIONS!A78="","",IFERROR(VLOOKUP(ALLOCATIONS!A78,MAPPING!$A$3:$C$302,3,FALSE),ALLOCATIONS!A78))</f>
        <v/>
      </c>
      <c r="C84" s="6">
        <f>IF(ALLOCATIONS!A78="","",IFERROR(VLOOKUP(ALLOCATIONS!B78,MAPPING!$E$3:$G$302,2,FALSE),"UNMAPPED"))</f>
        <v/>
      </c>
      <c r="D84" s="6">
        <f>IF(ALLOCATIONS!A78="","",IFERROR(IF(VLOOKUP(ALLOCATIONS!B78,MAPPING!$E$3:$G$302,3,FALSE)="","",VLOOKUP(ALLOCATIONS!B78,MAPPING!$E$3:$G$302,3,FALSE)),""))</f>
        <v/>
      </c>
      <c r="E84" s="6">
        <f>IF(ALLOCATIONS!A78="","",ALLOCATIONS!C78)</f>
        <v/>
      </c>
      <c r="F84" s="6">
        <f>IF(ALLOCATIONS!A78="","",IF(ALLOCATIONS!D78="",0,ALLOCATIONS!D78))</f>
        <v/>
      </c>
      <c r="G84" s="6">
        <f>IF(ALLOCATIONS!A78="","",SUMIFS(RAW_004!$I$2:$I$10001,RAW_004!$D$2:$D$10001,ALLOCATIONS!A78,RAW_004!$H$2:$H$10001,ALLOCATIONS!B78,RAW_004!$N$2:$N$10001,ALLOCATIONS!C78))</f>
        <v/>
      </c>
      <c r="H84" s="6">
        <f>IF(A84="","",G84-F84)</f>
        <v/>
      </c>
    </row>
    <row r="85">
      <c r="A85" s="6">
        <f>IF(ALLOCATIONS!A79="","",IFERROR(VLOOKUP(ALLOCATIONS!A79,MAPPING!$A$3:$C$302,2,FALSE),"UNMAPPED"))</f>
        <v/>
      </c>
      <c r="B85" s="6">
        <f>IF(ALLOCATIONS!A79="","",IFERROR(VLOOKUP(ALLOCATIONS!A79,MAPPING!$A$3:$C$302,3,FALSE),ALLOCATIONS!A79))</f>
        <v/>
      </c>
      <c r="C85" s="6">
        <f>IF(ALLOCATIONS!A79="","",IFERROR(VLOOKUP(ALLOCATIONS!B79,MAPPING!$E$3:$G$302,2,FALSE),"UNMAPPED"))</f>
        <v/>
      </c>
      <c r="D85" s="6">
        <f>IF(ALLOCATIONS!A79="","",IFERROR(IF(VLOOKUP(ALLOCATIONS!B79,MAPPING!$E$3:$G$302,3,FALSE)="","",VLOOKUP(ALLOCATIONS!B79,MAPPING!$E$3:$G$302,3,FALSE)),""))</f>
        <v/>
      </c>
      <c r="E85" s="6">
        <f>IF(ALLOCATIONS!A79="","",ALLOCATIONS!C79)</f>
        <v/>
      </c>
      <c r="F85" s="6">
        <f>IF(ALLOCATIONS!A79="","",IF(ALLOCATIONS!D79="",0,ALLOCATIONS!D79))</f>
        <v/>
      </c>
      <c r="G85" s="6">
        <f>IF(ALLOCATIONS!A79="","",SUMIFS(RAW_004!$I$2:$I$10001,RAW_004!$D$2:$D$10001,ALLOCATIONS!A79,RAW_004!$H$2:$H$10001,ALLOCATIONS!B79,RAW_004!$N$2:$N$10001,ALLOCATIONS!C79))</f>
        <v/>
      </c>
      <c r="H85" s="6">
        <f>IF(A85="","",G85-F85)</f>
        <v/>
      </c>
    </row>
    <row r="86">
      <c r="A86" s="6">
        <f>IF(ALLOCATIONS!A80="","",IFERROR(VLOOKUP(ALLOCATIONS!A80,MAPPING!$A$3:$C$302,2,FALSE),"UNMAPPED"))</f>
        <v/>
      </c>
      <c r="B86" s="6">
        <f>IF(ALLOCATIONS!A80="","",IFERROR(VLOOKUP(ALLOCATIONS!A80,MAPPING!$A$3:$C$302,3,FALSE),ALLOCATIONS!A80))</f>
        <v/>
      </c>
      <c r="C86" s="6">
        <f>IF(ALLOCATIONS!A80="","",IFERROR(VLOOKUP(ALLOCATIONS!B80,MAPPING!$E$3:$G$302,2,FALSE),"UNMAPPED"))</f>
        <v/>
      </c>
      <c r="D86" s="6">
        <f>IF(ALLOCATIONS!A80="","",IFERROR(IF(VLOOKUP(ALLOCATIONS!B80,MAPPING!$E$3:$G$302,3,FALSE)="","",VLOOKUP(ALLOCATIONS!B80,MAPPING!$E$3:$G$302,3,FALSE)),""))</f>
        <v/>
      </c>
      <c r="E86" s="6">
        <f>IF(ALLOCATIONS!A80="","",ALLOCATIONS!C80)</f>
        <v/>
      </c>
      <c r="F86" s="6">
        <f>IF(ALLOCATIONS!A80="","",IF(ALLOCATIONS!D80="",0,ALLOCATIONS!D80))</f>
        <v/>
      </c>
      <c r="G86" s="6">
        <f>IF(ALLOCATIONS!A80="","",SUMIFS(RAW_004!$I$2:$I$10001,RAW_004!$D$2:$D$10001,ALLOCATIONS!A80,RAW_004!$H$2:$H$10001,ALLOCATIONS!B80,RAW_004!$N$2:$N$10001,ALLOCATIONS!C80))</f>
        <v/>
      </c>
      <c r="H86" s="6">
        <f>IF(A86="","",G86-F86)</f>
        <v/>
      </c>
    </row>
    <row r="87">
      <c r="A87" s="6">
        <f>IF(ALLOCATIONS!A81="","",IFERROR(VLOOKUP(ALLOCATIONS!A81,MAPPING!$A$3:$C$302,2,FALSE),"UNMAPPED"))</f>
        <v/>
      </c>
      <c r="B87" s="6">
        <f>IF(ALLOCATIONS!A81="","",IFERROR(VLOOKUP(ALLOCATIONS!A81,MAPPING!$A$3:$C$302,3,FALSE),ALLOCATIONS!A81))</f>
        <v/>
      </c>
      <c r="C87" s="6">
        <f>IF(ALLOCATIONS!A81="","",IFERROR(VLOOKUP(ALLOCATIONS!B81,MAPPING!$E$3:$G$302,2,FALSE),"UNMAPPED"))</f>
        <v/>
      </c>
      <c r="D87" s="6">
        <f>IF(ALLOCATIONS!A81="","",IFERROR(IF(VLOOKUP(ALLOCATIONS!B81,MAPPING!$E$3:$G$302,3,FALSE)="","",VLOOKUP(ALLOCATIONS!B81,MAPPING!$E$3:$G$302,3,FALSE)),""))</f>
        <v/>
      </c>
      <c r="E87" s="6">
        <f>IF(ALLOCATIONS!A81="","",ALLOCATIONS!C81)</f>
        <v/>
      </c>
      <c r="F87" s="6">
        <f>IF(ALLOCATIONS!A81="","",IF(ALLOCATIONS!D81="",0,ALLOCATIONS!D81))</f>
        <v/>
      </c>
      <c r="G87" s="6">
        <f>IF(ALLOCATIONS!A81="","",SUMIFS(RAW_004!$I$2:$I$10001,RAW_004!$D$2:$D$10001,ALLOCATIONS!A81,RAW_004!$H$2:$H$10001,ALLOCATIONS!B81,RAW_004!$N$2:$N$10001,ALLOCATIONS!C81))</f>
        <v/>
      </c>
      <c r="H87" s="6">
        <f>IF(A87="","",G87-F87)</f>
        <v/>
      </c>
    </row>
    <row r="88">
      <c r="A88" s="6">
        <f>IF(ALLOCATIONS!A82="","",IFERROR(VLOOKUP(ALLOCATIONS!A82,MAPPING!$A$3:$C$302,2,FALSE),"UNMAPPED"))</f>
        <v/>
      </c>
      <c r="B88" s="6">
        <f>IF(ALLOCATIONS!A82="","",IFERROR(VLOOKUP(ALLOCATIONS!A82,MAPPING!$A$3:$C$302,3,FALSE),ALLOCATIONS!A82))</f>
        <v/>
      </c>
      <c r="C88" s="6">
        <f>IF(ALLOCATIONS!A82="","",IFERROR(VLOOKUP(ALLOCATIONS!B82,MAPPING!$E$3:$G$302,2,FALSE),"UNMAPPED"))</f>
        <v/>
      </c>
      <c r="D88" s="6">
        <f>IF(ALLOCATIONS!A82="","",IFERROR(IF(VLOOKUP(ALLOCATIONS!B82,MAPPING!$E$3:$G$302,3,FALSE)="","",VLOOKUP(ALLOCATIONS!B82,MAPPING!$E$3:$G$302,3,FALSE)),""))</f>
        <v/>
      </c>
      <c r="E88" s="6">
        <f>IF(ALLOCATIONS!A82="","",ALLOCATIONS!C82)</f>
        <v/>
      </c>
      <c r="F88" s="6">
        <f>IF(ALLOCATIONS!A82="","",IF(ALLOCATIONS!D82="",0,ALLOCATIONS!D82))</f>
        <v/>
      </c>
      <c r="G88" s="6">
        <f>IF(ALLOCATIONS!A82="","",SUMIFS(RAW_004!$I$2:$I$10001,RAW_004!$D$2:$D$10001,ALLOCATIONS!A82,RAW_004!$H$2:$H$10001,ALLOCATIONS!B82,RAW_004!$N$2:$N$10001,ALLOCATIONS!C82))</f>
        <v/>
      </c>
      <c r="H88" s="6">
        <f>IF(A88="","",G88-F88)</f>
        <v/>
      </c>
    </row>
    <row r="89">
      <c r="A89" s="6">
        <f>IF(ALLOCATIONS!A83="","",IFERROR(VLOOKUP(ALLOCATIONS!A83,MAPPING!$A$3:$C$302,2,FALSE),"UNMAPPED"))</f>
        <v/>
      </c>
      <c r="B89" s="6">
        <f>IF(ALLOCATIONS!A83="","",IFERROR(VLOOKUP(ALLOCATIONS!A83,MAPPING!$A$3:$C$302,3,FALSE),ALLOCATIONS!A83))</f>
        <v/>
      </c>
      <c r="C89" s="6">
        <f>IF(ALLOCATIONS!A83="","",IFERROR(VLOOKUP(ALLOCATIONS!B83,MAPPING!$E$3:$G$302,2,FALSE),"UNMAPPED"))</f>
        <v/>
      </c>
      <c r="D89" s="6">
        <f>IF(ALLOCATIONS!A83="","",IFERROR(IF(VLOOKUP(ALLOCATIONS!B83,MAPPING!$E$3:$G$302,3,FALSE)="","",VLOOKUP(ALLOCATIONS!B83,MAPPING!$E$3:$G$302,3,FALSE)),""))</f>
        <v/>
      </c>
      <c r="E89" s="6">
        <f>IF(ALLOCATIONS!A83="","",ALLOCATIONS!C83)</f>
        <v/>
      </c>
      <c r="F89" s="6">
        <f>IF(ALLOCATIONS!A83="","",IF(ALLOCATIONS!D83="",0,ALLOCATIONS!D83))</f>
        <v/>
      </c>
      <c r="G89" s="6">
        <f>IF(ALLOCATIONS!A83="","",SUMIFS(RAW_004!$I$2:$I$10001,RAW_004!$D$2:$D$10001,ALLOCATIONS!A83,RAW_004!$H$2:$H$10001,ALLOCATIONS!B83,RAW_004!$N$2:$N$10001,ALLOCATIONS!C83))</f>
        <v/>
      </c>
      <c r="H89" s="6">
        <f>IF(A89="","",G89-F89)</f>
        <v/>
      </c>
    </row>
    <row r="90">
      <c r="A90" s="6">
        <f>IF(ALLOCATIONS!A84="","",IFERROR(VLOOKUP(ALLOCATIONS!A84,MAPPING!$A$3:$C$302,2,FALSE),"UNMAPPED"))</f>
        <v/>
      </c>
      <c r="B90" s="6">
        <f>IF(ALLOCATIONS!A84="","",IFERROR(VLOOKUP(ALLOCATIONS!A84,MAPPING!$A$3:$C$302,3,FALSE),ALLOCATIONS!A84))</f>
        <v/>
      </c>
      <c r="C90" s="6">
        <f>IF(ALLOCATIONS!A84="","",IFERROR(VLOOKUP(ALLOCATIONS!B84,MAPPING!$E$3:$G$302,2,FALSE),"UNMAPPED"))</f>
        <v/>
      </c>
      <c r="D90" s="6">
        <f>IF(ALLOCATIONS!A84="","",IFERROR(IF(VLOOKUP(ALLOCATIONS!B84,MAPPING!$E$3:$G$302,3,FALSE)="","",VLOOKUP(ALLOCATIONS!B84,MAPPING!$E$3:$G$302,3,FALSE)),""))</f>
        <v/>
      </c>
      <c r="E90" s="6">
        <f>IF(ALLOCATIONS!A84="","",ALLOCATIONS!C84)</f>
        <v/>
      </c>
      <c r="F90" s="6">
        <f>IF(ALLOCATIONS!A84="","",IF(ALLOCATIONS!D84="",0,ALLOCATIONS!D84))</f>
        <v/>
      </c>
      <c r="G90" s="6">
        <f>IF(ALLOCATIONS!A84="","",SUMIFS(RAW_004!$I$2:$I$10001,RAW_004!$D$2:$D$10001,ALLOCATIONS!A84,RAW_004!$H$2:$H$10001,ALLOCATIONS!B84,RAW_004!$N$2:$N$10001,ALLOCATIONS!C84))</f>
        <v/>
      </c>
      <c r="H90" s="6">
        <f>IF(A90="","",G90-F90)</f>
        <v/>
      </c>
    </row>
    <row r="91">
      <c r="A91" s="6">
        <f>IF(ALLOCATIONS!A85="","",IFERROR(VLOOKUP(ALLOCATIONS!A85,MAPPING!$A$3:$C$302,2,FALSE),"UNMAPPED"))</f>
        <v/>
      </c>
      <c r="B91" s="6">
        <f>IF(ALLOCATIONS!A85="","",IFERROR(VLOOKUP(ALLOCATIONS!A85,MAPPING!$A$3:$C$302,3,FALSE),ALLOCATIONS!A85))</f>
        <v/>
      </c>
      <c r="C91" s="6">
        <f>IF(ALLOCATIONS!A85="","",IFERROR(VLOOKUP(ALLOCATIONS!B85,MAPPING!$E$3:$G$302,2,FALSE),"UNMAPPED"))</f>
        <v/>
      </c>
      <c r="D91" s="6">
        <f>IF(ALLOCATIONS!A85="","",IFERROR(IF(VLOOKUP(ALLOCATIONS!B85,MAPPING!$E$3:$G$302,3,FALSE)="","",VLOOKUP(ALLOCATIONS!B85,MAPPING!$E$3:$G$302,3,FALSE)),""))</f>
        <v/>
      </c>
      <c r="E91" s="6">
        <f>IF(ALLOCATIONS!A85="","",ALLOCATIONS!C85)</f>
        <v/>
      </c>
      <c r="F91" s="6">
        <f>IF(ALLOCATIONS!A85="","",IF(ALLOCATIONS!D85="",0,ALLOCATIONS!D85))</f>
        <v/>
      </c>
      <c r="G91" s="6">
        <f>IF(ALLOCATIONS!A85="","",SUMIFS(RAW_004!$I$2:$I$10001,RAW_004!$D$2:$D$10001,ALLOCATIONS!A85,RAW_004!$H$2:$H$10001,ALLOCATIONS!B85,RAW_004!$N$2:$N$10001,ALLOCATIONS!C85))</f>
        <v/>
      </c>
      <c r="H91" s="6">
        <f>IF(A91="","",G91-F91)</f>
        <v/>
      </c>
    </row>
    <row r="92">
      <c r="A92" s="6">
        <f>IF(ALLOCATIONS!A86="","",IFERROR(VLOOKUP(ALLOCATIONS!A86,MAPPING!$A$3:$C$302,2,FALSE),"UNMAPPED"))</f>
        <v/>
      </c>
      <c r="B92" s="6">
        <f>IF(ALLOCATIONS!A86="","",IFERROR(VLOOKUP(ALLOCATIONS!A86,MAPPING!$A$3:$C$302,3,FALSE),ALLOCATIONS!A86))</f>
        <v/>
      </c>
      <c r="C92" s="6">
        <f>IF(ALLOCATIONS!A86="","",IFERROR(VLOOKUP(ALLOCATIONS!B86,MAPPING!$E$3:$G$302,2,FALSE),"UNMAPPED"))</f>
        <v/>
      </c>
      <c r="D92" s="6">
        <f>IF(ALLOCATIONS!A86="","",IFERROR(IF(VLOOKUP(ALLOCATIONS!B86,MAPPING!$E$3:$G$302,3,FALSE)="","",VLOOKUP(ALLOCATIONS!B86,MAPPING!$E$3:$G$302,3,FALSE)),""))</f>
        <v/>
      </c>
      <c r="E92" s="6">
        <f>IF(ALLOCATIONS!A86="","",ALLOCATIONS!C86)</f>
        <v/>
      </c>
      <c r="F92" s="6">
        <f>IF(ALLOCATIONS!A86="","",IF(ALLOCATIONS!D86="",0,ALLOCATIONS!D86))</f>
        <v/>
      </c>
      <c r="G92" s="6">
        <f>IF(ALLOCATIONS!A86="","",SUMIFS(RAW_004!$I$2:$I$10001,RAW_004!$D$2:$D$10001,ALLOCATIONS!A86,RAW_004!$H$2:$H$10001,ALLOCATIONS!B86,RAW_004!$N$2:$N$10001,ALLOCATIONS!C86))</f>
        <v/>
      </c>
      <c r="H92" s="6">
        <f>IF(A92="","",G92-F92)</f>
        <v/>
      </c>
    </row>
    <row r="93">
      <c r="A93" s="6">
        <f>IF(ALLOCATIONS!A87="","",IFERROR(VLOOKUP(ALLOCATIONS!A87,MAPPING!$A$3:$C$302,2,FALSE),"UNMAPPED"))</f>
        <v/>
      </c>
      <c r="B93" s="6">
        <f>IF(ALLOCATIONS!A87="","",IFERROR(VLOOKUP(ALLOCATIONS!A87,MAPPING!$A$3:$C$302,3,FALSE),ALLOCATIONS!A87))</f>
        <v/>
      </c>
      <c r="C93" s="6">
        <f>IF(ALLOCATIONS!A87="","",IFERROR(VLOOKUP(ALLOCATIONS!B87,MAPPING!$E$3:$G$302,2,FALSE),"UNMAPPED"))</f>
        <v/>
      </c>
      <c r="D93" s="6">
        <f>IF(ALLOCATIONS!A87="","",IFERROR(IF(VLOOKUP(ALLOCATIONS!B87,MAPPING!$E$3:$G$302,3,FALSE)="","",VLOOKUP(ALLOCATIONS!B87,MAPPING!$E$3:$G$302,3,FALSE)),""))</f>
        <v/>
      </c>
      <c r="E93" s="6">
        <f>IF(ALLOCATIONS!A87="","",ALLOCATIONS!C87)</f>
        <v/>
      </c>
      <c r="F93" s="6">
        <f>IF(ALLOCATIONS!A87="","",IF(ALLOCATIONS!D87="",0,ALLOCATIONS!D87))</f>
        <v/>
      </c>
      <c r="G93" s="6">
        <f>IF(ALLOCATIONS!A87="","",SUMIFS(RAW_004!$I$2:$I$10001,RAW_004!$D$2:$D$10001,ALLOCATIONS!A87,RAW_004!$H$2:$H$10001,ALLOCATIONS!B87,RAW_004!$N$2:$N$10001,ALLOCATIONS!C87))</f>
        <v/>
      </c>
      <c r="H93" s="6">
        <f>IF(A93="","",G93-F93)</f>
        <v/>
      </c>
    </row>
    <row r="94">
      <c r="A94" s="6">
        <f>IF(ALLOCATIONS!A88="","",IFERROR(VLOOKUP(ALLOCATIONS!A88,MAPPING!$A$3:$C$302,2,FALSE),"UNMAPPED"))</f>
        <v/>
      </c>
      <c r="B94" s="6">
        <f>IF(ALLOCATIONS!A88="","",IFERROR(VLOOKUP(ALLOCATIONS!A88,MAPPING!$A$3:$C$302,3,FALSE),ALLOCATIONS!A88))</f>
        <v/>
      </c>
      <c r="C94" s="6">
        <f>IF(ALLOCATIONS!A88="","",IFERROR(VLOOKUP(ALLOCATIONS!B88,MAPPING!$E$3:$G$302,2,FALSE),"UNMAPPED"))</f>
        <v/>
      </c>
      <c r="D94" s="6">
        <f>IF(ALLOCATIONS!A88="","",IFERROR(IF(VLOOKUP(ALLOCATIONS!B88,MAPPING!$E$3:$G$302,3,FALSE)="","",VLOOKUP(ALLOCATIONS!B88,MAPPING!$E$3:$G$302,3,FALSE)),""))</f>
        <v/>
      </c>
      <c r="E94" s="6">
        <f>IF(ALLOCATIONS!A88="","",ALLOCATIONS!C88)</f>
        <v/>
      </c>
      <c r="F94" s="6">
        <f>IF(ALLOCATIONS!A88="","",IF(ALLOCATIONS!D88="",0,ALLOCATIONS!D88))</f>
        <v/>
      </c>
      <c r="G94" s="6">
        <f>IF(ALLOCATIONS!A88="","",SUMIFS(RAW_004!$I$2:$I$10001,RAW_004!$D$2:$D$10001,ALLOCATIONS!A88,RAW_004!$H$2:$H$10001,ALLOCATIONS!B88,RAW_004!$N$2:$N$10001,ALLOCATIONS!C88))</f>
        <v/>
      </c>
      <c r="H94" s="6">
        <f>IF(A94="","",G94-F94)</f>
        <v/>
      </c>
    </row>
    <row r="95">
      <c r="A95" s="6">
        <f>IF(ALLOCATIONS!A89="","",IFERROR(VLOOKUP(ALLOCATIONS!A89,MAPPING!$A$3:$C$302,2,FALSE),"UNMAPPED"))</f>
        <v/>
      </c>
      <c r="B95" s="6">
        <f>IF(ALLOCATIONS!A89="","",IFERROR(VLOOKUP(ALLOCATIONS!A89,MAPPING!$A$3:$C$302,3,FALSE),ALLOCATIONS!A89))</f>
        <v/>
      </c>
      <c r="C95" s="6">
        <f>IF(ALLOCATIONS!A89="","",IFERROR(VLOOKUP(ALLOCATIONS!B89,MAPPING!$E$3:$G$302,2,FALSE),"UNMAPPED"))</f>
        <v/>
      </c>
      <c r="D95" s="6">
        <f>IF(ALLOCATIONS!A89="","",IFERROR(IF(VLOOKUP(ALLOCATIONS!B89,MAPPING!$E$3:$G$302,3,FALSE)="","",VLOOKUP(ALLOCATIONS!B89,MAPPING!$E$3:$G$302,3,FALSE)),""))</f>
        <v/>
      </c>
      <c r="E95" s="6">
        <f>IF(ALLOCATIONS!A89="","",ALLOCATIONS!C89)</f>
        <v/>
      </c>
      <c r="F95" s="6">
        <f>IF(ALLOCATIONS!A89="","",IF(ALLOCATIONS!D89="",0,ALLOCATIONS!D89))</f>
        <v/>
      </c>
      <c r="G95" s="6">
        <f>IF(ALLOCATIONS!A89="","",SUMIFS(RAW_004!$I$2:$I$10001,RAW_004!$D$2:$D$10001,ALLOCATIONS!A89,RAW_004!$H$2:$H$10001,ALLOCATIONS!B89,RAW_004!$N$2:$N$10001,ALLOCATIONS!C89))</f>
        <v/>
      </c>
      <c r="H95" s="6">
        <f>IF(A95="","",G95-F95)</f>
        <v/>
      </c>
    </row>
    <row r="96">
      <c r="A96" s="6">
        <f>IF(ALLOCATIONS!A90="","",IFERROR(VLOOKUP(ALLOCATIONS!A90,MAPPING!$A$3:$C$302,2,FALSE),"UNMAPPED"))</f>
        <v/>
      </c>
      <c r="B96" s="6">
        <f>IF(ALLOCATIONS!A90="","",IFERROR(VLOOKUP(ALLOCATIONS!A90,MAPPING!$A$3:$C$302,3,FALSE),ALLOCATIONS!A90))</f>
        <v/>
      </c>
      <c r="C96" s="6">
        <f>IF(ALLOCATIONS!A90="","",IFERROR(VLOOKUP(ALLOCATIONS!B90,MAPPING!$E$3:$G$302,2,FALSE),"UNMAPPED"))</f>
        <v/>
      </c>
      <c r="D96" s="6">
        <f>IF(ALLOCATIONS!A90="","",IFERROR(IF(VLOOKUP(ALLOCATIONS!B90,MAPPING!$E$3:$G$302,3,FALSE)="","",VLOOKUP(ALLOCATIONS!B90,MAPPING!$E$3:$G$302,3,FALSE)),""))</f>
        <v/>
      </c>
      <c r="E96" s="6">
        <f>IF(ALLOCATIONS!A90="","",ALLOCATIONS!C90)</f>
        <v/>
      </c>
      <c r="F96" s="6">
        <f>IF(ALLOCATIONS!A90="","",IF(ALLOCATIONS!D90="",0,ALLOCATIONS!D90))</f>
        <v/>
      </c>
      <c r="G96" s="6">
        <f>IF(ALLOCATIONS!A90="","",SUMIFS(RAW_004!$I$2:$I$10001,RAW_004!$D$2:$D$10001,ALLOCATIONS!A90,RAW_004!$H$2:$H$10001,ALLOCATIONS!B90,RAW_004!$N$2:$N$10001,ALLOCATIONS!C90))</f>
        <v/>
      </c>
      <c r="H96" s="6">
        <f>IF(A96="","",G96-F96)</f>
        <v/>
      </c>
    </row>
    <row r="97">
      <c r="A97" s="6">
        <f>IF(ALLOCATIONS!A91="","",IFERROR(VLOOKUP(ALLOCATIONS!A91,MAPPING!$A$3:$C$302,2,FALSE),"UNMAPPED"))</f>
        <v/>
      </c>
      <c r="B97" s="6">
        <f>IF(ALLOCATIONS!A91="","",IFERROR(VLOOKUP(ALLOCATIONS!A91,MAPPING!$A$3:$C$302,3,FALSE),ALLOCATIONS!A91))</f>
        <v/>
      </c>
      <c r="C97" s="6">
        <f>IF(ALLOCATIONS!A91="","",IFERROR(VLOOKUP(ALLOCATIONS!B91,MAPPING!$E$3:$G$302,2,FALSE),"UNMAPPED"))</f>
        <v/>
      </c>
      <c r="D97" s="6">
        <f>IF(ALLOCATIONS!A91="","",IFERROR(IF(VLOOKUP(ALLOCATIONS!B91,MAPPING!$E$3:$G$302,3,FALSE)="","",VLOOKUP(ALLOCATIONS!B91,MAPPING!$E$3:$G$302,3,FALSE)),""))</f>
        <v/>
      </c>
      <c r="E97" s="6">
        <f>IF(ALLOCATIONS!A91="","",ALLOCATIONS!C91)</f>
        <v/>
      </c>
      <c r="F97" s="6">
        <f>IF(ALLOCATIONS!A91="","",IF(ALLOCATIONS!D91="",0,ALLOCATIONS!D91))</f>
        <v/>
      </c>
      <c r="G97" s="6">
        <f>IF(ALLOCATIONS!A91="","",SUMIFS(RAW_004!$I$2:$I$10001,RAW_004!$D$2:$D$10001,ALLOCATIONS!A91,RAW_004!$H$2:$H$10001,ALLOCATIONS!B91,RAW_004!$N$2:$N$10001,ALLOCATIONS!C91))</f>
        <v/>
      </c>
      <c r="H97" s="6">
        <f>IF(A97="","",G97-F97)</f>
        <v/>
      </c>
    </row>
    <row r="98">
      <c r="A98" s="6">
        <f>IF(ALLOCATIONS!A92="","",IFERROR(VLOOKUP(ALLOCATIONS!A92,MAPPING!$A$3:$C$302,2,FALSE),"UNMAPPED"))</f>
        <v/>
      </c>
      <c r="B98" s="6">
        <f>IF(ALLOCATIONS!A92="","",IFERROR(VLOOKUP(ALLOCATIONS!A92,MAPPING!$A$3:$C$302,3,FALSE),ALLOCATIONS!A92))</f>
        <v/>
      </c>
      <c r="C98" s="6">
        <f>IF(ALLOCATIONS!A92="","",IFERROR(VLOOKUP(ALLOCATIONS!B92,MAPPING!$E$3:$G$302,2,FALSE),"UNMAPPED"))</f>
        <v/>
      </c>
      <c r="D98" s="6">
        <f>IF(ALLOCATIONS!A92="","",IFERROR(IF(VLOOKUP(ALLOCATIONS!B92,MAPPING!$E$3:$G$302,3,FALSE)="","",VLOOKUP(ALLOCATIONS!B92,MAPPING!$E$3:$G$302,3,FALSE)),""))</f>
        <v/>
      </c>
      <c r="E98" s="6">
        <f>IF(ALLOCATIONS!A92="","",ALLOCATIONS!C92)</f>
        <v/>
      </c>
      <c r="F98" s="6">
        <f>IF(ALLOCATIONS!A92="","",IF(ALLOCATIONS!D92="",0,ALLOCATIONS!D92))</f>
        <v/>
      </c>
      <c r="G98" s="6">
        <f>IF(ALLOCATIONS!A92="","",SUMIFS(RAW_004!$I$2:$I$10001,RAW_004!$D$2:$D$10001,ALLOCATIONS!A92,RAW_004!$H$2:$H$10001,ALLOCATIONS!B92,RAW_004!$N$2:$N$10001,ALLOCATIONS!C92))</f>
        <v/>
      </c>
      <c r="H98" s="6">
        <f>IF(A98="","",G98-F98)</f>
        <v/>
      </c>
    </row>
    <row r="99">
      <c r="A99" s="6">
        <f>IF(ALLOCATIONS!A93="","",IFERROR(VLOOKUP(ALLOCATIONS!A93,MAPPING!$A$3:$C$302,2,FALSE),"UNMAPPED"))</f>
        <v/>
      </c>
      <c r="B99" s="6">
        <f>IF(ALLOCATIONS!A93="","",IFERROR(VLOOKUP(ALLOCATIONS!A93,MAPPING!$A$3:$C$302,3,FALSE),ALLOCATIONS!A93))</f>
        <v/>
      </c>
      <c r="C99" s="6">
        <f>IF(ALLOCATIONS!A93="","",IFERROR(VLOOKUP(ALLOCATIONS!B93,MAPPING!$E$3:$G$302,2,FALSE),"UNMAPPED"))</f>
        <v/>
      </c>
      <c r="D99" s="6">
        <f>IF(ALLOCATIONS!A93="","",IFERROR(IF(VLOOKUP(ALLOCATIONS!B93,MAPPING!$E$3:$G$302,3,FALSE)="","",VLOOKUP(ALLOCATIONS!B93,MAPPING!$E$3:$G$302,3,FALSE)),""))</f>
        <v/>
      </c>
      <c r="E99" s="6">
        <f>IF(ALLOCATIONS!A93="","",ALLOCATIONS!C93)</f>
        <v/>
      </c>
      <c r="F99" s="6">
        <f>IF(ALLOCATIONS!A93="","",IF(ALLOCATIONS!D93="",0,ALLOCATIONS!D93))</f>
        <v/>
      </c>
      <c r="G99" s="6">
        <f>IF(ALLOCATIONS!A93="","",SUMIFS(RAW_004!$I$2:$I$10001,RAW_004!$D$2:$D$10001,ALLOCATIONS!A93,RAW_004!$H$2:$H$10001,ALLOCATIONS!B93,RAW_004!$N$2:$N$10001,ALLOCATIONS!C93))</f>
        <v/>
      </c>
      <c r="H99" s="6">
        <f>IF(A99="","",G99-F99)</f>
        <v/>
      </c>
    </row>
    <row r="100">
      <c r="A100" s="6">
        <f>IF(ALLOCATIONS!A94="","",IFERROR(VLOOKUP(ALLOCATIONS!A94,MAPPING!$A$3:$C$302,2,FALSE),"UNMAPPED"))</f>
        <v/>
      </c>
      <c r="B100" s="6">
        <f>IF(ALLOCATIONS!A94="","",IFERROR(VLOOKUP(ALLOCATIONS!A94,MAPPING!$A$3:$C$302,3,FALSE),ALLOCATIONS!A94))</f>
        <v/>
      </c>
      <c r="C100" s="6">
        <f>IF(ALLOCATIONS!A94="","",IFERROR(VLOOKUP(ALLOCATIONS!B94,MAPPING!$E$3:$G$302,2,FALSE),"UNMAPPED"))</f>
        <v/>
      </c>
      <c r="D100" s="6">
        <f>IF(ALLOCATIONS!A94="","",IFERROR(IF(VLOOKUP(ALLOCATIONS!B94,MAPPING!$E$3:$G$302,3,FALSE)="","",VLOOKUP(ALLOCATIONS!B94,MAPPING!$E$3:$G$302,3,FALSE)),""))</f>
        <v/>
      </c>
      <c r="E100" s="6">
        <f>IF(ALLOCATIONS!A94="","",ALLOCATIONS!C94)</f>
        <v/>
      </c>
      <c r="F100" s="6">
        <f>IF(ALLOCATIONS!A94="","",IF(ALLOCATIONS!D94="",0,ALLOCATIONS!D94))</f>
        <v/>
      </c>
      <c r="G100" s="6">
        <f>IF(ALLOCATIONS!A94="","",SUMIFS(RAW_004!$I$2:$I$10001,RAW_004!$D$2:$D$10001,ALLOCATIONS!A94,RAW_004!$H$2:$H$10001,ALLOCATIONS!B94,RAW_004!$N$2:$N$10001,ALLOCATIONS!C94))</f>
        <v/>
      </c>
      <c r="H100" s="6">
        <f>IF(A100="","",G100-F100)</f>
        <v/>
      </c>
    </row>
    <row r="101">
      <c r="A101" s="6">
        <f>IF(ALLOCATIONS!A95="","",IFERROR(VLOOKUP(ALLOCATIONS!A95,MAPPING!$A$3:$C$302,2,FALSE),"UNMAPPED"))</f>
        <v/>
      </c>
      <c r="B101" s="6">
        <f>IF(ALLOCATIONS!A95="","",IFERROR(VLOOKUP(ALLOCATIONS!A95,MAPPING!$A$3:$C$302,3,FALSE),ALLOCATIONS!A95))</f>
        <v/>
      </c>
      <c r="C101" s="6">
        <f>IF(ALLOCATIONS!A95="","",IFERROR(VLOOKUP(ALLOCATIONS!B95,MAPPING!$E$3:$G$302,2,FALSE),"UNMAPPED"))</f>
        <v/>
      </c>
      <c r="D101" s="6">
        <f>IF(ALLOCATIONS!A95="","",IFERROR(IF(VLOOKUP(ALLOCATIONS!B95,MAPPING!$E$3:$G$302,3,FALSE)="","",VLOOKUP(ALLOCATIONS!B95,MAPPING!$E$3:$G$302,3,FALSE)),""))</f>
        <v/>
      </c>
      <c r="E101" s="6">
        <f>IF(ALLOCATIONS!A95="","",ALLOCATIONS!C95)</f>
        <v/>
      </c>
      <c r="F101" s="6">
        <f>IF(ALLOCATIONS!A95="","",IF(ALLOCATIONS!D95="",0,ALLOCATIONS!D95))</f>
        <v/>
      </c>
      <c r="G101" s="6">
        <f>IF(ALLOCATIONS!A95="","",SUMIFS(RAW_004!$I$2:$I$10001,RAW_004!$D$2:$D$10001,ALLOCATIONS!A95,RAW_004!$H$2:$H$10001,ALLOCATIONS!B95,RAW_004!$N$2:$N$10001,ALLOCATIONS!C95))</f>
        <v/>
      </c>
      <c r="H101" s="6">
        <f>IF(A101="","",G101-F101)</f>
        <v/>
      </c>
    </row>
    <row r="102">
      <c r="A102" s="6">
        <f>IF(ALLOCATIONS!A96="","",IFERROR(VLOOKUP(ALLOCATIONS!A96,MAPPING!$A$3:$C$302,2,FALSE),"UNMAPPED"))</f>
        <v/>
      </c>
      <c r="B102" s="6">
        <f>IF(ALLOCATIONS!A96="","",IFERROR(VLOOKUP(ALLOCATIONS!A96,MAPPING!$A$3:$C$302,3,FALSE),ALLOCATIONS!A96))</f>
        <v/>
      </c>
      <c r="C102" s="6">
        <f>IF(ALLOCATIONS!A96="","",IFERROR(VLOOKUP(ALLOCATIONS!B96,MAPPING!$E$3:$G$302,2,FALSE),"UNMAPPED"))</f>
        <v/>
      </c>
      <c r="D102" s="6">
        <f>IF(ALLOCATIONS!A96="","",IFERROR(IF(VLOOKUP(ALLOCATIONS!B96,MAPPING!$E$3:$G$302,3,FALSE)="","",VLOOKUP(ALLOCATIONS!B96,MAPPING!$E$3:$G$302,3,FALSE)),""))</f>
        <v/>
      </c>
      <c r="E102" s="6">
        <f>IF(ALLOCATIONS!A96="","",ALLOCATIONS!C96)</f>
        <v/>
      </c>
      <c r="F102" s="6">
        <f>IF(ALLOCATIONS!A96="","",IF(ALLOCATIONS!D96="",0,ALLOCATIONS!D96))</f>
        <v/>
      </c>
      <c r="G102" s="6">
        <f>IF(ALLOCATIONS!A96="","",SUMIFS(RAW_004!$I$2:$I$10001,RAW_004!$D$2:$D$10001,ALLOCATIONS!A96,RAW_004!$H$2:$H$10001,ALLOCATIONS!B96,RAW_004!$N$2:$N$10001,ALLOCATIONS!C96))</f>
        <v/>
      </c>
      <c r="H102" s="6">
        <f>IF(A102="","",G102-F102)</f>
        <v/>
      </c>
    </row>
    <row r="103">
      <c r="A103" s="6">
        <f>IF(ALLOCATIONS!A97="","",IFERROR(VLOOKUP(ALLOCATIONS!A97,MAPPING!$A$3:$C$302,2,FALSE),"UNMAPPED"))</f>
        <v/>
      </c>
      <c r="B103" s="6">
        <f>IF(ALLOCATIONS!A97="","",IFERROR(VLOOKUP(ALLOCATIONS!A97,MAPPING!$A$3:$C$302,3,FALSE),ALLOCATIONS!A97))</f>
        <v/>
      </c>
      <c r="C103" s="6">
        <f>IF(ALLOCATIONS!A97="","",IFERROR(VLOOKUP(ALLOCATIONS!B97,MAPPING!$E$3:$G$302,2,FALSE),"UNMAPPED"))</f>
        <v/>
      </c>
      <c r="D103" s="6">
        <f>IF(ALLOCATIONS!A97="","",IFERROR(IF(VLOOKUP(ALLOCATIONS!B97,MAPPING!$E$3:$G$302,3,FALSE)="","",VLOOKUP(ALLOCATIONS!B97,MAPPING!$E$3:$G$302,3,FALSE)),""))</f>
        <v/>
      </c>
      <c r="E103" s="6">
        <f>IF(ALLOCATIONS!A97="","",ALLOCATIONS!C97)</f>
        <v/>
      </c>
      <c r="F103" s="6">
        <f>IF(ALLOCATIONS!A97="","",IF(ALLOCATIONS!D97="",0,ALLOCATIONS!D97))</f>
        <v/>
      </c>
      <c r="G103" s="6">
        <f>IF(ALLOCATIONS!A97="","",SUMIFS(RAW_004!$I$2:$I$10001,RAW_004!$D$2:$D$10001,ALLOCATIONS!A97,RAW_004!$H$2:$H$10001,ALLOCATIONS!B97,RAW_004!$N$2:$N$10001,ALLOCATIONS!C97))</f>
        <v/>
      </c>
      <c r="H103" s="6">
        <f>IF(A103="","",G103-F103)</f>
        <v/>
      </c>
    </row>
    <row r="104">
      <c r="A104" s="6">
        <f>IF(ALLOCATIONS!A98="","",IFERROR(VLOOKUP(ALLOCATIONS!A98,MAPPING!$A$3:$C$302,2,FALSE),"UNMAPPED"))</f>
        <v/>
      </c>
      <c r="B104" s="6">
        <f>IF(ALLOCATIONS!A98="","",IFERROR(VLOOKUP(ALLOCATIONS!A98,MAPPING!$A$3:$C$302,3,FALSE),ALLOCATIONS!A98))</f>
        <v/>
      </c>
      <c r="C104" s="6">
        <f>IF(ALLOCATIONS!A98="","",IFERROR(VLOOKUP(ALLOCATIONS!B98,MAPPING!$E$3:$G$302,2,FALSE),"UNMAPPED"))</f>
        <v/>
      </c>
      <c r="D104" s="6">
        <f>IF(ALLOCATIONS!A98="","",IFERROR(IF(VLOOKUP(ALLOCATIONS!B98,MAPPING!$E$3:$G$302,3,FALSE)="","",VLOOKUP(ALLOCATIONS!B98,MAPPING!$E$3:$G$302,3,FALSE)),""))</f>
        <v/>
      </c>
      <c r="E104" s="6">
        <f>IF(ALLOCATIONS!A98="","",ALLOCATIONS!C98)</f>
        <v/>
      </c>
      <c r="F104" s="6">
        <f>IF(ALLOCATIONS!A98="","",IF(ALLOCATIONS!D98="",0,ALLOCATIONS!D98))</f>
        <v/>
      </c>
      <c r="G104" s="6">
        <f>IF(ALLOCATIONS!A98="","",SUMIFS(RAW_004!$I$2:$I$10001,RAW_004!$D$2:$D$10001,ALLOCATIONS!A98,RAW_004!$H$2:$H$10001,ALLOCATIONS!B98,RAW_004!$N$2:$N$10001,ALLOCATIONS!C98))</f>
        <v/>
      </c>
      <c r="H104" s="6">
        <f>IF(A104="","",G104-F104)</f>
        <v/>
      </c>
    </row>
    <row r="105">
      <c r="A105" s="6">
        <f>IF(ALLOCATIONS!A99="","",IFERROR(VLOOKUP(ALLOCATIONS!A99,MAPPING!$A$3:$C$302,2,FALSE),"UNMAPPED"))</f>
        <v/>
      </c>
      <c r="B105" s="6">
        <f>IF(ALLOCATIONS!A99="","",IFERROR(VLOOKUP(ALLOCATIONS!A99,MAPPING!$A$3:$C$302,3,FALSE),ALLOCATIONS!A99))</f>
        <v/>
      </c>
      <c r="C105" s="6">
        <f>IF(ALLOCATIONS!A99="","",IFERROR(VLOOKUP(ALLOCATIONS!B99,MAPPING!$E$3:$G$302,2,FALSE),"UNMAPPED"))</f>
        <v/>
      </c>
      <c r="D105" s="6">
        <f>IF(ALLOCATIONS!A99="","",IFERROR(IF(VLOOKUP(ALLOCATIONS!B99,MAPPING!$E$3:$G$302,3,FALSE)="","",VLOOKUP(ALLOCATIONS!B99,MAPPING!$E$3:$G$302,3,FALSE)),""))</f>
        <v/>
      </c>
      <c r="E105" s="6">
        <f>IF(ALLOCATIONS!A99="","",ALLOCATIONS!C99)</f>
        <v/>
      </c>
      <c r="F105" s="6">
        <f>IF(ALLOCATIONS!A99="","",IF(ALLOCATIONS!D99="",0,ALLOCATIONS!D99))</f>
        <v/>
      </c>
      <c r="G105" s="6">
        <f>IF(ALLOCATIONS!A99="","",SUMIFS(RAW_004!$I$2:$I$10001,RAW_004!$D$2:$D$10001,ALLOCATIONS!A99,RAW_004!$H$2:$H$10001,ALLOCATIONS!B99,RAW_004!$N$2:$N$10001,ALLOCATIONS!C99))</f>
        <v/>
      </c>
      <c r="H105" s="6">
        <f>IF(A105="","",G105-F105)</f>
        <v/>
      </c>
    </row>
    <row r="106">
      <c r="A106" s="6">
        <f>IF(ALLOCATIONS!A100="","",IFERROR(VLOOKUP(ALLOCATIONS!A100,MAPPING!$A$3:$C$302,2,FALSE),"UNMAPPED"))</f>
        <v/>
      </c>
      <c r="B106" s="6">
        <f>IF(ALLOCATIONS!A100="","",IFERROR(VLOOKUP(ALLOCATIONS!A100,MAPPING!$A$3:$C$302,3,FALSE),ALLOCATIONS!A100))</f>
        <v/>
      </c>
      <c r="C106" s="6">
        <f>IF(ALLOCATIONS!A100="","",IFERROR(VLOOKUP(ALLOCATIONS!B100,MAPPING!$E$3:$G$302,2,FALSE),"UNMAPPED"))</f>
        <v/>
      </c>
      <c r="D106" s="6">
        <f>IF(ALLOCATIONS!A100="","",IFERROR(IF(VLOOKUP(ALLOCATIONS!B100,MAPPING!$E$3:$G$302,3,FALSE)="","",VLOOKUP(ALLOCATIONS!B100,MAPPING!$E$3:$G$302,3,FALSE)),""))</f>
        <v/>
      </c>
      <c r="E106" s="6">
        <f>IF(ALLOCATIONS!A100="","",ALLOCATIONS!C100)</f>
        <v/>
      </c>
      <c r="F106" s="6">
        <f>IF(ALLOCATIONS!A100="","",IF(ALLOCATIONS!D100="",0,ALLOCATIONS!D100))</f>
        <v/>
      </c>
      <c r="G106" s="6">
        <f>IF(ALLOCATIONS!A100="","",SUMIFS(RAW_004!$I$2:$I$10001,RAW_004!$D$2:$D$10001,ALLOCATIONS!A100,RAW_004!$H$2:$H$10001,ALLOCATIONS!B100,RAW_004!$N$2:$N$10001,ALLOCATIONS!C100))</f>
        <v/>
      </c>
      <c r="H106" s="6">
        <f>IF(A106="","",G106-F106)</f>
        <v/>
      </c>
    </row>
    <row r="107">
      <c r="A107" s="6">
        <f>IF(ALLOCATIONS!A101="","",IFERROR(VLOOKUP(ALLOCATIONS!A101,MAPPING!$A$3:$C$302,2,FALSE),"UNMAPPED"))</f>
        <v/>
      </c>
      <c r="B107" s="6">
        <f>IF(ALLOCATIONS!A101="","",IFERROR(VLOOKUP(ALLOCATIONS!A101,MAPPING!$A$3:$C$302,3,FALSE),ALLOCATIONS!A101))</f>
        <v/>
      </c>
      <c r="C107" s="6">
        <f>IF(ALLOCATIONS!A101="","",IFERROR(VLOOKUP(ALLOCATIONS!B101,MAPPING!$E$3:$G$302,2,FALSE),"UNMAPPED"))</f>
        <v/>
      </c>
      <c r="D107" s="6">
        <f>IF(ALLOCATIONS!A101="","",IFERROR(IF(VLOOKUP(ALLOCATIONS!B101,MAPPING!$E$3:$G$302,3,FALSE)="","",VLOOKUP(ALLOCATIONS!B101,MAPPING!$E$3:$G$302,3,FALSE)),""))</f>
        <v/>
      </c>
      <c r="E107" s="6">
        <f>IF(ALLOCATIONS!A101="","",ALLOCATIONS!C101)</f>
        <v/>
      </c>
      <c r="F107" s="6">
        <f>IF(ALLOCATIONS!A101="","",IF(ALLOCATIONS!D101="",0,ALLOCATIONS!D101))</f>
        <v/>
      </c>
      <c r="G107" s="6">
        <f>IF(ALLOCATIONS!A101="","",SUMIFS(RAW_004!$I$2:$I$10001,RAW_004!$D$2:$D$10001,ALLOCATIONS!A101,RAW_004!$H$2:$H$10001,ALLOCATIONS!B101,RAW_004!$N$2:$N$10001,ALLOCATIONS!C101))</f>
        <v/>
      </c>
      <c r="H107" s="6">
        <f>IF(A107="","",G107-F107)</f>
        <v/>
      </c>
    </row>
    <row r="108">
      <c r="A108" s="6">
        <f>IF(ALLOCATIONS!A102="","",IFERROR(VLOOKUP(ALLOCATIONS!A102,MAPPING!$A$3:$C$302,2,FALSE),"UNMAPPED"))</f>
        <v/>
      </c>
      <c r="B108" s="6">
        <f>IF(ALLOCATIONS!A102="","",IFERROR(VLOOKUP(ALLOCATIONS!A102,MAPPING!$A$3:$C$302,3,FALSE),ALLOCATIONS!A102))</f>
        <v/>
      </c>
      <c r="C108" s="6">
        <f>IF(ALLOCATIONS!A102="","",IFERROR(VLOOKUP(ALLOCATIONS!B102,MAPPING!$E$3:$G$302,2,FALSE),"UNMAPPED"))</f>
        <v/>
      </c>
      <c r="D108" s="6">
        <f>IF(ALLOCATIONS!A102="","",IFERROR(IF(VLOOKUP(ALLOCATIONS!B102,MAPPING!$E$3:$G$302,3,FALSE)="","",VLOOKUP(ALLOCATIONS!B102,MAPPING!$E$3:$G$302,3,FALSE)),""))</f>
        <v/>
      </c>
      <c r="E108" s="6">
        <f>IF(ALLOCATIONS!A102="","",ALLOCATIONS!C102)</f>
        <v/>
      </c>
      <c r="F108" s="6">
        <f>IF(ALLOCATIONS!A102="","",IF(ALLOCATIONS!D102="",0,ALLOCATIONS!D102))</f>
        <v/>
      </c>
      <c r="G108" s="6">
        <f>IF(ALLOCATIONS!A102="","",SUMIFS(RAW_004!$I$2:$I$10001,RAW_004!$D$2:$D$10001,ALLOCATIONS!A102,RAW_004!$H$2:$H$10001,ALLOCATIONS!B102,RAW_004!$N$2:$N$10001,ALLOCATIONS!C102))</f>
        <v/>
      </c>
      <c r="H108" s="6">
        <f>IF(A108="","",G108-F108)</f>
        <v/>
      </c>
    </row>
    <row r="109">
      <c r="A109" s="6">
        <f>IF(ALLOCATIONS!A103="","",IFERROR(VLOOKUP(ALLOCATIONS!A103,MAPPING!$A$3:$C$302,2,FALSE),"UNMAPPED"))</f>
        <v/>
      </c>
      <c r="B109" s="6">
        <f>IF(ALLOCATIONS!A103="","",IFERROR(VLOOKUP(ALLOCATIONS!A103,MAPPING!$A$3:$C$302,3,FALSE),ALLOCATIONS!A103))</f>
        <v/>
      </c>
      <c r="C109" s="6">
        <f>IF(ALLOCATIONS!A103="","",IFERROR(VLOOKUP(ALLOCATIONS!B103,MAPPING!$E$3:$G$302,2,FALSE),"UNMAPPED"))</f>
        <v/>
      </c>
      <c r="D109" s="6">
        <f>IF(ALLOCATIONS!A103="","",IFERROR(IF(VLOOKUP(ALLOCATIONS!B103,MAPPING!$E$3:$G$302,3,FALSE)="","",VLOOKUP(ALLOCATIONS!B103,MAPPING!$E$3:$G$302,3,FALSE)),""))</f>
        <v/>
      </c>
      <c r="E109" s="6">
        <f>IF(ALLOCATIONS!A103="","",ALLOCATIONS!C103)</f>
        <v/>
      </c>
      <c r="F109" s="6">
        <f>IF(ALLOCATIONS!A103="","",IF(ALLOCATIONS!D103="",0,ALLOCATIONS!D103))</f>
        <v/>
      </c>
      <c r="G109" s="6">
        <f>IF(ALLOCATIONS!A103="","",SUMIFS(RAW_004!$I$2:$I$10001,RAW_004!$D$2:$D$10001,ALLOCATIONS!A103,RAW_004!$H$2:$H$10001,ALLOCATIONS!B103,RAW_004!$N$2:$N$10001,ALLOCATIONS!C103))</f>
        <v/>
      </c>
      <c r="H109" s="6">
        <f>IF(A109="","",G109-F109)</f>
        <v/>
      </c>
    </row>
    <row r="110">
      <c r="A110" s="6">
        <f>IF(ALLOCATIONS!A104="","",IFERROR(VLOOKUP(ALLOCATIONS!A104,MAPPING!$A$3:$C$302,2,FALSE),"UNMAPPED"))</f>
        <v/>
      </c>
      <c r="B110" s="6">
        <f>IF(ALLOCATIONS!A104="","",IFERROR(VLOOKUP(ALLOCATIONS!A104,MAPPING!$A$3:$C$302,3,FALSE),ALLOCATIONS!A104))</f>
        <v/>
      </c>
      <c r="C110" s="6">
        <f>IF(ALLOCATIONS!A104="","",IFERROR(VLOOKUP(ALLOCATIONS!B104,MAPPING!$E$3:$G$302,2,FALSE),"UNMAPPED"))</f>
        <v/>
      </c>
      <c r="D110" s="6">
        <f>IF(ALLOCATIONS!A104="","",IFERROR(IF(VLOOKUP(ALLOCATIONS!B104,MAPPING!$E$3:$G$302,3,FALSE)="","",VLOOKUP(ALLOCATIONS!B104,MAPPING!$E$3:$G$302,3,FALSE)),""))</f>
        <v/>
      </c>
      <c r="E110" s="6">
        <f>IF(ALLOCATIONS!A104="","",ALLOCATIONS!C104)</f>
        <v/>
      </c>
      <c r="F110" s="6">
        <f>IF(ALLOCATIONS!A104="","",IF(ALLOCATIONS!D104="",0,ALLOCATIONS!D104))</f>
        <v/>
      </c>
      <c r="G110" s="6">
        <f>IF(ALLOCATIONS!A104="","",SUMIFS(RAW_004!$I$2:$I$10001,RAW_004!$D$2:$D$10001,ALLOCATIONS!A104,RAW_004!$H$2:$H$10001,ALLOCATIONS!B104,RAW_004!$N$2:$N$10001,ALLOCATIONS!C104))</f>
        <v/>
      </c>
      <c r="H110" s="6">
        <f>IF(A110="","",G110-F110)</f>
        <v/>
      </c>
    </row>
    <row r="111">
      <c r="A111" s="6">
        <f>IF(ALLOCATIONS!A105="","",IFERROR(VLOOKUP(ALLOCATIONS!A105,MAPPING!$A$3:$C$302,2,FALSE),"UNMAPPED"))</f>
        <v/>
      </c>
      <c r="B111" s="6">
        <f>IF(ALLOCATIONS!A105="","",IFERROR(VLOOKUP(ALLOCATIONS!A105,MAPPING!$A$3:$C$302,3,FALSE),ALLOCATIONS!A105))</f>
        <v/>
      </c>
      <c r="C111" s="6">
        <f>IF(ALLOCATIONS!A105="","",IFERROR(VLOOKUP(ALLOCATIONS!B105,MAPPING!$E$3:$G$302,2,FALSE),"UNMAPPED"))</f>
        <v/>
      </c>
      <c r="D111" s="6">
        <f>IF(ALLOCATIONS!A105="","",IFERROR(IF(VLOOKUP(ALLOCATIONS!B105,MAPPING!$E$3:$G$302,3,FALSE)="","",VLOOKUP(ALLOCATIONS!B105,MAPPING!$E$3:$G$302,3,FALSE)),""))</f>
        <v/>
      </c>
      <c r="E111" s="6">
        <f>IF(ALLOCATIONS!A105="","",ALLOCATIONS!C105)</f>
        <v/>
      </c>
      <c r="F111" s="6">
        <f>IF(ALLOCATIONS!A105="","",IF(ALLOCATIONS!D105="",0,ALLOCATIONS!D105))</f>
        <v/>
      </c>
      <c r="G111" s="6">
        <f>IF(ALLOCATIONS!A105="","",SUMIFS(RAW_004!$I$2:$I$10001,RAW_004!$D$2:$D$10001,ALLOCATIONS!A105,RAW_004!$H$2:$H$10001,ALLOCATIONS!B105,RAW_004!$N$2:$N$10001,ALLOCATIONS!C105))</f>
        <v/>
      </c>
      <c r="H111" s="6">
        <f>IF(A111="","",G111-F111)</f>
        <v/>
      </c>
    </row>
    <row r="112">
      <c r="A112" s="6">
        <f>IF(ALLOCATIONS!A106="","",IFERROR(VLOOKUP(ALLOCATIONS!A106,MAPPING!$A$3:$C$302,2,FALSE),"UNMAPPED"))</f>
        <v/>
      </c>
      <c r="B112" s="6">
        <f>IF(ALLOCATIONS!A106="","",IFERROR(VLOOKUP(ALLOCATIONS!A106,MAPPING!$A$3:$C$302,3,FALSE),ALLOCATIONS!A106))</f>
        <v/>
      </c>
      <c r="C112" s="6">
        <f>IF(ALLOCATIONS!A106="","",IFERROR(VLOOKUP(ALLOCATIONS!B106,MAPPING!$E$3:$G$302,2,FALSE),"UNMAPPED"))</f>
        <v/>
      </c>
      <c r="D112" s="6">
        <f>IF(ALLOCATIONS!A106="","",IFERROR(IF(VLOOKUP(ALLOCATIONS!B106,MAPPING!$E$3:$G$302,3,FALSE)="","",VLOOKUP(ALLOCATIONS!B106,MAPPING!$E$3:$G$302,3,FALSE)),""))</f>
        <v/>
      </c>
      <c r="E112" s="6">
        <f>IF(ALLOCATIONS!A106="","",ALLOCATIONS!C106)</f>
        <v/>
      </c>
      <c r="F112" s="6">
        <f>IF(ALLOCATIONS!A106="","",IF(ALLOCATIONS!D106="",0,ALLOCATIONS!D106))</f>
        <v/>
      </c>
      <c r="G112" s="6">
        <f>IF(ALLOCATIONS!A106="","",SUMIFS(RAW_004!$I$2:$I$10001,RAW_004!$D$2:$D$10001,ALLOCATIONS!A106,RAW_004!$H$2:$H$10001,ALLOCATIONS!B106,RAW_004!$N$2:$N$10001,ALLOCATIONS!C106))</f>
        <v/>
      </c>
      <c r="H112" s="6">
        <f>IF(A112="","",G112-F112)</f>
        <v/>
      </c>
    </row>
    <row r="113">
      <c r="A113" s="6">
        <f>IF(ALLOCATIONS!A107="","",IFERROR(VLOOKUP(ALLOCATIONS!A107,MAPPING!$A$3:$C$302,2,FALSE),"UNMAPPED"))</f>
        <v/>
      </c>
      <c r="B113" s="6">
        <f>IF(ALLOCATIONS!A107="","",IFERROR(VLOOKUP(ALLOCATIONS!A107,MAPPING!$A$3:$C$302,3,FALSE),ALLOCATIONS!A107))</f>
        <v/>
      </c>
      <c r="C113" s="6">
        <f>IF(ALLOCATIONS!A107="","",IFERROR(VLOOKUP(ALLOCATIONS!B107,MAPPING!$E$3:$G$302,2,FALSE),"UNMAPPED"))</f>
        <v/>
      </c>
      <c r="D113" s="6">
        <f>IF(ALLOCATIONS!A107="","",IFERROR(IF(VLOOKUP(ALLOCATIONS!B107,MAPPING!$E$3:$G$302,3,FALSE)="","",VLOOKUP(ALLOCATIONS!B107,MAPPING!$E$3:$G$302,3,FALSE)),""))</f>
        <v/>
      </c>
      <c r="E113" s="6">
        <f>IF(ALLOCATIONS!A107="","",ALLOCATIONS!C107)</f>
        <v/>
      </c>
      <c r="F113" s="6">
        <f>IF(ALLOCATIONS!A107="","",IF(ALLOCATIONS!D107="",0,ALLOCATIONS!D107))</f>
        <v/>
      </c>
      <c r="G113" s="6">
        <f>IF(ALLOCATIONS!A107="","",SUMIFS(RAW_004!$I$2:$I$10001,RAW_004!$D$2:$D$10001,ALLOCATIONS!A107,RAW_004!$H$2:$H$10001,ALLOCATIONS!B107,RAW_004!$N$2:$N$10001,ALLOCATIONS!C107))</f>
        <v/>
      </c>
      <c r="H113" s="6">
        <f>IF(A113="","",G113-F113)</f>
        <v/>
      </c>
    </row>
    <row r="114">
      <c r="A114" s="6">
        <f>IF(ALLOCATIONS!A108="","",IFERROR(VLOOKUP(ALLOCATIONS!A108,MAPPING!$A$3:$C$302,2,FALSE),"UNMAPPED"))</f>
        <v/>
      </c>
      <c r="B114" s="6">
        <f>IF(ALLOCATIONS!A108="","",IFERROR(VLOOKUP(ALLOCATIONS!A108,MAPPING!$A$3:$C$302,3,FALSE),ALLOCATIONS!A108))</f>
        <v/>
      </c>
      <c r="C114" s="6">
        <f>IF(ALLOCATIONS!A108="","",IFERROR(VLOOKUP(ALLOCATIONS!B108,MAPPING!$E$3:$G$302,2,FALSE),"UNMAPPED"))</f>
        <v/>
      </c>
      <c r="D114" s="6">
        <f>IF(ALLOCATIONS!A108="","",IFERROR(IF(VLOOKUP(ALLOCATIONS!B108,MAPPING!$E$3:$G$302,3,FALSE)="","",VLOOKUP(ALLOCATIONS!B108,MAPPING!$E$3:$G$302,3,FALSE)),""))</f>
        <v/>
      </c>
      <c r="E114" s="6">
        <f>IF(ALLOCATIONS!A108="","",ALLOCATIONS!C108)</f>
        <v/>
      </c>
      <c r="F114" s="6">
        <f>IF(ALLOCATIONS!A108="","",IF(ALLOCATIONS!D108="",0,ALLOCATIONS!D108))</f>
        <v/>
      </c>
      <c r="G114" s="6">
        <f>IF(ALLOCATIONS!A108="","",SUMIFS(RAW_004!$I$2:$I$10001,RAW_004!$D$2:$D$10001,ALLOCATIONS!A108,RAW_004!$H$2:$H$10001,ALLOCATIONS!B108,RAW_004!$N$2:$N$10001,ALLOCATIONS!C108))</f>
        <v/>
      </c>
      <c r="H114" s="6">
        <f>IF(A114="","",G114-F114)</f>
        <v/>
      </c>
    </row>
    <row r="115">
      <c r="A115" s="6">
        <f>IF(ALLOCATIONS!A109="","",IFERROR(VLOOKUP(ALLOCATIONS!A109,MAPPING!$A$3:$C$302,2,FALSE),"UNMAPPED"))</f>
        <v/>
      </c>
      <c r="B115" s="6">
        <f>IF(ALLOCATIONS!A109="","",IFERROR(VLOOKUP(ALLOCATIONS!A109,MAPPING!$A$3:$C$302,3,FALSE),ALLOCATIONS!A109))</f>
        <v/>
      </c>
      <c r="C115" s="6">
        <f>IF(ALLOCATIONS!A109="","",IFERROR(VLOOKUP(ALLOCATIONS!B109,MAPPING!$E$3:$G$302,2,FALSE),"UNMAPPED"))</f>
        <v/>
      </c>
      <c r="D115" s="6">
        <f>IF(ALLOCATIONS!A109="","",IFERROR(IF(VLOOKUP(ALLOCATIONS!B109,MAPPING!$E$3:$G$302,3,FALSE)="","",VLOOKUP(ALLOCATIONS!B109,MAPPING!$E$3:$G$302,3,FALSE)),""))</f>
        <v/>
      </c>
      <c r="E115" s="6">
        <f>IF(ALLOCATIONS!A109="","",ALLOCATIONS!C109)</f>
        <v/>
      </c>
      <c r="F115" s="6">
        <f>IF(ALLOCATIONS!A109="","",IF(ALLOCATIONS!D109="",0,ALLOCATIONS!D109))</f>
        <v/>
      </c>
      <c r="G115" s="6">
        <f>IF(ALLOCATIONS!A109="","",SUMIFS(RAW_004!$I$2:$I$10001,RAW_004!$D$2:$D$10001,ALLOCATIONS!A109,RAW_004!$H$2:$H$10001,ALLOCATIONS!B109,RAW_004!$N$2:$N$10001,ALLOCATIONS!C109))</f>
        <v/>
      </c>
      <c r="H115" s="6">
        <f>IF(A115="","",G115-F115)</f>
        <v/>
      </c>
    </row>
    <row r="116">
      <c r="A116" s="6">
        <f>IF(ALLOCATIONS!A110="","",IFERROR(VLOOKUP(ALLOCATIONS!A110,MAPPING!$A$3:$C$302,2,FALSE),"UNMAPPED"))</f>
        <v/>
      </c>
      <c r="B116" s="6">
        <f>IF(ALLOCATIONS!A110="","",IFERROR(VLOOKUP(ALLOCATIONS!A110,MAPPING!$A$3:$C$302,3,FALSE),ALLOCATIONS!A110))</f>
        <v/>
      </c>
      <c r="C116" s="6">
        <f>IF(ALLOCATIONS!A110="","",IFERROR(VLOOKUP(ALLOCATIONS!B110,MAPPING!$E$3:$G$302,2,FALSE),"UNMAPPED"))</f>
        <v/>
      </c>
      <c r="D116" s="6">
        <f>IF(ALLOCATIONS!A110="","",IFERROR(IF(VLOOKUP(ALLOCATIONS!B110,MAPPING!$E$3:$G$302,3,FALSE)="","",VLOOKUP(ALLOCATIONS!B110,MAPPING!$E$3:$G$302,3,FALSE)),""))</f>
        <v/>
      </c>
      <c r="E116" s="6">
        <f>IF(ALLOCATIONS!A110="","",ALLOCATIONS!C110)</f>
        <v/>
      </c>
      <c r="F116" s="6">
        <f>IF(ALLOCATIONS!A110="","",IF(ALLOCATIONS!D110="",0,ALLOCATIONS!D110))</f>
        <v/>
      </c>
      <c r="G116" s="6">
        <f>IF(ALLOCATIONS!A110="","",SUMIFS(RAW_004!$I$2:$I$10001,RAW_004!$D$2:$D$10001,ALLOCATIONS!A110,RAW_004!$H$2:$H$10001,ALLOCATIONS!B110,RAW_004!$N$2:$N$10001,ALLOCATIONS!C110))</f>
        <v/>
      </c>
      <c r="H116" s="6">
        <f>IF(A116="","",G116-F116)</f>
        <v/>
      </c>
    </row>
    <row r="117">
      <c r="A117" s="6">
        <f>IF(ALLOCATIONS!A111="","",IFERROR(VLOOKUP(ALLOCATIONS!A111,MAPPING!$A$3:$C$302,2,FALSE),"UNMAPPED"))</f>
        <v/>
      </c>
      <c r="B117" s="6">
        <f>IF(ALLOCATIONS!A111="","",IFERROR(VLOOKUP(ALLOCATIONS!A111,MAPPING!$A$3:$C$302,3,FALSE),ALLOCATIONS!A111))</f>
        <v/>
      </c>
      <c r="C117" s="6">
        <f>IF(ALLOCATIONS!A111="","",IFERROR(VLOOKUP(ALLOCATIONS!B111,MAPPING!$E$3:$G$302,2,FALSE),"UNMAPPED"))</f>
        <v/>
      </c>
      <c r="D117" s="6">
        <f>IF(ALLOCATIONS!A111="","",IFERROR(IF(VLOOKUP(ALLOCATIONS!B111,MAPPING!$E$3:$G$302,3,FALSE)="","",VLOOKUP(ALLOCATIONS!B111,MAPPING!$E$3:$G$302,3,FALSE)),""))</f>
        <v/>
      </c>
      <c r="E117" s="6">
        <f>IF(ALLOCATIONS!A111="","",ALLOCATIONS!C111)</f>
        <v/>
      </c>
      <c r="F117" s="6">
        <f>IF(ALLOCATIONS!A111="","",IF(ALLOCATIONS!D111="",0,ALLOCATIONS!D111))</f>
        <v/>
      </c>
      <c r="G117" s="6">
        <f>IF(ALLOCATIONS!A111="","",SUMIFS(RAW_004!$I$2:$I$10001,RAW_004!$D$2:$D$10001,ALLOCATIONS!A111,RAW_004!$H$2:$H$10001,ALLOCATIONS!B111,RAW_004!$N$2:$N$10001,ALLOCATIONS!C111))</f>
        <v/>
      </c>
      <c r="H117" s="6">
        <f>IF(A117="","",G117-F117)</f>
        <v/>
      </c>
    </row>
    <row r="118">
      <c r="A118" s="6">
        <f>IF(ALLOCATIONS!A112="","",IFERROR(VLOOKUP(ALLOCATIONS!A112,MAPPING!$A$3:$C$302,2,FALSE),"UNMAPPED"))</f>
        <v/>
      </c>
      <c r="B118" s="6">
        <f>IF(ALLOCATIONS!A112="","",IFERROR(VLOOKUP(ALLOCATIONS!A112,MAPPING!$A$3:$C$302,3,FALSE),ALLOCATIONS!A112))</f>
        <v/>
      </c>
      <c r="C118" s="6">
        <f>IF(ALLOCATIONS!A112="","",IFERROR(VLOOKUP(ALLOCATIONS!B112,MAPPING!$E$3:$G$302,2,FALSE),"UNMAPPED"))</f>
        <v/>
      </c>
      <c r="D118" s="6">
        <f>IF(ALLOCATIONS!A112="","",IFERROR(IF(VLOOKUP(ALLOCATIONS!B112,MAPPING!$E$3:$G$302,3,FALSE)="","",VLOOKUP(ALLOCATIONS!B112,MAPPING!$E$3:$G$302,3,FALSE)),""))</f>
        <v/>
      </c>
      <c r="E118" s="6">
        <f>IF(ALLOCATIONS!A112="","",ALLOCATIONS!C112)</f>
        <v/>
      </c>
      <c r="F118" s="6">
        <f>IF(ALLOCATIONS!A112="","",IF(ALLOCATIONS!D112="",0,ALLOCATIONS!D112))</f>
        <v/>
      </c>
      <c r="G118" s="6">
        <f>IF(ALLOCATIONS!A112="","",SUMIFS(RAW_004!$I$2:$I$10001,RAW_004!$D$2:$D$10001,ALLOCATIONS!A112,RAW_004!$H$2:$H$10001,ALLOCATIONS!B112,RAW_004!$N$2:$N$10001,ALLOCATIONS!C112))</f>
        <v/>
      </c>
      <c r="H118" s="6">
        <f>IF(A118="","",G118-F118)</f>
        <v/>
      </c>
    </row>
    <row r="119">
      <c r="A119" s="6">
        <f>IF(ALLOCATIONS!A113="","",IFERROR(VLOOKUP(ALLOCATIONS!A113,MAPPING!$A$3:$C$302,2,FALSE),"UNMAPPED"))</f>
        <v/>
      </c>
      <c r="B119" s="6">
        <f>IF(ALLOCATIONS!A113="","",IFERROR(VLOOKUP(ALLOCATIONS!A113,MAPPING!$A$3:$C$302,3,FALSE),ALLOCATIONS!A113))</f>
        <v/>
      </c>
      <c r="C119" s="6">
        <f>IF(ALLOCATIONS!A113="","",IFERROR(VLOOKUP(ALLOCATIONS!B113,MAPPING!$E$3:$G$302,2,FALSE),"UNMAPPED"))</f>
        <v/>
      </c>
      <c r="D119" s="6">
        <f>IF(ALLOCATIONS!A113="","",IFERROR(IF(VLOOKUP(ALLOCATIONS!B113,MAPPING!$E$3:$G$302,3,FALSE)="","",VLOOKUP(ALLOCATIONS!B113,MAPPING!$E$3:$G$302,3,FALSE)),""))</f>
        <v/>
      </c>
      <c r="E119" s="6">
        <f>IF(ALLOCATIONS!A113="","",ALLOCATIONS!C113)</f>
        <v/>
      </c>
      <c r="F119" s="6">
        <f>IF(ALLOCATIONS!A113="","",IF(ALLOCATIONS!D113="",0,ALLOCATIONS!D113))</f>
        <v/>
      </c>
      <c r="G119" s="6">
        <f>IF(ALLOCATIONS!A113="","",SUMIFS(RAW_004!$I$2:$I$10001,RAW_004!$D$2:$D$10001,ALLOCATIONS!A113,RAW_004!$H$2:$H$10001,ALLOCATIONS!B113,RAW_004!$N$2:$N$10001,ALLOCATIONS!C113))</f>
        <v/>
      </c>
      <c r="H119" s="6">
        <f>IF(A119="","",G119-F119)</f>
        <v/>
      </c>
    </row>
    <row r="120">
      <c r="A120" s="6">
        <f>IF(ALLOCATIONS!A114="","",IFERROR(VLOOKUP(ALLOCATIONS!A114,MAPPING!$A$3:$C$302,2,FALSE),"UNMAPPED"))</f>
        <v/>
      </c>
      <c r="B120" s="6">
        <f>IF(ALLOCATIONS!A114="","",IFERROR(VLOOKUP(ALLOCATIONS!A114,MAPPING!$A$3:$C$302,3,FALSE),ALLOCATIONS!A114))</f>
        <v/>
      </c>
      <c r="C120" s="6">
        <f>IF(ALLOCATIONS!A114="","",IFERROR(VLOOKUP(ALLOCATIONS!B114,MAPPING!$E$3:$G$302,2,FALSE),"UNMAPPED"))</f>
        <v/>
      </c>
      <c r="D120" s="6">
        <f>IF(ALLOCATIONS!A114="","",IFERROR(IF(VLOOKUP(ALLOCATIONS!B114,MAPPING!$E$3:$G$302,3,FALSE)="","",VLOOKUP(ALLOCATIONS!B114,MAPPING!$E$3:$G$302,3,FALSE)),""))</f>
        <v/>
      </c>
      <c r="E120" s="6">
        <f>IF(ALLOCATIONS!A114="","",ALLOCATIONS!C114)</f>
        <v/>
      </c>
      <c r="F120" s="6">
        <f>IF(ALLOCATIONS!A114="","",IF(ALLOCATIONS!D114="",0,ALLOCATIONS!D114))</f>
        <v/>
      </c>
      <c r="G120" s="6">
        <f>IF(ALLOCATIONS!A114="","",SUMIFS(RAW_004!$I$2:$I$10001,RAW_004!$D$2:$D$10001,ALLOCATIONS!A114,RAW_004!$H$2:$H$10001,ALLOCATIONS!B114,RAW_004!$N$2:$N$10001,ALLOCATIONS!C114))</f>
        <v/>
      </c>
      <c r="H120" s="6">
        <f>IF(A120="","",G120-F120)</f>
        <v/>
      </c>
    </row>
    <row r="121">
      <c r="A121" s="6">
        <f>IF(ALLOCATIONS!A115="","",IFERROR(VLOOKUP(ALLOCATIONS!A115,MAPPING!$A$3:$C$302,2,FALSE),"UNMAPPED"))</f>
        <v/>
      </c>
      <c r="B121" s="6">
        <f>IF(ALLOCATIONS!A115="","",IFERROR(VLOOKUP(ALLOCATIONS!A115,MAPPING!$A$3:$C$302,3,FALSE),ALLOCATIONS!A115))</f>
        <v/>
      </c>
      <c r="C121" s="6">
        <f>IF(ALLOCATIONS!A115="","",IFERROR(VLOOKUP(ALLOCATIONS!B115,MAPPING!$E$3:$G$302,2,FALSE),"UNMAPPED"))</f>
        <v/>
      </c>
      <c r="D121" s="6">
        <f>IF(ALLOCATIONS!A115="","",IFERROR(IF(VLOOKUP(ALLOCATIONS!B115,MAPPING!$E$3:$G$302,3,FALSE)="","",VLOOKUP(ALLOCATIONS!B115,MAPPING!$E$3:$G$302,3,FALSE)),""))</f>
        <v/>
      </c>
      <c r="E121" s="6">
        <f>IF(ALLOCATIONS!A115="","",ALLOCATIONS!C115)</f>
        <v/>
      </c>
      <c r="F121" s="6">
        <f>IF(ALLOCATIONS!A115="","",IF(ALLOCATIONS!D115="",0,ALLOCATIONS!D115))</f>
        <v/>
      </c>
      <c r="G121" s="6">
        <f>IF(ALLOCATIONS!A115="","",SUMIFS(RAW_004!$I$2:$I$10001,RAW_004!$D$2:$D$10001,ALLOCATIONS!A115,RAW_004!$H$2:$H$10001,ALLOCATIONS!B115,RAW_004!$N$2:$N$10001,ALLOCATIONS!C115))</f>
        <v/>
      </c>
      <c r="H121" s="6">
        <f>IF(A121="","",G121-F121)</f>
        <v/>
      </c>
    </row>
    <row r="122">
      <c r="A122" s="6">
        <f>IF(ALLOCATIONS!A116="","",IFERROR(VLOOKUP(ALLOCATIONS!A116,MAPPING!$A$3:$C$302,2,FALSE),"UNMAPPED"))</f>
        <v/>
      </c>
      <c r="B122" s="6">
        <f>IF(ALLOCATIONS!A116="","",IFERROR(VLOOKUP(ALLOCATIONS!A116,MAPPING!$A$3:$C$302,3,FALSE),ALLOCATIONS!A116))</f>
        <v/>
      </c>
      <c r="C122" s="6">
        <f>IF(ALLOCATIONS!A116="","",IFERROR(VLOOKUP(ALLOCATIONS!B116,MAPPING!$E$3:$G$302,2,FALSE),"UNMAPPED"))</f>
        <v/>
      </c>
      <c r="D122" s="6">
        <f>IF(ALLOCATIONS!A116="","",IFERROR(IF(VLOOKUP(ALLOCATIONS!B116,MAPPING!$E$3:$G$302,3,FALSE)="","",VLOOKUP(ALLOCATIONS!B116,MAPPING!$E$3:$G$302,3,FALSE)),""))</f>
        <v/>
      </c>
      <c r="E122" s="6">
        <f>IF(ALLOCATIONS!A116="","",ALLOCATIONS!C116)</f>
        <v/>
      </c>
      <c r="F122" s="6">
        <f>IF(ALLOCATIONS!A116="","",IF(ALLOCATIONS!D116="",0,ALLOCATIONS!D116))</f>
        <v/>
      </c>
      <c r="G122" s="6">
        <f>IF(ALLOCATIONS!A116="","",SUMIFS(RAW_004!$I$2:$I$10001,RAW_004!$D$2:$D$10001,ALLOCATIONS!A116,RAW_004!$H$2:$H$10001,ALLOCATIONS!B116,RAW_004!$N$2:$N$10001,ALLOCATIONS!C116))</f>
        <v/>
      </c>
      <c r="H122" s="6">
        <f>IF(A122="","",G122-F122)</f>
        <v/>
      </c>
    </row>
    <row r="123">
      <c r="A123" s="6">
        <f>IF(ALLOCATIONS!A117="","",IFERROR(VLOOKUP(ALLOCATIONS!A117,MAPPING!$A$3:$C$302,2,FALSE),"UNMAPPED"))</f>
        <v/>
      </c>
      <c r="B123" s="6">
        <f>IF(ALLOCATIONS!A117="","",IFERROR(VLOOKUP(ALLOCATIONS!A117,MAPPING!$A$3:$C$302,3,FALSE),ALLOCATIONS!A117))</f>
        <v/>
      </c>
      <c r="C123" s="6">
        <f>IF(ALLOCATIONS!A117="","",IFERROR(VLOOKUP(ALLOCATIONS!B117,MAPPING!$E$3:$G$302,2,FALSE),"UNMAPPED"))</f>
        <v/>
      </c>
      <c r="D123" s="6">
        <f>IF(ALLOCATIONS!A117="","",IFERROR(IF(VLOOKUP(ALLOCATIONS!B117,MAPPING!$E$3:$G$302,3,FALSE)="","",VLOOKUP(ALLOCATIONS!B117,MAPPING!$E$3:$G$302,3,FALSE)),""))</f>
        <v/>
      </c>
      <c r="E123" s="6">
        <f>IF(ALLOCATIONS!A117="","",ALLOCATIONS!C117)</f>
        <v/>
      </c>
      <c r="F123" s="6">
        <f>IF(ALLOCATIONS!A117="","",IF(ALLOCATIONS!D117="",0,ALLOCATIONS!D117))</f>
        <v/>
      </c>
      <c r="G123" s="6">
        <f>IF(ALLOCATIONS!A117="","",SUMIFS(RAW_004!$I$2:$I$10001,RAW_004!$D$2:$D$10001,ALLOCATIONS!A117,RAW_004!$H$2:$H$10001,ALLOCATIONS!B117,RAW_004!$N$2:$N$10001,ALLOCATIONS!C117))</f>
        <v/>
      </c>
      <c r="H123" s="6">
        <f>IF(A123="","",G123-F123)</f>
        <v/>
      </c>
    </row>
    <row r="124">
      <c r="A124" s="6">
        <f>IF(ALLOCATIONS!A118="","",IFERROR(VLOOKUP(ALLOCATIONS!A118,MAPPING!$A$3:$C$302,2,FALSE),"UNMAPPED"))</f>
        <v/>
      </c>
      <c r="B124" s="6">
        <f>IF(ALLOCATIONS!A118="","",IFERROR(VLOOKUP(ALLOCATIONS!A118,MAPPING!$A$3:$C$302,3,FALSE),ALLOCATIONS!A118))</f>
        <v/>
      </c>
      <c r="C124" s="6">
        <f>IF(ALLOCATIONS!A118="","",IFERROR(VLOOKUP(ALLOCATIONS!B118,MAPPING!$E$3:$G$302,2,FALSE),"UNMAPPED"))</f>
        <v/>
      </c>
      <c r="D124" s="6">
        <f>IF(ALLOCATIONS!A118="","",IFERROR(IF(VLOOKUP(ALLOCATIONS!B118,MAPPING!$E$3:$G$302,3,FALSE)="","",VLOOKUP(ALLOCATIONS!B118,MAPPING!$E$3:$G$302,3,FALSE)),""))</f>
        <v/>
      </c>
      <c r="E124" s="6">
        <f>IF(ALLOCATIONS!A118="","",ALLOCATIONS!C118)</f>
        <v/>
      </c>
      <c r="F124" s="6">
        <f>IF(ALLOCATIONS!A118="","",IF(ALLOCATIONS!D118="",0,ALLOCATIONS!D118))</f>
        <v/>
      </c>
      <c r="G124" s="6">
        <f>IF(ALLOCATIONS!A118="","",SUMIFS(RAW_004!$I$2:$I$10001,RAW_004!$D$2:$D$10001,ALLOCATIONS!A118,RAW_004!$H$2:$H$10001,ALLOCATIONS!B118,RAW_004!$N$2:$N$10001,ALLOCATIONS!C118))</f>
        <v/>
      </c>
      <c r="H124" s="6">
        <f>IF(A124="","",G124-F124)</f>
        <v/>
      </c>
    </row>
    <row r="125">
      <c r="A125" s="6">
        <f>IF(ALLOCATIONS!A119="","",IFERROR(VLOOKUP(ALLOCATIONS!A119,MAPPING!$A$3:$C$302,2,FALSE),"UNMAPPED"))</f>
        <v/>
      </c>
      <c r="B125" s="6">
        <f>IF(ALLOCATIONS!A119="","",IFERROR(VLOOKUP(ALLOCATIONS!A119,MAPPING!$A$3:$C$302,3,FALSE),ALLOCATIONS!A119))</f>
        <v/>
      </c>
      <c r="C125" s="6">
        <f>IF(ALLOCATIONS!A119="","",IFERROR(VLOOKUP(ALLOCATIONS!B119,MAPPING!$E$3:$G$302,2,FALSE),"UNMAPPED"))</f>
        <v/>
      </c>
      <c r="D125" s="6">
        <f>IF(ALLOCATIONS!A119="","",IFERROR(IF(VLOOKUP(ALLOCATIONS!B119,MAPPING!$E$3:$G$302,3,FALSE)="","",VLOOKUP(ALLOCATIONS!B119,MAPPING!$E$3:$G$302,3,FALSE)),""))</f>
        <v/>
      </c>
      <c r="E125" s="6">
        <f>IF(ALLOCATIONS!A119="","",ALLOCATIONS!C119)</f>
        <v/>
      </c>
      <c r="F125" s="6">
        <f>IF(ALLOCATIONS!A119="","",IF(ALLOCATIONS!D119="",0,ALLOCATIONS!D119))</f>
        <v/>
      </c>
      <c r="G125" s="6">
        <f>IF(ALLOCATIONS!A119="","",SUMIFS(RAW_004!$I$2:$I$10001,RAW_004!$D$2:$D$10001,ALLOCATIONS!A119,RAW_004!$H$2:$H$10001,ALLOCATIONS!B119,RAW_004!$N$2:$N$10001,ALLOCATIONS!C119))</f>
        <v/>
      </c>
      <c r="H125" s="6">
        <f>IF(A125="","",G125-F125)</f>
        <v/>
      </c>
    </row>
    <row r="126">
      <c r="A126" s="6">
        <f>IF(ALLOCATIONS!A120="","",IFERROR(VLOOKUP(ALLOCATIONS!A120,MAPPING!$A$3:$C$302,2,FALSE),"UNMAPPED"))</f>
        <v/>
      </c>
      <c r="B126" s="6">
        <f>IF(ALLOCATIONS!A120="","",IFERROR(VLOOKUP(ALLOCATIONS!A120,MAPPING!$A$3:$C$302,3,FALSE),ALLOCATIONS!A120))</f>
        <v/>
      </c>
      <c r="C126" s="6">
        <f>IF(ALLOCATIONS!A120="","",IFERROR(VLOOKUP(ALLOCATIONS!B120,MAPPING!$E$3:$G$302,2,FALSE),"UNMAPPED"))</f>
        <v/>
      </c>
      <c r="D126" s="6">
        <f>IF(ALLOCATIONS!A120="","",IFERROR(IF(VLOOKUP(ALLOCATIONS!B120,MAPPING!$E$3:$G$302,3,FALSE)="","",VLOOKUP(ALLOCATIONS!B120,MAPPING!$E$3:$G$302,3,FALSE)),""))</f>
        <v/>
      </c>
      <c r="E126" s="6">
        <f>IF(ALLOCATIONS!A120="","",ALLOCATIONS!C120)</f>
        <v/>
      </c>
      <c r="F126" s="6">
        <f>IF(ALLOCATIONS!A120="","",IF(ALLOCATIONS!D120="",0,ALLOCATIONS!D120))</f>
        <v/>
      </c>
      <c r="G126" s="6">
        <f>IF(ALLOCATIONS!A120="","",SUMIFS(RAW_004!$I$2:$I$10001,RAW_004!$D$2:$D$10001,ALLOCATIONS!A120,RAW_004!$H$2:$H$10001,ALLOCATIONS!B120,RAW_004!$N$2:$N$10001,ALLOCATIONS!C120))</f>
        <v/>
      </c>
      <c r="H126" s="6">
        <f>IF(A126="","",G126-F126)</f>
        <v/>
      </c>
    </row>
    <row r="127">
      <c r="A127" s="6">
        <f>IF(ALLOCATIONS!A121="","",IFERROR(VLOOKUP(ALLOCATIONS!A121,MAPPING!$A$3:$C$302,2,FALSE),"UNMAPPED"))</f>
        <v/>
      </c>
      <c r="B127" s="6">
        <f>IF(ALLOCATIONS!A121="","",IFERROR(VLOOKUP(ALLOCATIONS!A121,MAPPING!$A$3:$C$302,3,FALSE),ALLOCATIONS!A121))</f>
        <v/>
      </c>
      <c r="C127" s="6">
        <f>IF(ALLOCATIONS!A121="","",IFERROR(VLOOKUP(ALLOCATIONS!B121,MAPPING!$E$3:$G$302,2,FALSE),"UNMAPPED"))</f>
        <v/>
      </c>
      <c r="D127" s="6">
        <f>IF(ALLOCATIONS!A121="","",IFERROR(IF(VLOOKUP(ALLOCATIONS!B121,MAPPING!$E$3:$G$302,3,FALSE)="","",VLOOKUP(ALLOCATIONS!B121,MAPPING!$E$3:$G$302,3,FALSE)),""))</f>
        <v/>
      </c>
      <c r="E127" s="6">
        <f>IF(ALLOCATIONS!A121="","",ALLOCATIONS!C121)</f>
        <v/>
      </c>
      <c r="F127" s="6">
        <f>IF(ALLOCATIONS!A121="","",IF(ALLOCATIONS!D121="",0,ALLOCATIONS!D121))</f>
        <v/>
      </c>
      <c r="G127" s="6">
        <f>IF(ALLOCATIONS!A121="","",SUMIFS(RAW_004!$I$2:$I$10001,RAW_004!$D$2:$D$10001,ALLOCATIONS!A121,RAW_004!$H$2:$H$10001,ALLOCATIONS!B121,RAW_004!$N$2:$N$10001,ALLOCATIONS!C121))</f>
        <v/>
      </c>
      <c r="H127" s="6">
        <f>IF(A127="","",G127-F127)</f>
        <v/>
      </c>
    </row>
    <row r="128">
      <c r="A128" s="6">
        <f>IF(ALLOCATIONS!A122="","",IFERROR(VLOOKUP(ALLOCATIONS!A122,MAPPING!$A$3:$C$302,2,FALSE),"UNMAPPED"))</f>
        <v/>
      </c>
      <c r="B128" s="6">
        <f>IF(ALLOCATIONS!A122="","",IFERROR(VLOOKUP(ALLOCATIONS!A122,MAPPING!$A$3:$C$302,3,FALSE),ALLOCATIONS!A122))</f>
        <v/>
      </c>
      <c r="C128" s="6">
        <f>IF(ALLOCATIONS!A122="","",IFERROR(VLOOKUP(ALLOCATIONS!B122,MAPPING!$E$3:$G$302,2,FALSE),"UNMAPPED"))</f>
        <v/>
      </c>
      <c r="D128" s="6">
        <f>IF(ALLOCATIONS!A122="","",IFERROR(IF(VLOOKUP(ALLOCATIONS!B122,MAPPING!$E$3:$G$302,3,FALSE)="","",VLOOKUP(ALLOCATIONS!B122,MAPPING!$E$3:$G$302,3,FALSE)),""))</f>
        <v/>
      </c>
      <c r="E128" s="6">
        <f>IF(ALLOCATIONS!A122="","",ALLOCATIONS!C122)</f>
        <v/>
      </c>
      <c r="F128" s="6">
        <f>IF(ALLOCATIONS!A122="","",IF(ALLOCATIONS!D122="",0,ALLOCATIONS!D122))</f>
        <v/>
      </c>
      <c r="G128" s="6">
        <f>IF(ALLOCATIONS!A122="","",SUMIFS(RAW_004!$I$2:$I$10001,RAW_004!$D$2:$D$10001,ALLOCATIONS!A122,RAW_004!$H$2:$H$10001,ALLOCATIONS!B122,RAW_004!$N$2:$N$10001,ALLOCATIONS!C122))</f>
        <v/>
      </c>
      <c r="H128" s="6">
        <f>IF(A128="","",G128-F128)</f>
        <v/>
      </c>
    </row>
    <row r="129">
      <c r="A129" s="6">
        <f>IF(ALLOCATIONS!A123="","",IFERROR(VLOOKUP(ALLOCATIONS!A123,MAPPING!$A$3:$C$302,2,FALSE),"UNMAPPED"))</f>
        <v/>
      </c>
      <c r="B129" s="6">
        <f>IF(ALLOCATIONS!A123="","",IFERROR(VLOOKUP(ALLOCATIONS!A123,MAPPING!$A$3:$C$302,3,FALSE),ALLOCATIONS!A123))</f>
        <v/>
      </c>
      <c r="C129" s="6">
        <f>IF(ALLOCATIONS!A123="","",IFERROR(VLOOKUP(ALLOCATIONS!B123,MAPPING!$E$3:$G$302,2,FALSE),"UNMAPPED"))</f>
        <v/>
      </c>
      <c r="D129" s="6">
        <f>IF(ALLOCATIONS!A123="","",IFERROR(IF(VLOOKUP(ALLOCATIONS!B123,MAPPING!$E$3:$G$302,3,FALSE)="","",VLOOKUP(ALLOCATIONS!B123,MAPPING!$E$3:$G$302,3,FALSE)),""))</f>
        <v/>
      </c>
      <c r="E129" s="6">
        <f>IF(ALLOCATIONS!A123="","",ALLOCATIONS!C123)</f>
        <v/>
      </c>
      <c r="F129" s="6">
        <f>IF(ALLOCATIONS!A123="","",IF(ALLOCATIONS!D123="",0,ALLOCATIONS!D123))</f>
        <v/>
      </c>
      <c r="G129" s="6">
        <f>IF(ALLOCATIONS!A123="","",SUMIFS(RAW_004!$I$2:$I$10001,RAW_004!$D$2:$D$10001,ALLOCATIONS!A123,RAW_004!$H$2:$H$10001,ALLOCATIONS!B123,RAW_004!$N$2:$N$10001,ALLOCATIONS!C123))</f>
        <v/>
      </c>
      <c r="H129" s="6">
        <f>IF(A129="","",G129-F129)</f>
        <v/>
      </c>
    </row>
    <row r="130">
      <c r="A130" s="6">
        <f>IF(ALLOCATIONS!A124="","",IFERROR(VLOOKUP(ALLOCATIONS!A124,MAPPING!$A$3:$C$302,2,FALSE),"UNMAPPED"))</f>
        <v/>
      </c>
      <c r="B130" s="6">
        <f>IF(ALLOCATIONS!A124="","",IFERROR(VLOOKUP(ALLOCATIONS!A124,MAPPING!$A$3:$C$302,3,FALSE),ALLOCATIONS!A124))</f>
        <v/>
      </c>
      <c r="C130" s="6">
        <f>IF(ALLOCATIONS!A124="","",IFERROR(VLOOKUP(ALLOCATIONS!B124,MAPPING!$E$3:$G$302,2,FALSE),"UNMAPPED"))</f>
        <v/>
      </c>
      <c r="D130" s="6">
        <f>IF(ALLOCATIONS!A124="","",IFERROR(IF(VLOOKUP(ALLOCATIONS!B124,MAPPING!$E$3:$G$302,3,FALSE)="","",VLOOKUP(ALLOCATIONS!B124,MAPPING!$E$3:$G$302,3,FALSE)),""))</f>
        <v/>
      </c>
      <c r="E130" s="6">
        <f>IF(ALLOCATIONS!A124="","",ALLOCATIONS!C124)</f>
        <v/>
      </c>
      <c r="F130" s="6">
        <f>IF(ALLOCATIONS!A124="","",IF(ALLOCATIONS!D124="",0,ALLOCATIONS!D124))</f>
        <v/>
      </c>
      <c r="G130" s="6">
        <f>IF(ALLOCATIONS!A124="","",SUMIFS(RAW_004!$I$2:$I$10001,RAW_004!$D$2:$D$10001,ALLOCATIONS!A124,RAW_004!$H$2:$H$10001,ALLOCATIONS!B124,RAW_004!$N$2:$N$10001,ALLOCATIONS!C124))</f>
        <v/>
      </c>
      <c r="H130" s="6">
        <f>IF(A130="","",G130-F130)</f>
        <v/>
      </c>
    </row>
    <row r="131">
      <c r="A131" s="6">
        <f>IF(ALLOCATIONS!A125="","",IFERROR(VLOOKUP(ALLOCATIONS!A125,MAPPING!$A$3:$C$302,2,FALSE),"UNMAPPED"))</f>
        <v/>
      </c>
      <c r="B131" s="6">
        <f>IF(ALLOCATIONS!A125="","",IFERROR(VLOOKUP(ALLOCATIONS!A125,MAPPING!$A$3:$C$302,3,FALSE),ALLOCATIONS!A125))</f>
        <v/>
      </c>
      <c r="C131" s="6">
        <f>IF(ALLOCATIONS!A125="","",IFERROR(VLOOKUP(ALLOCATIONS!B125,MAPPING!$E$3:$G$302,2,FALSE),"UNMAPPED"))</f>
        <v/>
      </c>
      <c r="D131" s="6">
        <f>IF(ALLOCATIONS!A125="","",IFERROR(IF(VLOOKUP(ALLOCATIONS!B125,MAPPING!$E$3:$G$302,3,FALSE)="","",VLOOKUP(ALLOCATIONS!B125,MAPPING!$E$3:$G$302,3,FALSE)),""))</f>
        <v/>
      </c>
      <c r="E131" s="6">
        <f>IF(ALLOCATIONS!A125="","",ALLOCATIONS!C125)</f>
        <v/>
      </c>
      <c r="F131" s="6">
        <f>IF(ALLOCATIONS!A125="","",IF(ALLOCATIONS!D125="",0,ALLOCATIONS!D125))</f>
        <v/>
      </c>
      <c r="G131" s="6">
        <f>IF(ALLOCATIONS!A125="","",SUMIFS(RAW_004!$I$2:$I$10001,RAW_004!$D$2:$D$10001,ALLOCATIONS!A125,RAW_004!$H$2:$H$10001,ALLOCATIONS!B125,RAW_004!$N$2:$N$10001,ALLOCATIONS!C125))</f>
        <v/>
      </c>
      <c r="H131" s="6">
        <f>IF(A131="","",G131-F131)</f>
        <v/>
      </c>
    </row>
    <row r="132">
      <c r="A132" s="6">
        <f>IF(ALLOCATIONS!A126="","",IFERROR(VLOOKUP(ALLOCATIONS!A126,MAPPING!$A$3:$C$302,2,FALSE),"UNMAPPED"))</f>
        <v/>
      </c>
      <c r="B132" s="6">
        <f>IF(ALLOCATIONS!A126="","",IFERROR(VLOOKUP(ALLOCATIONS!A126,MAPPING!$A$3:$C$302,3,FALSE),ALLOCATIONS!A126))</f>
        <v/>
      </c>
      <c r="C132" s="6">
        <f>IF(ALLOCATIONS!A126="","",IFERROR(VLOOKUP(ALLOCATIONS!B126,MAPPING!$E$3:$G$302,2,FALSE),"UNMAPPED"))</f>
        <v/>
      </c>
      <c r="D132" s="6">
        <f>IF(ALLOCATIONS!A126="","",IFERROR(IF(VLOOKUP(ALLOCATIONS!B126,MAPPING!$E$3:$G$302,3,FALSE)="","",VLOOKUP(ALLOCATIONS!B126,MAPPING!$E$3:$G$302,3,FALSE)),""))</f>
        <v/>
      </c>
      <c r="E132" s="6">
        <f>IF(ALLOCATIONS!A126="","",ALLOCATIONS!C126)</f>
        <v/>
      </c>
      <c r="F132" s="6">
        <f>IF(ALLOCATIONS!A126="","",IF(ALLOCATIONS!D126="",0,ALLOCATIONS!D126))</f>
        <v/>
      </c>
      <c r="G132" s="6">
        <f>IF(ALLOCATIONS!A126="","",SUMIFS(RAW_004!$I$2:$I$10001,RAW_004!$D$2:$D$10001,ALLOCATIONS!A126,RAW_004!$H$2:$H$10001,ALLOCATIONS!B126,RAW_004!$N$2:$N$10001,ALLOCATIONS!C126))</f>
        <v/>
      </c>
      <c r="H132" s="6">
        <f>IF(A132="","",G132-F132)</f>
        <v/>
      </c>
    </row>
    <row r="133">
      <c r="A133" s="6">
        <f>IF(ALLOCATIONS!A127="","",IFERROR(VLOOKUP(ALLOCATIONS!A127,MAPPING!$A$3:$C$302,2,FALSE),"UNMAPPED"))</f>
        <v/>
      </c>
      <c r="B133" s="6">
        <f>IF(ALLOCATIONS!A127="","",IFERROR(VLOOKUP(ALLOCATIONS!A127,MAPPING!$A$3:$C$302,3,FALSE),ALLOCATIONS!A127))</f>
        <v/>
      </c>
      <c r="C133" s="6">
        <f>IF(ALLOCATIONS!A127="","",IFERROR(VLOOKUP(ALLOCATIONS!B127,MAPPING!$E$3:$G$302,2,FALSE),"UNMAPPED"))</f>
        <v/>
      </c>
      <c r="D133" s="6">
        <f>IF(ALLOCATIONS!A127="","",IFERROR(IF(VLOOKUP(ALLOCATIONS!B127,MAPPING!$E$3:$G$302,3,FALSE)="","",VLOOKUP(ALLOCATIONS!B127,MAPPING!$E$3:$G$302,3,FALSE)),""))</f>
        <v/>
      </c>
      <c r="E133" s="6">
        <f>IF(ALLOCATIONS!A127="","",ALLOCATIONS!C127)</f>
        <v/>
      </c>
      <c r="F133" s="6">
        <f>IF(ALLOCATIONS!A127="","",IF(ALLOCATIONS!D127="",0,ALLOCATIONS!D127))</f>
        <v/>
      </c>
      <c r="G133" s="6">
        <f>IF(ALLOCATIONS!A127="","",SUMIFS(RAW_004!$I$2:$I$10001,RAW_004!$D$2:$D$10001,ALLOCATIONS!A127,RAW_004!$H$2:$H$10001,ALLOCATIONS!B127,RAW_004!$N$2:$N$10001,ALLOCATIONS!C127))</f>
        <v/>
      </c>
      <c r="H133" s="6">
        <f>IF(A133="","",G133-F133)</f>
        <v/>
      </c>
    </row>
    <row r="134">
      <c r="A134" s="6">
        <f>IF(ALLOCATIONS!A128="","",IFERROR(VLOOKUP(ALLOCATIONS!A128,MAPPING!$A$3:$C$302,2,FALSE),"UNMAPPED"))</f>
        <v/>
      </c>
      <c r="B134" s="6">
        <f>IF(ALLOCATIONS!A128="","",IFERROR(VLOOKUP(ALLOCATIONS!A128,MAPPING!$A$3:$C$302,3,FALSE),ALLOCATIONS!A128))</f>
        <v/>
      </c>
      <c r="C134" s="6">
        <f>IF(ALLOCATIONS!A128="","",IFERROR(VLOOKUP(ALLOCATIONS!B128,MAPPING!$E$3:$G$302,2,FALSE),"UNMAPPED"))</f>
        <v/>
      </c>
      <c r="D134" s="6">
        <f>IF(ALLOCATIONS!A128="","",IFERROR(IF(VLOOKUP(ALLOCATIONS!B128,MAPPING!$E$3:$G$302,3,FALSE)="","",VLOOKUP(ALLOCATIONS!B128,MAPPING!$E$3:$G$302,3,FALSE)),""))</f>
        <v/>
      </c>
      <c r="E134" s="6">
        <f>IF(ALLOCATIONS!A128="","",ALLOCATIONS!C128)</f>
        <v/>
      </c>
      <c r="F134" s="6">
        <f>IF(ALLOCATIONS!A128="","",IF(ALLOCATIONS!D128="",0,ALLOCATIONS!D128))</f>
        <v/>
      </c>
      <c r="G134" s="6">
        <f>IF(ALLOCATIONS!A128="","",SUMIFS(RAW_004!$I$2:$I$10001,RAW_004!$D$2:$D$10001,ALLOCATIONS!A128,RAW_004!$H$2:$H$10001,ALLOCATIONS!B128,RAW_004!$N$2:$N$10001,ALLOCATIONS!C128))</f>
        <v/>
      </c>
      <c r="H134" s="6">
        <f>IF(A134="","",G134-F134)</f>
        <v/>
      </c>
    </row>
    <row r="135">
      <c r="A135" s="6">
        <f>IF(ALLOCATIONS!A129="","",IFERROR(VLOOKUP(ALLOCATIONS!A129,MAPPING!$A$3:$C$302,2,FALSE),"UNMAPPED"))</f>
        <v/>
      </c>
      <c r="B135" s="6">
        <f>IF(ALLOCATIONS!A129="","",IFERROR(VLOOKUP(ALLOCATIONS!A129,MAPPING!$A$3:$C$302,3,FALSE),ALLOCATIONS!A129))</f>
        <v/>
      </c>
      <c r="C135" s="6">
        <f>IF(ALLOCATIONS!A129="","",IFERROR(VLOOKUP(ALLOCATIONS!B129,MAPPING!$E$3:$G$302,2,FALSE),"UNMAPPED"))</f>
        <v/>
      </c>
      <c r="D135" s="6">
        <f>IF(ALLOCATIONS!A129="","",IFERROR(IF(VLOOKUP(ALLOCATIONS!B129,MAPPING!$E$3:$G$302,3,FALSE)="","",VLOOKUP(ALLOCATIONS!B129,MAPPING!$E$3:$G$302,3,FALSE)),""))</f>
        <v/>
      </c>
      <c r="E135" s="6">
        <f>IF(ALLOCATIONS!A129="","",ALLOCATIONS!C129)</f>
        <v/>
      </c>
      <c r="F135" s="6">
        <f>IF(ALLOCATIONS!A129="","",IF(ALLOCATIONS!D129="",0,ALLOCATIONS!D129))</f>
        <v/>
      </c>
      <c r="G135" s="6">
        <f>IF(ALLOCATIONS!A129="","",SUMIFS(RAW_004!$I$2:$I$10001,RAW_004!$D$2:$D$10001,ALLOCATIONS!A129,RAW_004!$H$2:$H$10001,ALLOCATIONS!B129,RAW_004!$N$2:$N$10001,ALLOCATIONS!C129))</f>
        <v/>
      </c>
      <c r="H135" s="6">
        <f>IF(A135="","",G135-F135)</f>
        <v/>
      </c>
    </row>
    <row r="136">
      <c r="A136" s="6">
        <f>IF(ALLOCATIONS!A130="","",IFERROR(VLOOKUP(ALLOCATIONS!A130,MAPPING!$A$3:$C$302,2,FALSE),"UNMAPPED"))</f>
        <v/>
      </c>
      <c r="B136" s="6">
        <f>IF(ALLOCATIONS!A130="","",IFERROR(VLOOKUP(ALLOCATIONS!A130,MAPPING!$A$3:$C$302,3,FALSE),ALLOCATIONS!A130))</f>
        <v/>
      </c>
      <c r="C136" s="6">
        <f>IF(ALLOCATIONS!A130="","",IFERROR(VLOOKUP(ALLOCATIONS!B130,MAPPING!$E$3:$G$302,2,FALSE),"UNMAPPED"))</f>
        <v/>
      </c>
      <c r="D136" s="6">
        <f>IF(ALLOCATIONS!A130="","",IFERROR(IF(VLOOKUP(ALLOCATIONS!B130,MAPPING!$E$3:$G$302,3,FALSE)="","",VLOOKUP(ALLOCATIONS!B130,MAPPING!$E$3:$G$302,3,FALSE)),""))</f>
        <v/>
      </c>
      <c r="E136" s="6">
        <f>IF(ALLOCATIONS!A130="","",ALLOCATIONS!C130)</f>
        <v/>
      </c>
      <c r="F136" s="6">
        <f>IF(ALLOCATIONS!A130="","",IF(ALLOCATIONS!D130="",0,ALLOCATIONS!D130))</f>
        <v/>
      </c>
      <c r="G136" s="6">
        <f>IF(ALLOCATIONS!A130="","",SUMIFS(RAW_004!$I$2:$I$10001,RAW_004!$D$2:$D$10001,ALLOCATIONS!A130,RAW_004!$H$2:$H$10001,ALLOCATIONS!B130,RAW_004!$N$2:$N$10001,ALLOCATIONS!C130))</f>
        <v/>
      </c>
      <c r="H136" s="6">
        <f>IF(A136="","",G136-F136)</f>
        <v/>
      </c>
    </row>
    <row r="137">
      <c r="A137" s="6">
        <f>IF(ALLOCATIONS!A131="","",IFERROR(VLOOKUP(ALLOCATIONS!A131,MAPPING!$A$3:$C$302,2,FALSE),"UNMAPPED"))</f>
        <v/>
      </c>
      <c r="B137" s="6">
        <f>IF(ALLOCATIONS!A131="","",IFERROR(VLOOKUP(ALLOCATIONS!A131,MAPPING!$A$3:$C$302,3,FALSE),ALLOCATIONS!A131))</f>
        <v/>
      </c>
      <c r="C137" s="6">
        <f>IF(ALLOCATIONS!A131="","",IFERROR(VLOOKUP(ALLOCATIONS!B131,MAPPING!$E$3:$G$302,2,FALSE),"UNMAPPED"))</f>
        <v/>
      </c>
      <c r="D137" s="6">
        <f>IF(ALLOCATIONS!A131="","",IFERROR(IF(VLOOKUP(ALLOCATIONS!B131,MAPPING!$E$3:$G$302,3,FALSE)="","",VLOOKUP(ALLOCATIONS!B131,MAPPING!$E$3:$G$302,3,FALSE)),""))</f>
        <v/>
      </c>
      <c r="E137" s="6">
        <f>IF(ALLOCATIONS!A131="","",ALLOCATIONS!C131)</f>
        <v/>
      </c>
      <c r="F137" s="6">
        <f>IF(ALLOCATIONS!A131="","",IF(ALLOCATIONS!D131="",0,ALLOCATIONS!D131))</f>
        <v/>
      </c>
      <c r="G137" s="6">
        <f>IF(ALLOCATIONS!A131="","",SUMIFS(RAW_004!$I$2:$I$10001,RAW_004!$D$2:$D$10001,ALLOCATIONS!A131,RAW_004!$H$2:$H$10001,ALLOCATIONS!B131,RAW_004!$N$2:$N$10001,ALLOCATIONS!C131))</f>
        <v/>
      </c>
      <c r="H137" s="6">
        <f>IF(A137="","",G137-F137)</f>
        <v/>
      </c>
    </row>
    <row r="138">
      <c r="A138" s="6">
        <f>IF(ALLOCATIONS!A132="","",IFERROR(VLOOKUP(ALLOCATIONS!A132,MAPPING!$A$3:$C$302,2,FALSE),"UNMAPPED"))</f>
        <v/>
      </c>
      <c r="B138" s="6">
        <f>IF(ALLOCATIONS!A132="","",IFERROR(VLOOKUP(ALLOCATIONS!A132,MAPPING!$A$3:$C$302,3,FALSE),ALLOCATIONS!A132))</f>
        <v/>
      </c>
      <c r="C138" s="6">
        <f>IF(ALLOCATIONS!A132="","",IFERROR(VLOOKUP(ALLOCATIONS!B132,MAPPING!$E$3:$G$302,2,FALSE),"UNMAPPED"))</f>
        <v/>
      </c>
      <c r="D138" s="6">
        <f>IF(ALLOCATIONS!A132="","",IFERROR(IF(VLOOKUP(ALLOCATIONS!B132,MAPPING!$E$3:$G$302,3,FALSE)="","",VLOOKUP(ALLOCATIONS!B132,MAPPING!$E$3:$G$302,3,FALSE)),""))</f>
        <v/>
      </c>
      <c r="E138" s="6">
        <f>IF(ALLOCATIONS!A132="","",ALLOCATIONS!C132)</f>
        <v/>
      </c>
      <c r="F138" s="6">
        <f>IF(ALLOCATIONS!A132="","",IF(ALLOCATIONS!D132="",0,ALLOCATIONS!D132))</f>
        <v/>
      </c>
      <c r="G138" s="6">
        <f>IF(ALLOCATIONS!A132="","",SUMIFS(RAW_004!$I$2:$I$10001,RAW_004!$D$2:$D$10001,ALLOCATIONS!A132,RAW_004!$H$2:$H$10001,ALLOCATIONS!B132,RAW_004!$N$2:$N$10001,ALLOCATIONS!C132))</f>
        <v/>
      </c>
      <c r="H138" s="6">
        <f>IF(A138="","",G138-F138)</f>
        <v/>
      </c>
    </row>
    <row r="139">
      <c r="A139" s="6">
        <f>IF(ALLOCATIONS!A133="","",IFERROR(VLOOKUP(ALLOCATIONS!A133,MAPPING!$A$3:$C$302,2,FALSE),"UNMAPPED"))</f>
        <v/>
      </c>
      <c r="B139" s="6">
        <f>IF(ALLOCATIONS!A133="","",IFERROR(VLOOKUP(ALLOCATIONS!A133,MAPPING!$A$3:$C$302,3,FALSE),ALLOCATIONS!A133))</f>
        <v/>
      </c>
      <c r="C139" s="6">
        <f>IF(ALLOCATIONS!A133="","",IFERROR(VLOOKUP(ALLOCATIONS!B133,MAPPING!$E$3:$G$302,2,FALSE),"UNMAPPED"))</f>
        <v/>
      </c>
      <c r="D139" s="6">
        <f>IF(ALLOCATIONS!A133="","",IFERROR(IF(VLOOKUP(ALLOCATIONS!B133,MAPPING!$E$3:$G$302,3,FALSE)="","",VLOOKUP(ALLOCATIONS!B133,MAPPING!$E$3:$G$302,3,FALSE)),""))</f>
        <v/>
      </c>
      <c r="E139" s="6">
        <f>IF(ALLOCATIONS!A133="","",ALLOCATIONS!C133)</f>
        <v/>
      </c>
      <c r="F139" s="6">
        <f>IF(ALLOCATIONS!A133="","",IF(ALLOCATIONS!D133="",0,ALLOCATIONS!D133))</f>
        <v/>
      </c>
      <c r="G139" s="6">
        <f>IF(ALLOCATIONS!A133="","",SUMIFS(RAW_004!$I$2:$I$10001,RAW_004!$D$2:$D$10001,ALLOCATIONS!A133,RAW_004!$H$2:$H$10001,ALLOCATIONS!B133,RAW_004!$N$2:$N$10001,ALLOCATIONS!C133))</f>
        <v/>
      </c>
      <c r="H139" s="6">
        <f>IF(A139="","",G139-F139)</f>
        <v/>
      </c>
    </row>
    <row r="140">
      <c r="A140" s="6">
        <f>IF(ALLOCATIONS!A134="","",IFERROR(VLOOKUP(ALLOCATIONS!A134,MAPPING!$A$3:$C$302,2,FALSE),"UNMAPPED"))</f>
        <v/>
      </c>
      <c r="B140" s="6">
        <f>IF(ALLOCATIONS!A134="","",IFERROR(VLOOKUP(ALLOCATIONS!A134,MAPPING!$A$3:$C$302,3,FALSE),ALLOCATIONS!A134))</f>
        <v/>
      </c>
      <c r="C140" s="6">
        <f>IF(ALLOCATIONS!A134="","",IFERROR(VLOOKUP(ALLOCATIONS!B134,MAPPING!$E$3:$G$302,2,FALSE),"UNMAPPED"))</f>
        <v/>
      </c>
      <c r="D140" s="6">
        <f>IF(ALLOCATIONS!A134="","",IFERROR(IF(VLOOKUP(ALLOCATIONS!B134,MAPPING!$E$3:$G$302,3,FALSE)="","",VLOOKUP(ALLOCATIONS!B134,MAPPING!$E$3:$G$302,3,FALSE)),""))</f>
        <v/>
      </c>
      <c r="E140" s="6">
        <f>IF(ALLOCATIONS!A134="","",ALLOCATIONS!C134)</f>
        <v/>
      </c>
      <c r="F140" s="6">
        <f>IF(ALLOCATIONS!A134="","",IF(ALLOCATIONS!D134="",0,ALLOCATIONS!D134))</f>
        <v/>
      </c>
      <c r="G140" s="6">
        <f>IF(ALLOCATIONS!A134="","",SUMIFS(RAW_004!$I$2:$I$10001,RAW_004!$D$2:$D$10001,ALLOCATIONS!A134,RAW_004!$H$2:$H$10001,ALLOCATIONS!B134,RAW_004!$N$2:$N$10001,ALLOCATIONS!C134))</f>
        <v/>
      </c>
      <c r="H140" s="6">
        <f>IF(A140="","",G140-F140)</f>
        <v/>
      </c>
    </row>
    <row r="141">
      <c r="A141" s="6">
        <f>IF(ALLOCATIONS!A135="","",IFERROR(VLOOKUP(ALLOCATIONS!A135,MAPPING!$A$3:$C$302,2,FALSE),"UNMAPPED"))</f>
        <v/>
      </c>
      <c r="B141" s="6">
        <f>IF(ALLOCATIONS!A135="","",IFERROR(VLOOKUP(ALLOCATIONS!A135,MAPPING!$A$3:$C$302,3,FALSE),ALLOCATIONS!A135))</f>
        <v/>
      </c>
      <c r="C141" s="6">
        <f>IF(ALLOCATIONS!A135="","",IFERROR(VLOOKUP(ALLOCATIONS!B135,MAPPING!$E$3:$G$302,2,FALSE),"UNMAPPED"))</f>
        <v/>
      </c>
      <c r="D141" s="6">
        <f>IF(ALLOCATIONS!A135="","",IFERROR(IF(VLOOKUP(ALLOCATIONS!B135,MAPPING!$E$3:$G$302,3,FALSE)="","",VLOOKUP(ALLOCATIONS!B135,MAPPING!$E$3:$G$302,3,FALSE)),""))</f>
        <v/>
      </c>
      <c r="E141" s="6">
        <f>IF(ALLOCATIONS!A135="","",ALLOCATIONS!C135)</f>
        <v/>
      </c>
      <c r="F141" s="6">
        <f>IF(ALLOCATIONS!A135="","",IF(ALLOCATIONS!D135="",0,ALLOCATIONS!D135))</f>
        <v/>
      </c>
      <c r="G141" s="6">
        <f>IF(ALLOCATIONS!A135="","",SUMIFS(RAW_004!$I$2:$I$10001,RAW_004!$D$2:$D$10001,ALLOCATIONS!A135,RAW_004!$H$2:$H$10001,ALLOCATIONS!B135,RAW_004!$N$2:$N$10001,ALLOCATIONS!C135))</f>
        <v/>
      </c>
      <c r="H141" s="6">
        <f>IF(A141="","",G141-F141)</f>
        <v/>
      </c>
    </row>
    <row r="142">
      <c r="A142" s="6">
        <f>IF(ALLOCATIONS!A136="","",IFERROR(VLOOKUP(ALLOCATIONS!A136,MAPPING!$A$3:$C$302,2,FALSE),"UNMAPPED"))</f>
        <v/>
      </c>
      <c r="B142" s="6">
        <f>IF(ALLOCATIONS!A136="","",IFERROR(VLOOKUP(ALLOCATIONS!A136,MAPPING!$A$3:$C$302,3,FALSE),ALLOCATIONS!A136))</f>
        <v/>
      </c>
      <c r="C142" s="6">
        <f>IF(ALLOCATIONS!A136="","",IFERROR(VLOOKUP(ALLOCATIONS!B136,MAPPING!$E$3:$G$302,2,FALSE),"UNMAPPED"))</f>
        <v/>
      </c>
      <c r="D142" s="6">
        <f>IF(ALLOCATIONS!A136="","",IFERROR(IF(VLOOKUP(ALLOCATIONS!B136,MAPPING!$E$3:$G$302,3,FALSE)="","",VLOOKUP(ALLOCATIONS!B136,MAPPING!$E$3:$G$302,3,FALSE)),""))</f>
        <v/>
      </c>
      <c r="E142" s="6">
        <f>IF(ALLOCATIONS!A136="","",ALLOCATIONS!C136)</f>
        <v/>
      </c>
      <c r="F142" s="6">
        <f>IF(ALLOCATIONS!A136="","",IF(ALLOCATIONS!D136="",0,ALLOCATIONS!D136))</f>
        <v/>
      </c>
      <c r="G142" s="6">
        <f>IF(ALLOCATIONS!A136="","",SUMIFS(RAW_004!$I$2:$I$10001,RAW_004!$D$2:$D$10001,ALLOCATIONS!A136,RAW_004!$H$2:$H$10001,ALLOCATIONS!B136,RAW_004!$N$2:$N$10001,ALLOCATIONS!C136))</f>
        <v/>
      </c>
      <c r="H142" s="6">
        <f>IF(A142="","",G142-F142)</f>
        <v/>
      </c>
    </row>
    <row r="143">
      <c r="A143" s="6">
        <f>IF(ALLOCATIONS!A137="","",IFERROR(VLOOKUP(ALLOCATIONS!A137,MAPPING!$A$3:$C$302,2,FALSE),"UNMAPPED"))</f>
        <v/>
      </c>
      <c r="B143" s="6">
        <f>IF(ALLOCATIONS!A137="","",IFERROR(VLOOKUP(ALLOCATIONS!A137,MAPPING!$A$3:$C$302,3,FALSE),ALLOCATIONS!A137))</f>
        <v/>
      </c>
      <c r="C143" s="6">
        <f>IF(ALLOCATIONS!A137="","",IFERROR(VLOOKUP(ALLOCATIONS!B137,MAPPING!$E$3:$G$302,2,FALSE),"UNMAPPED"))</f>
        <v/>
      </c>
      <c r="D143" s="6">
        <f>IF(ALLOCATIONS!A137="","",IFERROR(IF(VLOOKUP(ALLOCATIONS!B137,MAPPING!$E$3:$G$302,3,FALSE)="","",VLOOKUP(ALLOCATIONS!B137,MAPPING!$E$3:$G$302,3,FALSE)),""))</f>
        <v/>
      </c>
      <c r="E143" s="6">
        <f>IF(ALLOCATIONS!A137="","",ALLOCATIONS!C137)</f>
        <v/>
      </c>
      <c r="F143" s="6">
        <f>IF(ALLOCATIONS!A137="","",IF(ALLOCATIONS!D137="",0,ALLOCATIONS!D137))</f>
        <v/>
      </c>
      <c r="G143" s="6">
        <f>IF(ALLOCATIONS!A137="","",SUMIFS(RAW_004!$I$2:$I$10001,RAW_004!$D$2:$D$10001,ALLOCATIONS!A137,RAW_004!$H$2:$H$10001,ALLOCATIONS!B137,RAW_004!$N$2:$N$10001,ALLOCATIONS!C137))</f>
        <v/>
      </c>
      <c r="H143" s="6">
        <f>IF(A143="","",G143-F143)</f>
        <v/>
      </c>
    </row>
    <row r="144">
      <c r="A144" s="6">
        <f>IF(ALLOCATIONS!A138="","",IFERROR(VLOOKUP(ALLOCATIONS!A138,MAPPING!$A$3:$C$302,2,FALSE),"UNMAPPED"))</f>
        <v/>
      </c>
      <c r="B144" s="6">
        <f>IF(ALLOCATIONS!A138="","",IFERROR(VLOOKUP(ALLOCATIONS!A138,MAPPING!$A$3:$C$302,3,FALSE),ALLOCATIONS!A138))</f>
        <v/>
      </c>
      <c r="C144" s="6">
        <f>IF(ALLOCATIONS!A138="","",IFERROR(VLOOKUP(ALLOCATIONS!B138,MAPPING!$E$3:$G$302,2,FALSE),"UNMAPPED"))</f>
        <v/>
      </c>
      <c r="D144" s="6">
        <f>IF(ALLOCATIONS!A138="","",IFERROR(IF(VLOOKUP(ALLOCATIONS!B138,MAPPING!$E$3:$G$302,3,FALSE)="","",VLOOKUP(ALLOCATIONS!B138,MAPPING!$E$3:$G$302,3,FALSE)),""))</f>
        <v/>
      </c>
      <c r="E144" s="6">
        <f>IF(ALLOCATIONS!A138="","",ALLOCATIONS!C138)</f>
        <v/>
      </c>
      <c r="F144" s="6">
        <f>IF(ALLOCATIONS!A138="","",IF(ALLOCATIONS!D138="",0,ALLOCATIONS!D138))</f>
        <v/>
      </c>
      <c r="G144" s="6">
        <f>IF(ALLOCATIONS!A138="","",SUMIFS(RAW_004!$I$2:$I$10001,RAW_004!$D$2:$D$10001,ALLOCATIONS!A138,RAW_004!$H$2:$H$10001,ALLOCATIONS!B138,RAW_004!$N$2:$N$10001,ALLOCATIONS!C138))</f>
        <v/>
      </c>
      <c r="H144" s="6">
        <f>IF(A144="","",G144-F144)</f>
        <v/>
      </c>
    </row>
    <row r="145">
      <c r="A145" s="6">
        <f>IF(ALLOCATIONS!A139="","",IFERROR(VLOOKUP(ALLOCATIONS!A139,MAPPING!$A$3:$C$302,2,FALSE),"UNMAPPED"))</f>
        <v/>
      </c>
      <c r="B145" s="6">
        <f>IF(ALLOCATIONS!A139="","",IFERROR(VLOOKUP(ALLOCATIONS!A139,MAPPING!$A$3:$C$302,3,FALSE),ALLOCATIONS!A139))</f>
        <v/>
      </c>
      <c r="C145" s="6">
        <f>IF(ALLOCATIONS!A139="","",IFERROR(VLOOKUP(ALLOCATIONS!B139,MAPPING!$E$3:$G$302,2,FALSE),"UNMAPPED"))</f>
        <v/>
      </c>
      <c r="D145" s="6">
        <f>IF(ALLOCATIONS!A139="","",IFERROR(IF(VLOOKUP(ALLOCATIONS!B139,MAPPING!$E$3:$G$302,3,FALSE)="","",VLOOKUP(ALLOCATIONS!B139,MAPPING!$E$3:$G$302,3,FALSE)),""))</f>
        <v/>
      </c>
      <c r="E145" s="6">
        <f>IF(ALLOCATIONS!A139="","",ALLOCATIONS!C139)</f>
        <v/>
      </c>
      <c r="F145" s="6">
        <f>IF(ALLOCATIONS!A139="","",IF(ALLOCATIONS!D139="",0,ALLOCATIONS!D139))</f>
        <v/>
      </c>
      <c r="G145" s="6">
        <f>IF(ALLOCATIONS!A139="","",SUMIFS(RAW_004!$I$2:$I$10001,RAW_004!$D$2:$D$10001,ALLOCATIONS!A139,RAW_004!$H$2:$H$10001,ALLOCATIONS!B139,RAW_004!$N$2:$N$10001,ALLOCATIONS!C139))</f>
        <v/>
      </c>
      <c r="H145" s="6">
        <f>IF(A145="","",G145-F145)</f>
        <v/>
      </c>
    </row>
    <row r="146">
      <c r="A146" s="6">
        <f>IF(ALLOCATIONS!A140="","",IFERROR(VLOOKUP(ALLOCATIONS!A140,MAPPING!$A$3:$C$302,2,FALSE),"UNMAPPED"))</f>
        <v/>
      </c>
      <c r="B146" s="6">
        <f>IF(ALLOCATIONS!A140="","",IFERROR(VLOOKUP(ALLOCATIONS!A140,MAPPING!$A$3:$C$302,3,FALSE),ALLOCATIONS!A140))</f>
        <v/>
      </c>
      <c r="C146" s="6">
        <f>IF(ALLOCATIONS!A140="","",IFERROR(VLOOKUP(ALLOCATIONS!B140,MAPPING!$E$3:$G$302,2,FALSE),"UNMAPPED"))</f>
        <v/>
      </c>
      <c r="D146" s="6">
        <f>IF(ALLOCATIONS!A140="","",IFERROR(IF(VLOOKUP(ALLOCATIONS!B140,MAPPING!$E$3:$G$302,3,FALSE)="","",VLOOKUP(ALLOCATIONS!B140,MAPPING!$E$3:$G$302,3,FALSE)),""))</f>
        <v/>
      </c>
      <c r="E146" s="6">
        <f>IF(ALLOCATIONS!A140="","",ALLOCATIONS!C140)</f>
        <v/>
      </c>
      <c r="F146" s="6">
        <f>IF(ALLOCATIONS!A140="","",IF(ALLOCATIONS!D140="",0,ALLOCATIONS!D140))</f>
        <v/>
      </c>
      <c r="G146" s="6">
        <f>IF(ALLOCATIONS!A140="","",SUMIFS(RAW_004!$I$2:$I$10001,RAW_004!$D$2:$D$10001,ALLOCATIONS!A140,RAW_004!$H$2:$H$10001,ALLOCATIONS!B140,RAW_004!$N$2:$N$10001,ALLOCATIONS!C140))</f>
        <v/>
      </c>
      <c r="H146" s="6">
        <f>IF(A146="","",G146-F146)</f>
        <v/>
      </c>
    </row>
    <row r="147">
      <c r="A147" s="6">
        <f>IF(ALLOCATIONS!A141="","",IFERROR(VLOOKUP(ALLOCATIONS!A141,MAPPING!$A$3:$C$302,2,FALSE),"UNMAPPED"))</f>
        <v/>
      </c>
      <c r="B147" s="6">
        <f>IF(ALLOCATIONS!A141="","",IFERROR(VLOOKUP(ALLOCATIONS!A141,MAPPING!$A$3:$C$302,3,FALSE),ALLOCATIONS!A141))</f>
        <v/>
      </c>
      <c r="C147" s="6">
        <f>IF(ALLOCATIONS!A141="","",IFERROR(VLOOKUP(ALLOCATIONS!B141,MAPPING!$E$3:$G$302,2,FALSE),"UNMAPPED"))</f>
        <v/>
      </c>
      <c r="D147" s="6">
        <f>IF(ALLOCATIONS!A141="","",IFERROR(IF(VLOOKUP(ALLOCATIONS!B141,MAPPING!$E$3:$G$302,3,FALSE)="","",VLOOKUP(ALLOCATIONS!B141,MAPPING!$E$3:$G$302,3,FALSE)),""))</f>
        <v/>
      </c>
      <c r="E147" s="6">
        <f>IF(ALLOCATIONS!A141="","",ALLOCATIONS!C141)</f>
        <v/>
      </c>
      <c r="F147" s="6">
        <f>IF(ALLOCATIONS!A141="","",IF(ALLOCATIONS!D141="",0,ALLOCATIONS!D141))</f>
        <v/>
      </c>
      <c r="G147" s="6">
        <f>IF(ALLOCATIONS!A141="","",SUMIFS(RAW_004!$I$2:$I$10001,RAW_004!$D$2:$D$10001,ALLOCATIONS!A141,RAW_004!$H$2:$H$10001,ALLOCATIONS!B141,RAW_004!$N$2:$N$10001,ALLOCATIONS!C141))</f>
        <v/>
      </c>
      <c r="H147" s="6">
        <f>IF(A147="","",G147-F147)</f>
        <v/>
      </c>
    </row>
    <row r="148">
      <c r="A148" s="6">
        <f>IF(ALLOCATIONS!A142="","",IFERROR(VLOOKUP(ALLOCATIONS!A142,MAPPING!$A$3:$C$302,2,FALSE),"UNMAPPED"))</f>
        <v/>
      </c>
      <c r="B148" s="6">
        <f>IF(ALLOCATIONS!A142="","",IFERROR(VLOOKUP(ALLOCATIONS!A142,MAPPING!$A$3:$C$302,3,FALSE),ALLOCATIONS!A142))</f>
        <v/>
      </c>
      <c r="C148" s="6">
        <f>IF(ALLOCATIONS!A142="","",IFERROR(VLOOKUP(ALLOCATIONS!B142,MAPPING!$E$3:$G$302,2,FALSE),"UNMAPPED"))</f>
        <v/>
      </c>
      <c r="D148" s="6">
        <f>IF(ALLOCATIONS!A142="","",IFERROR(IF(VLOOKUP(ALLOCATIONS!B142,MAPPING!$E$3:$G$302,3,FALSE)="","",VLOOKUP(ALLOCATIONS!B142,MAPPING!$E$3:$G$302,3,FALSE)),""))</f>
        <v/>
      </c>
      <c r="E148" s="6">
        <f>IF(ALLOCATIONS!A142="","",ALLOCATIONS!C142)</f>
        <v/>
      </c>
      <c r="F148" s="6">
        <f>IF(ALLOCATIONS!A142="","",IF(ALLOCATIONS!D142="",0,ALLOCATIONS!D142))</f>
        <v/>
      </c>
      <c r="G148" s="6">
        <f>IF(ALLOCATIONS!A142="","",SUMIFS(RAW_004!$I$2:$I$10001,RAW_004!$D$2:$D$10001,ALLOCATIONS!A142,RAW_004!$H$2:$H$10001,ALLOCATIONS!B142,RAW_004!$N$2:$N$10001,ALLOCATIONS!C142))</f>
        <v/>
      </c>
      <c r="H148" s="6">
        <f>IF(A148="","",G148-F148)</f>
        <v/>
      </c>
    </row>
    <row r="149">
      <c r="A149" s="6">
        <f>IF(ALLOCATIONS!A143="","",IFERROR(VLOOKUP(ALLOCATIONS!A143,MAPPING!$A$3:$C$302,2,FALSE),"UNMAPPED"))</f>
        <v/>
      </c>
      <c r="B149" s="6">
        <f>IF(ALLOCATIONS!A143="","",IFERROR(VLOOKUP(ALLOCATIONS!A143,MAPPING!$A$3:$C$302,3,FALSE),ALLOCATIONS!A143))</f>
        <v/>
      </c>
      <c r="C149" s="6">
        <f>IF(ALLOCATIONS!A143="","",IFERROR(VLOOKUP(ALLOCATIONS!B143,MAPPING!$E$3:$G$302,2,FALSE),"UNMAPPED"))</f>
        <v/>
      </c>
      <c r="D149" s="6">
        <f>IF(ALLOCATIONS!A143="","",IFERROR(IF(VLOOKUP(ALLOCATIONS!B143,MAPPING!$E$3:$G$302,3,FALSE)="","",VLOOKUP(ALLOCATIONS!B143,MAPPING!$E$3:$G$302,3,FALSE)),""))</f>
        <v/>
      </c>
      <c r="E149" s="6">
        <f>IF(ALLOCATIONS!A143="","",ALLOCATIONS!C143)</f>
        <v/>
      </c>
      <c r="F149" s="6">
        <f>IF(ALLOCATIONS!A143="","",IF(ALLOCATIONS!D143="",0,ALLOCATIONS!D143))</f>
        <v/>
      </c>
      <c r="G149" s="6">
        <f>IF(ALLOCATIONS!A143="","",SUMIFS(RAW_004!$I$2:$I$10001,RAW_004!$D$2:$D$10001,ALLOCATIONS!A143,RAW_004!$H$2:$H$10001,ALLOCATIONS!B143,RAW_004!$N$2:$N$10001,ALLOCATIONS!C143))</f>
        <v/>
      </c>
      <c r="H149" s="6">
        <f>IF(A149="","",G149-F149)</f>
        <v/>
      </c>
    </row>
    <row r="150">
      <c r="A150" s="6">
        <f>IF(ALLOCATIONS!A144="","",IFERROR(VLOOKUP(ALLOCATIONS!A144,MAPPING!$A$3:$C$302,2,FALSE),"UNMAPPED"))</f>
        <v/>
      </c>
      <c r="B150" s="6">
        <f>IF(ALLOCATIONS!A144="","",IFERROR(VLOOKUP(ALLOCATIONS!A144,MAPPING!$A$3:$C$302,3,FALSE),ALLOCATIONS!A144))</f>
        <v/>
      </c>
      <c r="C150" s="6">
        <f>IF(ALLOCATIONS!A144="","",IFERROR(VLOOKUP(ALLOCATIONS!B144,MAPPING!$E$3:$G$302,2,FALSE),"UNMAPPED"))</f>
        <v/>
      </c>
      <c r="D150" s="6">
        <f>IF(ALLOCATIONS!A144="","",IFERROR(IF(VLOOKUP(ALLOCATIONS!B144,MAPPING!$E$3:$G$302,3,FALSE)="","",VLOOKUP(ALLOCATIONS!B144,MAPPING!$E$3:$G$302,3,FALSE)),""))</f>
        <v/>
      </c>
      <c r="E150" s="6">
        <f>IF(ALLOCATIONS!A144="","",ALLOCATIONS!C144)</f>
        <v/>
      </c>
      <c r="F150" s="6">
        <f>IF(ALLOCATIONS!A144="","",IF(ALLOCATIONS!D144="",0,ALLOCATIONS!D144))</f>
        <v/>
      </c>
      <c r="G150" s="6">
        <f>IF(ALLOCATIONS!A144="","",SUMIFS(RAW_004!$I$2:$I$10001,RAW_004!$D$2:$D$10001,ALLOCATIONS!A144,RAW_004!$H$2:$H$10001,ALLOCATIONS!B144,RAW_004!$N$2:$N$10001,ALLOCATIONS!C144))</f>
        <v/>
      </c>
      <c r="H150" s="6">
        <f>IF(A150="","",G150-F150)</f>
        <v/>
      </c>
    </row>
    <row r="151">
      <c r="A151" s="6">
        <f>IF(ALLOCATIONS!A145="","",IFERROR(VLOOKUP(ALLOCATIONS!A145,MAPPING!$A$3:$C$302,2,FALSE),"UNMAPPED"))</f>
        <v/>
      </c>
      <c r="B151" s="6">
        <f>IF(ALLOCATIONS!A145="","",IFERROR(VLOOKUP(ALLOCATIONS!A145,MAPPING!$A$3:$C$302,3,FALSE),ALLOCATIONS!A145))</f>
        <v/>
      </c>
      <c r="C151" s="6">
        <f>IF(ALLOCATIONS!A145="","",IFERROR(VLOOKUP(ALLOCATIONS!B145,MAPPING!$E$3:$G$302,2,FALSE),"UNMAPPED"))</f>
        <v/>
      </c>
      <c r="D151" s="6">
        <f>IF(ALLOCATIONS!A145="","",IFERROR(IF(VLOOKUP(ALLOCATIONS!B145,MAPPING!$E$3:$G$302,3,FALSE)="","",VLOOKUP(ALLOCATIONS!B145,MAPPING!$E$3:$G$302,3,FALSE)),""))</f>
        <v/>
      </c>
      <c r="E151" s="6">
        <f>IF(ALLOCATIONS!A145="","",ALLOCATIONS!C145)</f>
        <v/>
      </c>
      <c r="F151" s="6">
        <f>IF(ALLOCATIONS!A145="","",IF(ALLOCATIONS!D145="",0,ALLOCATIONS!D145))</f>
        <v/>
      </c>
      <c r="G151" s="6">
        <f>IF(ALLOCATIONS!A145="","",SUMIFS(RAW_004!$I$2:$I$10001,RAW_004!$D$2:$D$10001,ALLOCATIONS!A145,RAW_004!$H$2:$H$10001,ALLOCATIONS!B145,RAW_004!$N$2:$N$10001,ALLOCATIONS!C145))</f>
        <v/>
      </c>
      <c r="H151" s="6">
        <f>IF(A151="","",G151-F151)</f>
        <v/>
      </c>
    </row>
    <row r="152">
      <c r="A152" s="6">
        <f>IF(ALLOCATIONS!A146="","",IFERROR(VLOOKUP(ALLOCATIONS!A146,MAPPING!$A$3:$C$302,2,FALSE),"UNMAPPED"))</f>
        <v/>
      </c>
      <c r="B152" s="6">
        <f>IF(ALLOCATIONS!A146="","",IFERROR(VLOOKUP(ALLOCATIONS!A146,MAPPING!$A$3:$C$302,3,FALSE),ALLOCATIONS!A146))</f>
        <v/>
      </c>
      <c r="C152" s="6">
        <f>IF(ALLOCATIONS!A146="","",IFERROR(VLOOKUP(ALLOCATIONS!B146,MAPPING!$E$3:$G$302,2,FALSE),"UNMAPPED"))</f>
        <v/>
      </c>
      <c r="D152" s="6">
        <f>IF(ALLOCATIONS!A146="","",IFERROR(IF(VLOOKUP(ALLOCATIONS!B146,MAPPING!$E$3:$G$302,3,FALSE)="","",VLOOKUP(ALLOCATIONS!B146,MAPPING!$E$3:$G$302,3,FALSE)),""))</f>
        <v/>
      </c>
      <c r="E152" s="6">
        <f>IF(ALLOCATIONS!A146="","",ALLOCATIONS!C146)</f>
        <v/>
      </c>
      <c r="F152" s="6">
        <f>IF(ALLOCATIONS!A146="","",IF(ALLOCATIONS!D146="",0,ALLOCATIONS!D146))</f>
        <v/>
      </c>
      <c r="G152" s="6">
        <f>IF(ALLOCATIONS!A146="","",SUMIFS(RAW_004!$I$2:$I$10001,RAW_004!$D$2:$D$10001,ALLOCATIONS!A146,RAW_004!$H$2:$H$10001,ALLOCATIONS!B146,RAW_004!$N$2:$N$10001,ALLOCATIONS!C146))</f>
        <v/>
      </c>
      <c r="H152" s="6">
        <f>IF(A152="","",G152-F152)</f>
        <v/>
      </c>
    </row>
    <row r="153">
      <c r="A153" s="6">
        <f>IF(ALLOCATIONS!A147="","",IFERROR(VLOOKUP(ALLOCATIONS!A147,MAPPING!$A$3:$C$302,2,FALSE),"UNMAPPED"))</f>
        <v/>
      </c>
      <c r="B153" s="6">
        <f>IF(ALLOCATIONS!A147="","",IFERROR(VLOOKUP(ALLOCATIONS!A147,MAPPING!$A$3:$C$302,3,FALSE),ALLOCATIONS!A147))</f>
        <v/>
      </c>
      <c r="C153" s="6">
        <f>IF(ALLOCATIONS!A147="","",IFERROR(VLOOKUP(ALLOCATIONS!B147,MAPPING!$E$3:$G$302,2,FALSE),"UNMAPPED"))</f>
        <v/>
      </c>
      <c r="D153" s="6">
        <f>IF(ALLOCATIONS!A147="","",IFERROR(IF(VLOOKUP(ALLOCATIONS!B147,MAPPING!$E$3:$G$302,3,FALSE)="","",VLOOKUP(ALLOCATIONS!B147,MAPPING!$E$3:$G$302,3,FALSE)),""))</f>
        <v/>
      </c>
      <c r="E153" s="6">
        <f>IF(ALLOCATIONS!A147="","",ALLOCATIONS!C147)</f>
        <v/>
      </c>
      <c r="F153" s="6">
        <f>IF(ALLOCATIONS!A147="","",IF(ALLOCATIONS!D147="",0,ALLOCATIONS!D147))</f>
        <v/>
      </c>
      <c r="G153" s="6">
        <f>IF(ALLOCATIONS!A147="","",SUMIFS(RAW_004!$I$2:$I$10001,RAW_004!$D$2:$D$10001,ALLOCATIONS!A147,RAW_004!$H$2:$H$10001,ALLOCATIONS!B147,RAW_004!$N$2:$N$10001,ALLOCATIONS!C147))</f>
        <v/>
      </c>
      <c r="H153" s="6">
        <f>IF(A153="","",G153-F153)</f>
        <v/>
      </c>
    </row>
    <row r="154">
      <c r="A154" s="6">
        <f>IF(ALLOCATIONS!A148="","",IFERROR(VLOOKUP(ALLOCATIONS!A148,MAPPING!$A$3:$C$302,2,FALSE),"UNMAPPED"))</f>
        <v/>
      </c>
      <c r="B154" s="6">
        <f>IF(ALLOCATIONS!A148="","",IFERROR(VLOOKUP(ALLOCATIONS!A148,MAPPING!$A$3:$C$302,3,FALSE),ALLOCATIONS!A148))</f>
        <v/>
      </c>
      <c r="C154" s="6">
        <f>IF(ALLOCATIONS!A148="","",IFERROR(VLOOKUP(ALLOCATIONS!B148,MAPPING!$E$3:$G$302,2,FALSE),"UNMAPPED"))</f>
        <v/>
      </c>
      <c r="D154" s="6">
        <f>IF(ALLOCATIONS!A148="","",IFERROR(IF(VLOOKUP(ALLOCATIONS!B148,MAPPING!$E$3:$G$302,3,FALSE)="","",VLOOKUP(ALLOCATIONS!B148,MAPPING!$E$3:$G$302,3,FALSE)),""))</f>
        <v/>
      </c>
      <c r="E154" s="6">
        <f>IF(ALLOCATIONS!A148="","",ALLOCATIONS!C148)</f>
        <v/>
      </c>
      <c r="F154" s="6">
        <f>IF(ALLOCATIONS!A148="","",IF(ALLOCATIONS!D148="",0,ALLOCATIONS!D148))</f>
        <v/>
      </c>
      <c r="G154" s="6">
        <f>IF(ALLOCATIONS!A148="","",SUMIFS(RAW_004!$I$2:$I$10001,RAW_004!$D$2:$D$10001,ALLOCATIONS!A148,RAW_004!$H$2:$H$10001,ALLOCATIONS!B148,RAW_004!$N$2:$N$10001,ALLOCATIONS!C148))</f>
        <v/>
      </c>
      <c r="H154" s="6">
        <f>IF(A154="","",G154-F154)</f>
        <v/>
      </c>
    </row>
    <row r="155">
      <c r="A155" s="6">
        <f>IF(ALLOCATIONS!A149="","",IFERROR(VLOOKUP(ALLOCATIONS!A149,MAPPING!$A$3:$C$302,2,FALSE),"UNMAPPED"))</f>
        <v/>
      </c>
      <c r="B155" s="6">
        <f>IF(ALLOCATIONS!A149="","",IFERROR(VLOOKUP(ALLOCATIONS!A149,MAPPING!$A$3:$C$302,3,FALSE),ALLOCATIONS!A149))</f>
        <v/>
      </c>
      <c r="C155" s="6">
        <f>IF(ALLOCATIONS!A149="","",IFERROR(VLOOKUP(ALLOCATIONS!B149,MAPPING!$E$3:$G$302,2,FALSE),"UNMAPPED"))</f>
        <v/>
      </c>
      <c r="D155" s="6">
        <f>IF(ALLOCATIONS!A149="","",IFERROR(IF(VLOOKUP(ALLOCATIONS!B149,MAPPING!$E$3:$G$302,3,FALSE)="","",VLOOKUP(ALLOCATIONS!B149,MAPPING!$E$3:$G$302,3,FALSE)),""))</f>
        <v/>
      </c>
      <c r="E155" s="6">
        <f>IF(ALLOCATIONS!A149="","",ALLOCATIONS!C149)</f>
        <v/>
      </c>
      <c r="F155" s="6">
        <f>IF(ALLOCATIONS!A149="","",IF(ALLOCATIONS!D149="",0,ALLOCATIONS!D149))</f>
        <v/>
      </c>
      <c r="G155" s="6">
        <f>IF(ALLOCATIONS!A149="","",SUMIFS(RAW_004!$I$2:$I$10001,RAW_004!$D$2:$D$10001,ALLOCATIONS!A149,RAW_004!$H$2:$H$10001,ALLOCATIONS!B149,RAW_004!$N$2:$N$10001,ALLOCATIONS!C149))</f>
        <v/>
      </c>
      <c r="H155" s="6">
        <f>IF(A155="","",G155-F155)</f>
        <v/>
      </c>
    </row>
    <row r="156">
      <c r="A156" s="6">
        <f>IF(ALLOCATIONS!A150="","",IFERROR(VLOOKUP(ALLOCATIONS!A150,MAPPING!$A$3:$C$302,2,FALSE),"UNMAPPED"))</f>
        <v/>
      </c>
      <c r="B156" s="6">
        <f>IF(ALLOCATIONS!A150="","",IFERROR(VLOOKUP(ALLOCATIONS!A150,MAPPING!$A$3:$C$302,3,FALSE),ALLOCATIONS!A150))</f>
        <v/>
      </c>
      <c r="C156" s="6">
        <f>IF(ALLOCATIONS!A150="","",IFERROR(VLOOKUP(ALLOCATIONS!B150,MAPPING!$E$3:$G$302,2,FALSE),"UNMAPPED"))</f>
        <v/>
      </c>
      <c r="D156" s="6">
        <f>IF(ALLOCATIONS!A150="","",IFERROR(IF(VLOOKUP(ALLOCATIONS!B150,MAPPING!$E$3:$G$302,3,FALSE)="","",VLOOKUP(ALLOCATIONS!B150,MAPPING!$E$3:$G$302,3,FALSE)),""))</f>
        <v/>
      </c>
      <c r="E156" s="6">
        <f>IF(ALLOCATIONS!A150="","",ALLOCATIONS!C150)</f>
        <v/>
      </c>
      <c r="F156" s="6">
        <f>IF(ALLOCATIONS!A150="","",IF(ALLOCATIONS!D150="",0,ALLOCATIONS!D150))</f>
        <v/>
      </c>
      <c r="G156" s="6">
        <f>IF(ALLOCATIONS!A150="","",SUMIFS(RAW_004!$I$2:$I$10001,RAW_004!$D$2:$D$10001,ALLOCATIONS!A150,RAW_004!$H$2:$H$10001,ALLOCATIONS!B150,RAW_004!$N$2:$N$10001,ALLOCATIONS!C150))</f>
        <v/>
      </c>
      <c r="H156" s="6">
        <f>IF(A156="","",G156-F156)</f>
        <v/>
      </c>
    </row>
    <row r="157">
      <c r="A157" s="6">
        <f>IF(ALLOCATIONS!A151="","",IFERROR(VLOOKUP(ALLOCATIONS!A151,MAPPING!$A$3:$C$302,2,FALSE),"UNMAPPED"))</f>
        <v/>
      </c>
      <c r="B157" s="6">
        <f>IF(ALLOCATIONS!A151="","",IFERROR(VLOOKUP(ALLOCATIONS!A151,MAPPING!$A$3:$C$302,3,FALSE),ALLOCATIONS!A151))</f>
        <v/>
      </c>
      <c r="C157" s="6">
        <f>IF(ALLOCATIONS!A151="","",IFERROR(VLOOKUP(ALLOCATIONS!B151,MAPPING!$E$3:$G$302,2,FALSE),"UNMAPPED"))</f>
        <v/>
      </c>
      <c r="D157" s="6">
        <f>IF(ALLOCATIONS!A151="","",IFERROR(IF(VLOOKUP(ALLOCATIONS!B151,MAPPING!$E$3:$G$302,3,FALSE)="","",VLOOKUP(ALLOCATIONS!B151,MAPPING!$E$3:$G$302,3,FALSE)),""))</f>
        <v/>
      </c>
      <c r="E157" s="6">
        <f>IF(ALLOCATIONS!A151="","",ALLOCATIONS!C151)</f>
        <v/>
      </c>
      <c r="F157" s="6">
        <f>IF(ALLOCATIONS!A151="","",IF(ALLOCATIONS!D151="",0,ALLOCATIONS!D151))</f>
        <v/>
      </c>
      <c r="G157" s="6">
        <f>IF(ALLOCATIONS!A151="","",SUMIFS(RAW_004!$I$2:$I$10001,RAW_004!$D$2:$D$10001,ALLOCATIONS!A151,RAW_004!$H$2:$H$10001,ALLOCATIONS!B151,RAW_004!$N$2:$N$10001,ALLOCATIONS!C151))</f>
        <v/>
      </c>
      <c r="H157" s="6">
        <f>IF(A157="","",G157-F157)</f>
        <v/>
      </c>
    </row>
    <row r="158">
      <c r="A158" s="6">
        <f>IF(ALLOCATIONS!A152="","",IFERROR(VLOOKUP(ALLOCATIONS!A152,MAPPING!$A$3:$C$302,2,FALSE),"UNMAPPED"))</f>
        <v/>
      </c>
      <c r="B158" s="6">
        <f>IF(ALLOCATIONS!A152="","",IFERROR(VLOOKUP(ALLOCATIONS!A152,MAPPING!$A$3:$C$302,3,FALSE),ALLOCATIONS!A152))</f>
        <v/>
      </c>
      <c r="C158" s="6">
        <f>IF(ALLOCATIONS!A152="","",IFERROR(VLOOKUP(ALLOCATIONS!B152,MAPPING!$E$3:$G$302,2,FALSE),"UNMAPPED"))</f>
        <v/>
      </c>
      <c r="D158" s="6">
        <f>IF(ALLOCATIONS!A152="","",IFERROR(IF(VLOOKUP(ALLOCATIONS!B152,MAPPING!$E$3:$G$302,3,FALSE)="","",VLOOKUP(ALLOCATIONS!B152,MAPPING!$E$3:$G$302,3,FALSE)),""))</f>
        <v/>
      </c>
      <c r="E158" s="6">
        <f>IF(ALLOCATIONS!A152="","",ALLOCATIONS!C152)</f>
        <v/>
      </c>
      <c r="F158" s="6">
        <f>IF(ALLOCATIONS!A152="","",IF(ALLOCATIONS!D152="",0,ALLOCATIONS!D152))</f>
        <v/>
      </c>
      <c r="G158" s="6">
        <f>IF(ALLOCATIONS!A152="","",SUMIFS(RAW_004!$I$2:$I$10001,RAW_004!$D$2:$D$10001,ALLOCATIONS!A152,RAW_004!$H$2:$H$10001,ALLOCATIONS!B152,RAW_004!$N$2:$N$10001,ALLOCATIONS!C152))</f>
        <v/>
      </c>
      <c r="H158" s="6">
        <f>IF(A158="","",G158-F158)</f>
        <v/>
      </c>
    </row>
    <row r="159">
      <c r="A159" s="6">
        <f>IF(ALLOCATIONS!A153="","",IFERROR(VLOOKUP(ALLOCATIONS!A153,MAPPING!$A$3:$C$302,2,FALSE),"UNMAPPED"))</f>
        <v/>
      </c>
      <c r="B159" s="6">
        <f>IF(ALLOCATIONS!A153="","",IFERROR(VLOOKUP(ALLOCATIONS!A153,MAPPING!$A$3:$C$302,3,FALSE),ALLOCATIONS!A153))</f>
        <v/>
      </c>
      <c r="C159" s="6">
        <f>IF(ALLOCATIONS!A153="","",IFERROR(VLOOKUP(ALLOCATIONS!B153,MAPPING!$E$3:$G$302,2,FALSE),"UNMAPPED"))</f>
        <v/>
      </c>
      <c r="D159" s="6">
        <f>IF(ALLOCATIONS!A153="","",IFERROR(IF(VLOOKUP(ALLOCATIONS!B153,MAPPING!$E$3:$G$302,3,FALSE)="","",VLOOKUP(ALLOCATIONS!B153,MAPPING!$E$3:$G$302,3,FALSE)),""))</f>
        <v/>
      </c>
      <c r="E159" s="6">
        <f>IF(ALLOCATIONS!A153="","",ALLOCATIONS!C153)</f>
        <v/>
      </c>
      <c r="F159" s="6">
        <f>IF(ALLOCATIONS!A153="","",IF(ALLOCATIONS!D153="",0,ALLOCATIONS!D153))</f>
        <v/>
      </c>
      <c r="G159" s="6">
        <f>IF(ALLOCATIONS!A153="","",SUMIFS(RAW_004!$I$2:$I$10001,RAW_004!$D$2:$D$10001,ALLOCATIONS!A153,RAW_004!$H$2:$H$10001,ALLOCATIONS!B153,RAW_004!$N$2:$N$10001,ALLOCATIONS!C153))</f>
        <v/>
      </c>
      <c r="H159" s="6">
        <f>IF(A159="","",G159-F159)</f>
        <v/>
      </c>
    </row>
    <row r="160">
      <c r="A160" s="6">
        <f>IF(ALLOCATIONS!A154="","",IFERROR(VLOOKUP(ALLOCATIONS!A154,MAPPING!$A$3:$C$302,2,FALSE),"UNMAPPED"))</f>
        <v/>
      </c>
      <c r="B160" s="6">
        <f>IF(ALLOCATIONS!A154="","",IFERROR(VLOOKUP(ALLOCATIONS!A154,MAPPING!$A$3:$C$302,3,FALSE),ALLOCATIONS!A154))</f>
        <v/>
      </c>
      <c r="C160" s="6">
        <f>IF(ALLOCATIONS!A154="","",IFERROR(VLOOKUP(ALLOCATIONS!B154,MAPPING!$E$3:$G$302,2,FALSE),"UNMAPPED"))</f>
        <v/>
      </c>
      <c r="D160" s="6">
        <f>IF(ALLOCATIONS!A154="","",IFERROR(IF(VLOOKUP(ALLOCATIONS!B154,MAPPING!$E$3:$G$302,3,FALSE)="","",VLOOKUP(ALLOCATIONS!B154,MAPPING!$E$3:$G$302,3,FALSE)),""))</f>
        <v/>
      </c>
      <c r="E160" s="6">
        <f>IF(ALLOCATIONS!A154="","",ALLOCATIONS!C154)</f>
        <v/>
      </c>
      <c r="F160" s="6">
        <f>IF(ALLOCATIONS!A154="","",IF(ALLOCATIONS!D154="",0,ALLOCATIONS!D154))</f>
        <v/>
      </c>
      <c r="G160" s="6">
        <f>IF(ALLOCATIONS!A154="","",SUMIFS(RAW_004!$I$2:$I$10001,RAW_004!$D$2:$D$10001,ALLOCATIONS!A154,RAW_004!$H$2:$H$10001,ALLOCATIONS!B154,RAW_004!$N$2:$N$10001,ALLOCATIONS!C154))</f>
        <v/>
      </c>
      <c r="H160" s="6">
        <f>IF(A160="","",G160-F160)</f>
        <v/>
      </c>
    </row>
    <row r="161">
      <c r="A161" s="6">
        <f>IF(ALLOCATIONS!A155="","",IFERROR(VLOOKUP(ALLOCATIONS!A155,MAPPING!$A$3:$C$302,2,FALSE),"UNMAPPED"))</f>
        <v/>
      </c>
      <c r="B161" s="6">
        <f>IF(ALLOCATIONS!A155="","",IFERROR(VLOOKUP(ALLOCATIONS!A155,MAPPING!$A$3:$C$302,3,FALSE),ALLOCATIONS!A155))</f>
        <v/>
      </c>
      <c r="C161" s="6">
        <f>IF(ALLOCATIONS!A155="","",IFERROR(VLOOKUP(ALLOCATIONS!B155,MAPPING!$E$3:$G$302,2,FALSE),"UNMAPPED"))</f>
        <v/>
      </c>
      <c r="D161" s="6">
        <f>IF(ALLOCATIONS!A155="","",IFERROR(IF(VLOOKUP(ALLOCATIONS!B155,MAPPING!$E$3:$G$302,3,FALSE)="","",VLOOKUP(ALLOCATIONS!B155,MAPPING!$E$3:$G$302,3,FALSE)),""))</f>
        <v/>
      </c>
      <c r="E161" s="6">
        <f>IF(ALLOCATIONS!A155="","",ALLOCATIONS!C155)</f>
        <v/>
      </c>
      <c r="F161" s="6">
        <f>IF(ALLOCATIONS!A155="","",IF(ALLOCATIONS!D155="",0,ALLOCATIONS!D155))</f>
        <v/>
      </c>
      <c r="G161" s="6">
        <f>IF(ALLOCATIONS!A155="","",SUMIFS(RAW_004!$I$2:$I$10001,RAW_004!$D$2:$D$10001,ALLOCATIONS!A155,RAW_004!$H$2:$H$10001,ALLOCATIONS!B155,RAW_004!$N$2:$N$10001,ALLOCATIONS!C155))</f>
        <v/>
      </c>
      <c r="H161" s="6">
        <f>IF(A161="","",G161-F161)</f>
        <v/>
      </c>
    </row>
    <row r="162">
      <c r="A162" s="6">
        <f>IF(ALLOCATIONS!A156="","",IFERROR(VLOOKUP(ALLOCATIONS!A156,MAPPING!$A$3:$C$302,2,FALSE),"UNMAPPED"))</f>
        <v/>
      </c>
      <c r="B162" s="6">
        <f>IF(ALLOCATIONS!A156="","",IFERROR(VLOOKUP(ALLOCATIONS!A156,MAPPING!$A$3:$C$302,3,FALSE),ALLOCATIONS!A156))</f>
        <v/>
      </c>
      <c r="C162" s="6">
        <f>IF(ALLOCATIONS!A156="","",IFERROR(VLOOKUP(ALLOCATIONS!B156,MAPPING!$E$3:$G$302,2,FALSE),"UNMAPPED"))</f>
        <v/>
      </c>
      <c r="D162" s="6">
        <f>IF(ALLOCATIONS!A156="","",IFERROR(IF(VLOOKUP(ALLOCATIONS!B156,MAPPING!$E$3:$G$302,3,FALSE)="","",VLOOKUP(ALLOCATIONS!B156,MAPPING!$E$3:$G$302,3,FALSE)),""))</f>
        <v/>
      </c>
      <c r="E162" s="6">
        <f>IF(ALLOCATIONS!A156="","",ALLOCATIONS!C156)</f>
        <v/>
      </c>
      <c r="F162" s="6">
        <f>IF(ALLOCATIONS!A156="","",IF(ALLOCATIONS!D156="",0,ALLOCATIONS!D156))</f>
        <v/>
      </c>
      <c r="G162" s="6">
        <f>IF(ALLOCATIONS!A156="","",SUMIFS(RAW_004!$I$2:$I$10001,RAW_004!$D$2:$D$10001,ALLOCATIONS!A156,RAW_004!$H$2:$H$10001,ALLOCATIONS!B156,RAW_004!$N$2:$N$10001,ALLOCATIONS!C156))</f>
        <v/>
      </c>
      <c r="H162" s="6">
        <f>IF(A162="","",G162-F162)</f>
        <v/>
      </c>
    </row>
    <row r="163">
      <c r="A163" s="6">
        <f>IF(ALLOCATIONS!A157="","",IFERROR(VLOOKUP(ALLOCATIONS!A157,MAPPING!$A$3:$C$302,2,FALSE),"UNMAPPED"))</f>
        <v/>
      </c>
      <c r="B163" s="6">
        <f>IF(ALLOCATIONS!A157="","",IFERROR(VLOOKUP(ALLOCATIONS!A157,MAPPING!$A$3:$C$302,3,FALSE),ALLOCATIONS!A157))</f>
        <v/>
      </c>
      <c r="C163" s="6">
        <f>IF(ALLOCATIONS!A157="","",IFERROR(VLOOKUP(ALLOCATIONS!B157,MAPPING!$E$3:$G$302,2,FALSE),"UNMAPPED"))</f>
        <v/>
      </c>
      <c r="D163" s="6">
        <f>IF(ALLOCATIONS!A157="","",IFERROR(IF(VLOOKUP(ALLOCATIONS!B157,MAPPING!$E$3:$G$302,3,FALSE)="","",VLOOKUP(ALLOCATIONS!B157,MAPPING!$E$3:$G$302,3,FALSE)),""))</f>
        <v/>
      </c>
      <c r="E163" s="6">
        <f>IF(ALLOCATIONS!A157="","",ALLOCATIONS!C157)</f>
        <v/>
      </c>
      <c r="F163" s="6">
        <f>IF(ALLOCATIONS!A157="","",IF(ALLOCATIONS!D157="",0,ALLOCATIONS!D157))</f>
        <v/>
      </c>
      <c r="G163" s="6">
        <f>IF(ALLOCATIONS!A157="","",SUMIFS(RAW_004!$I$2:$I$10001,RAW_004!$D$2:$D$10001,ALLOCATIONS!A157,RAW_004!$H$2:$H$10001,ALLOCATIONS!B157,RAW_004!$N$2:$N$10001,ALLOCATIONS!C157))</f>
        <v/>
      </c>
      <c r="H163" s="6">
        <f>IF(A163="","",G163-F163)</f>
        <v/>
      </c>
    </row>
    <row r="164">
      <c r="A164" s="6">
        <f>IF(ALLOCATIONS!A158="","",IFERROR(VLOOKUP(ALLOCATIONS!A158,MAPPING!$A$3:$C$302,2,FALSE),"UNMAPPED"))</f>
        <v/>
      </c>
      <c r="B164" s="6">
        <f>IF(ALLOCATIONS!A158="","",IFERROR(VLOOKUP(ALLOCATIONS!A158,MAPPING!$A$3:$C$302,3,FALSE),ALLOCATIONS!A158))</f>
        <v/>
      </c>
      <c r="C164" s="6">
        <f>IF(ALLOCATIONS!A158="","",IFERROR(VLOOKUP(ALLOCATIONS!B158,MAPPING!$E$3:$G$302,2,FALSE),"UNMAPPED"))</f>
        <v/>
      </c>
      <c r="D164" s="6">
        <f>IF(ALLOCATIONS!A158="","",IFERROR(IF(VLOOKUP(ALLOCATIONS!B158,MAPPING!$E$3:$G$302,3,FALSE)="","",VLOOKUP(ALLOCATIONS!B158,MAPPING!$E$3:$G$302,3,FALSE)),""))</f>
        <v/>
      </c>
      <c r="E164" s="6">
        <f>IF(ALLOCATIONS!A158="","",ALLOCATIONS!C158)</f>
        <v/>
      </c>
      <c r="F164" s="6">
        <f>IF(ALLOCATIONS!A158="","",IF(ALLOCATIONS!D158="",0,ALLOCATIONS!D158))</f>
        <v/>
      </c>
      <c r="G164" s="6">
        <f>IF(ALLOCATIONS!A158="","",SUMIFS(RAW_004!$I$2:$I$10001,RAW_004!$D$2:$D$10001,ALLOCATIONS!A158,RAW_004!$H$2:$H$10001,ALLOCATIONS!B158,RAW_004!$N$2:$N$10001,ALLOCATIONS!C158))</f>
        <v/>
      </c>
      <c r="H164" s="6">
        <f>IF(A164="","",G164-F164)</f>
        <v/>
      </c>
    </row>
    <row r="165">
      <c r="A165" s="6">
        <f>IF(ALLOCATIONS!A159="","",IFERROR(VLOOKUP(ALLOCATIONS!A159,MAPPING!$A$3:$C$302,2,FALSE),"UNMAPPED"))</f>
        <v/>
      </c>
      <c r="B165" s="6">
        <f>IF(ALLOCATIONS!A159="","",IFERROR(VLOOKUP(ALLOCATIONS!A159,MAPPING!$A$3:$C$302,3,FALSE),ALLOCATIONS!A159))</f>
        <v/>
      </c>
      <c r="C165" s="6">
        <f>IF(ALLOCATIONS!A159="","",IFERROR(VLOOKUP(ALLOCATIONS!B159,MAPPING!$E$3:$G$302,2,FALSE),"UNMAPPED"))</f>
        <v/>
      </c>
      <c r="D165" s="6">
        <f>IF(ALLOCATIONS!A159="","",IFERROR(IF(VLOOKUP(ALLOCATIONS!B159,MAPPING!$E$3:$G$302,3,FALSE)="","",VLOOKUP(ALLOCATIONS!B159,MAPPING!$E$3:$G$302,3,FALSE)),""))</f>
        <v/>
      </c>
      <c r="E165" s="6">
        <f>IF(ALLOCATIONS!A159="","",ALLOCATIONS!C159)</f>
        <v/>
      </c>
      <c r="F165" s="6">
        <f>IF(ALLOCATIONS!A159="","",IF(ALLOCATIONS!D159="",0,ALLOCATIONS!D159))</f>
        <v/>
      </c>
      <c r="G165" s="6">
        <f>IF(ALLOCATIONS!A159="","",SUMIFS(RAW_004!$I$2:$I$10001,RAW_004!$D$2:$D$10001,ALLOCATIONS!A159,RAW_004!$H$2:$H$10001,ALLOCATIONS!B159,RAW_004!$N$2:$N$10001,ALLOCATIONS!C159))</f>
        <v/>
      </c>
      <c r="H165" s="6">
        <f>IF(A165="","",G165-F165)</f>
        <v/>
      </c>
    </row>
    <row r="166">
      <c r="A166" s="6">
        <f>IF(ALLOCATIONS!A160="","",IFERROR(VLOOKUP(ALLOCATIONS!A160,MAPPING!$A$3:$C$302,2,FALSE),"UNMAPPED"))</f>
        <v/>
      </c>
      <c r="B166" s="6">
        <f>IF(ALLOCATIONS!A160="","",IFERROR(VLOOKUP(ALLOCATIONS!A160,MAPPING!$A$3:$C$302,3,FALSE),ALLOCATIONS!A160))</f>
        <v/>
      </c>
      <c r="C166" s="6">
        <f>IF(ALLOCATIONS!A160="","",IFERROR(VLOOKUP(ALLOCATIONS!B160,MAPPING!$E$3:$G$302,2,FALSE),"UNMAPPED"))</f>
        <v/>
      </c>
      <c r="D166" s="6">
        <f>IF(ALLOCATIONS!A160="","",IFERROR(IF(VLOOKUP(ALLOCATIONS!B160,MAPPING!$E$3:$G$302,3,FALSE)="","",VLOOKUP(ALLOCATIONS!B160,MAPPING!$E$3:$G$302,3,FALSE)),""))</f>
        <v/>
      </c>
      <c r="E166" s="6">
        <f>IF(ALLOCATIONS!A160="","",ALLOCATIONS!C160)</f>
        <v/>
      </c>
      <c r="F166" s="6">
        <f>IF(ALLOCATIONS!A160="","",IF(ALLOCATIONS!D160="",0,ALLOCATIONS!D160))</f>
        <v/>
      </c>
      <c r="G166" s="6">
        <f>IF(ALLOCATIONS!A160="","",SUMIFS(RAW_004!$I$2:$I$10001,RAW_004!$D$2:$D$10001,ALLOCATIONS!A160,RAW_004!$H$2:$H$10001,ALLOCATIONS!B160,RAW_004!$N$2:$N$10001,ALLOCATIONS!C160))</f>
        <v/>
      </c>
      <c r="H166" s="6">
        <f>IF(A166="","",G166-F166)</f>
        <v/>
      </c>
    </row>
    <row r="167">
      <c r="A167" s="6">
        <f>IF(ALLOCATIONS!A161="","",IFERROR(VLOOKUP(ALLOCATIONS!A161,MAPPING!$A$3:$C$302,2,FALSE),"UNMAPPED"))</f>
        <v/>
      </c>
      <c r="B167" s="6">
        <f>IF(ALLOCATIONS!A161="","",IFERROR(VLOOKUP(ALLOCATIONS!A161,MAPPING!$A$3:$C$302,3,FALSE),ALLOCATIONS!A161))</f>
        <v/>
      </c>
      <c r="C167" s="6">
        <f>IF(ALLOCATIONS!A161="","",IFERROR(VLOOKUP(ALLOCATIONS!B161,MAPPING!$E$3:$G$302,2,FALSE),"UNMAPPED"))</f>
        <v/>
      </c>
      <c r="D167" s="6">
        <f>IF(ALLOCATIONS!A161="","",IFERROR(IF(VLOOKUP(ALLOCATIONS!B161,MAPPING!$E$3:$G$302,3,FALSE)="","",VLOOKUP(ALLOCATIONS!B161,MAPPING!$E$3:$G$302,3,FALSE)),""))</f>
        <v/>
      </c>
      <c r="E167" s="6">
        <f>IF(ALLOCATIONS!A161="","",ALLOCATIONS!C161)</f>
        <v/>
      </c>
      <c r="F167" s="6">
        <f>IF(ALLOCATIONS!A161="","",IF(ALLOCATIONS!D161="",0,ALLOCATIONS!D161))</f>
        <v/>
      </c>
      <c r="G167" s="6">
        <f>IF(ALLOCATIONS!A161="","",SUMIFS(RAW_004!$I$2:$I$10001,RAW_004!$D$2:$D$10001,ALLOCATIONS!A161,RAW_004!$H$2:$H$10001,ALLOCATIONS!B161,RAW_004!$N$2:$N$10001,ALLOCATIONS!C161))</f>
        <v/>
      </c>
      <c r="H167" s="6">
        <f>IF(A167="","",G167-F167)</f>
        <v/>
      </c>
    </row>
    <row r="168">
      <c r="A168" s="6">
        <f>IF(ALLOCATIONS!A162="","",IFERROR(VLOOKUP(ALLOCATIONS!A162,MAPPING!$A$3:$C$302,2,FALSE),"UNMAPPED"))</f>
        <v/>
      </c>
      <c r="B168" s="6">
        <f>IF(ALLOCATIONS!A162="","",IFERROR(VLOOKUP(ALLOCATIONS!A162,MAPPING!$A$3:$C$302,3,FALSE),ALLOCATIONS!A162))</f>
        <v/>
      </c>
      <c r="C168" s="6">
        <f>IF(ALLOCATIONS!A162="","",IFERROR(VLOOKUP(ALLOCATIONS!B162,MAPPING!$E$3:$G$302,2,FALSE),"UNMAPPED"))</f>
        <v/>
      </c>
      <c r="D168" s="6">
        <f>IF(ALLOCATIONS!A162="","",IFERROR(IF(VLOOKUP(ALLOCATIONS!B162,MAPPING!$E$3:$G$302,3,FALSE)="","",VLOOKUP(ALLOCATIONS!B162,MAPPING!$E$3:$G$302,3,FALSE)),""))</f>
        <v/>
      </c>
      <c r="E168" s="6">
        <f>IF(ALLOCATIONS!A162="","",ALLOCATIONS!C162)</f>
        <v/>
      </c>
      <c r="F168" s="6">
        <f>IF(ALLOCATIONS!A162="","",IF(ALLOCATIONS!D162="",0,ALLOCATIONS!D162))</f>
        <v/>
      </c>
      <c r="G168" s="6">
        <f>IF(ALLOCATIONS!A162="","",SUMIFS(RAW_004!$I$2:$I$10001,RAW_004!$D$2:$D$10001,ALLOCATIONS!A162,RAW_004!$H$2:$H$10001,ALLOCATIONS!B162,RAW_004!$N$2:$N$10001,ALLOCATIONS!C162))</f>
        <v/>
      </c>
      <c r="H168" s="6">
        <f>IF(A168="","",G168-F168)</f>
        <v/>
      </c>
    </row>
    <row r="169">
      <c r="A169" s="6">
        <f>IF(ALLOCATIONS!A163="","",IFERROR(VLOOKUP(ALLOCATIONS!A163,MAPPING!$A$3:$C$302,2,FALSE),"UNMAPPED"))</f>
        <v/>
      </c>
      <c r="B169" s="6">
        <f>IF(ALLOCATIONS!A163="","",IFERROR(VLOOKUP(ALLOCATIONS!A163,MAPPING!$A$3:$C$302,3,FALSE),ALLOCATIONS!A163))</f>
        <v/>
      </c>
      <c r="C169" s="6">
        <f>IF(ALLOCATIONS!A163="","",IFERROR(VLOOKUP(ALLOCATIONS!B163,MAPPING!$E$3:$G$302,2,FALSE),"UNMAPPED"))</f>
        <v/>
      </c>
      <c r="D169" s="6">
        <f>IF(ALLOCATIONS!A163="","",IFERROR(IF(VLOOKUP(ALLOCATIONS!B163,MAPPING!$E$3:$G$302,3,FALSE)="","",VLOOKUP(ALLOCATIONS!B163,MAPPING!$E$3:$G$302,3,FALSE)),""))</f>
        <v/>
      </c>
      <c r="E169" s="6">
        <f>IF(ALLOCATIONS!A163="","",ALLOCATIONS!C163)</f>
        <v/>
      </c>
      <c r="F169" s="6">
        <f>IF(ALLOCATIONS!A163="","",IF(ALLOCATIONS!D163="",0,ALLOCATIONS!D163))</f>
        <v/>
      </c>
      <c r="G169" s="6">
        <f>IF(ALLOCATIONS!A163="","",SUMIFS(RAW_004!$I$2:$I$10001,RAW_004!$D$2:$D$10001,ALLOCATIONS!A163,RAW_004!$H$2:$H$10001,ALLOCATIONS!B163,RAW_004!$N$2:$N$10001,ALLOCATIONS!C163))</f>
        <v/>
      </c>
      <c r="H169" s="6">
        <f>IF(A169="","",G169-F169)</f>
        <v/>
      </c>
    </row>
    <row r="170">
      <c r="A170" s="6">
        <f>IF(ALLOCATIONS!A164="","",IFERROR(VLOOKUP(ALLOCATIONS!A164,MAPPING!$A$3:$C$302,2,FALSE),"UNMAPPED"))</f>
        <v/>
      </c>
      <c r="B170" s="6">
        <f>IF(ALLOCATIONS!A164="","",IFERROR(VLOOKUP(ALLOCATIONS!A164,MAPPING!$A$3:$C$302,3,FALSE),ALLOCATIONS!A164))</f>
        <v/>
      </c>
      <c r="C170" s="6">
        <f>IF(ALLOCATIONS!A164="","",IFERROR(VLOOKUP(ALLOCATIONS!B164,MAPPING!$E$3:$G$302,2,FALSE),"UNMAPPED"))</f>
        <v/>
      </c>
      <c r="D170" s="6">
        <f>IF(ALLOCATIONS!A164="","",IFERROR(IF(VLOOKUP(ALLOCATIONS!B164,MAPPING!$E$3:$G$302,3,FALSE)="","",VLOOKUP(ALLOCATIONS!B164,MAPPING!$E$3:$G$302,3,FALSE)),""))</f>
        <v/>
      </c>
      <c r="E170" s="6">
        <f>IF(ALLOCATIONS!A164="","",ALLOCATIONS!C164)</f>
        <v/>
      </c>
      <c r="F170" s="6">
        <f>IF(ALLOCATIONS!A164="","",IF(ALLOCATIONS!D164="",0,ALLOCATIONS!D164))</f>
        <v/>
      </c>
      <c r="G170" s="6">
        <f>IF(ALLOCATIONS!A164="","",SUMIFS(RAW_004!$I$2:$I$10001,RAW_004!$D$2:$D$10001,ALLOCATIONS!A164,RAW_004!$H$2:$H$10001,ALLOCATIONS!B164,RAW_004!$N$2:$N$10001,ALLOCATIONS!C164))</f>
        <v/>
      </c>
      <c r="H170" s="6">
        <f>IF(A170="","",G170-F170)</f>
        <v/>
      </c>
    </row>
    <row r="171">
      <c r="A171" s="6">
        <f>IF(ALLOCATIONS!A165="","",IFERROR(VLOOKUP(ALLOCATIONS!A165,MAPPING!$A$3:$C$302,2,FALSE),"UNMAPPED"))</f>
        <v/>
      </c>
      <c r="B171" s="6">
        <f>IF(ALLOCATIONS!A165="","",IFERROR(VLOOKUP(ALLOCATIONS!A165,MAPPING!$A$3:$C$302,3,FALSE),ALLOCATIONS!A165))</f>
        <v/>
      </c>
      <c r="C171" s="6">
        <f>IF(ALLOCATIONS!A165="","",IFERROR(VLOOKUP(ALLOCATIONS!B165,MAPPING!$E$3:$G$302,2,FALSE),"UNMAPPED"))</f>
        <v/>
      </c>
      <c r="D171" s="6">
        <f>IF(ALLOCATIONS!A165="","",IFERROR(IF(VLOOKUP(ALLOCATIONS!B165,MAPPING!$E$3:$G$302,3,FALSE)="","",VLOOKUP(ALLOCATIONS!B165,MAPPING!$E$3:$G$302,3,FALSE)),""))</f>
        <v/>
      </c>
      <c r="E171" s="6">
        <f>IF(ALLOCATIONS!A165="","",ALLOCATIONS!C165)</f>
        <v/>
      </c>
      <c r="F171" s="6">
        <f>IF(ALLOCATIONS!A165="","",IF(ALLOCATIONS!D165="",0,ALLOCATIONS!D165))</f>
        <v/>
      </c>
      <c r="G171" s="6">
        <f>IF(ALLOCATIONS!A165="","",SUMIFS(RAW_004!$I$2:$I$10001,RAW_004!$D$2:$D$10001,ALLOCATIONS!A165,RAW_004!$H$2:$H$10001,ALLOCATIONS!B165,RAW_004!$N$2:$N$10001,ALLOCATIONS!C165))</f>
        <v/>
      </c>
      <c r="H171" s="6">
        <f>IF(A171="","",G171-F171)</f>
        <v/>
      </c>
    </row>
    <row r="172">
      <c r="A172" s="6">
        <f>IF(ALLOCATIONS!A166="","",IFERROR(VLOOKUP(ALLOCATIONS!A166,MAPPING!$A$3:$C$302,2,FALSE),"UNMAPPED"))</f>
        <v/>
      </c>
      <c r="B172" s="6">
        <f>IF(ALLOCATIONS!A166="","",IFERROR(VLOOKUP(ALLOCATIONS!A166,MAPPING!$A$3:$C$302,3,FALSE),ALLOCATIONS!A166))</f>
        <v/>
      </c>
      <c r="C172" s="6">
        <f>IF(ALLOCATIONS!A166="","",IFERROR(VLOOKUP(ALLOCATIONS!B166,MAPPING!$E$3:$G$302,2,FALSE),"UNMAPPED"))</f>
        <v/>
      </c>
      <c r="D172" s="6">
        <f>IF(ALLOCATIONS!A166="","",IFERROR(IF(VLOOKUP(ALLOCATIONS!B166,MAPPING!$E$3:$G$302,3,FALSE)="","",VLOOKUP(ALLOCATIONS!B166,MAPPING!$E$3:$G$302,3,FALSE)),""))</f>
        <v/>
      </c>
      <c r="E172" s="6">
        <f>IF(ALLOCATIONS!A166="","",ALLOCATIONS!C166)</f>
        <v/>
      </c>
      <c r="F172" s="6">
        <f>IF(ALLOCATIONS!A166="","",IF(ALLOCATIONS!D166="",0,ALLOCATIONS!D166))</f>
        <v/>
      </c>
      <c r="G172" s="6">
        <f>IF(ALLOCATIONS!A166="","",SUMIFS(RAW_004!$I$2:$I$10001,RAW_004!$D$2:$D$10001,ALLOCATIONS!A166,RAW_004!$H$2:$H$10001,ALLOCATIONS!B166,RAW_004!$N$2:$N$10001,ALLOCATIONS!C166))</f>
        <v/>
      </c>
      <c r="H172" s="6">
        <f>IF(A172="","",G172-F172)</f>
        <v/>
      </c>
    </row>
    <row r="173">
      <c r="A173" s="6">
        <f>IF(ALLOCATIONS!A167="","",IFERROR(VLOOKUP(ALLOCATIONS!A167,MAPPING!$A$3:$C$302,2,FALSE),"UNMAPPED"))</f>
        <v/>
      </c>
      <c r="B173" s="6">
        <f>IF(ALLOCATIONS!A167="","",IFERROR(VLOOKUP(ALLOCATIONS!A167,MAPPING!$A$3:$C$302,3,FALSE),ALLOCATIONS!A167))</f>
        <v/>
      </c>
      <c r="C173" s="6">
        <f>IF(ALLOCATIONS!A167="","",IFERROR(VLOOKUP(ALLOCATIONS!B167,MAPPING!$E$3:$G$302,2,FALSE),"UNMAPPED"))</f>
        <v/>
      </c>
      <c r="D173" s="6">
        <f>IF(ALLOCATIONS!A167="","",IFERROR(IF(VLOOKUP(ALLOCATIONS!B167,MAPPING!$E$3:$G$302,3,FALSE)="","",VLOOKUP(ALLOCATIONS!B167,MAPPING!$E$3:$G$302,3,FALSE)),""))</f>
        <v/>
      </c>
      <c r="E173" s="6">
        <f>IF(ALLOCATIONS!A167="","",ALLOCATIONS!C167)</f>
        <v/>
      </c>
      <c r="F173" s="6">
        <f>IF(ALLOCATIONS!A167="","",IF(ALLOCATIONS!D167="",0,ALLOCATIONS!D167))</f>
        <v/>
      </c>
      <c r="G173" s="6">
        <f>IF(ALLOCATIONS!A167="","",SUMIFS(RAW_004!$I$2:$I$10001,RAW_004!$D$2:$D$10001,ALLOCATIONS!A167,RAW_004!$H$2:$H$10001,ALLOCATIONS!B167,RAW_004!$N$2:$N$10001,ALLOCATIONS!C167))</f>
        <v/>
      </c>
      <c r="H173" s="6">
        <f>IF(A173="","",G173-F173)</f>
        <v/>
      </c>
    </row>
    <row r="174">
      <c r="A174" s="6">
        <f>IF(ALLOCATIONS!A168="","",IFERROR(VLOOKUP(ALLOCATIONS!A168,MAPPING!$A$3:$C$302,2,FALSE),"UNMAPPED"))</f>
        <v/>
      </c>
      <c r="B174" s="6">
        <f>IF(ALLOCATIONS!A168="","",IFERROR(VLOOKUP(ALLOCATIONS!A168,MAPPING!$A$3:$C$302,3,FALSE),ALLOCATIONS!A168))</f>
        <v/>
      </c>
      <c r="C174" s="6">
        <f>IF(ALLOCATIONS!A168="","",IFERROR(VLOOKUP(ALLOCATIONS!B168,MAPPING!$E$3:$G$302,2,FALSE),"UNMAPPED"))</f>
        <v/>
      </c>
      <c r="D174" s="6">
        <f>IF(ALLOCATIONS!A168="","",IFERROR(IF(VLOOKUP(ALLOCATIONS!B168,MAPPING!$E$3:$G$302,3,FALSE)="","",VLOOKUP(ALLOCATIONS!B168,MAPPING!$E$3:$G$302,3,FALSE)),""))</f>
        <v/>
      </c>
      <c r="E174" s="6">
        <f>IF(ALLOCATIONS!A168="","",ALLOCATIONS!C168)</f>
        <v/>
      </c>
      <c r="F174" s="6">
        <f>IF(ALLOCATIONS!A168="","",IF(ALLOCATIONS!D168="",0,ALLOCATIONS!D168))</f>
        <v/>
      </c>
      <c r="G174" s="6">
        <f>IF(ALLOCATIONS!A168="","",SUMIFS(RAW_004!$I$2:$I$10001,RAW_004!$D$2:$D$10001,ALLOCATIONS!A168,RAW_004!$H$2:$H$10001,ALLOCATIONS!B168,RAW_004!$N$2:$N$10001,ALLOCATIONS!C168))</f>
        <v/>
      </c>
      <c r="H174" s="6">
        <f>IF(A174="","",G174-F174)</f>
        <v/>
      </c>
    </row>
    <row r="175">
      <c r="A175" s="6">
        <f>IF(ALLOCATIONS!A169="","",IFERROR(VLOOKUP(ALLOCATIONS!A169,MAPPING!$A$3:$C$302,2,FALSE),"UNMAPPED"))</f>
        <v/>
      </c>
      <c r="B175" s="6">
        <f>IF(ALLOCATIONS!A169="","",IFERROR(VLOOKUP(ALLOCATIONS!A169,MAPPING!$A$3:$C$302,3,FALSE),ALLOCATIONS!A169))</f>
        <v/>
      </c>
      <c r="C175" s="6">
        <f>IF(ALLOCATIONS!A169="","",IFERROR(VLOOKUP(ALLOCATIONS!B169,MAPPING!$E$3:$G$302,2,FALSE),"UNMAPPED"))</f>
        <v/>
      </c>
      <c r="D175" s="6">
        <f>IF(ALLOCATIONS!A169="","",IFERROR(IF(VLOOKUP(ALLOCATIONS!B169,MAPPING!$E$3:$G$302,3,FALSE)="","",VLOOKUP(ALLOCATIONS!B169,MAPPING!$E$3:$G$302,3,FALSE)),""))</f>
        <v/>
      </c>
      <c r="E175" s="6">
        <f>IF(ALLOCATIONS!A169="","",ALLOCATIONS!C169)</f>
        <v/>
      </c>
      <c r="F175" s="6">
        <f>IF(ALLOCATIONS!A169="","",IF(ALLOCATIONS!D169="",0,ALLOCATIONS!D169))</f>
        <v/>
      </c>
      <c r="G175" s="6">
        <f>IF(ALLOCATIONS!A169="","",SUMIFS(RAW_004!$I$2:$I$10001,RAW_004!$D$2:$D$10001,ALLOCATIONS!A169,RAW_004!$H$2:$H$10001,ALLOCATIONS!B169,RAW_004!$N$2:$N$10001,ALLOCATIONS!C169))</f>
        <v/>
      </c>
      <c r="H175" s="6">
        <f>IF(A175="","",G175-F175)</f>
        <v/>
      </c>
    </row>
    <row r="176">
      <c r="A176" s="6">
        <f>IF(ALLOCATIONS!A170="","",IFERROR(VLOOKUP(ALLOCATIONS!A170,MAPPING!$A$3:$C$302,2,FALSE),"UNMAPPED"))</f>
        <v/>
      </c>
      <c r="B176" s="6">
        <f>IF(ALLOCATIONS!A170="","",IFERROR(VLOOKUP(ALLOCATIONS!A170,MAPPING!$A$3:$C$302,3,FALSE),ALLOCATIONS!A170))</f>
        <v/>
      </c>
      <c r="C176" s="6">
        <f>IF(ALLOCATIONS!A170="","",IFERROR(VLOOKUP(ALLOCATIONS!B170,MAPPING!$E$3:$G$302,2,FALSE),"UNMAPPED"))</f>
        <v/>
      </c>
      <c r="D176" s="6">
        <f>IF(ALLOCATIONS!A170="","",IFERROR(IF(VLOOKUP(ALLOCATIONS!B170,MAPPING!$E$3:$G$302,3,FALSE)="","",VLOOKUP(ALLOCATIONS!B170,MAPPING!$E$3:$G$302,3,FALSE)),""))</f>
        <v/>
      </c>
      <c r="E176" s="6">
        <f>IF(ALLOCATIONS!A170="","",ALLOCATIONS!C170)</f>
        <v/>
      </c>
      <c r="F176" s="6">
        <f>IF(ALLOCATIONS!A170="","",IF(ALLOCATIONS!D170="",0,ALLOCATIONS!D170))</f>
        <v/>
      </c>
      <c r="G176" s="6">
        <f>IF(ALLOCATIONS!A170="","",SUMIFS(RAW_004!$I$2:$I$10001,RAW_004!$D$2:$D$10001,ALLOCATIONS!A170,RAW_004!$H$2:$H$10001,ALLOCATIONS!B170,RAW_004!$N$2:$N$10001,ALLOCATIONS!C170))</f>
        <v/>
      </c>
      <c r="H176" s="6">
        <f>IF(A176="","",G176-F176)</f>
        <v/>
      </c>
    </row>
    <row r="177">
      <c r="A177" s="6">
        <f>IF(ALLOCATIONS!A171="","",IFERROR(VLOOKUP(ALLOCATIONS!A171,MAPPING!$A$3:$C$302,2,FALSE),"UNMAPPED"))</f>
        <v/>
      </c>
      <c r="B177" s="6">
        <f>IF(ALLOCATIONS!A171="","",IFERROR(VLOOKUP(ALLOCATIONS!A171,MAPPING!$A$3:$C$302,3,FALSE),ALLOCATIONS!A171))</f>
        <v/>
      </c>
      <c r="C177" s="6">
        <f>IF(ALLOCATIONS!A171="","",IFERROR(VLOOKUP(ALLOCATIONS!B171,MAPPING!$E$3:$G$302,2,FALSE),"UNMAPPED"))</f>
        <v/>
      </c>
      <c r="D177" s="6">
        <f>IF(ALLOCATIONS!A171="","",IFERROR(IF(VLOOKUP(ALLOCATIONS!B171,MAPPING!$E$3:$G$302,3,FALSE)="","",VLOOKUP(ALLOCATIONS!B171,MAPPING!$E$3:$G$302,3,FALSE)),""))</f>
        <v/>
      </c>
      <c r="E177" s="6">
        <f>IF(ALLOCATIONS!A171="","",ALLOCATIONS!C171)</f>
        <v/>
      </c>
      <c r="F177" s="6">
        <f>IF(ALLOCATIONS!A171="","",IF(ALLOCATIONS!D171="",0,ALLOCATIONS!D171))</f>
        <v/>
      </c>
      <c r="G177" s="6">
        <f>IF(ALLOCATIONS!A171="","",SUMIFS(RAW_004!$I$2:$I$10001,RAW_004!$D$2:$D$10001,ALLOCATIONS!A171,RAW_004!$H$2:$H$10001,ALLOCATIONS!B171,RAW_004!$N$2:$N$10001,ALLOCATIONS!C171))</f>
        <v/>
      </c>
      <c r="H177" s="6">
        <f>IF(A177="","",G177-F177)</f>
        <v/>
      </c>
    </row>
    <row r="178">
      <c r="A178" s="6">
        <f>IF(ALLOCATIONS!A172="","",IFERROR(VLOOKUP(ALLOCATIONS!A172,MAPPING!$A$3:$C$302,2,FALSE),"UNMAPPED"))</f>
        <v/>
      </c>
      <c r="B178" s="6">
        <f>IF(ALLOCATIONS!A172="","",IFERROR(VLOOKUP(ALLOCATIONS!A172,MAPPING!$A$3:$C$302,3,FALSE),ALLOCATIONS!A172))</f>
        <v/>
      </c>
      <c r="C178" s="6">
        <f>IF(ALLOCATIONS!A172="","",IFERROR(VLOOKUP(ALLOCATIONS!B172,MAPPING!$E$3:$G$302,2,FALSE),"UNMAPPED"))</f>
        <v/>
      </c>
      <c r="D178" s="6">
        <f>IF(ALLOCATIONS!A172="","",IFERROR(IF(VLOOKUP(ALLOCATIONS!B172,MAPPING!$E$3:$G$302,3,FALSE)="","",VLOOKUP(ALLOCATIONS!B172,MAPPING!$E$3:$G$302,3,FALSE)),""))</f>
        <v/>
      </c>
      <c r="E178" s="6">
        <f>IF(ALLOCATIONS!A172="","",ALLOCATIONS!C172)</f>
        <v/>
      </c>
      <c r="F178" s="6">
        <f>IF(ALLOCATIONS!A172="","",IF(ALLOCATIONS!D172="",0,ALLOCATIONS!D172))</f>
        <v/>
      </c>
      <c r="G178" s="6">
        <f>IF(ALLOCATIONS!A172="","",SUMIFS(RAW_004!$I$2:$I$10001,RAW_004!$D$2:$D$10001,ALLOCATIONS!A172,RAW_004!$H$2:$H$10001,ALLOCATIONS!B172,RAW_004!$N$2:$N$10001,ALLOCATIONS!C172))</f>
        <v/>
      </c>
      <c r="H178" s="6">
        <f>IF(A178="","",G178-F178)</f>
        <v/>
      </c>
    </row>
    <row r="179">
      <c r="A179" s="6">
        <f>IF(ALLOCATIONS!A173="","",IFERROR(VLOOKUP(ALLOCATIONS!A173,MAPPING!$A$3:$C$302,2,FALSE),"UNMAPPED"))</f>
        <v/>
      </c>
      <c r="B179" s="6">
        <f>IF(ALLOCATIONS!A173="","",IFERROR(VLOOKUP(ALLOCATIONS!A173,MAPPING!$A$3:$C$302,3,FALSE),ALLOCATIONS!A173))</f>
        <v/>
      </c>
      <c r="C179" s="6">
        <f>IF(ALLOCATIONS!A173="","",IFERROR(VLOOKUP(ALLOCATIONS!B173,MAPPING!$E$3:$G$302,2,FALSE),"UNMAPPED"))</f>
        <v/>
      </c>
      <c r="D179" s="6">
        <f>IF(ALLOCATIONS!A173="","",IFERROR(IF(VLOOKUP(ALLOCATIONS!B173,MAPPING!$E$3:$G$302,3,FALSE)="","",VLOOKUP(ALLOCATIONS!B173,MAPPING!$E$3:$G$302,3,FALSE)),""))</f>
        <v/>
      </c>
      <c r="E179" s="6">
        <f>IF(ALLOCATIONS!A173="","",ALLOCATIONS!C173)</f>
        <v/>
      </c>
      <c r="F179" s="6">
        <f>IF(ALLOCATIONS!A173="","",IF(ALLOCATIONS!D173="",0,ALLOCATIONS!D173))</f>
        <v/>
      </c>
      <c r="G179" s="6">
        <f>IF(ALLOCATIONS!A173="","",SUMIFS(RAW_004!$I$2:$I$10001,RAW_004!$D$2:$D$10001,ALLOCATIONS!A173,RAW_004!$H$2:$H$10001,ALLOCATIONS!B173,RAW_004!$N$2:$N$10001,ALLOCATIONS!C173))</f>
        <v/>
      </c>
      <c r="H179" s="6">
        <f>IF(A179="","",G179-F179)</f>
        <v/>
      </c>
    </row>
    <row r="180">
      <c r="A180" s="6">
        <f>IF(ALLOCATIONS!A174="","",IFERROR(VLOOKUP(ALLOCATIONS!A174,MAPPING!$A$3:$C$302,2,FALSE),"UNMAPPED"))</f>
        <v/>
      </c>
      <c r="B180" s="6">
        <f>IF(ALLOCATIONS!A174="","",IFERROR(VLOOKUP(ALLOCATIONS!A174,MAPPING!$A$3:$C$302,3,FALSE),ALLOCATIONS!A174))</f>
        <v/>
      </c>
      <c r="C180" s="6">
        <f>IF(ALLOCATIONS!A174="","",IFERROR(VLOOKUP(ALLOCATIONS!B174,MAPPING!$E$3:$G$302,2,FALSE),"UNMAPPED"))</f>
        <v/>
      </c>
      <c r="D180" s="6">
        <f>IF(ALLOCATIONS!A174="","",IFERROR(IF(VLOOKUP(ALLOCATIONS!B174,MAPPING!$E$3:$G$302,3,FALSE)="","",VLOOKUP(ALLOCATIONS!B174,MAPPING!$E$3:$G$302,3,FALSE)),""))</f>
        <v/>
      </c>
      <c r="E180" s="6">
        <f>IF(ALLOCATIONS!A174="","",ALLOCATIONS!C174)</f>
        <v/>
      </c>
      <c r="F180" s="6">
        <f>IF(ALLOCATIONS!A174="","",IF(ALLOCATIONS!D174="",0,ALLOCATIONS!D174))</f>
        <v/>
      </c>
      <c r="G180" s="6">
        <f>IF(ALLOCATIONS!A174="","",SUMIFS(RAW_004!$I$2:$I$10001,RAW_004!$D$2:$D$10001,ALLOCATIONS!A174,RAW_004!$H$2:$H$10001,ALLOCATIONS!B174,RAW_004!$N$2:$N$10001,ALLOCATIONS!C174))</f>
        <v/>
      </c>
      <c r="H180" s="6">
        <f>IF(A180="","",G180-F180)</f>
        <v/>
      </c>
    </row>
    <row r="181">
      <c r="A181" s="6">
        <f>IF(ALLOCATIONS!A175="","",IFERROR(VLOOKUP(ALLOCATIONS!A175,MAPPING!$A$3:$C$302,2,FALSE),"UNMAPPED"))</f>
        <v/>
      </c>
      <c r="B181" s="6">
        <f>IF(ALLOCATIONS!A175="","",IFERROR(VLOOKUP(ALLOCATIONS!A175,MAPPING!$A$3:$C$302,3,FALSE),ALLOCATIONS!A175))</f>
        <v/>
      </c>
      <c r="C181" s="6">
        <f>IF(ALLOCATIONS!A175="","",IFERROR(VLOOKUP(ALLOCATIONS!B175,MAPPING!$E$3:$G$302,2,FALSE),"UNMAPPED"))</f>
        <v/>
      </c>
      <c r="D181" s="6">
        <f>IF(ALLOCATIONS!A175="","",IFERROR(IF(VLOOKUP(ALLOCATIONS!B175,MAPPING!$E$3:$G$302,3,FALSE)="","",VLOOKUP(ALLOCATIONS!B175,MAPPING!$E$3:$G$302,3,FALSE)),""))</f>
        <v/>
      </c>
      <c r="E181" s="6">
        <f>IF(ALLOCATIONS!A175="","",ALLOCATIONS!C175)</f>
        <v/>
      </c>
      <c r="F181" s="6">
        <f>IF(ALLOCATIONS!A175="","",IF(ALLOCATIONS!D175="",0,ALLOCATIONS!D175))</f>
        <v/>
      </c>
      <c r="G181" s="6">
        <f>IF(ALLOCATIONS!A175="","",SUMIFS(RAW_004!$I$2:$I$10001,RAW_004!$D$2:$D$10001,ALLOCATIONS!A175,RAW_004!$H$2:$H$10001,ALLOCATIONS!B175,RAW_004!$N$2:$N$10001,ALLOCATIONS!C175))</f>
        <v/>
      </c>
      <c r="H181" s="6">
        <f>IF(A181="","",G181-F181)</f>
        <v/>
      </c>
    </row>
    <row r="182">
      <c r="A182" s="6">
        <f>IF(ALLOCATIONS!A176="","",IFERROR(VLOOKUP(ALLOCATIONS!A176,MAPPING!$A$3:$C$302,2,FALSE),"UNMAPPED"))</f>
        <v/>
      </c>
      <c r="B182" s="6">
        <f>IF(ALLOCATIONS!A176="","",IFERROR(VLOOKUP(ALLOCATIONS!A176,MAPPING!$A$3:$C$302,3,FALSE),ALLOCATIONS!A176))</f>
        <v/>
      </c>
      <c r="C182" s="6">
        <f>IF(ALLOCATIONS!A176="","",IFERROR(VLOOKUP(ALLOCATIONS!B176,MAPPING!$E$3:$G$302,2,FALSE),"UNMAPPED"))</f>
        <v/>
      </c>
      <c r="D182" s="6">
        <f>IF(ALLOCATIONS!A176="","",IFERROR(IF(VLOOKUP(ALLOCATIONS!B176,MAPPING!$E$3:$G$302,3,FALSE)="","",VLOOKUP(ALLOCATIONS!B176,MAPPING!$E$3:$G$302,3,FALSE)),""))</f>
        <v/>
      </c>
      <c r="E182" s="6">
        <f>IF(ALLOCATIONS!A176="","",ALLOCATIONS!C176)</f>
        <v/>
      </c>
      <c r="F182" s="6">
        <f>IF(ALLOCATIONS!A176="","",IF(ALLOCATIONS!D176="",0,ALLOCATIONS!D176))</f>
        <v/>
      </c>
      <c r="G182" s="6">
        <f>IF(ALLOCATIONS!A176="","",SUMIFS(RAW_004!$I$2:$I$10001,RAW_004!$D$2:$D$10001,ALLOCATIONS!A176,RAW_004!$H$2:$H$10001,ALLOCATIONS!B176,RAW_004!$N$2:$N$10001,ALLOCATIONS!C176))</f>
        <v/>
      </c>
      <c r="H182" s="6">
        <f>IF(A182="","",G182-F182)</f>
        <v/>
      </c>
    </row>
    <row r="183">
      <c r="A183" s="6">
        <f>IF(ALLOCATIONS!A177="","",IFERROR(VLOOKUP(ALLOCATIONS!A177,MAPPING!$A$3:$C$302,2,FALSE),"UNMAPPED"))</f>
        <v/>
      </c>
      <c r="B183" s="6">
        <f>IF(ALLOCATIONS!A177="","",IFERROR(VLOOKUP(ALLOCATIONS!A177,MAPPING!$A$3:$C$302,3,FALSE),ALLOCATIONS!A177))</f>
        <v/>
      </c>
      <c r="C183" s="6">
        <f>IF(ALLOCATIONS!A177="","",IFERROR(VLOOKUP(ALLOCATIONS!B177,MAPPING!$E$3:$G$302,2,FALSE),"UNMAPPED"))</f>
        <v/>
      </c>
      <c r="D183" s="6">
        <f>IF(ALLOCATIONS!A177="","",IFERROR(IF(VLOOKUP(ALLOCATIONS!B177,MAPPING!$E$3:$G$302,3,FALSE)="","",VLOOKUP(ALLOCATIONS!B177,MAPPING!$E$3:$G$302,3,FALSE)),""))</f>
        <v/>
      </c>
      <c r="E183" s="6">
        <f>IF(ALLOCATIONS!A177="","",ALLOCATIONS!C177)</f>
        <v/>
      </c>
      <c r="F183" s="6">
        <f>IF(ALLOCATIONS!A177="","",IF(ALLOCATIONS!D177="",0,ALLOCATIONS!D177))</f>
        <v/>
      </c>
      <c r="G183" s="6">
        <f>IF(ALLOCATIONS!A177="","",SUMIFS(RAW_004!$I$2:$I$10001,RAW_004!$D$2:$D$10001,ALLOCATIONS!A177,RAW_004!$H$2:$H$10001,ALLOCATIONS!B177,RAW_004!$N$2:$N$10001,ALLOCATIONS!C177))</f>
        <v/>
      </c>
      <c r="H183" s="6">
        <f>IF(A183="","",G183-F183)</f>
        <v/>
      </c>
    </row>
    <row r="184">
      <c r="A184" s="6">
        <f>IF(ALLOCATIONS!A178="","",IFERROR(VLOOKUP(ALLOCATIONS!A178,MAPPING!$A$3:$C$302,2,FALSE),"UNMAPPED"))</f>
        <v/>
      </c>
      <c r="B184" s="6">
        <f>IF(ALLOCATIONS!A178="","",IFERROR(VLOOKUP(ALLOCATIONS!A178,MAPPING!$A$3:$C$302,3,FALSE),ALLOCATIONS!A178))</f>
        <v/>
      </c>
      <c r="C184" s="6">
        <f>IF(ALLOCATIONS!A178="","",IFERROR(VLOOKUP(ALLOCATIONS!B178,MAPPING!$E$3:$G$302,2,FALSE),"UNMAPPED"))</f>
        <v/>
      </c>
      <c r="D184" s="6">
        <f>IF(ALLOCATIONS!A178="","",IFERROR(IF(VLOOKUP(ALLOCATIONS!B178,MAPPING!$E$3:$G$302,3,FALSE)="","",VLOOKUP(ALLOCATIONS!B178,MAPPING!$E$3:$G$302,3,FALSE)),""))</f>
        <v/>
      </c>
      <c r="E184" s="6">
        <f>IF(ALLOCATIONS!A178="","",ALLOCATIONS!C178)</f>
        <v/>
      </c>
      <c r="F184" s="6">
        <f>IF(ALLOCATIONS!A178="","",IF(ALLOCATIONS!D178="",0,ALLOCATIONS!D178))</f>
        <v/>
      </c>
      <c r="G184" s="6">
        <f>IF(ALLOCATIONS!A178="","",SUMIFS(RAW_004!$I$2:$I$10001,RAW_004!$D$2:$D$10001,ALLOCATIONS!A178,RAW_004!$H$2:$H$10001,ALLOCATIONS!B178,RAW_004!$N$2:$N$10001,ALLOCATIONS!C178))</f>
        <v/>
      </c>
      <c r="H184" s="6">
        <f>IF(A184="","",G184-F184)</f>
        <v/>
      </c>
    </row>
    <row r="185">
      <c r="A185" s="6">
        <f>IF(ALLOCATIONS!A179="","",IFERROR(VLOOKUP(ALLOCATIONS!A179,MAPPING!$A$3:$C$302,2,FALSE),"UNMAPPED"))</f>
        <v/>
      </c>
      <c r="B185" s="6">
        <f>IF(ALLOCATIONS!A179="","",IFERROR(VLOOKUP(ALLOCATIONS!A179,MAPPING!$A$3:$C$302,3,FALSE),ALLOCATIONS!A179))</f>
        <v/>
      </c>
      <c r="C185" s="6">
        <f>IF(ALLOCATIONS!A179="","",IFERROR(VLOOKUP(ALLOCATIONS!B179,MAPPING!$E$3:$G$302,2,FALSE),"UNMAPPED"))</f>
        <v/>
      </c>
      <c r="D185" s="6">
        <f>IF(ALLOCATIONS!A179="","",IFERROR(IF(VLOOKUP(ALLOCATIONS!B179,MAPPING!$E$3:$G$302,3,FALSE)="","",VLOOKUP(ALLOCATIONS!B179,MAPPING!$E$3:$G$302,3,FALSE)),""))</f>
        <v/>
      </c>
      <c r="E185" s="6">
        <f>IF(ALLOCATIONS!A179="","",ALLOCATIONS!C179)</f>
        <v/>
      </c>
      <c r="F185" s="6">
        <f>IF(ALLOCATIONS!A179="","",IF(ALLOCATIONS!D179="",0,ALLOCATIONS!D179))</f>
        <v/>
      </c>
      <c r="G185" s="6">
        <f>IF(ALLOCATIONS!A179="","",SUMIFS(RAW_004!$I$2:$I$10001,RAW_004!$D$2:$D$10001,ALLOCATIONS!A179,RAW_004!$H$2:$H$10001,ALLOCATIONS!B179,RAW_004!$N$2:$N$10001,ALLOCATIONS!C179))</f>
        <v/>
      </c>
      <c r="H185" s="6">
        <f>IF(A185="","",G185-F185)</f>
        <v/>
      </c>
    </row>
    <row r="186">
      <c r="A186" s="6">
        <f>IF(ALLOCATIONS!A180="","",IFERROR(VLOOKUP(ALLOCATIONS!A180,MAPPING!$A$3:$C$302,2,FALSE),"UNMAPPED"))</f>
        <v/>
      </c>
      <c r="B186" s="6">
        <f>IF(ALLOCATIONS!A180="","",IFERROR(VLOOKUP(ALLOCATIONS!A180,MAPPING!$A$3:$C$302,3,FALSE),ALLOCATIONS!A180))</f>
        <v/>
      </c>
      <c r="C186" s="6">
        <f>IF(ALLOCATIONS!A180="","",IFERROR(VLOOKUP(ALLOCATIONS!B180,MAPPING!$E$3:$G$302,2,FALSE),"UNMAPPED"))</f>
        <v/>
      </c>
      <c r="D186" s="6">
        <f>IF(ALLOCATIONS!A180="","",IFERROR(IF(VLOOKUP(ALLOCATIONS!B180,MAPPING!$E$3:$G$302,3,FALSE)="","",VLOOKUP(ALLOCATIONS!B180,MAPPING!$E$3:$G$302,3,FALSE)),""))</f>
        <v/>
      </c>
      <c r="E186" s="6">
        <f>IF(ALLOCATIONS!A180="","",ALLOCATIONS!C180)</f>
        <v/>
      </c>
      <c r="F186" s="6">
        <f>IF(ALLOCATIONS!A180="","",IF(ALLOCATIONS!D180="",0,ALLOCATIONS!D180))</f>
        <v/>
      </c>
      <c r="G186" s="6">
        <f>IF(ALLOCATIONS!A180="","",SUMIFS(RAW_004!$I$2:$I$10001,RAW_004!$D$2:$D$10001,ALLOCATIONS!A180,RAW_004!$H$2:$H$10001,ALLOCATIONS!B180,RAW_004!$N$2:$N$10001,ALLOCATIONS!C180))</f>
        <v/>
      </c>
      <c r="H186" s="6">
        <f>IF(A186="","",G186-F186)</f>
        <v/>
      </c>
    </row>
    <row r="187">
      <c r="A187" s="6">
        <f>IF(ALLOCATIONS!A181="","",IFERROR(VLOOKUP(ALLOCATIONS!A181,MAPPING!$A$3:$C$302,2,FALSE),"UNMAPPED"))</f>
        <v/>
      </c>
      <c r="B187" s="6">
        <f>IF(ALLOCATIONS!A181="","",IFERROR(VLOOKUP(ALLOCATIONS!A181,MAPPING!$A$3:$C$302,3,FALSE),ALLOCATIONS!A181))</f>
        <v/>
      </c>
      <c r="C187" s="6">
        <f>IF(ALLOCATIONS!A181="","",IFERROR(VLOOKUP(ALLOCATIONS!B181,MAPPING!$E$3:$G$302,2,FALSE),"UNMAPPED"))</f>
        <v/>
      </c>
      <c r="D187" s="6">
        <f>IF(ALLOCATIONS!A181="","",IFERROR(IF(VLOOKUP(ALLOCATIONS!B181,MAPPING!$E$3:$G$302,3,FALSE)="","",VLOOKUP(ALLOCATIONS!B181,MAPPING!$E$3:$G$302,3,FALSE)),""))</f>
        <v/>
      </c>
      <c r="E187" s="6">
        <f>IF(ALLOCATIONS!A181="","",ALLOCATIONS!C181)</f>
        <v/>
      </c>
      <c r="F187" s="6">
        <f>IF(ALLOCATIONS!A181="","",IF(ALLOCATIONS!D181="",0,ALLOCATIONS!D181))</f>
        <v/>
      </c>
      <c r="G187" s="6">
        <f>IF(ALLOCATIONS!A181="","",SUMIFS(RAW_004!$I$2:$I$10001,RAW_004!$D$2:$D$10001,ALLOCATIONS!A181,RAW_004!$H$2:$H$10001,ALLOCATIONS!B181,RAW_004!$N$2:$N$10001,ALLOCATIONS!C181))</f>
        <v/>
      </c>
      <c r="H187" s="6">
        <f>IF(A187="","",G187-F187)</f>
        <v/>
      </c>
    </row>
    <row r="188">
      <c r="A188" s="6">
        <f>IF(ALLOCATIONS!A182="","",IFERROR(VLOOKUP(ALLOCATIONS!A182,MAPPING!$A$3:$C$302,2,FALSE),"UNMAPPED"))</f>
        <v/>
      </c>
      <c r="B188" s="6">
        <f>IF(ALLOCATIONS!A182="","",IFERROR(VLOOKUP(ALLOCATIONS!A182,MAPPING!$A$3:$C$302,3,FALSE),ALLOCATIONS!A182))</f>
        <v/>
      </c>
      <c r="C188" s="6">
        <f>IF(ALLOCATIONS!A182="","",IFERROR(VLOOKUP(ALLOCATIONS!B182,MAPPING!$E$3:$G$302,2,FALSE),"UNMAPPED"))</f>
        <v/>
      </c>
      <c r="D188" s="6">
        <f>IF(ALLOCATIONS!A182="","",IFERROR(IF(VLOOKUP(ALLOCATIONS!B182,MAPPING!$E$3:$G$302,3,FALSE)="","",VLOOKUP(ALLOCATIONS!B182,MAPPING!$E$3:$G$302,3,FALSE)),""))</f>
        <v/>
      </c>
      <c r="E188" s="6">
        <f>IF(ALLOCATIONS!A182="","",ALLOCATIONS!C182)</f>
        <v/>
      </c>
      <c r="F188" s="6">
        <f>IF(ALLOCATIONS!A182="","",IF(ALLOCATIONS!D182="",0,ALLOCATIONS!D182))</f>
        <v/>
      </c>
      <c r="G188" s="6">
        <f>IF(ALLOCATIONS!A182="","",SUMIFS(RAW_004!$I$2:$I$10001,RAW_004!$D$2:$D$10001,ALLOCATIONS!A182,RAW_004!$H$2:$H$10001,ALLOCATIONS!B182,RAW_004!$N$2:$N$10001,ALLOCATIONS!C182))</f>
        <v/>
      </c>
      <c r="H188" s="6">
        <f>IF(A188="","",G188-F188)</f>
        <v/>
      </c>
    </row>
    <row r="189">
      <c r="A189" s="6">
        <f>IF(ALLOCATIONS!A183="","",IFERROR(VLOOKUP(ALLOCATIONS!A183,MAPPING!$A$3:$C$302,2,FALSE),"UNMAPPED"))</f>
        <v/>
      </c>
      <c r="B189" s="6">
        <f>IF(ALLOCATIONS!A183="","",IFERROR(VLOOKUP(ALLOCATIONS!A183,MAPPING!$A$3:$C$302,3,FALSE),ALLOCATIONS!A183))</f>
        <v/>
      </c>
      <c r="C189" s="6">
        <f>IF(ALLOCATIONS!A183="","",IFERROR(VLOOKUP(ALLOCATIONS!B183,MAPPING!$E$3:$G$302,2,FALSE),"UNMAPPED"))</f>
        <v/>
      </c>
      <c r="D189" s="6">
        <f>IF(ALLOCATIONS!A183="","",IFERROR(IF(VLOOKUP(ALLOCATIONS!B183,MAPPING!$E$3:$G$302,3,FALSE)="","",VLOOKUP(ALLOCATIONS!B183,MAPPING!$E$3:$G$302,3,FALSE)),""))</f>
        <v/>
      </c>
      <c r="E189" s="6">
        <f>IF(ALLOCATIONS!A183="","",ALLOCATIONS!C183)</f>
        <v/>
      </c>
      <c r="F189" s="6">
        <f>IF(ALLOCATIONS!A183="","",IF(ALLOCATIONS!D183="",0,ALLOCATIONS!D183))</f>
        <v/>
      </c>
      <c r="G189" s="6">
        <f>IF(ALLOCATIONS!A183="","",SUMIFS(RAW_004!$I$2:$I$10001,RAW_004!$D$2:$D$10001,ALLOCATIONS!A183,RAW_004!$H$2:$H$10001,ALLOCATIONS!B183,RAW_004!$N$2:$N$10001,ALLOCATIONS!C183))</f>
        <v/>
      </c>
      <c r="H189" s="6">
        <f>IF(A189="","",G189-F189)</f>
        <v/>
      </c>
    </row>
    <row r="190">
      <c r="A190" s="6">
        <f>IF(ALLOCATIONS!A184="","",IFERROR(VLOOKUP(ALLOCATIONS!A184,MAPPING!$A$3:$C$302,2,FALSE),"UNMAPPED"))</f>
        <v/>
      </c>
      <c r="B190" s="6">
        <f>IF(ALLOCATIONS!A184="","",IFERROR(VLOOKUP(ALLOCATIONS!A184,MAPPING!$A$3:$C$302,3,FALSE),ALLOCATIONS!A184))</f>
        <v/>
      </c>
      <c r="C190" s="6">
        <f>IF(ALLOCATIONS!A184="","",IFERROR(VLOOKUP(ALLOCATIONS!B184,MAPPING!$E$3:$G$302,2,FALSE),"UNMAPPED"))</f>
        <v/>
      </c>
      <c r="D190" s="6">
        <f>IF(ALLOCATIONS!A184="","",IFERROR(IF(VLOOKUP(ALLOCATIONS!B184,MAPPING!$E$3:$G$302,3,FALSE)="","",VLOOKUP(ALLOCATIONS!B184,MAPPING!$E$3:$G$302,3,FALSE)),""))</f>
        <v/>
      </c>
      <c r="E190" s="6">
        <f>IF(ALLOCATIONS!A184="","",ALLOCATIONS!C184)</f>
        <v/>
      </c>
      <c r="F190" s="6">
        <f>IF(ALLOCATIONS!A184="","",IF(ALLOCATIONS!D184="",0,ALLOCATIONS!D184))</f>
        <v/>
      </c>
      <c r="G190" s="6">
        <f>IF(ALLOCATIONS!A184="","",SUMIFS(RAW_004!$I$2:$I$10001,RAW_004!$D$2:$D$10001,ALLOCATIONS!A184,RAW_004!$H$2:$H$10001,ALLOCATIONS!B184,RAW_004!$N$2:$N$10001,ALLOCATIONS!C184))</f>
        <v/>
      </c>
      <c r="H190" s="6">
        <f>IF(A190="","",G190-F190)</f>
        <v/>
      </c>
    </row>
    <row r="191">
      <c r="A191" s="6">
        <f>IF(ALLOCATIONS!A185="","",IFERROR(VLOOKUP(ALLOCATIONS!A185,MAPPING!$A$3:$C$302,2,FALSE),"UNMAPPED"))</f>
        <v/>
      </c>
      <c r="B191" s="6">
        <f>IF(ALLOCATIONS!A185="","",IFERROR(VLOOKUP(ALLOCATIONS!A185,MAPPING!$A$3:$C$302,3,FALSE),ALLOCATIONS!A185))</f>
        <v/>
      </c>
      <c r="C191" s="6">
        <f>IF(ALLOCATIONS!A185="","",IFERROR(VLOOKUP(ALLOCATIONS!B185,MAPPING!$E$3:$G$302,2,FALSE),"UNMAPPED"))</f>
        <v/>
      </c>
      <c r="D191" s="6">
        <f>IF(ALLOCATIONS!A185="","",IFERROR(IF(VLOOKUP(ALLOCATIONS!B185,MAPPING!$E$3:$G$302,3,FALSE)="","",VLOOKUP(ALLOCATIONS!B185,MAPPING!$E$3:$G$302,3,FALSE)),""))</f>
        <v/>
      </c>
      <c r="E191" s="6">
        <f>IF(ALLOCATIONS!A185="","",ALLOCATIONS!C185)</f>
        <v/>
      </c>
      <c r="F191" s="6">
        <f>IF(ALLOCATIONS!A185="","",IF(ALLOCATIONS!D185="",0,ALLOCATIONS!D185))</f>
        <v/>
      </c>
      <c r="G191" s="6">
        <f>IF(ALLOCATIONS!A185="","",SUMIFS(RAW_004!$I$2:$I$10001,RAW_004!$D$2:$D$10001,ALLOCATIONS!A185,RAW_004!$H$2:$H$10001,ALLOCATIONS!B185,RAW_004!$N$2:$N$10001,ALLOCATIONS!C185))</f>
        <v/>
      </c>
      <c r="H191" s="6">
        <f>IF(A191="","",G191-F191)</f>
        <v/>
      </c>
    </row>
    <row r="192">
      <c r="A192" s="6">
        <f>IF(ALLOCATIONS!A186="","",IFERROR(VLOOKUP(ALLOCATIONS!A186,MAPPING!$A$3:$C$302,2,FALSE),"UNMAPPED"))</f>
        <v/>
      </c>
      <c r="B192" s="6">
        <f>IF(ALLOCATIONS!A186="","",IFERROR(VLOOKUP(ALLOCATIONS!A186,MAPPING!$A$3:$C$302,3,FALSE),ALLOCATIONS!A186))</f>
        <v/>
      </c>
      <c r="C192" s="6">
        <f>IF(ALLOCATIONS!A186="","",IFERROR(VLOOKUP(ALLOCATIONS!B186,MAPPING!$E$3:$G$302,2,FALSE),"UNMAPPED"))</f>
        <v/>
      </c>
      <c r="D192" s="6">
        <f>IF(ALLOCATIONS!A186="","",IFERROR(IF(VLOOKUP(ALLOCATIONS!B186,MAPPING!$E$3:$G$302,3,FALSE)="","",VLOOKUP(ALLOCATIONS!B186,MAPPING!$E$3:$G$302,3,FALSE)),""))</f>
        <v/>
      </c>
      <c r="E192" s="6">
        <f>IF(ALLOCATIONS!A186="","",ALLOCATIONS!C186)</f>
        <v/>
      </c>
      <c r="F192" s="6">
        <f>IF(ALLOCATIONS!A186="","",IF(ALLOCATIONS!D186="",0,ALLOCATIONS!D186))</f>
        <v/>
      </c>
      <c r="G192" s="6">
        <f>IF(ALLOCATIONS!A186="","",SUMIFS(RAW_004!$I$2:$I$10001,RAW_004!$D$2:$D$10001,ALLOCATIONS!A186,RAW_004!$H$2:$H$10001,ALLOCATIONS!B186,RAW_004!$N$2:$N$10001,ALLOCATIONS!C186))</f>
        <v/>
      </c>
      <c r="H192" s="6">
        <f>IF(A192="","",G192-F192)</f>
        <v/>
      </c>
    </row>
    <row r="193">
      <c r="A193" s="6">
        <f>IF(ALLOCATIONS!A187="","",IFERROR(VLOOKUP(ALLOCATIONS!A187,MAPPING!$A$3:$C$302,2,FALSE),"UNMAPPED"))</f>
        <v/>
      </c>
      <c r="B193" s="6">
        <f>IF(ALLOCATIONS!A187="","",IFERROR(VLOOKUP(ALLOCATIONS!A187,MAPPING!$A$3:$C$302,3,FALSE),ALLOCATIONS!A187))</f>
        <v/>
      </c>
      <c r="C193" s="6">
        <f>IF(ALLOCATIONS!A187="","",IFERROR(VLOOKUP(ALLOCATIONS!B187,MAPPING!$E$3:$G$302,2,FALSE),"UNMAPPED"))</f>
        <v/>
      </c>
      <c r="D193" s="6">
        <f>IF(ALLOCATIONS!A187="","",IFERROR(IF(VLOOKUP(ALLOCATIONS!B187,MAPPING!$E$3:$G$302,3,FALSE)="","",VLOOKUP(ALLOCATIONS!B187,MAPPING!$E$3:$G$302,3,FALSE)),""))</f>
        <v/>
      </c>
      <c r="E193" s="6">
        <f>IF(ALLOCATIONS!A187="","",ALLOCATIONS!C187)</f>
        <v/>
      </c>
      <c r="F193" s="6">
        <f>IF(ALLOCATIONS!A187="","",IF(ALLOCATIONS!D187="",0,ALLOCATIONS!D187))</f>
        <v/>
      </c>
      <c r="G193" s="6">
        <f>IF(ALLOCATIONS!A187="","",SUMIFS(RAW_004!$I$2:$I$10001,RAW_004!$D$2:$D$10001,ALLOCATIONS!A187,RAW_004!$H$2:$H$10001,ALLOCATIONS!B187,RAW_004!$N$2:$N$10001,ALLOCATIONS!C187))</f>
        <v/>
      </c>
      <c r="H193" s="6">
        <f>IF(A193="","",G193-F193)</f>
        <v/>
      </c>
    </row>
    <row r="194">
      <c r="A194" s="6">
        <f>IF(ALLOCATIONS!A188="","",IFERROR(VLOOKUP(ALLOCATIONS!A188,MAPPING!$A$3:$C$302,2,FALSE),"UNMAPPED"))</f>
        <v/>
      </c>
      <c r="B194" s="6">
        <f>IF(ALLOCATIONS!A188="","",IFERROR(VLOOKUP(ALLOCATIONS!A188,MAPPING!$A$3:$C$302,3,FALSE),ALLOCATIONS!A188))</f>
        <v/>
      </c>
      <c r="C194" s="6">
        <f>IF(ALLOCATIONS!A188="","",IFERROR(VLOOKUP(ALLOCATIONS!B188,MAPPING!$E$3:$G$302,2,FALSE),"UNMAPPED"))</f>
        <v/>
      </c>
      <c r="D194" s="6">
        <f>IF(ALLOCATIONS!A188="","",IFERROR(IF(VLOOKUP(ALLOCATIONS!B188,MAPPING!$E$3:$G$302,3,FALSE)="","",VLOOKUP(ALLOCATIONS!B188,MAPPING!$E$3:$G$302,3,FALSE)),""))</f>
        <v/>
      </c>
      <c r="E194" s="6">
        <f>IF(ALLOCATIONS!A188="","",ALLOCATIONS!C188)</f>
        <v/>
      </c>
      <c r="F194" s="6">
        <f>IF(ALLOCATIONS!A188="","",IF(ALLOCATIONS!D188="",0,ALLOCATIONS!D188))</f>
        <v/>
      </c>
      <c r="G194" s="6">
        <f>IF(ALLOCATIONS!A188="","",SUMIFS(RAW_004!$I$2:$I$10001,RAW_004!$D$2:$D$10001,ALLOCATIONS!A188,RAW_004!$H$2:$H$10001,ALLOCATIONS!B188,RAW_004!$N$2:$N$10001,ALLOCATIONS!C188))</f>
        <v/>
      </c>
      <c r="H194" s="6">
        <f>IF(A194="","",G194-F194)</f>
        <v/>
      </c>
    </row>
    <row r="195">
      <c r="A195" s="6">
        <f>IF(ALLOCATIONS!A189="","",IFERROR(VLOOKUP(ALLOCATIONS!A189,MAPPING!$A$3:$C$302,2,FALSE),"UNMAPPED"))</f>
        <v/>
      </c>
      <c r="B195" s="6">
        <f>IF(ALLOCATIONS!A189="","",IFERROR(VLOOKUP(ALLOCATIONS!A189,MAPPING!$A$3:$C$302,3,FALSE),ALLOCATIONS!A189))</f>
        <v/>
      </c>
      <c r="C195" s="6">
        <f>IF(ALLOCATIONS!A189="","",IFERROR(VLOOKUP(ALLOCATIONS!B189,MAPPING!$E$3:$G$302,2,FALSE),"UNMAPPED"))</f>
        <v/>
      </c>
      <c r="D195" s="6">
        <f>IF(ALLOCATIONS!A189="","",IFERROR(IF(VLOOKUP(ALLOCATIONS!B189,MAPPING!$E$3:$G$302,3,FALSE)="","",VLOOKUP(ALLOCATIONS!B189,MAPPING!$E$3:$G$302,3,FALSE)),""))</f>
        <v/>
      </c>
      <c r="E195" s="6">
        <f>IF(ALLOCATIONS!A189="","",ALLOCATIONS!C189)</f>
        <v/>
      </c>
      <c r="F195" s="6">
        <f>IF(ALLOCATIONS!A189="","",IF(ALLOCATIONS!D189="",0,ALLOCATIONS!D189))</f>
        <v/>
      </c>
      <c r="G195" s="6">
        <f>IF(ALLOCATIONS!A189="","",SUMIFS(RAW_004!$I$2:$I$10001,RAW_004!$D$2:$D$10001,ALLOCATIONS!A189,RAW_004!$H$2:$H$10001,ALLOCATIONS!B189,RAW_004!$N$2:$N$10001,ALLOCATIONS!C189))</f>
        <v/>
      </c>
      <c r="H195" s="6">
        <f>IF(A195="","",G195-F195)</f>
        <v/>
      </c>
    </row>
    <row r="196">
      <c r="A196" s="6">
        <f>IF(ALLOCATIONS!A190="","",IFERROR(VLOOKUP(ALLOCATIONS!A190,MAPPING!$A$3:$C$302,2,FALSE),"UNMAPPED"))</f>
        <v/>
      </c>
      <c r="B196" s="6">
        <f>IF(ALLOCATIONS!A190="","",IFERROR(VLOOKUP(ALLOCATIONS!A190,MAPPING!$A$3:$C$302,3,FALSE),ALLOCATIONS!A190))</f>
        <v/>
      </c>
      <c r="C196" s="6">
        <f>IF(ALLOCATIONS!A190="","",IFERROR(VLOOKUP(ALLOCATIONS!B190,MAPPING!$E$3:$G$302,2,FALSE),"UNMAPPED"))</f>
        <v/>
      </c>
      <c r="D196" s="6">
        <f>IF(ALLOCATIONS!A190="","",IFERROR(IF(VLOOKUP(ALLOCATIONS!B190,MAPPING!$E$3:$G$302,3,FALSE)="","",VLOOKUP(ALLOCATIONS!B190,MAPPING!$E$3:$G$302,3,FALSE)),""))</f>
        <v/>
      </c>
      <c r="E196" s="6">
        <f>IF(ALLOCATIONS!A190="","",ALLOCATIONS!C190)</f>
        <v/>
      </c>
      <c r="F196" s="6">
        <f>IF(ALLOCATIONS!A190="","",IF(ALLOCATIONS!D190="",0,ALLOCATIONS!D190))</f>
        <v/>
      </c>
      <c r="G196" s="6">
        <f>IF(ALLOCATIONS!A190="","",SUMIFS(RAW_004!$I$2:$I$10001,RAW_004!$D$2:$D$10001,ALLOCATIONS!A190,RAW_004!$H$2:$H$10001,ALLOCATIONS!B190,RAW_004!$N$2:$N$10001,ALLOCATIONS!C190))</f>
        <v/>
      </c>
      <c r="H196" s="6">
        <f>IF(A196="","",G196-F196)</f>
        <v/>
      </c>
    </row>
    <row r="197">
      <c r="A197" s="6">
        <f>IF(ALLOCATIONS!A191="","",IFERROR(VLOOKUP(ALLOCATIONS!A191,MAPPING!$A$3:$C$302,2,FALSE),"UNMAPPED"))</f>
        <v/>
      </c>
      <c r="B197" s="6">
        <f>IF(ALLOCATIONS!A191="","",IFERROR(VLOOKUP(ALLOCATIONS!A191,MAPPING!$A$3:$C$302,3,FALSE),ALLOCATIONS!A191))</f>
        <v/>
      </c>
      <c r="C197" s="6">
        <f>IF(ALLOCATIONS!A191="","",IFERROR(VLOOKUP(ALLOCATIONS!B191,MAPPING!$E$3:$G$302,2,FALSE),"UNMAPPED"))</f>
        <v/>
      </c>
      <c r="D197" s="6">
        <f>IF(ALLOCATIONS!A191="","",IFERROR(IF(VLOOKUP(ALLOCATIONS!B191,MAPPING!$E$3:$G$302,3,FALSE)="","",VLOOKUP(ALLOCATIONS!B191,MAPPING!$E$3:$G$302,3,FALSE)),""))</f>
        <v/>
      </c>
      <c r="E197" s="6">
        <f>IF(ALLOCATIONS!A191="","",ALLOCATIONS!C191)</f>
        <v/>
      </c>
      <c r="F197" s="6">
        <f>IF(ALLOCATIONS!A191="","",IF(ALLOCATIONS!D191="",0,ALLOCATIONS!D191))</f>
        <v/>
      </c>
      <c r="G197" s="6">
        <f>IF(ALLOCATIONS!A191="","",SUMIFS(RAW_004!$I$2:$I$10001,RAW_004!$D$2:$D$10001,ALLOCATIONS!A191,RAW_004!$H$2:$H$10001,ALLOCATIONS!B191,RAW_004!$N$2:$N$10001,ALLOCATIONS!C191))</f>
        <v/>
      </c>
      <c r="H197" s="6">
        <f>IF(A197="","",G197-F197)</f>
        <v/>
      </c>
    </row>
    <row r="198">
      <c r="A198" s="6">
        <f>IF(ALLOCATIONS!A192="","",IFERROR(VLOOKUP(ALLOCATIONS!A192,MAPPING!$A$3:$C$302,2,FALSE),"UNMAPPED"))</f>
        <v/>
      </c>
      <c r="B198" s="6">
        <f>IF(ALLOCATIONS!A192="","",IFERROR(VLOOKUP(ALLOCATIONS!A192,MAPPING!$A$3:$C$302,3,FALSE),ALLOCATIONS!A192))</f>
        <v/>
      </c>
      <c r="C198" s="6">
        <f>IF(ALLOCATIONS!A192="","",IFERROR(VLOOKUP(ALLOCATIONS!B192,MAPPING!$E$3:$G$302,2,FALSE),"UNMAPPED"))</f>
        <v/>
      </c>
      <c r="D198" s="6">
        <f>IF(ALLOCATIONS!A192="","",IFERROR(IF(VLOOKUP(ALLOCATIONS!B192,MAPPING!$E$3:$G$302,3,FALSE)="","",VLOOKUP(ALLOCATIONS!B192,MAPPING!$E$3:$G$302,3,FALSE)),""))</f>
        <v/>
      </c>
      <c r="E198" s="6">
        <f>IF(ALLOCATIONS!A192="","",ALLOCATIONS!C192)</f>
        <v/>
      </c>
      <c r="F198" s="6">
        <f>IF(ALLOCATIONS!A192="","",IF(ALLOCATIONS!D192="",0,ALLOCATIONS!D192))</f>
        <v/>
      </c>
      <c r="G198" s="6">
        <f>IF(ALLOCATIONS!A192="","",SUMIFS(RAW_004!$I$2:$I$10001,RAW_004!$D$2:$D$10001,ALLOCATIONS!A192,RAW_004!$H$2:$H$10001,ALLOCATIONS!B192,RAW_004!$N$2:$N$10001,ALLOCATIONS!C192))</f>
        <v/>
      </c>
      <c r="H198" s="6">
        <f>IF(A198="","",G198-F198)</f>
        <v/>
      </c>
    </row>
    <row r="199">
      <c r="A199" s="6">
        <f>IF(ALLOCATIONS!A193="","",IFERROR(VLOOKUP(ALLOCATIONS!A193,MAPPING!$A$3:$C$302,2,FALSE),"UNMAPPED"))</f>
        <v/>
      </c>
      <c r="B199" s="6">
        <f>IF(ALLOCATIONS!A193="","",IFERROR(VLOOKUP(ALLOCATIONS!A193,MAPPING!$A$3:$C$302,3,FALSE),ALLOCATIONS!A193))</f>
        <v/>
      </c>
      <c r="C199" s="6">
        <f>IF(ALLOCATIONS!A193="","",IFERROR(VLOOKUP(ALLOCATIONS!B193,MAPPING!$E$3:$G$302,2,FALSE),"UNMAPPED"))</f>
        <v/>
      </c>
      <c r="D199" s="6">
        <f>IF(ALLOCATIONS!A193="","",IFERROR(IF(VLOOKUP(ALLOCATIONS!B193,MAPPING!$E$3:$G$302,3,FALSE)="","",VLOOKUP(ALLOCATIONS!B193,MAPPING!$E$3:$G$302,3,FALSE)),""))</f>
        <v/>
      </c>
      <c r="E199" s="6">
        <f>IF(ALLOCATIONS!A193="","",ALLOCATIONS!C193)</f>
        <v/>
      </c>
      <c r="F199" s="6">
        <f>IF(ALLOCATIONS!A193="","",IF(ALLOCATIONS!D193="",0,ALLOCATIONS!D193))</f>
        <v/>
      </c>
      <c r="G199" s="6">
        <f>IF(ALLOCATIONS!A193="","",SUMIFS(RAW_004!$I$2:$I$10001,RAW_004!$D$2:$D$10001,ALLOCATIONS!A193,RAW_004!$H$2:$H$10001,ALLOCATIONS!B193,RAW_004!$N$2:$N$10001,ALLOCATIONS!C193))</f>
        <v/>
      </c>
      <c r="H199" s="6">
        <f>IF(A199="","",G199-F199)</f>
        <v/>
      </c>
    </row>
    <row r="200">
      <c r="A200" s="6">
        <f>IF(ALLOCATIONS!A194="","",IFERROR(VLOOKUP(ALLOCATIONS!A194,MAPPING!$A$3:$C$302,2,FALSE),"UNMAPPED"))</f>
        <v/>
      </c>
      <c r="B200" s="6">
        <f>IF(ALLOCATIONS!A194="","",IFERROR(VLOOKUP(ALLOCATIONS!A194,MAPPING!$A$3:$C$302,3,FALSE),ALLOCATIONS!A194))</f>
        <v/>
      </c>
      <c r="C200" s="6">
        <f>IF(ALLOCATIONS!A194="","",IFERROR(VLOOKUP(ALLOCATIONS!B194,MAPPING!$E$3:$G$302,2,FALSE),"UNMAPPED"))</f>
        <v/>
      </c>
      <c r="D200" s="6">
        <f>IF(ALLOCATIONS!A194="","",IFERROR(IF(VLOOKUP(ALLOCATIONS!B194,MAPPING!$E$3:$G$302,3,FALSE)="","",VLOOKUP(ALLOCATIONS!B194,MAPPING!$E$3:$G$302,3,FALSE)),""))</f>
        <v/>
      </c>
      <c r="E200" s="6">
        <f>IF(ALLOCATIONS!A194="","",ALLOCATIONS!C194)</f>
        <v/>
      </c>
      <c r="F200" s="6">
        <f>IF(ALLOCATIONS!A194="","",IF(ALLOCATIONS!D194="",0,ALLOCATIONS!D194))</f>
        <v/>
      </c>
      <c r="G200" s="6">
        <f>IF(ALLOCATIONS!A194="","",SUMIFS(RAW_004!$I$2:$I$10001,RAW_004!$D$2:$D$10001,ALLOCATIONS!A194,RAW_004!$H$2:$H$10001,ALLOCATIONS!B194,RAW_004!$N$2:$N$10001,ALLOCATIONS!C194))</f>
        <v/>
      </c>
      <c r="H200" s="6">
        <f>IF(A200="","",G200-F200)</f>
        <v/>
      </c>
    </row>
    <row r="201">
      <c r="A201" s="6">
        <f>IF(ALLOCATIONS!A195="","",IFERROR(VLOOKUP(ALLOCATIONS!A195,MAPPING!$A$3:$C$302,2,FALSE),"UNMAPPED"))</f>
        <v/>
      </c>
      <c r="B201" s="6">
        <f>IF(ALLOCATIONS!A195="","",IFERROR(VLOOKUP(ALLOCATIONS!A195,MAPPING!$A$3:$C$302,3,FALSE),ALLOCATIONS!A195))</f>
        <v/>
      </c>
      <c r="C201" s="6">
        <f>IF(ALLOCATIONS!A195="","",IFERROR(VLOOKUP(ALLOCATIONS!B195,MAPPING!$E$3:$G$302,2,FALSE),"UNMAPPED"))</f>
        <v/>
      </c>
      <c r="D201" s="6">
        <f>IF(ALLOCATIONS!A195="","",IFERROR(IF(VLOOKUP(ALLOCATIONS!B195,MAPPING!$E$3:$G$302,3,FALSE)="","",VLOOKUP(ALLOCATIONS!B195,MAPPING!$E$3:$G$302,3,FALSE)),""))</f>
        <v/>
      </c>
      <c r="E201" s="6">
        <f>IF(ALLOCATIONS!A195="","",ALLOCATIONS!C195)</f>
        <v/>
      </c>
      <c r="F201" s="6">
        <f>IF(ALLOCATIONS!A195="","",IF(ALLOCATIONS!D195="",0,ALLOCATIONS!D195))</f>
        <v/>
      </c>
      <c r="G201" s="6">
        <f>IF(ALLOCATIONS!A195="","",SUMIFS(RAW_004!$I$2:$I$10001,RAW_004!$D$2:$D$10001,ALLOCATIONS!A195,RAW_004!$H$2:$H$10001,ALLOCATIONS!B195,RAW_004!$N$2:$N$10001,ALLOCATIONS!C195))</f>
        <v/>
      </c>
      <c r="H201" s="6">
        <f>IF(A201="","",G201-F201)</f>
        <v/>
      </c>
    </row>
    <row r="202">
      <c r="A202" s="6">
        <f>IF(ALLOCATIONS!A196="","",IFERROR(VLOOKUP(ALLOCATIONS!A196,MAPPING!$A$3:$C$302,2,FALSE),"UNMAPPED"))</f>
        <v/>
      </c>
      <c r="B202" s="6">
        <f>IF(ALLOCATIONS!A196="","",IFERROR(VLOOKUP(ALLOCATIONS!A196,MAPPING!$A$3:$C$302,3,FALSE),ALLOCATIONS!A196))</f>
        <v/>
      </c>
      <c r="C202" s="6">
        <f>IF(ALLOCATIONS!A196="","",IFERROR(VLOOKUP(ALLOCATIONS!B196,MAPPING!$E$3:$G$302,2,FALSE),"UNMAPPED"))</f>
        <v/>
      </c>
      <c r="D202" s="6">
        <f>IF(ALLOCATIONS!A196="","",IFERROR(IF(VLOOKUP(ALLOCATIONS!B196,MAPPING!$E$3:$G$302,3,FALSE)="","",VLOOKUP(ALLOCATIONS!B196,MAPPING!$E$3:$G$302,3,FALSE)),""))</f>
        <v/>
      </c>
      <c r="E202" s="6">
        <f>IF(ALLOCATIONS!A196="","",ALLOCATIONS!C196)</f>
        <v/>
      </c>
      <c r="F202" s="6">
        <f>IF(ALLOCATIONS!A196="","",IF(ALLOCATIONS!D196="",0,ALLOCATIONS!D196))</f>
        <v/>
      </c>
      <c r="G202" s="6">
        <f>IF(ALLOCATIONS!A196="","",SUMIFS(RAW_004!$I$2:$I$10001,RAW_004!$D$2:$D$10001,ALLOCATIONS!A196,RAW_004!$H$2:$H$10001,ALLOCATIONS!B196,RAW_004!$N$2:$N$10001,ALLOCATIONS!C196))</f>
        <v/>
      </c>
      <c r="H202" s="6">
        <f>IF(A202="","",G202-F202)</f>
        <v/>
      </c>
    </row>
    <row r="203">
      <c r="A203" s="6">
        <f>IF(ALLOCATIONS!A197="","",IFERROR(VLOOKUP(ALLOCATIONS!A197,MAPPING!$A$3:$C$302,2,FALSE),"UNMAPPED"))</f>
        <v/>
      </c>
      <c r="B203" s="6">
        <f>IF(ALLOCATIONS!A197="","",IFERROR(VLOOKUP(ALLOCATIONS!A197,MAPPING!$A$3:$C$302,3,FALSE),ALLOCATIONS!A197))</f>
        <v/>
      </c>
      <c r="C203" s="6">
        <f>IF(ALLOCATIONS!A197="","",IFERROR(VLOOKUP(ALLOCATIONS!B197,MAPPING!$E$3:$G$302,2,FALSE),"UNMAPPED"))</f>
        <v/>
      </c>
      <c r="D203" s="6">
        <f>IF(ALLOCATIONS!A197="","",IFERROR(IF(VLOOKUP(ALLOCATIONS!B197,MAPPING!$E$3:$G$302,3,FALSE)="","",VLOOKUP(ALLOCATIONS!B197,MAPPING!$E$3:$G$302,3,FALSE)),""))</f>
        <v/>
      </c>
      <c r="E203" s="6">
        <f>IF(ALLOCATIONS!A197="","",ALLOCATIONS!C197)</f>
        <v/>
      </c>
      <c r="F203" s="6">
        <f>IF(ALLOCATIONS!A197="","",IF(ALLOCATIONS!D197="",0,ALLOCATIONS!D197))</f>
        <v/>
      </c>
      <c r="G203" s="6">
        <f>IF(ALLOCATIONS!A197="","",SUMIFS(RAW_004!$I$2:$I$10001,RAW_004!$D$2:$D$10001,ALLOCATIONS!A197,RAW_004!$H$2:$H$10001,ALLOCATIONS!B197,RAW_004!$N$2:$N$10001,ALLOCATIONS!C197))</f>
        <v/>
      </c>
      <c r="H203" s="6">
        <f>IF(A203="","",G203-F203)</f>
        <v/>
      </c>
    </row>
    <row r="204">
      <c r="A204" s="6">
        <f>IF(ALLOCATIONS!A198="","",IFERROR(VLOOKUP(ALLOCATIONS!A198,MAPPING!$A$3:$C$302,2,FALSE),"UNMAPPED"))</f>
        <v/>
      </c>
      <c r="B204" s="6">
        <f>IF(ALLOCATIONS!A198="","",IFERROR(VLOOKUP(ALLOCATIONS!A198,MAPPING!$A$3:$C$302,3,FALSE),ALLOCATIONS!A198))</f>
        <v/>
      </c>
      <c r="C204" s="6">
        <f>IF(ALLOCATIONS!A198="","",IFERROR(VLOOKUP(ALLOCATIONS!B198,MAPPING!$E$3:$G$302,2,FALSE),"UNMAPPED"))</f>
        <v/>
      </c>
      <c r="D204" s="6">
        <f>IF(ALLOCATIONS!A198="","",IFERROR(IF(VLOOKUP(ALLOCATIONS!B198,MAPPING!$E$3:$G$302,3,FALSE)="","",VLOOKUP(ALLOCATIONS!B198,MAPPING!$E$3:$G$302,3,FALSE)),""))</f>
        <v/>
      </c>
      <c r="E204" s="6">
        <f>IF(ALLOCATIONS!A198="","",ALLOCATIONS!C198)</f>
        <v/>
      </c>
      <c r="F204" s="6">
        <f>IF(ALLOCATIONS!A198="","",IF(ALLOCATIONS!D198="",0,ALLOCATIONS!D198))</f>
        <v/>
      </c>
      <c r="G204" s="6">
        <f>IF(ALLOCATIONS!A198="","",SUMIFS(RAW_004!$I$2:$I$10001,RAW_004!$D$2:$D$10001,ALLOCATIONS!A198,RAW_004!$H$2:$H$10001,ALLOCATIONS!B198,RAW_004!$N$2:$N$10001,ALLOCATIONS!C198))</f>
        <v/>
      </c>
      <c r="H204" s="6">
        <f>IF(A204="","",G204-F204)</f>
        <v/>
      </c>
    </row>
    <row r="205">
      <c r="A205" s="6">
        <f>IF(ALLOCATIONS!A199="","",IFERROR(VLOOKUP(ALLOCATIONS!A199,MAPPING!$A$3:$C$302,2,FALSE),"UNMAPPED"))</f>
        <v/>
      </c>
      <c r="B205" s="6">
        <f>IF(ALLOCATIONS!A199="","",IFERROR(VLOOKUP(ALLOCATIONS!A199,MAPPING!$A$3:$C$302,3,FALSE),ALLOCATIONS!A199))</f>
        <v/>
      </c>
      <c r="C205" s="6">
        <f>IF(ALLOCATIONS!A199="","",IFERROR(VLOOKUP(ALLOCATIONS!B199,MAPPING!$E$3:$G$302,2,FALSE),"UNMAPPED"))</f>
        <v/>
      </c>
      <c r="D205" s="6">
        <f>IF(ALLOCATIONS!A199="","",IFERROR(IF(VLOOKUP(ALLOCATIONS!B199,MAPPING!$E$3:$G$302,3,FALSE)="","",VLOOKUP(ALLOCATIONS!B199,MAPPING!$E$3:$G$302,3,FALSE)),""))</f>
        <v/>
      </c>
      <c r="E205" s="6">
        <f>IF(ALLOCATIONS!A199="","",ALLOCATIONS!C199)</f>
        <v/>
      </c>
      <c r="F205" s="6">
        <f>IF(ALLOCATIONS!A199="","",IF(ALLOCATIONS!D199="",0,ALLOCATIONS!D199))</f>
        <v/>
      </c>
      <c r="G205" s="6">
        <f>IF(ALLOCATIONS!A199="","",SUMIFS(RAW_004!$I$2:$I$10001,RAW_004!$D$2:$D$10001,ALLOCATIONS!A199,RAW_004!$H$2:$H$10001,ALLOCATIONS!B199,RAW_004!$N$2:$N$10001,ALLOCATIONS!C199))</f>
        <v/>
      </c>
      <c r="H205" s="6">
        <f>IF(A205="","",G205-F205)</f>
        <v/>
      </c>
    </row>
    <row r="206">
      <c r="A206" s="6">
        <f>IF(ALLOCATIONS!A200="","",IFERROR(VLOOKUP(ALLOCATIONS!A200,MAPPING!$A$3:$C$302,2,FALSE),"UNMAPPED"))</f>
        <v/>
      </c>
      <c r="B206" s="6">
        <f>IF(ALLOCATIONS!A200="","",IFERROR(VLOOKUP(ALLOCATIONS!A200,MAPPING!$A$3:$C$302,3,FALSE),ALLOCATIONS!A200))</f>
        <v/>
      </c>
      <c r="C206" s="6">
        <f>IF(ALLOCATIONS!A200="","",IFERROR(VLOOKUP(ALLOCATIONS!B200,MAPPING!$E$3:$G$302,2,FALSE),"UNMAPPED"))</f>
        <v/>
      </c>
      <c r="D206" s="6">
        <f>IF(ALLOCATIONS!A200="","",IFERROR(IF(VLOOKUP(ALLOCATIONS!B200,MAPPING!$E$3:$G$302,3,FALSE)="","",VLOOKUP(ALLOCATIONS!B200,MAPPING!$E$3:$G$302,3,FALSE)),""))</f>
        <v/>
      </c>
      <c r="E206" s="6">
        <f>IF(ALLOCATIONS!A200="","",ALLOCATIONS!C200)</f>
        <v/>
      </c>
      <c r="F206" s="6">
        <f>IF(ALLOCATIONS!A200="","",IF(ALLOCATIONS!D200="",0,ALLOCATIONS!D200))</f>
        <v/>
      </c>
      <c r="G206" s="6">
        <f>IF(ALLOCATIONS!A200="","",SUMIFS(RAW_004!$I$2:$I$10001,RAW_004!$D$2:$D$10001,ALLOCATIONS!A200,RAW_004!$H$2:$H$10001,ALLOCATIONS!B200,RAW_004!$N$2:$N$10001,ALLOCATIONS!C200))</f>
        <v/>
      </c>
      <c r="H206" s="6">
        <f>IF(A206="","",G206-F206)</f>
        <v/>
      </c>
    </row>
    <row r="207">
      <c r="A207" s="6">
        <f>IF(ALLOCATIONS!A201="","",IFERROR(VLOOKUP(ALLOCATIONS!A201,MAPPING!$A$3:$C$302,2,FALSE),"UNMAPPED"))</f>
        <v/>
      </c>
      <c r="B207" s="6">
        <f>IF(ALLOCATIONS!A201="","",IFERROR(VLOOKUP(ALLOCATIONS!A201,MAPPING!$A$3:$C$302,3,FALSE),ALLOCATIONS!A201))</f>
        <v/>
      </c>
      <c r="C207" s="6">
        <f>IF(ALLOCATIONS!A201="","",IFERROR(VLOOKUP(ALLOCATIONS!B201,MAPPING!$E$3:$G$302,2,FALSE),"UNMAPPED"))</f>
        <v/>
      </c>
      <c r="D207" s="6">
        <f>IF(ALLOCATIONS!A201="","",IFERROR(IF(VLOOKUP(ALLOCATIONS!B201,MAPPING!$E$3:$G$302,3,FALSE)="","",VLOOKUP(ALLOCATIONS!B201,MAPPING!$E$3:$G$302,3,FALSE)),""))</f>
        <v/>
      </c>
      <c r="E207" s="6">
        <f>IF(ALLOCATIONS!A201="","",ALLOCATIONS!C201)</f>
        <v/>
      </c>
      <c r="F207" s="6">
        <f>IF(ALLOCATIONS!A201="","",IF(ALLOCATIONS!D201="",0,ALLOCATIONS!D201))</f>
        <v/>
      </c>
      <c r="G207" s="6">
        <f>IF(ALLOCATIONS!A201="","",SUMIFS(RAW_004!$I$2:$I$10001,RAW_004!$D$2:$D$10001,ALLOCATIONS!A201,RAW_004!$H$2:$H$10001,ALLOCATIONS!B201,RAW_004!$N$2:$N$10001,ALLOCATIONS!C201))</f>
        <v/>
      </c>
      <c r="H207" s="6">
        <f>IF(A207="","",G207-F207)</f>
        <v/>
      </c>
    </row>
    <row r="208">
      <c r="A208" s="6">
        <f>IF(ALLOCATIONS!A202="","",IFERROR(VLOOKUP(ALLOCATIONS!A202,MAPPING!$A$3:$C$302,2,FALSE),"UNMAPPED"))</f>
        <v/>
      </c>
      <c r="B208" s="6">
        <f>IF(ALLOCATIONS!A202="","",IFERROR(VLOOKUP(ALLOCATIONS!A202,MAPPING!$A$3:$C$302,3,FALSE),ALLOCATIONS!A202))</f>
        <v/>
      </c>
      <c r="C208" s="6">
        <f>IF(ALLOCATIONS!A202="","",IFERROR(VLOOKUP(ALLOCATIONS!B202,MAPPING!$E$3:$G$302,2,FALSE),"UNMAPPED"))</f>
        <v/>
      </c>
      <c r="D208" s="6">
        <f>IF(ALLOCATIONS!A202="","",IFERROR(IF(VLOOKUP(ALLOCATIONS!B202,MAPPING!$E$3:$G$302,3,FALSE)="","",VLOOKUP(ALLOCATIONS!B202,MAPPING!$E$3:$G$302,3,FALSE)),""))</f>
        <v/>
      </c>
      <c r="E208" s="6">
        <f>IF(ALLOCATIONS!A202="","",ALLOCATIONS!C202)</f>
        <v/>
      </c>
      <c r="F208" s="6">
        <f>IF(ALLOCATIONS!A202="","",IF(ALLOCATIONS!D202="",0,ALLOCATIONS!D202))</f>
        <v/>
      </c>
      <c r="G208" s="6">
        <f>IF(ALLOCATIONS!A202="","",SUMIFS(RAW_004!$I$2:$I$10001,RAW_004!$D$2:$D$10001,ALLOCATIONS!A202,RAW_004!$H$2:$H$10001,ALLOCATIONS!B202,RAW_004!$N$2:$N$10001,ALLOCATIONS!C202))</f>
        <v/>
      </c>
      <c r="H208" s="6">
        <f>IF(A208="","",G208-F208)</f>
        <v/>
      </c>
    </row>
    <row r="209">
      <c r="A209" s="6">
        <f>IF(ALLOCATIONS!A203="","",IFERROR(VLOOKUP(ALLOCATIONS!A203,MAPPING!$A$3:$C$302,2,FALSE),"UNMAPPED"))</f>
        <v/>
      </c>
      <c r="B209" s="6">
        <f>IF(ALLOCATIONS!A203="","",IFERROR(VLOOKUP(ALLOCATIONS!A203,MAPPING!$A$3:$C$302,3,FALSE),ALLOCATIONS!A203))</f>
        <v/>
      </c>
      <c r="C209" s="6">
        <f>IF(ALLOCATIONS!A203="","",IFERROR(VLOOKUP(ALLOCATIONS!B203,MAPPING!$E$3:$G$302,2,FALSE),"UNMAPPED"))</f>
        <v/>
      </c>
      <c r="D209" s="6">
        <f>IF(ALLOCATIONS!A203="","",IFERROR(IF(VLOOKUP(ALLOCATIONS!B203,MAPPING!$E$3:$G$302,3,FALSE)="","",VLOOKUP(ALLOCATIONS!B203,MAPPING!$E$3:$G$302,3,FALSE)),""))</f>
        <v/>
      </c>
      <c r="E209" s="6">
        <f>IF(ALLOCATIONS!A203="","",ALLOCATIONS!C203)</f>
        <v/>
      </c>
      <c r="F209" s="6">
        <f>IF(ALLOCATIONS!A203="","",IF(ALLOCATIONS!D203="",0,ALLOCATIONS!D203))</f>
        <v/>
      </c>
      <c r="G209" s="6">
        <f>IF(ALLOCATIONS!A203="","",SUMIFS(RAW_004!$I$2:$I$10001,RAW_004!$D$2:$D$10001,ALLOCATIONS!A203,RAW_004!$H$2:$H$10001,ALLOCATIONS!B203,RAW_004!$N$2:$N$10001,ALLOCATIONS!C203))</f>
        <v/>
      </c>
      <c r="H209" s="6">
        <f>IF(A209="","",G209-F209)</f>
        <v/>
      </c>
    </row>
    <row r="210">
      <c r="A210" s="6">
        <f>IF(ALLOCATIONS!A204="","",IFERROR(VLOOKUP(ALLOCATIONS!A204,MAPPING!$A$3:$C$302,2,FALSE),"UNMAPPED"))</f>
        <v/>
      </c>
      <c r="B210" s="6">
        <f>IF(ALLOCATIONS!A204="","",IFERROR(VLOOKUP(ALLOCATIONS!A204,MAPPING!$A$3:$C$302,3,FALSE),ALLOCATIONS!A204))</f>
        <v/>
      </c>
      <c r="C210" s="6">
        <f>IF(ALLOCATIONS!A204="","",IFERROR(VLOOKUP(ALLOCATIONS!B204,MAPPING!$E$3:$G$302,2,FALSE),"UNMAPPED"))</f>
        <v/>
      </c>
      <c r="D210" s="6">
        <f>IF(ALLOCATIONS!A204="","",IFERROR(IF(VLOOKUP(ALLOCATIONS!B204,MAPPING!$E$3:$G$302,3,FALSE)="","",VLOOKUP(ALLOCATIONS!B204,MAPPING!$E$3:$G$302,3,FALSE)),""))</f>
        <v/>
      </c>
      <c r="E210" s="6">
        <f>IF(ALLOCATIONS!A204="","",ALLOCATIONS!C204)</f>
        <v/>
      </c>
      <c r="F210" s="6">
        <f>IF(ALLOCATIONS!A204="","",IF(ALLOCATIONS!D204="",0,ALLOCATIONS!D204))</f>
        <v/>
      </c>
      <c r="G210" s="6">
        <f>IF(ALLOCATIONS!A204="","",SUMIFS(RAW_004!$I$2:$I$10001,RAW_004!$D$2:$D$10001,ALLOCATIONS!A204,RAW_004!$H$2:$H$10001,ALLOCATIONS!B204,RAW_004!$N$2:$N$10001,ALLOCATIONS!C204))</f>
        <v/>
      </c>
      <c r="H210" s="6">
        <f>IF(A210="","",G210-F210)</f>
        <v/>
      </c>
    </row>
    <row r="211">
      <c r="A211" s="6">
        <f>IF(ALLOCATIONS!A205="","",IFERROR(VLOOKUP(ALLOCATIONS!A205,MAPPING!$A$3:$C$302,2,FALSE),"UNMAPPED"))</f>
        <v/>
      </c>
      <c r="B211" s="6">
        <f>IF(ALLOCATIONS!A205="","",IFERROR(VLOOKUP(ALLOCATIONS!A205,MAPPING!$A$3:$C$302,3,FALSE),ALLOCATIONS!A205))</f>
        <v/>
      </c>
      <c r="C211" s="6">
        <f>IF(ALLOCATIONS!A205="","",IFERROR(VLOOKUP(ALLOCATIONS!B205,MAPPING!$E$3:$G$302,2,FALSE),"UNMAPPED"))</f>
        <v/>
      </c>
      <c r="D211" s="6">
        <f>IF(ALLOCATIONS!A205="","",IFERROR(IF(VLOOKUP(ALLOCATIONS!B205,MAPPING!$E$3:$G$302,3,FALSE)="","",VLOOKUP(ALLOCATIONS!B205,MAPPING!$E$3:$G$302,3,FALSE)),""))</f>
        <v/>
      </c>
      <c r="E211" s="6">
        <f>IF(ALLOCATIONS!A205="","",ALLOCATIONS!C205)</f>
        <v/>
      </c>
      <c r="F211" s="6">
        <f>IF(ALLOCATIONS!A205="","",IF(ALLOCATIONS!D205="",0,ALLOCATIONS!D205))</f>
        <v/>
      </c>
      <c r="G211" s="6">
        <f>IF(ALLOCATIONS!A205="","",SUMIFS(RAW_004!$I$2:$I$10001,RAW_004!$D$2:$D$10001,ALLOCATIONS!A205,RAW_004!$H$2:$H$10001,ALLOCATIONS!B205,RAW_004!$N$2:$N$10001,ALLOCATIONS!C205))</f>
        <v/>
      </c>
      <c r="H211" s="6">
        <f>IF(A211="","",G211-F211)</f>
        <v/>
      </c>
    </row>
    <row r="212">
      <c r="A212" s="6">
        <f>IF(ALLOCATIONS!A206="","",IFERROR(VLOOKUP(ALLOCATIONS!A206,MAPPING!$A$3:$C$302,2,FALSE),"UNMAPPED"))</f>
        <v/>
      </c>
      <c r="B212" s="6">
        <f>IF(ALLOCATIONS!A206="","",IFERROR(VLOOKUP(ALLOCATIONS!A206,MAPPING!$A$3:$C$302,3,FALSE),ALLOCATIONS!A206))</f>
        <v/>
      </c>
      <c r="C212" s="6">
        <f>IF(ALLOCATIONS!A206="","",IFERROR(VLOOKUP(ALLOCATIONS!B206,MAPPING!$E$3:$G$302,2,FALSE),"UNMAPPED"))</f>
        <v/>
      </c>
      <c r="D212" s="6">
        <f>IF(ALLOCATIONS!A206="","",IFERROR(IF(VLOOKUP(ALLOCATIONS!B206,MAPPING!$E$3:$G$302,3,FALSE)="","",VLOOKUP(ALLOCATIONS!B206,MAPPING!$E$3:$G$302,3,FALSE)),""))</f>
        <v/>
      </c>
      <c r="E212" s="6">
        <f>IF(ALLOCATIONS!A206="","",ALLOCATIONS!C206)</f>
        <v/>
      </c>
      <c r="F212" s="6">
        <f>IF(ALLOCATIONS!A206="","",IF(ALLOCATIONS!D206="",0,ALLOCATIONS!D206))</f>
        <v/>
      </c>
      <c r="G212" s="6">
        <f>IF(ALLOCATIONS!A206="","",SUMIFS(RAW_004!$I$2:$I$10001,RAW_004!$D$2:$D$10001,ALLOCATIONS!A206,RAW_004!$H$2:$H$10001,ALLOCATIONS!B206,RAW_004!$N$2:$N$10001,ALLOCATIONS!C206))</f>
        <v/>
      </c>
      <c r="H212" s="6">
        <f>IF(A212="","",G212-F212)</f>
        <v/>
      </c>
    </row>
    <row r="213">
      <c r="A213" s="6">
        <f>IF(ALLOCATIONS!A207="","",IFERROR(VLOOKUP(ALLOCATIONS!A207,MAPPING!$A$3:$C$302,2,FALSE),"UNMAPPED"))</f>
        <v/>
      </c>
      <c r="B213" s="6">
        <f>IF(ALLOCATIONS!A207="","",IFERROR(VLOOKUP(ALLOCATIONS!A207,MAPPING!$A$3:$C$302,3,FALSE),ALLOCATIONS!A207))</f>
        <v/>
      </c>
      <c r="C213" s="6">
        <f>IF(ALLOCATIONS!A207="","",IFERROR(VLOOKUP(ALLOCATIONS!B207,MAPPING!$E$3:$G$302,2,FALSE),"UNMAPPED"))</f>
        <v/>
      </c>
      <c r="D213" s="6">
        <f>IF(ALLOCATIONS!A207="","",IFERROR(IF(VLOOKUP(ALLOCATIONS!B207,MAPPING!$E$3:$G$302,3,FALSE)="","",VLOOKUP(ALLOCATIONS!B207,MAPPING!$E$3:$G$302,3,FALSE)),""))</f>
        <v/>
      </c>
      <c r="E213" s="6">
        <f>IF(ALLOCATIONS!A207="","",ALLOCATIONS!C207)</f>
        <v/>
      </c>
      <c r="F213" s="6">
        <f>IF(ALLOCATIONS!A207="","",IF(ALLOCATIONS!D207="",0,ALLOCATIONS!D207))</f>
        <v/>
      </c>
      <c r="G213" s="6">
        <f>IF(ALLOCATIONS!A207="","",SUMIFS(RAW_004!$I$2:$I$10001,RAW_004!$D$2:$D$10001,ALLOCATIONS!A207,RAW_004!$H$2:$H$10001,ALLOCATIONS!B207,RAW_004!$N$2:$N$10001,ALLOCATIONS!C207))</f>
        <v/>
      </c>
      <c r="H213" s="6">
        <f>IF(A213="","",G213-F213)</f>
        <v/>
      </c>
    </row>
    <row r="214">
      <c r="A214" s="6">
        <f>IF(ALLOCATIONS!A208="","",IFERROR(VLOOKUP(ALLOCATIONS!A208,MAPPING!$A$3:$C$302,2,FALSE),"UNMAPPED"))</f>
        <v/>
      </c>
      <c r="B214" s="6">
        <f>IF(ALLOCATIONS!A208="","",IFERROR(VLOOKUP(ALLOCATIONS!A208,MAPPING!$A$3:$C$302,3,FALSE),ALLOCATIONS!A208))</f>
        <v/>
      </c>
      <c r="C214" s="6">
        <f>IF(ALLOCATIONS!A208="","",IFERROR(VLOOKUP(ALLOCATIONS!B208,MAPPING!$E$3:$G$302,2,FALSE),"UNMAPPED"))</f>
        <v/>
      </c>
      <c r="D214" s="6">
        <f>IF(ALLOCATIONS!A208="","",IFERROR(IF(VLOOKUP(ALLOCATIONS!B208,MAPPING!$E$3:$G$302,3,FALSE)="","",VLOOKUP(ALLOCATIONS!B208,MAPPING!$E$3:$G$302,3,FALSE)),""))</f>
        <v/>
      </c>
      <c r="E214" s="6">
        <f>IF(ALLOCATIONS!A208="","",ALLOCATIONS!C208)</f>
        <v/>
      </c>
      <c r="F214" s="6">
        <f>IF(ALLOCATIONS!A208="","",IF(ALLOCATIONS!D208="",0,ALLOCATIONS!D208))</f>
        <v/>
      </c>
      <c r="G214" s="6">
        <f>IF(ALLOCATIONS!A208="","",SUMIFS(RAW_004!$I$2:$I$10001,RAW_004!$D$2:$D$10001,ALLOCATIONS!A208,RAW_004!$H$2:$H$10001,ALLOCATIONS!B208,RAW_004!$N$2:$N$10001,ALLOCATIONS!C208))</f>
        <v/>
      </c>
      <c r="H214" s="6">
        <f>IF(A214="","",G214-F214)</f>
        <v/>
      </c>
    </row>
    <row r="215">
      <c r="A215" s="6">
        <f>IF(ALLOCATIONS!A209="","",IFERROR(VLOOKUP(ALLOCATIONS!A209,MAPPING!$A$3:$C$302,2,FALSE),"UNMAPPED"))</f>
        <v/>
      </c>
      <c r="B215" s="6">
        <f>IF(ALLOCATIONS!A209="","",IFERROR(VLOOKUP(ALLOCATIONS!A209,MAPPING!$A$3:$C$302,3,FALSE),ALLOCATIONS!A209))</f>
        <v/>
      </c>
      <c r="C215" s="6">
        <f>IF(ALLOCATIONS!A209="","",IFERROR(VLOOKUP(ALLOCATIONS!B209,MAPPING!$E$3:$G$302,2,FALSE),"UNMAPPED"))</f>
        <v/>
      </c>
      <c r="D215" s="6">
        <f>IF(ALLOCATIONS!A209="","",IFERROR(IF(VLOOKUP(ALLOCATIONS!B209,MAPPING!$E$3:$G$302,3,FALSE)="","",VLOOKUP(ALLOCATIONS!B209,MAPPING!$E$3:$G$302,3,FALSE)),""))</f>
        <v/>
      </c>
      <c r="E215" s="6">
        <f>IF(ALLOCATIONS!A209="","",ALLOCATIONS!C209)</f>
        <v/>
      </c>
      <c r="F215" s="6">
        <f>IF(ALLOCATIONS!A209="","",IF(ALLOCATIONS!D209="",0,ALLOCATIONS!D209))</f>
        <v/>
      </c>
      <c r="G215" s="6">
        <f>IF(ALLOCATIONS!A209="","",SUMIFS(RAW_004!$I$2:$I$10001,RAW_004!$D$2:$D$10001,ALLOCATIONS!A209,RAW_004!$H$2:$H$10001,ALLOCATIONS!B209,RAW_004!$N$2:$N$10001,ALLOCATIONS!C209))</f>
        <v/>
      </c>
      <c r="H215" s="6">
        <f>IF(A215="","",G215-F215)</f>
        <v/>
      </c>
    </row>
    <row r="216">
      <c r="A216" s="6">
        <f>IF(ALLOCATIONS!A210="","",IFERROR(VLOOKUP(ALLOCATIONS!A210,MAPPING!$A$3:$C$302,2,FALSE),"UNMAPPED"))</f>
        <v/>
      </c>
      <c r="B216" s="6">
        <f>IF(ALLOCATIONS!A210="","",IFERROR(VLOOKUP(ALLOCATIONS!A210,MAPPING!$A$3:$C$302,3,FALSE),ALLOCATIONS!A210))</f>
        <v/>
      </c>
      <c r="C216" s="6">
        <f>IF(ALLOCATIONS!A210="","",IFERROR(VLOOKUP(ALLOCATIONS!B210,MAPPING!$E$3:$G$302,2,FALSE),"UNMAPPED"))</f>
        <v/>
      </c>
      <c r="D216" s="6">
        <f>IF(ALLOCATIONS!A210="","",IFERROR(IF(VLOOKUP(ALLOCATIONS!B210,MAPPING!$E$3:$G$302,3,FALSE)="","",VLOOKUP(ALLOCATIONS!B210,MAPPING!$E$3:$G$302,3,FALSE)),""))</f>
        <v/>
      </c>
      <c r="E216" s="6">
        <f>IF(ALLOCATIONS!A210="","",ALLOCATIONS!C210)</f>
        <v/>
      </c>
      <c r="F216" s="6">
        <f>IF(ALLOCATIONS!A210="","",IF(ALLOCATIONS!D210="",0,ALLOCATIONS!D210))</f>
        <v/>
      </c>
      <c r="G216" s="6">
        <f>IF(ALLOCATIONS!A210="","",SUMIFS(RAW_004!$I$2:$I$10001,RAW_004!$D$2:$D$10001,ALLOCATIONS!A210,RAW_004!$H$2:$H$10001,ALLOCATIONS!B210,RAW_004!$N$2:$N$10001,ALLOCATIONS!C210))</f>
        <v/>
      </c>
      <c r="H216" s="6">
        <f>IF(A216="","",G216-F216)</f>
        <v/>
      </c>
    </row>
    <row r="217">
      <c r="A217" s="6">
        <f>IF(ALLOCATIONS!A211="","",IFERROR(VLOOKUP(ALLOCATIONS!A211,MAPPING!$A$3:$C$302,2,FALSE),"UNMAPPED"))</f>
        <v/>
      </c>
      <c r="B217" s="6">
        <f>IF(ALLOCATIONS!A211="","",IFERROR(VLOOKUP(ALLOCATIONS!A211,MAPPING!$A$3:$C$302,3,FALSE),ALLOCATIONS!A211))</f>
        <v/>
      </c>
      <c r="C217" s="6">
        <f>IF(ALLOCATIONS!A211="","",IFERROR(VLOOKUP(ALLOCATIONS!B211,MAPPING!$E$3:$G$302,2,FALSE),"UNMAPPED"))</f>
        <v/>
      </c>
      <c r="D217" s="6">
        <f>IF(ALLOCATIONS!A211="","",IFERROR(IF(VLOOKUP(ALLOCATIONS!B211,MAPPING!$E$3:$G$302,3,FALSE)="","",VLOOKUP(ALLOCATIONS!B211,MAPPING!$E$3:$G$302,3,FALSE)),""))</f>
        <v/>
      </c>
      <c r="E217" s="6">
        <f>IF(ALLOCATIONS!A211="","",ALLOCATIONS!C211)</f>
        <v/>
      </c>
      <c r="F217" s="6">
        <f>IF(ALLOCATIONS!A211="","",IF(ALLOCATIONS!D211="",0,ALLOCATIONS!D211))</f>
        <v/>
      </c>
      <c r="G217" s="6">
        <f>IF(ALLOCATIONS!A211="","",SUMIFS(RAW_004!$I$2:$I$10001,RAW_004!$D$2:$D$10001,ALLOCATIONS!A211,RAW_004!$H$2:$H$10001,ALLOCATIONS!B211,RAW_004!$N$2:$N$10001,ALLOCATIONS!C211))</f>
        <v/>
      </c>
      <c r="H217" s="6">
        <f>IF(A217="","",G217-F217)</f>
        <v/>
      </c>
    </row>
    <row r="218">
      <c r="A218" s="6">
        <f>IF(ALLOCATIONS!A212="","",IFERROR(VLOOKUP(ALLOCATIONS!A212,MAPPING!$A$3:$C$302,2,FALSE),"UNMAPPED"))</f>
        <v/>
      </c>
      <c r="B218" s="6">
        <f>IF(ALLOCATIONS!A212="","",IFERROR(VLOOKUP(ALLOCATIONS!A212,MAPPING!$A$3:$C$302,3,FALSE),ALLOCATIONS!A212))</f>
        <v/>
      </c>
      <c r="C218" s="6">
        <f>IF(ALLOCATIONS!A212="","",IFERROR(VLOOKUP(ALLOCATIONS!B212,MAPPING!$E$3:$G$302,2,FALSE),"UNMAPPED"))</f>
        <v/>
      </c>
      <c r="D218" s="6">
        <f>IF(ALLOCATIONS!A212="","",IFERROR(IF(VLOOKUP(ALLOCATIONS!B212,MAPPING!$E$3:$G$302,3,FALSE)="","",VLOOKUP(ALLOCATIONS!B212,MAPPING!$E$3:$G$302,3,FALSE)),""))</f>
        <v/>
      </c>
      <c r="E218" s="6">
        <f>IF(ALLOCATIONS!A212="","",ALLOCATIONS!C212)</f>
        <v/>
      </c>
      <c r="F218" s="6">
        <f>IF(ALLOCATIONS!A212="","",IF(ALLOCATIONS!D212="",0,ALLOCATIONS!D212))</f>
        <v/>
      </c>
      <c r="G218" s="6">
        <f>IF(ALLOCATIONS!A212="","",SUMIFS(RAW_004!$I$2:$I$10001,RAW_004!$D$2:$D$10001,ALLOCATIONS!A212,RAW_004!$H$2:$H$10001,ALLOCATIONS!B212,RAW_004!$N$2:$N$10001,ALLOCATIONS!C212))</f>
        <v/>
      </c>
      <c r="H218" s="6">
        <f>IF(A218="","",G218-F218)</f>
        <v/>
      </c>
    </row>
    <row r="219">
      <c r="A219" s="6">
        <f>IF(ALLOCATIONS!A213="","",IFERROR(VLOOKUP(ALLOCATIONS!A213,MAPPING!$A$3:$C$302,2,FALSE),"UNMAPPED"))</f>
        <v/>
      </c>
      <c r="B219" s="6">
        <f>IF(ALLOCATIONS!A213="","",IFERROR(VLOOKUP(ALLOCATIONS!A213,MAPPING!$A$3:$C$302,3,FALSE),ALLOCATIONS!A213))</f>
        <v/>
      </c>
      <c r="C219" s="6">
        <f>IF(ALLOCATIONS!A213="","",IFERROR(VLOOKUP(ALLOCATIONS!B213,MAPPING!$E$3:$G$302,2,FALSE),"UNMAPPED"))</f>
        <v/>
      </c>
      <c r="D219" s="6">
        <f>IF(ALLOCATIONS!A213="","",IFERROR(IF(VLOOKUP(ALLOCATIONS!B213,MAPPING!$E$3:$G$302,3,FALSE)="","",VLOOKUP(ALLOCATIONS!B213,MAPPING!$E$3:$G$302,3,FALSE)),""))</f>
        <v/>
      </c>
      <c r="E219" s="6">
        <f>IF(ALLOCATIONS!A213="","",ALLOCATIONS!C213)</f>
        <v/>
      </c>
      <c r="F219" s="6">
        <f>IF(ALLOCATIONS!A213="","",IF(ALLOCATIONS!D213="",0,ALLOCATIONS!D213))</f>
        <v/>
      </c>
      <c r="G219" s="6">
        <f>IF(ALLOCATIONS!A213="","",SUMIFS(RAW_004!$I$2:$I$10001,RAW_004!$D$2:$D$10001,ALLOCATIONS!A213,RAW_004!$H$2:$H$10001,ALLOCATIONS!B213,RAW_004!$N$2:$N$10001,ALLOCATIONS!C213))</f>
        <v/>
      </c>
      <c r="H219" s="6">
        <f>IF(A219="","",G219-F219)</f>
        <v/>
      </c>
    </row>
    <row r="220">
      <c r="A220" s="6">
        <f>IF(ALLOCATIONS!A214="","",IFERROR(VLOOKUP(ALLOCATIONS!A214,MAPPING!$A$3:$C$302,2,FALSE),"UNMAPPED"))</f>
        <v/>
      </c>
      <c r="B220" s="6">
        <f>IF(ALLOCATIONS!A214="","",IFERROR(VLOOKUP(ALLOCATIONS!A214,MAPPING!$A$3:$C$302,3,FALSE),ALLOCATIONS!A214))</f>
        <v/>
      </c>
      <c r="C220" s="6">
        <f>IF(ALLOCATIONS!A214="","",IFERROR(VLOOKUP(ALLOCATIONS!B214,MAPPING!$E$3:$G$302,2,FALSE),"UNMAPPED"))</f>
        <v/>
      </c>
      <c r="D220" s="6">
        <f>IF(ALLOCATIONS!A214="","",IFERROR(IF(VLOOKUP(ALLOCATIONS!B214,MAPPING!$E$3:$G$302,3,FALSE)="","",VLOOKUP(ALLOCATIONS!B214,MAPPING!$E$3:$G$302,3,FALSE)),""))</f>
        <v/>
      </c>
      <c r="E220" s="6">
        <f>IF(ALLOCATIONS!A214="","",ALLOCATIONS!C214)</f>
        <v/>
      </c>
      <c r="F220" s="6">
        <f>IF(ALLOCATIONS!A214="","",IF(ALLOCATIONS!D214="",0,ALLOCATIONS!D214))</f>
        <v/>
      </c>
      <c r="G220" s="6">
        <f>IF(ALLOCATIONS!A214="","",SUMIFS(RAW_004!$I$2:$I$10001,RAW_004!$D$2:$D$10001,ALLOCATIONS!A214,RAW_004!$H$2:$H$10001,ALLOCATIONS!B214,RAW_004!$N$2:$N$10001,ALLOCATIONS!C214))</f>
        <v/>
      </c>
      <c r="H220" s="6">
        <f>IF(A220="","",G220-F220)</f>
        <v/>
      </c>
    </row>
    <row r="221">
      <c r="A221" s="6">
        <f>IF(ALLOCATIONS!A215="","",IFERROR(VLOOKUP(ALLOCATIONS!A215,MAPPING!$A$3:$C$302,2,FALSE),"UNMAPPED"))</f>
        <v/>
      </c>
      <c r="B221" s="6">
        <f>IF(ALLOCATIONS!A215="","",IFERROR(VLOOKUP(ALLOCATIONS!A215,MAPPING!$A$3:$C$302,3,FALSE),ALLOCATIONS!A215))</f>
        <v/>
      </c>
      <c r="C221" s="6">
        <f>IF(ALLOCATIONS!A215="","",IFERROR(VLOOKUP(ALLOCATIONS!B215,MAPPING!$E$3:$G$302,2,FALSE),"UNMAPPED"))</f>
        <v/>
      </c>
      <c r="D221" s="6">
        <f>IF(ALLOCATIONS!A215="","",IFERROR(IF(VLOOKUP(ALLOCATIONS!B215,MAPPING!$E$3:$G$302,3,FALSE)="","",VLOOKUP(ALLOCATIONS!B215,MAPPING!$E$3:$G$302,3,FALSE)),""))</f>
        <v/>
      </c>
      <c r="E221" s="6">
        <f>IF(ALLOCATIONS!A215="","",ALLOCATIONS!C215)</f>
        <v/>
      </c>
      <c r="F221" s="6">
        <f>IF(ALLOCATIONS!A215="","",IF(ALLOCATIONS!D215="",0,ALLOCATIONS!D215))</f>
        <v/>
      </c>
      <c r="G221" s="6">
        <f>IF(ALLOCATIONS!A215="","",SUMIFS(RAW_004!$I$2:$I$10001,RAW_004!$D$2:$D$10001,ALLOCATIONS!A215,RAW_004!$H$2:$H$10001,ALLOCATIONS!B215,RAW_004!$N$2:$N$10001,ALLOCATIONS!C215))</f>
        <v/>
      </c>
      <c r="H221" s="6">
        <f>IF(A221="","",G221-F221)</f>
        <v/>
      </c>
    </row>
    <row r="222">
      <c r="A222" s="6">
        <f>IF(ALLOCATIONS!A216="","",IFERROR(VLOOKUP(ALLOCATIONS!A216,MAPPING!$A$3:$C$302,2,FALSE),"UNMAPPED"))</f>
        <v/>
      </c>
      <c r="B222" s="6">
        <f>IF(ALLOCATIONS!A216="","",IFERROR(VLOOKUP(ALLOCATIONS!A216,MAPPING!$A$3:$C$302,3,FALSE),ALLOCATIONS!A216))</f>
        <v/>
      </c>
      <c r="C222" s="6">
        <f>IF(ALLOCATIONS!A216="","",IFERROR(VLOOKUP(ALLOCATIONS!B216,MAPPING!$E$3:$G$302,2,FALSE),"UNMAPPED"))</f>
        <v/>
      </c>
      <c r="D222" s="6">
        <f>IF(ALLOCATIONS!A216="","",IFERROR(IF(VLOOKUP(ALLOCATIONS!B216,MAPPING!$E$3:$G$302,3,FALSE)="","",VLOOKUP(ALLOCATIONS!B216,MAPPING!$E$3:$G$302,3,FALSE)),""))</f>
        <v/>
      </c>
      <c r="E222" s="6">
        <f>IF(ALLOCATIONS!A216="","",ALLOCATIONS!C216)</f>
        <v/>
      </c>
      <c r="F222" s="6">
        <f>IF(ALLOCATIONS!A216="","",IF(ALLOCATIONS!D216="",0,ALLOCATIONS!D216))</f>
        <v/>
      </c>
      <c r="G222" s="6">
        <f>IF(ALLOCATIONS!A216="","",SUMIFS(RAW_004!$I$2:$I$10001,RAW_004!$D$2:$D$10001,ALLOCATIONS!A216,RAW_004!$H$2:$H$10001,ALLOCATIONS!B216,RAW_004!$N$2:$N$10001,ALLOCATIONS!C216))</f>
        <v/>
      </c>
      <c r="H222" s="6">
        <f>IF(A222="","",G222-F222)</f>
        <v/>
      </c>
    </row>
    <row r="223">
      <c r="A223" s="6">
        <f>IF(ALLOCATIONS!A217="","",IFERROR(VLOOKUP(ALLOCATIONS!A217,MAPPING!$A$3:$C$302,2,FALSE),"UNMAPPED"))</f>
        <v/>
      </c>
      <c r="B223" s="6">
        <f>IF(ALLOCATIONS!A217="","",IFERROR(VLOOKUP(ALLOCATIONS!A217,MAPPING!$A$3:$C$302,3,FALSE),ALLOCATIONS!A217))</f>
        <v/>
      </c>
      <c r="C223" s="6">
        <f>IF(ALLOCATIONS!A217="","",IFERROR(VLOOKUP(ALLOCATIONS!B217,MAPPING!$E$3:$G$302,2,FALSE),"UNMAPPED"))</f>
        <v/>
      </c>
      <c r="D223" s="6">
        <f>IF(ALLOCATIONS!A217="","",IFERROR(IF(VLOOKUP(ALLOCATIONS!B217,MAPPING!$E$3:$G$302,3,FALSE)="","",VLOOKUP(ALLOCATIONS!B217,MAPPING!$E$3:$G$302,3,FALSE)),""))</f>
        <v/>
      </c>
      <c r="E223" s="6">
        <f>IF(ALLOCATIONS!A217="","",ALLOCATIONS!C217)</f>
        <v/>
      </c>
      <c r="F223" s="6">
        <f>IF(ALLOCATIONS!A217="","",IF(ALLOCATIONS!D217="",0,ALLOCATIONS!D217))</f>
        <v/>
      </c>
      <c r="G223" s="6">
        <f>IF(ALLOCATIONS!A217="","",SUMIFS(RAW_004!$I$2:$I$10001,RAW_004!$D$2:$D$10001,ALLOCATIONS!A217,RAW_004!$H$2:$H$10001,ALLOCATIONS!B217,RAW_004!$N$2:$N$10001,ALLOCATIONS!C217))</f>
        <v/>
      </c>
      <c r="H223" s="6">
        <f>IF(A223="","",G223-F223)</f>
        <v/>
      </c>
    </row>
    <row r="224">
      <c r="A224" s="6">
        <f>IF(ALLOCATIONS!A218="","",IFERROR(VLOOKUP(ALLOCATIONS!A218,MAPPING!$A$3:$C$302,2,FALSE),"UNMAPPED"))</f>
        <v/>
      </c>
      <c r="B224" s="6">
        <f>IF(ALLOCATIONS!A218="","",IFERROR(VLOOKUP(ALLOCATIONS!A218,MAPPING!$A$3:$C$302,3,FALSE),ALLOCATIONS!A218))</f>
        <v/>
      </c>
      <c r="C224" s="6">
        <f>IF(ALLOCATIONS!A218="","",IFERROR(VLOOKUP(ALLOCATIONS!B218,MAPPING!$E$3:$G$302,2,FALSE),"UNMAPPED"))</f>
        <v/>
      </c>
      <c r="D224" s="6">
        <f>IF(ALLOCATIONS!A218="","",IFERROR(IF(VLOOKUP(ALLOCATIONS!B218,MAPPING!$E$3:$G$302,3,FALSE)="","",VLOOKUP(ALLOCATIONS!B218,MAPPING!$E$3:$G$302,3,FALSE)),""))</f>
        <v/>
      </c>
      <c r="E224" s="6">
        <f>IF(ALLOCATIONS!A218="","",ALLOCATIONS!C218)</f>
        <v/>
      </c>
      <c r="F224" s="6">
        <f>IF(ALLOCATIONS!A218="","",IF(ALLOCATIONS!D218="",0,ALLOCATIONS!D218))</f>
        <v/>
      </c>
      <c r="G224" s="6">
        <f>IF(ALLOCATIONS!A218="","",SUMIFS(RAW_004!$I$2:$I$10001,RAW_004!$D$2:$D$10001,ALLOCATIONS!A218,RAW_004!$H$2:$H$10001,ALLOCATIONS!B218,RAW_004!$N$2:$N$10001,ALLOCATIONS!C218))</f>
        <v/>
      </c>
      <c r="H224" s="6">
        <f>IF(A224="","",G224-F224)</f>
        <v/>
      </c>
    </row>
    <row r="225">
      <c r="A225" s="6">
        <f>IF(ALLOCATIONS!A219="","",IFERROR(VLOOKUP(ALLOCATIONS!A219,MAPPING!$A$3:$C$302,2,FALSE),"UNMAPPED"))</f>
        <v/>
      </c>
      <c r="B225" s="6">
        <f>IF(ALLOCATIONS!A219="","",IFERROR(VLOOKUP(ALLOCATIONS!A219,MAPPING!$A$3:$C$302,3,FALSE),ALLOCATIONS!A219))</f>
        <v/>
      </c>
      <c r="C225" s="6">
        <f>IF(ALLOCATIONS!A219="","",IFERROR(VLOOKUP(ALLOCATIONS!B219,MAPPING!$E$3:$G$302,2,FALSE),"UNMAPPED"))</f>
        <v/>
      </c>
      <c r="D225" s="6">
        <f>IF(ALLOCATIONS!A219="","",IFERROR(IF(VLOOKUP(ALLOCATIONS!B219,MAPPING!$E$3:$G$302,3,FALSE)="","",VLOOKUP(ALLOCATIONS!B219,MAPPING!$E$3:$G$302,3,FALSE)),""))</f>
        <v/>
      </c>
      <c r="E225" s="6">
        <f>IF(ALLOCATIONS!A219="","",ALLOCATIONS!C219)</f>
        <v/>
      </c>
      <c r="F225" s="6">
        <f>IF(ALLOCATIONS!A219="","",IF(ALLOCATIONS!D219="",0,ALLOCATIONS!D219))</f>
        <v/>
      </c>
      <c r="G225" s="6">
        <f>IF(ALLOCATIONS!A219="","",SUMIFS(RAW_004!$I$2:$I$10001,RAW_004!$D$2:$D$10001,ALLOCATIONS!A219,RAW_004!$H$2:$H$10001,ALLOCATIONS!B219,RAW_004!$N$2:$N$10001,ALLOCATIONS!C219))</f>
        <v/>
      </c>
      <c r="H225" s="6">
        <f>IF(A225="","",G225-F225)</f>
        <v/>
      </c>
    </row>
    <row r="226">
      <c r="A226" s="6">
        <f>IF(ALLOCATIONS!A220="","",IFERROR(VLOOKUP(ALLOCATIONS!A220,MAPPING!$A$3:$C$302,2,FALSE),"UNMAPPED"))</f>
        <v/>
      </c>
      <c r="B226" s="6">
        <f>IF(ALLOCATIONS!A220="","",IFERROR(VLOOKUP(ALLOCATIONS!A220,MAPPING!$A$3:$C$302,3,FALSE),ALLOCATIONS!A220))</f>
        <v/>
      </c>
      <c r="C226" s="6">
        <f>IF(ALLOCATIONS!A220="","",IFERROR(VLOOKUP(ALLOCATIONS!B220,MAPPING!$E$3:$G$302,2,FALSE),"UNMAPPED"))</f>
        <v/>
      </c>
      <c r="D226" s="6">
        <f>IF(ALLOCATIONS!A220="","",IFERROR(IF(VLOOKUP(ALLOCATIONS!B220,MAPPING!$E$3:$G$302,3,FALSE)="","",VLOOKUP(ALLOCATIONS!B220,MAPPING!$E$3:$G$302,3,FALSE)),""))</f>
        <v/>
      </c>
      <c r="E226" s="6">
        <f>IF(ALLOCATIONS!A220="","",ALLOCATIONS!C220)</f>
        <v/>
      </c>
      <c r="F226" s="6">
        <f>IF(ALLOCATIONS!A220="","",IF(ALLOCATIONS!D220="",0,ALLOCATIONS!D220))</f>
        <v/>
      </c>
      <c r="G226" s="6">
        <f>IF(ALLOCATIONS!A220="","",SUMIFS(RAW_004!$I$2:$I$10001,RAW_004!$D$2:$D$10001,ALLOCATIONS!A220,RAW_004!$H$2:$H$10001,ALLOCATIONS!B220,RAW_004!$N$2:$N$10001,ALLOCATIONS!C220))</f>
        <v/>
      </c>
      <c r="H226" s="6">
        <f>IF(A226="","",G226-F226)</f>
        <v/>
      </c>
    </row>
    <row r="227">
      <c r="A227" s="6">
        <f>IF(ALLOCATIONS!A221="","",IFERROR(VLOOKUP(ALLOCATIONS!A221,MAPPING!$A$3:$C$302,2,FALSE),"UNMAPPED"))</f>
        <v/>
      </c>
      <c r="B227" s="6">
        <f>IF(ALLOCATIONS!A221="","",IFERROR(VLOOKUP(ALLOCATIONS!A221,MAPPING!$A$3:$C$302,3,FALSE),ALLOCATIONS!A221))</f>
        <v/>
      </c>
      <c r="C227" s="6">
        <f>IF(ALLOCATIONS!A221="","",IFERROR(VLOOKUP(ALLOCATIONS!B221,MAPPING!$E$3:$G$302,2,FALSE),"UNMAPPED"))</f>
        <v/>
      </c>
      <c r="D227" s="6">
        <f>IF(ALLOCATIONS!A221="","",IFERROR(IF(VLOOKUP(ALLOCATIONS!B221,MAPPING!$E$3:$G$302,3,FALSE)="","",VLOOKUP(ALLOCATIONS!B221,MAPPING!$E$3:$G$302,3,FALSE)),""))</f>
        <v/>
      </c>
      <c r="E227" s="6">
        <f>IF(ALLOCATIONS!A221="","",ALLOCATIONS!C221)</f>
        <v/>
      </c>
      <c r="F227" s="6">
        <f>IF(ALLOCATIONS!A221="","",IF(ALLOCATIONS!D221="",0,ALLOCATIONS!D221))</f>
        <v/>
      </c>
      <c r="G227" s="6">
        <f>IF(ALLOCATIONS!A221="","",SUMIFS(RAW_004!$I$2:$I$10001,RAW_004!$D$2:$D$10001,ALLOCATIONS!A221,RAW_004!$H$2:$H$10001,ALLOCATIONS!B221,RAW_004!$N$2:$N$10001,ALLOCATIONS!C221))</f>
        <v/>
      </c>
      <c r="H227" s="6">
        <f>IF(A227="","",G227-F227)</f>
        <v/>
      </c>
    </row>
    <row r="228">
      <c r="A228" s="6">
        <f>IF(ALLOCATIONS!A222="","",IFERROR(VLOOKUP(ALLOCATIONS!A222,MAPPING!$A$3:$C$302,2,FALSE),"UNMAPPED"))</f>
        <v/>
      </c>
      <c r="B228" s="6">
        <f>IF(ALLOCATIONS!A222="","",IFERROR(VLOOKUP(ALLOCATIONS!A222,MAPPING!$A$3:$C$302,3,FALSE),ALLOCATIONS!A222))</f>
        <v/>
      </c>
      <c r="C228" s="6">
        <f>IF(ALLOCATIONS!A222="","",IFERROR(VLOOKUP(ALLOCATIONS!B222,MAPPING!$E$3:$G$302,2,FALSE),"UNMAPPED"))</f>
        <v/>
      </c>
      <c r="D228" s="6">
        <f>IF(ALLOCATIONS!A222="","",IFERROR(IF(VLOOKUP(ALLOCATIONS!B222,MAPPING!$E$3:$G$302,3,FALSE)="","",VLOOKUP(ALLOCATIONS!B222,MAPPING!$E$3:$G$302,3,FALSE)),""))</f>
        <v/>
      </c>
      <c r="E228" s="6">
        <f>IF(ALLOCATIONS!A222="","",ALLOCATIONS!C222)</f>
        <v/>
      </c>
      <c r="F228" s="6">
        <f>IF(ALLOCATIONS!A222="","",IF(ALLOCATIONS!D222="",0,ALLOCATIONS!D222))</f>
        <v/>
      </c>
      <c r="G228" s="6">
        <f>IF(ALLOCATIONS!A222="","",SUMIFS(RAW_004!$I$2:$I$10001,RAW_004!$D$2:$D$10001,ALLOCATIONS!A222,RAW_004!$H$2:$H$10001,ALLOCATIONS!B222,RAW_004!$N$2:$N$10001,ALLOCATIONS!C222))</f>
        <v/>
      </c>
      <c r="H228" s="6">
        <f>IF(A228="","",G228-F228)</f>
        <v/>
      </c>
    </row>
    <row r="229">
      <c r="A229" s="6">
        <f>IF(ALLOCATIONS!A223="","",IFERROR(VLOOKUP(ALLOCATIONS!A223,MAPPING!$A$3:$C$302,2,FALSE),"UNMAPPED"))</f>
        <v/>
      </c>
      <c r="B229" s="6">
        <f>IF(ALLOCATIONS!A223="","",IFERROR(VLOOKUP(ALLOCATIONS!A223,MAPPING!$A$3:$C$302,3,FALSE),ALLOCATIONS!A223))</f>
        <v/>
      </c>
      <c r="C229" s="6">
        <f>IF(ALLOCATIONS!A223="","",IFERROR(VLOOKUP(ALLOCATIONS!B223,MAPPING!$E$3:$G$302,2,FALSE),"UNMAPPED"))</f>
        <v/>
      </c>
      <c r="D229" s="6">
        <f>IF(ALLOCATIONS!A223="","",IFERROR(IF(VLOOKUP(ALLOCATIONS!B223,MAPPING!$E$3:$G$302,3,FALSE)="","",VLOOKUP(ALLOCATIONS!B223,MAPPING!$E$3:$G$302,3,FALSE)),""))</f>
        <v/>
      </c>
      <c r="E229" s="6">
        <f>IF(ALLOCATIONS!A223="","",ALLOCATIONS!C223)</f>
        <v/>
      </c>
      <c r="F229" s="6">
        <f>IF(ALLOCATIONS!A223="","",IF(ALLOCATIONS!D223="",0,ALLOCATIONS!D223))</f>
        <v/>
      </c>
      <c r="G229" s="6">
        <f>IF(ALLOCATIONS!A223="","",SUMIFS(RAW_004!$I$2:$I$10001,RAW_004!$D$2:$D$10001,ALLOCATIONS!A223,RAW_004!$H$2:$H$10001,ALLOCATIONS!B223,RAW_004!$N$2:$N$10001,ALLOCATIONS!C223))</f>
        <v/>
      </c>
      <c r="H229" s="6">
        <f>IF(A229="","",G229-F229)</f>
        <v/>
      </c>
    </row>
    <row r="230">
      <c r="A230" s="6">
        <f>IF(ALLOCATIONS!A224="","",IFERROR(VLOOKUP(ALLOCATIONS!A224,MAPPING!$A$3:$C$302,2,FALSE),"UNMAPPED"))</f>
        <v/>
      </c>
      <c r="B230" s="6">
        <f>IF(ALLOCATIONS!A224="","",IFERROR(VLOOKUP(ALLOCATIONS!A224,MAPPING!$A$3:$C$302,3,FALSE),ALLOCATIONS!A224))</f>
        <v/>
      </c>
      <c r="C230" s="6">
        <f>IF(ALLOCATIONS!A224="","",IFERROR(VLOOKUP(ALLOCATIONS!B224,MAPPING!$E$3:$G$302,2,FALSE),"UNMAPPED"))</f>
        <v/>
      </c>
      <c r="D230" s="6">
        <f>IF(ALLOCATIONS!A224="","",IFERROR(IF(VLOOKUP(ALLOCATIONS!B224,MAPPING!$E$3:$G$302,3,FALSE)="","",VLOOKUP(ALLOCATIONS!B224,MAPPING!$E$3:$G$302,3,FALSE)),""))</f>
        <v/>
      </c>
      <c r="E230" s="6">
        <f>IF(ALLOCATIONS!A224="","",ALLOCATIONS!C224)</f>
        <v/>
      </c>
      <c r="F230" s="6">
        <f>IF(ALLOCATIONS!A224="","",IF(ALLOCATIONS!D224="",0,ALLOCATIONS!D224))</f>
        <v/>
      </c>
      <c r="G230" s="6">
        <f>IF(ALLOCATIONS!A224="","",SUMIFS(RAW_004!$I$2:$I$10001,RAW_004!$D$2:$D$10001,ALLOCATIONS!A224,RAW_004!$H$2:$H$10001,ALLOCATIONS!B224,RAW_004!$N$2:$N$10001,ALLOCATIONS!C224))</f>
        <v/>
      </c>
      <c r="H230" s="6">
        <f>IF(A230="","",G230-F230)</f>
        <v/>
      </c>
    </row>
    <row r="231">
      <c r="A231" s="6">
        <f>IF(ALLOCATIONS!A225="","",IFERROR(VLOOKUP(ALLOCATIONS!A225,MAPPING!$A$3:$C$302,2,FALSE),"UNMAPPED"))</f>
        <v/>
      </c>
      <c r="B231" s="6">
        <f>IF(ALLOCATIONS!A225="","",IFERROR(VLOOKUP(ALLOCATIONS!A225,MAPPING!$A$3:$C$302,3,FALSE),ALLOCATIONS!A225))</f>
        <v/>
      </c>
      <c r="C231" s="6">
        <f>IF(ALLOCATIONS!A225="","",IFERROR(VLOOKUP(ALLOCATIONS!B225,MAPPING!$E$3:$G$302,2,FALSE),"UNMAPPED"))</f>
        <v/>
      </c>
      <c r="D231" s="6">
        <f>IF(ALLOCATIONS!A225="","",IFERROR(IF(VLOOKUP(ALLOCATIONS!B225,MAPPING!$E$3:$G$302,3,FALSE)="","",VLOOKUP(ALLOCATIONS!B225,MAPPING!$E$3:$G$302,3,FALSE)),""))</f>
        <v/>
      </c>
      <c r="E231" s="6">
        <f>IF(ALLOCATIONS!A225="","",ALLOCATIONS!C225)</f>
        <v/>
      </c>
      <c r="F231" s="6">
        <f>IF(ALLOCATIONS!A225="","",IF(ALLOCATIONS!D225="",0,ALLOCATIONS!D225))</f>
        <v/>
      </c>
      <c r="G231" s="6">
        <f>IF(ALLOCATIONS!A225="","",SUMIFS(RAW_004!$I$2:$I$10001,RAW_004!$D$2:$D$10001,ALLOCATIONS!A225,RAW_004!$H$2:$H$10001,ALLOCATIONS!B225,RAW_004!$N$2:$N$10001,ALLOCATIONS!C225))</f>
        <v/>
      </c>
      <c r="H231" s="6">
        <f>IF(A231="","",G231-F231)</f>
        <v/>
      </c>
    </row>
    <row r="232">
      <c r="A232" s="6">
        <f>IF(ALLOCATIONS!A226="","",IFERROR(VLOOKUP(ALLOCATIONS!A226,MAPPING!$A$3:$C$302,2,FALSE),"UNMAPPED"))</f>
        <v/>
      </c>
      <c r="B232" s="6">
        <f>IF(ALLOCATIONS!A226="","",IFERROR(VLOOKUP(ALLOCATIONS!A226,MAPPING!$A$3:$C$302,3,FALSE),ALLOCATIONS!A226))</f>
        <v/>
      </c>
      <c r="C232" s="6">
        <f>IF(ALLOCATIONS!A226="","",IFERROR(VLOOKUP(ALLOCATIONS!B226,MAPPING!$E$3:$G$302,2,FALSE),"UNMAPPED"))</f>
        <v/>
      </c>
      <c r="D232" s="6">
        <f>IF(ALLOCATIONS!A226="","",IFERROR(IF(VLOOKUP(ALLOCATIONS!B226,MAPPING!$E$3:$G$302,3,FALSE)="","",VLOOKUP(ALLOCATIONS!B226,MAPPING!$E$3:$G$302,3,FALSE)),""))</f>
        <v/>
      </c>
      <c r="E232" s="6">
        <f>IF(ALLOCATIONS!A226="","",ALLOCATIONS!C226)</f>
        <v/>
      </c>
      <c r="F232" s="6">
        <f>IF(ALLOCATIONS!A226="","",IF(ALLOCATIONS!D226="",0,ALLOCATIONS!D226))</f>
        <v/>
      </c>
      <c r="G232" s="6">
        <f>IF(ALLOCATIONS!A226="","",SUMIFS(RAW_004!$I$2:$I$10001,RAW_004!$D$2:$D$10001,ALLOCATIONS!A226,RAW_004!$H$2:$H$10001,ALLOCATIONS!B226,RAW_004!$N$2:$N$10001,ALLOCATIONS!C226))</f>
        <v/>
      </c>
      <c r="H232" s="6">
        <f>IF(A232="","",G232-F232)</f>
        <v/>
      </c>
    </row>
    <row r="233">
      <c r="A233" s="6">
        <f>IF(ALLOCATIONS!A227="","",IFERROR(VLOOKUP(ALLOCATIONS!A227,MAPPING!$A$3:$C$302,2,FALSE),"UNMAPPED"))</f>
        <v/>
      </c>
      <c r="B233" s="6">
        <f>IF(ALLOCATIONS!A227="","",IFERROR(VLOOKUP(ALLOCATIONS!A227,MAPPING!$A$3:$C$302,3,FALSE),ALLOCATIONS!A227))</f>
        <v/>
      </c>
      <c r="C233" s="6">
        <f>IF(ALLOCATIONS!A227="","",IFERROR(VLOOKUP(ALLOCATIONS!B227,MAPPING!$E$3:$G$302,2,FALSE),"UNMAPPED"))</f>
        <v/>
      </c>
      <c r="D233" s="6">
        <f>IF(ALLOCATIONS!A227="","",IFERROR(IF(VLOOKUP(ALLOCATIONS!B227,MAPPING!$E$3:$G$302,3,FALSE)="","",VLOOKUP(ALLOCATIONS!B227,MAPPING!$E$3:$G$302,3,FALSE)),""))</f>
        <v/>
      </c>
      <c r="E233" s="6">
        <f>IF(ALLOCATIONS!A227="","",ALLOCATIONS!C227)</f>
        <v/>
      </c>
      <c r="F233" s="6">
        <f>IF(ALLOCATIONS!A227="","",IF(ALLOCATIONS!D227="",0,ALLOCATIONS!D227))</f>
        <v/>
      </c>
      <c r="G233" s="6">
        <f>IF(ALLOCATIONS!A227="","",SUMIFS(RAW_004!$I$2:$I$10001,RAW_004!$D$2:$D$10001,ALLOCATIONS!A227,RAW_004!$H$2:$H$10001,ALLOCATIONS!B227,RAW_004!$N$2:$N$10001,ALLOCATIONS!C227))</f>
        <v/>
      </c>
      <c r="H233" s="6">
        <f>IF(A233="","",G233-F233)</f>
        <v/>
      </c>
    </row>
    <row r="234">
      <c r="A234" s="6">
        <f>IF(ALLOCATIONS!A228="","",IFERROR(VLOOKUP(ALLOCATIONS!A228,MAPPING!$A$3:$C$302,2,FALSE),"UNMAPPED"))</f>
        <v/>
      </c>
      <c r="B234" s="6">
        <f>IF(ALLOCATIONS!A228="","",IFERROR(VLOOKUP(ALLOCATIONS!A228,MAPPING!$A$3:$C$302,3,FALSE),ALLOCATIONS!A228))</f>
        <v/>
      </c>
      <c r="C234" s="6">
        <f>IF(ALLOCATIONS!A228="","",IFERROR(VLOOKUP(ALLOCATIONS!B228,MAPPING!$E$3:$G$302,2,FALSE),"UNMAPPED"))</f>
        <v/>
      </c>
      <c r="D234" s="6">
        <f>IF(ALLOCATIONS!A228="","",IFERROR(IF(VLOOKUP(ALLOCATIONS!B228,MAPPING!$E$3:$G$302,3,FALSE)="","",VLOOKUP(ALLOCATIONS!B228,MAPPING!$E$3:$G$302,3,FALSE)),""))</f>
        <v/>
      </c>
      <c r="E234" s="6">
        <f>IF(ALLOCATIONS!A228="","",ALLOCATIONS!C228)</f>
        <v/>
      </c>
      <c r="F234" s="6">
        <f>IF(ALLOCATIONS!A228="","",IF(ALLOCATIONS!D228="",0,ALLOCATIONS!D228))</f>
        <v/>
      </c>
      <c r="G234" s="6">
        <f>IF(ALLOCATIONS!A228="","",SUMIFS(RAW_004!$I$2:$I$10001,RAW_004!$D$2:$D$10001,ALLOCATIONS!A228,RAW_004!$H$2:$H$10001,ALLOCATIONS!B228,RAW_004!$N$2:$N$10001,ALLOCATIONS!C228))</f>
        <v/>
      </c>
      <c r="H234" s="6">
        <f>IF(A234="","",G234-F234)</f>
        <v/>
      </c>
    </row>
    <row r="235">
      <c r="A235" s="6">
        <f>IF(ALLOCATIONS!A229="","",IFERROR(VLOOKUP(ALLOCATIONS!A229,MAPPING!$A$3:$C$302,2,FALSE),"UNMAPPED"))</f>
        <v/>
      </c>
      <c r="B235" s="6">
        <f>IF(ALLOCATIONS!A229="","",IFERROR(VLOOKUP(ALLOCATIONS!A229,MAPPING!$A$3:$C$302,3,FALSE),ALLOCATIONS!A229))</f>
        <v/>
      </c>
      <c r="C235" s="6">
        <f>IF(ALLOCATIONS!A229="","",IFERROR(VLOOKUP(ALLOCATIONS!B229,MAPPING!$E$3:$G$302,2,FALSE),"UNMAPPED"))</f>
        <v/>
      </c>
      <c r="D235" s="6">
        <f>IF(ALLOCATIONS!A229="","",IFERROR(IF(VLOOKUP(ALLOCATIONS!B229,MAPPING!$E$3:$G$302,3,FALSE)="","",VLOOKUP(ALLOCATIONS!B229,MAPPING!$E$3:$G$302,3,FALSE)),""))</f>
        <v/>
      </c>
      <c r="E235" s="6">
        <f>IF(ALLOCATIONS!A229="","",ALLOCATIONS!C229)</f>
        <v/>
      </c>
      <c r="F235" s="6">
        <f>IF(ALLOCATIONS!A229="","",IF(ALLOCATIONS!D229="",0,ALLOCATIONS!D229))</f>
        <v/>
      </c>
      <c r="G235" s="6">
        <f>IF(ALLOCATIONS!A229="","",SUMIFS(RAW_004!$I$2:$I$10001,RAW_004!$D$2:$D$10001,ALLOCATIONS!A229,RAW_004!$H$2:$H$10001,ALLOCATIONS!B229,RAW_004!$N$2:$N$10001,ALLOCATIONS!C229))</f>
        <v/>
      </c>
      <c r="H235" s="6">
        <f>IF(A235="","",G235-F235)</f>
        <v/>
      </c>
    </row>
    <row r="236">
      <c r="A236" s="6">
        <f>IF(ALLOCATIONS!A230="","",IFERROR(VLOOKUP(ALLOCATIONS!A230,MAPPING!$A$3:$C$302,2,FALSE),"UNMAPPED"))</f>
        <v/>
      </c>
      <c r="B236" s="6">
        <f>IF(ALLOCATIONS!A230="","",IFERROR(VLOOKUP(ALLOCATIONS!A230,MAPPING!$A$3:$C$302,3,FALSE),ALLOCATIONS!A230))</f>
        <v/>
      </c>
      <c r="C236" s="6">
        <f>IF(ALLOCATIONS!A230="","",IFERROR(VLOOKUP(ALLOCATIONS!B230,MAPPING!$E$3:$G$302,2,FALSE),"UNMAPPED"))</f>
        <v/>
      </c>
      <c r="D236" s="6">
        <f>IF(ALLOCATIONS!A230="","",IFERROR(IF(VLOOKUP(ALLOCATIONS!B230,MAPPING!$E$3:$G$302,3,FALSE)="","",VLOOKUP(ALLOCATIONS!B230,MAPPING!$E$3:$G$302,3,FALSE)),""))</f>
        <v/>
      </c>
      <c r="E236" s="6">
        <f>IF(ALLOCATIONS!A230="","",ALLOCATIONS!C230)</f>
        <v/>
      </c>
      <c r="F236" s="6">
        <f>IF(ALLOCATIONS!A230="","",IF(ALLOCATIONS!D230="",0,ALLOCATIONS!D230))</f>
        <v/>
      </c>
      <c r="G236" s="6">
        <f>IF(ALLOCATIONS!A230="","",SUMIFS(RAW_004!$I$2:$I$10001,RAW_004!$D$2:$D$10001,ALLOCATIONS!A230,RAW_004!$H$2:$H$10001,ALLOCATIONS!B230,RAW_004!$N$2:$N$10001,ALLOCATIONS!C230))</f>
        <v/>
      </c>
      <c r="H236" s="6">
        <f>IF(A236="","",G236-F236)</f>
        <v/>
      </c>
    </row>
    <row r="237">
      <c r="A237" s="6">
        <f>IF(ALLOCATIONS!A231="","",IFERROR(VLOOKUP(ALLOCATIONS!A231,MAPPING!$A$3:$C$302,2,FALSE),"UNMAPPED"))</f>
        <v/>
      </c>
      <c r="B237" s="6">
        <f>IF(ALLOCATIONS!A231="","",IFERROR(VLOOKUP(ALLOCATIONS!A231,MAPPING!$A$3:$C$302,3,FALSE),ALLOCATIONS!A231))</f>
        <v/>
      </c>
      <c r="C237" s="6">
        <f>IF(ALLOCATIONS!A231="","",IFERROR(VLOOKUP(ALLOCATIONS!B231,MAPPING!$E$3:$G$302,2,FALSE),"UNMAPPED"))</f>
        <v/>
      </c>
      <c r="D237" s="6">
        <f>IF(ALLOCATIONS!A231="","",IFERROR(IF(VLOOKUP(ALLOCATIONS!B231,MAPPING!$E$3:$G$302,3,FALSE)="","",VLOOKUP(ALLOCATIONS!B231,MAPPING!$E$3:$G$302,3,FALSE)),""))</f>
        <v/>
      </c>
      <c r="E237" s="6">
        <f>IF(ALLOCATIONS!A231="","",ALLOCATIONS!C231)</f>
        <v/>
      </c>
      <c r="F237" s="6">
        <f>IF(ALLOCATIONS!A231="","",IF(ALLOCATIONS!D231="",0,ALLOCATIONS!D231))</f>
        <v/>
      </c>
      <c r="G237" s="6">
        <f>IF(ALLOCATIONS!A231="","",SUMIFS(RAW_004!$I$2:$I$10001,RAW_004!$D$2:$D$10001,ALLOCATIONS!A231,RAW_004!$H$2:$H$10001,ALLOCATIONS!B231,RAW_004!$N$2:$N$10001,ALLOCATIONS!C231))</f>
        <v/>
      </c>
      <c r="H237" s="6">
        <f>IF(A237="","",G237-F237)</f>
        <v/>
      </c>
    </row>
    <row r="238">
      <c r="A238" s="6">
        <f>IF(ALLOCATIONS!A232="","",IFERROR(VLOOKUP(ALLOCATIONS!A232,MAPPING!$A$3:$C$302,2,FALSE),"UNMAPPED"))</f>
        <v/>
      </c>
      <c r="B238" s="6">
        <f>IF(ALLOCATIONS!A232="","",IFERROR(VLOOKUP(ALLOCATIONS!A232,MAPPING!$A$3:$C$302,3,FALSE),ALLOCATIONS!A232))</f>
        <v/>
      </c>
      <c r="C238" s="6">
        <f>IF(ALLOCATIONS!A232="","",IFERROR(VLOOKUP(ALLOCATIONS!B232,MAPPING!$E$3:$G$302,2,FALSE),"UNMAPPED"))</f>
        <v/>
      </c>
      <c r="D238" s="6">
        <f>IF(ALLOCATIONS!A232="","",IFERROR(IF(VLOOKUP(ALLOCATIONS!B232,MAPPING!$E$3:$G$302,3,FALSE)="","",VLOOKUP(ALLOCATIONS!B232,MAPPING!$E$3:$G$302,3,FALSE)),""))</f>
        <v/>
      </c>
      <c r="E238" s="6">
        <f>IF(ALLOCATIONS!A232="","",ALLOCATIONS!C232)</f>
        <v/>
      </c>
      <c r="F238" s="6">
        <f>IF(ALLOCATIONS!A232="","",IF(ALLOCATIONS!D232="",0,ALLOCATIONS!D232))</f>
        <v/>
      </c>
      <c r="G238" s="6">
        <f>IF(ALLOCATIONS!A232="","",SUMIFS(RAW_004!$I$2:$I$10001,RAW_004!$D$2:$D$10001,ALLOCATIONS!A232,RAW_004!$H$2:$H$10001,ALLOCATIONS!B232,RAW_004!$N$2:$N$10001,ALLOCATIONS!C232))</f>
        <v/>
      </c>
      <c r="H238" s="6">
        <f>IF(A238="","",G238-F238)</f>
        <v/>
      </c>
    </row>
    <row r="239">
      <c r="A239" s="6">
        <f>IF(ALLOCATIONS!A233="","",IFERROR(VLOOKUP(ALLOCATIONS!A233,MAPPING!$A$3:$C$302,2,FALSE),"UNMAPPED"))</f>
        <v/>
      </c>
      <c r="B239" s="6">
        <f>IF(ALLOCATIONS!A233="","",IFERROR(VLOOKUP(ALLOCATIONS!A233,MAPPING!$A$3:$C$302,3,FALSE),ALLOCATIONS!A233))</f>
        <v/>
      </c>
      <c r="C239" s="6">
        <f>IF(ALLOCATIONS!A233="","",IFERROR(VLOOKUP(ALLOCATIONS!B233,MAPPING!$E$3:$G$302,2,FALSE),"UNMAPPED"))</f>
        <v/>
      </c>
      <c r="D239" s="6">
        <f>IF(ALLOCATIONS!A233="","",IFERROR(IF(VLOOKUP(ALLOCATIONS!B233,MAPPING!$E$3:$G$302,3,FALSE)="","",VLOOKUP(ALLOCATIONS!B233,MAPPING!$E$3:$G$302,3,FALSE)),""))</f>
        <v/>
      </c>
      <c r="E239" s="6">
        <f>IF(ALLOCATIONS!A233="","",ALLOCATIONS!C233)</f>
        <v/>
      </c>
      <c r="F239" s="6">
        <f>IF(ALLOCATIONS!A233="","",IF(ALLOCATIONS!D233="",0,ALLOCATIONS!D233))</f>
        <v/>
      </c>
      <c r="G239" s="6">
        <f>IF(ALLOCATIONS!A233="","",SUMIFS(RAW_004!$I$2:$I$10001,RAW_004!$D$2:$D$10001,ALLOCATIONS!A233,RAW_004!$H$2:$H$10001,ALLOCATIONS!B233,RAW_004!$N$2:$N$10001,ALLOCATIONS!C233))</f>
        <v/>
      </c>
      <c r="H239" s="6">
        <f>IF(A239="","",G239-F239)</f>
        <v/>
      </c>
    </row>
    <row r="240">
      <c r="A240" s="6">
        <f>IF(ALLOCATIONS!A234="","",IFERROR(VLOOKUP(ALLOCATIONS!A234,MAPPING!$A$3:$C$302,2,FALSE),"UNMAPPED"))</f>
        <v/>
      </c>
      <c r="B240" s="6">
        <f>IF(ALLOCATIONS!A234="","",IFERROR(VLOOKUP(ALLOCATIONS!A234,MAPPING!$A$3:$C$302,3,FALSE),ALLOCATIONS!A234))</f>
        <v/>
      </c>
      <c r="C240" s="6">
        <f>IF(ALLOCATIONS!A234="","",IFERROR(VLOOKUP(ALLOCATIONS!B234,MAPPING!$E$3:$G$302,2,FALSE),"UNMAPPED"))</f>
        <v/>
      </c>
      <c r="D240" s="6">
        <f>IF(ALLOCATIONS!A234="","",IFERROR(IF(VLOOKUP(ALLOCATIONS!B234,MAPPING!$E$3:$G$302,3,FALSE)="","",VLOOKUP(ALLOCATIONS!B234,MAPPING!$E$3:$G$302,3,FALSE)),""))</f>
        <v/>
      </c>
      <c r="E240" s="6">
        <f>IF(ALLOCATIONS!A234="","",ALLOCATIONS!C234)</f>
        <v/>
      </c>
      <c r="F240" s="6">
        <f>IF(ALLOCATIONS!A234="","",IF(ALLOCATIONS!D234="",0,ALLOCATIONS!D234))</f>
        <v/>
      </c>
      <c r="G240" s="6">
        <f>IF(ALLOCATIONS!A234="","",SUMIFS(RAW_004!$I$2:$I$10001,RAW_004!$D$2:$D$10001,ALLOCATIONS!A234,RAW_004!$H$2:$H$10001,ALLOCATIONS!B234,RAW_004!$N$2:$N$10001,ALLOCATIONS!C234))</f>
        <v/>
      </c>
      <c r="H240" s="6">
        <f>IF(A240="","",G240-F240)</f>
        <v/>
      </c>
    </row>
    <row r="241">
      <c r="A241" s="6">
        <f>IF(ALLOCATIONS!A235="","",IFERROR(VLOOKUP(ALLOCATIONS!A235,MAPPING!$A$3:$C$302,2,FALSE),"UNMAPPED"))</f>
        <v/>
      </c>
      <c r="B241" s="6">
        <f>IF(ALLOCATIONS!A235="","",IFERROR(VLOOKUP(ALLOCATIONS!A235,MAPPING!$A$3:$C$302,3,FALSE),ALLOCATIONS!A235))</f>
        <v/>
      </c>
      <c r="C241" s="6">
        <f>IF(ALLOCATIONS!A235="","",IFERROR(VLOOKUP(ALLOCATIONS!B235,MAPPING!$E$3:$G$302,2,FALSE),"UNMAPPED"))</f>
        <v/>
      </c>
      <c r="D241" s="6">
        <f>IF(ALLOCATIONS!A235="","",IFERROR(IF(VLOOKUP(ALLOCATIONS!B235,MAPPING!$E$3:$G$302,3,FALSE)="","",VLOOKUP(ALLOCATIONS!B235,MAPPING!$E$3:$G$302,3,FALSE)),""))</f>
        <v/>
      </c>
      <c r="E241" s="6">
        <f>IF(ALLOCATIONS!A235="","",ALLOCATIONS!C235)</f>
        <v/>
      </c>
      <c r="F241" s="6">
        <f>IF(ALLOCATIONS!A235="","",IF(ALLOCATIONS!D235="",0,ALLOCATIONS!D235))</f>
        <v/>
      </c>
      <c r="G241" s="6">
        <f>IF(ALLOCATIONS!A235="","",SUMIFS(RAW_004!$I$2:$I$10001,RAW_004!$D$2:$D$10001,ALLOCATIONS!A235,RAW_004!$H$2:$H$10001,ALLOCATIONS!B235,RAW_004!$N$2:$N$10001,ALLOCATIONS!C235))</f>
        <v/>
      </c>
      <c r="H241" s="6">
        <f>IF(A241="","",G241-F241)</f>
        <v/>
      </c>
    </row>
    <row r="242">
      <c r="A242" s="6">
        <f>IF(ALLOCATIONS!A236="","",IFERROR(VLOOKUP(ALLOCATIONS!A236,MAPPING!$A$3:$C$302,2,FALSE),"UNMAPPED"))</f>
        <v/>
      </c>
      <c r="B242" s="6">
        <f>IF(ALLOCATIONS!A236="","",IFERROR(VLOOKUP(ALLOCATIONS!A236,MAPPING!$A$3:$C$302,3,FALSE),ALLOCATIONS!A236))</f>
        <v/>
      </c>
      <c r="C242" s="6">
        <f>IF(ALLOCATIONS!A236="","",IFERROR(VLOOKUP(ALLOCATIONS!B236,MAPPING!$E$3:$G$302,2,FALSE),"UNMAPPED"))</f>
        <v/>
      </c>
      <c r="D242" s="6">
        <f>IF(ALLOCATIONS!A236="","",IFERROR(IF(VLOOKUP(ALLOCATIONS!B236,MAPPING!$E$3:$G$302,3,FALSE)="","",VLOOKUP(ALLOCATIONS!B236,MAPPING!$E$3:$G$302,3,FALSE)),""))</f>
        <v/>
      </c>
      <c r="E242" s="6">
        <f>IF(ALLOCATIONS!A236="","",ALLOCATIONS!C236)</f>
        <v/>
      </c>
      <c r="F242" s="6">
        <f>IF(ALLOCATIONS!A236="","",IF(ALLOCATIONS!D236="",0,ALLOCATIONS!D236))</f>
        <v/>
      </c>
      <c r="G242" s="6">
        <f>IF(ALLOCATIONS!A236="","",SUMIFS(RAW_004!$I$2:$I$10001,RAW_004!$D$2:$D$10001,ALLOCATIONS!A236,RAW_004!$H$2:$H$10001,ALLOCATIONS!B236,RAW_004!$N$2:$N$10001,ALLOCATIONS!C236))</f>
        <v/>
      </c>
      <c r="H242" s="6">
        <f>IF(A242="","",G242-F242)</f>
        <v/>
      </c>
    </row>
    <row r="243">
      <c r="A243" s="6">
        <f>IF(ALLOCATIONS!A237="","",IFERROR(VLOOKUP(ALLOCATIONS!A237,MAPPING!$A$3:$C$302,2,FALSE),"UNMAPPED"))</f>
        <v/>
      </c>
      <c r="B243" s="6">
        <f>IF(ALLOCATIONS!A237="","",IFERROR(VLOOKUP(ALLOCATIONS!A237,MAPPING!$A$3:$C$302,3,FALSE),ALLOCATIONS!A237))</f>
        <v/>
      </c>
      <c r="C243" s="6">
        <f>IF(ALLOCATIONS!A237="","",IFERROR(VLOOKUP(ALLOCATIONS!B237,MAPPING!$E$3:$G$302,2,FALSE),"UNMAPPED"))</f>
        <v/>
      </c>
      <c r="D243" s="6">
        <f>IF(ALLOCATIONS!A237="","",IFERROR(IF(VLOOKUP(ALLOCATIONS!B237,MAPPING!$E$3:$G$302,3,FALSE)="","",VLOOKUP(ALLOCATIONS!B237,MAPPING!$E$3:$G$302,3,FALSE)),""))</f>
        <v/>
      </c>
      <c r="E243" s="6">
        <f>IF(ALLOCATIONS!A237="","",ALLOCATIONS!C237)</f>
        <v/>
      </c>
      <c r="F243" s="6">
        <f>IF(ALLOCATIONS!A237="","",IF(ALLOCATIONS!D237="",0,ALLOCATIONS!D237))</f>
        <v/>
      </c>
      <c r="G243" s="6">
        <f>IF(ALLOCATIONS!A237="","",SUMIFS(RAW_004!$I$2:$I$10001,RAW_004!$D$2:$D$10001,ALLOCATIONS!A237,RAW_004!$H$2:$H$10001,ALLOCATIONS!B237,RAW_004!$N$2:$N$10001,ALLOCATIONS!C237))</f>
        <v/>
      </c>
      <c r="H243" s="6">
        <f>IF(A243="","",G243-F243)</f>
        <v/>
      </c>
    </row>
    <row r="244">
      <c r="A244" s="6">
        <f>IF(ALLOCATIONS!A238="","",IFERROR(VLOOKUP(ALLOCATIONS!A238,MAPPING!$A$3:$C$302,2,FALSE),"UNMAPPED"))</f>
        <v/>
      </c>
      <c r="B244" s="6">
        <f>IF(ALLOCATIONS!A238="","",IFERROR(VLOOKUP(ALLOCATIONS!A238,MAPPING!$A$3:$C$302,3,FALSE),ALLOCATIONS!A238))</f>
        <v/>
      </c>
      <c r="C244" s="6">
        <f>IF(ALLOCATIONS!A238="","",IFERROR(VLOOKUP(ALLOCATIONS!B238,MAPPING!$E$3:$G$302,2,FALSE),"UNMAPPED"))</f>
        <v/>
      </c>
      <c r="D244" s="6">
        <f>IF(ALLOCATIONS!A238="","",IFERROR(IF(VLOOKUP(ALLOCATIONS!B238,MAPPING!$E$3:$G$302,3,FALSE)="","",VLOOKUP(ALLOCATIONS!B238,MAPPING!$E$3:$G$302,3,FALSE)),""))</f>
        <v/>
      </c>
      <c r="E244" s="6">
        <f>IF(ALLOCATIONS!A238="","",ALLOCATIONS!C238)</f>
        <v/>
      </c>
      <c r="F244" s="6">
        <f>IF(ALLOCATIONS!A238="","",IF(ALLOCATIONS!D238="",0,ALLOCATIONS!D238))</f>
        <v/>
      </c>
      <c r="G244" s="6">
        <f>IF(ALLOCATIONS!A238="","",SUMIFS(RAW_004!$I$2:$I$10001,RAW_004!$D$2:$D$10001,ALLOCATIONS!A238,RAW_004!$H$2:$H$10001,ALLOCATIONS!B238,RAW_004!$N$2:$N$10001,ALLOCATIONS!C238))</f>
        <v/>
      </c>
      <c r="H244" s="6">
        <f>IF(A244="","",G244-F244)</f>
        <v/>
      </c>
    </row>
    <row r="245">
      <c r="A245" s="6">
        <f>IF(ALLOCATIONS!A239="","",IFERROR(VLOOKUP(ALLOCATIONS!A239,MAPPING!$A$3:$C$302,2,FALSE),"UNMAPPED"))</f>
        <v/>
      </c>
      <c r="B245" s="6">
        <f>IF(ALLOCATIONS!A239="","",IFERROR(VLOOKUP(ALLOCATIONS!A239,MAPPING!$A$3:$C$302,3,FALSE),ALLOCATIONS!A239))</f>
        <v/>
      </c>
      <c r="C245" s="6">
        <f>IF(ALLOCATIONS!A239="","",IFERROR(VLOOKUP(ALLOCATIONS!B239,MAPPING!$E$3:$G$302,2,FALSE),"UNMAPPED"))</f>
        <v/>
      </c>
      <c r="D245" s="6">
        <f>IF(ALLOCATIONS!A239="","",IFERROR(IF(VLOOKUP(ALLOCATIONS!B239,MAPPING!$E$3:$G$302,3,FALSE)="","",VLOOKUP(ALLOCATIONS!B239,MAPPING!$E$3:$G$302,3,FALSE)),""))</f>
        <v/>
      </c>
      <c r="E245" s="6">
        <f>IF(ALLOCATIONS!A239="","",ALLOCATIONS!C239)</f>
        <v/>
      </c>
      <c r="F245" s="6">
        <f>IF(ALLOCATIONS!A239="","",IF(ALLOCATIONS!D239="",0,ALLOCATIONS!D239))</f>
        <v/>
      </c>
      <c r="G245" s="6">
        <f>IF(ALLOCATIONS!A239="","",SUMIFS(RAW_004!$I$2:$I$10001,RAW_004!$D$2:$D$10001,ALLOCATIONS!A239,RAW_004!$H$2:$H$10001,ALLOCATIONS!B239,RAW_004!$N$2:$N$10001,ALLOCATIONS!C239))</f>
        <v/>
      </c>
      <c r="H245" s="6">
        <f>IF(A245="","",G245-F245)</f>
        <v/>
      </c>
    </row>
    <row r="246">
      <c r="A246" s="6">
        <f>IF(ALLOCATIONS!A240="","",IFERROR(VLOOKUP(ALLOCATIONS!A240,MAPPING!$A$3:$C$302,2,FALSE),"UNMAPPED"))</f>
        <v/>
      </c>
      <c r="B246" s="6">
        <f>IF(ALLOCATIONS!A240="","",IFERROR(VLOOKUP(ALLOCATIONS!A240,MAPPING!$A$3:$C$302,3,FALSE),ALLOCATIONS!A240))</f>
        <v/>
      </c>
      <c r="C246" s="6">
        <f>IF(ALLOCATIONS!A240="","",IFERROR(VLOOKUP(ALLOCATIONS!B240,MAPPING!$E$3:$G$302,2,FALSE),"UNMAPPED"))</f>
        <v/>
      </c>
      <c r="D246" s="6">
        <f>IF(ALLOCATIONS!A240="","",IFERROR(IF(VLOOKUP(ALLOCATIONS!B240,MAPPING!$E$3:$G$302,3,FALSE)="","",VLOOKUP(ALLOCATIONS!B240,MAPPING!$E$3:$G$302,3,FALSE)),""))</f>
        <v/>
      </c>
      <c r="E246" s="6">
        <f>IF(ALLOCATIONS!A240="","",ALLOCATIONS!C240)</f>
        <v/>
      </c>
      <c r="F246" s="6">
        <f>IF(ALLOCATIONS!A240="","",IF(ALLOCATIONS!D240="",0,ALLOCATIONS!D240))</f>
        <v/>
      </c>
      <c r="G246" s="6">
        <f>IF(ALLOCATIONS!A240="","",SUMIFS(RAW_004!$I$2:$I$10001,RAW_004!$D$2:$D$10001,ALLOCATIONS!A240,RAW_004!$H$2:$H$10001,ALLOCATIONS!B240,RAW_004!$N$2:$N$10001,ALLOCATIONS!C240))</f>
        <v/>
      </c>
      <c r="H246" s="6">
        <f>IF(A246="","",G246-F246)</f>
        <v/>
      </c>
    </row>
    <row r="247">
      <c r="A247" s="6">
        <f>IF(ALLOCATIONS!A241="","",IFERROR(VLOOKUP(ALLOCATIONS!A241,MAPPING!$A$3:$C$302,2,FALSE),"UNMAPPED"))</f>
        <v/>
      </c>
      <c r="B247" s="6">
        <f>IF(ALLOCATIONS!A241="","",IFERROR(VLOOKUP(ALLOCATIONS!A241,MAPPING!$A$3:$C$302,3,FALSE),ALLOCATIONS!A241))</f>
        <v/>
      </c>
      <c r="C247" s="6">
        <f>IF(ALLOCATIONS!A241="","",IFERROR(VLOOKUP(ALLOCATIONS!B241,MAPPING!$E$3:$G$302,2,FALSE),"UNMAPPED"))</f>
        <v/>
      </c>
      <c r="D247" s="6">
        <f>IF(ALLOCATIONS!A241="","",IFERROR(IF(VLOOKUP(ALLOCATIONS!B241,MAPPING!$E$3:$G$302,3,FALSE)="","",VLOOKUP(ALLOCATIONS!B241,MAPPING!$E$3:$G$302,3,FALSE)),""))</f>
        <v/>
      </c>
      <c r="E247" s="6">
        <f>IF(ALLOCATIONS!A241="","",ALLOCATIONS!C241)</f>
        <v/>
      </c>
      <c r="F247" s="6">
        <f>IF(ALLOCATIONS!A241="","",IF(ALLOCATIONS!D241="",0,ALLOCATIONS!D241))</f>
        <v/>
      </c>
      <c r="G247" s="6">
        <f>IF(ALLOCATIONS!A241="","",SUMIFS(RAW_004!$I$2:$I$10001,RAW_004!$D$2:$D$10001,ALLOCATIONS!A241,RAW_004!$H$2:$H$10001,ALLOCATIONS!B241,RAW_004!$N$2:$N$10001,ALLOCATIONS!C241))</f>
        <v/>
      </c>
      <c r="H247" s="6">
        <f>IF(A247="","",G247-F247)</f>
        <v/>
      </c>
    </row>
    <row r="248">
      <c r="A248" s="6">
        <f>IF(ALLOCATIONS!A242="","",IFERROR(VLOOKUP(ALLOCATIONS!A242,MAPPING!$A$3:$C$302,2,FALSE),"UNMAPPED"))</f>
        <v/>
      </c>
      <c r="B248" s="6">
        <f>IF(ALLOCATIONS!A242="","",IFERROR(VLOOKUP(ALLOCATIONS!A242,MAPPING!$A$3:$C$302,3,FALSE),ALLOCATIONS!A242))</f>
        <v/>
      </c>
      <c r="C248" s="6">
        <f>IF(ALLOCATIONS!A242="","",IFERROR(VLOOKUP(ALLOCATIONS!B242,MAPPING!$E$3:$G$302,2,FALSE),"UNMAPPED"))</f>
        <v/>
      </c>
      <c r="D248" s="6">
        <f>IF(ALLOCATIONS!A242="","",IFERROR(IF(VLOOKUP(ALLOCATIONS!B242,MAPPING!$E$3:$G$302,3,FALSE)="","",VLOOKUP(ALLOCATIONS!B242,MAPPING!$E$3:$G$302,3,FALSE)),""))</f>
        <v/>
      </c>
      <c r="E248" s="6">
        <f>IF(ALLOCATIONS!A242="","",ALLOCATIONS!C242)</f>
        <v/>
      </c>
      <c r="F248" s="6">
        <f>IF(ALLOCATIONS!A242="","",IF(ALLOCATIONS!D242="",0,ALLOCATIONS!D242))</f>
        <v/>
      </c>
      <c r="G248" s="6">
        <f>IF(ALLOCATIONS!A242="","",SUMIFS(RAW_004!$I$2:$I$10001,RAW_004!$D$2:$D$10001,ALLOCATIONS!A242,RAW_004!$H$2:$H$10001,ALLOCATIONS!B242,RAW_004!$N$2:$N$10001,ALLOCATIONS!C242))</f>
        <v/>
      </c>
      <c r="H248" s="6">
        <f>IF(A248="","",G248-F248)</f>
        <v/>
      </c>
    </row>
    <row r="249">
      <c r="A249" s="6">
        <f>IF(ALLOCATIONS!A243="","",IFERROR(VLOOKUP(ALLOCATIONS!A243,MAPPING!$A$3:$C$302,2,FALSE),"UNMAPPED"))</f>
        <v/>
      </c>
      <c r="B249" s="6">
        <f>IF(ALLOCATIONS!A243="","",IFERROR(VLOOKUP(ALLOCATIONS!A243,MAPPING!$A$3:$C$302,3,FALSE),ALLOCATIONS!A243))</f>
        <v/>
      </c>
      <c r="C249" s="6">
        <f>IF(ALLOCATIONS!A243="","",IFERROR(VLOOKUP(ALLOCATIONS!B243,MAPPING!$E$3:$G$302,2,FALSE),"UNMAPPED"))</f>
        <v/>
      </c>
      <c r="D249" s="6">
        <f>IF(ALLOCATIONS!A243="","",IFERROR(IF(VLOOKUP(ALLOCATIONS!B243,MAPPING!$E$3:$G$302,3,FALSE)="","",VLOOKUP(ALLOCATIONS!B243,MAPPING!$E$3:$G$302,3,FALSE)),""))</f>
        <v/>
      </c>
      <c r="E249" s="6">
        <f>IF(ALLOCATIONS!A243="","",ALLOCATIONS!C243)</f>
        <v/>
      </c>
      <c r="F249" s="6">
        <f>IF(ALLOCATIONS!A243="","",IF(ALLOCATIONS!D243="",0,ALLOCATIONS!D243))</f>
        <v/>
      </c>
      <c r="G249" s="6">
        <f>IF(ALLOCATIONS!A243="","",SUMIFS(RAW_004!$I$2:$I$10001,RAW_004!$D$2:$D$10001,ALLOCATIONS!A243,RAW_004!$H$2:$H$10001,ALLOCATIONS!B243,RAW_004!$N$2:$N$10001,ALLOCATIONS!C243))</f>
        <v/>
      </c>
      <c r="H249" s="6">
        <f>IF(A249="","",G249-F249)</f>
        <v/>
      </c>
    </row>
    <row r="250">
      <c r="A250" s="6">
        <f>IF(ALLOCATIONS!A244="","",IFERROR(VLOOKUP(ALLOCATIONS!A244,MAPPING!$A$3:$C$302,2,FALSE),"UNMAPPED"))</f>
        <v/>
      </c>
      <c r="B250" s="6">
        <f>IF(ALLOCATIONS!A244="","",IFERROR(VLOOKUP(ALLOCATIONS!A244,MAPPING!$A$3:$C$302,3,FALSE),ALLOCATIONS!A244))</f>
        <v/>
      </c>
      <c r="C250" s="6">
        <f>IF(ALLOCATIONS!A244="","",IFERROR(VLOOKUP(ALLOCATIONS!B244,MAPPING!$E$3:$G$302,2,FALSE),"UNMAPPED"))</f>
        <v/>
      </c>
      <c r="D250" s="6">
        <f>IF(ALLOCATIONS!A244="","",IFERROR(IF(VLOOKUP(ALLOCATIONS!B244,MAPPING!$E$3:$G$302,3,FALSE)="","",VLOOKUP(ALLOCATIONS!B244,MAPPING!$E$3:$G$302,3,FALSE)),""))</f>
        <v/>
      </c>
      <c r="E250" s="6">
        <f>IF(ALLOCATIONS!A244="","",ALLOCATIONS!C244)</f>
        <v/>
      </c>
      <c r="F250" s="6">
        <f>IF(ALLOCATIONS!A244="","",IF(ALLOCATIONS!D244="",0,ALLOCATIONS!D244))</f>
        <v/>
      </c>
      <c r="G250" s="6">
        <f>IF(ALLOCATIONS!A244="","",SUMIFS(RAW_004!$I$2:$I$10001,RAW_004!$D$2:$D$10001,ALLOCATIONS!A244,RAW_004!$H$2:$H$10001,ALLOCATIONS!B244,RAW_004!$N$2:$N$10001,ALLOCATIONS!C244))</f>
        <v/>
      </c>
      <c r="H250" s="6">
        <f>IF(A250="","",G250-F250)</f>
        <v/>
      </c>
    </row>
    <row r="251">
      <c r="A251" s="6">
        <f>IF(ALLOCATIONS!A245="","",IFERROR(VLOOKUP(ALLOCATIONS!A245,MAPPING!$A$3:$C$302,2,FALSE),"UNMAPPED"))</f>
        <v/>
      </c>
      <c r="B251" s="6">
        <f>IF(ALLOCATIONS!A245="","",IFERROR(VLOOKUP(ALLOCATIONS!A245,MAPPING!$A$3:$C$302,3,FALSE),ALLOCATIONS!A245))</f>
        <v/>
      </c>
      <c r="C251" s="6">
        <f>IF(ALLOCATIONS!A245="","",IFERROR(VLOOKUP(ALLOCATIONS!B245,MAPPING!$E$3:$G$302,2,FALSE),"UNMAPPED"))</f>
        <v/>
      </c>
      <c r="D251" s="6">
        <f>IF(ALLOCATIONS!A245="","",IFERROR(IF(VLOOKUP(ALLOCATIONS!B245,MAPPING!$E$3:$G$302,3,FALSE)="","",VLOOKUP(ALLOCATIONS!B245,MAPPING!$E$3:$G$302,3,FALSE)),""))</f>
        <v/>
      </c>
      <c r="E251" s="6">
        <f>IF(ALLOCATIONS!A245="","",ALLOCATIONS!C245)</f>
        <v/>
      </c>
      <c r="F251" s="6">
        <f>IF(ALLOCATIONS!A245="","",IF(ALLOCATIONS!D245="",0,ALLOCATIONS!D245))</f>
        <v/>
      </c>
      <c r="G251" s="6">
        <f>IF(ALLOCATIONS!A245="","",SUMIFS(RAW_004!$I$2:$I$10001,RAW_004!$D$2:$D$10001,ALLOCATIONS!A245,RAW_004!$H$2:$H$10001,ALLOCATIONS!B245,RAW_004!$N$2:$N$10001,ALLOCATIONS!C245))</f>
        <v/>
      </c>
      <c r="H251" s="6">
        <f>IF(A251="","",G251-F251)</f>
        <v/>
      </c>
    </row>
    <row r="252">
      <c r="A252" s="6">
        <f>IF(ALLOCATIONS!A246="","",IFERROR(VLOOKUP(ALLOCATIONS!A246,MAPPING!$A$3:$C$302,2,FALSE),"UNMAPPED"))</f>
        <v/>
      </c>
      <c r="B252" s="6">
        <f>IF(ALLOCATIONS!A246="","",IFERROR(VLOOKUP(ALLOCATIONS!A246,MAPPING!$A$3:$C$302,3,FALSE),ALLOCATIONS!A246))</f>
        <v/>
      </c>
      <c r="C252" s="6">
        <f>IF(ALLOCATIONS!A246="","",IFERROR(VLOOKUP(ALLOCATIONS!B246,MAPPING!$E$3:$G$302,2,FALSE),"UNMAPPED"))</f>
        <v/>
      </c>
      <c r="D252" s="6">
        <f>IF(ALLOCATIONS!A246="","",IFERROR(IF(VLOOKUP(ALLOCATIONS!B246,MAPPING!$E$3:$G$302,3,FALSE)="","",VLOOKUP(ALLOCATIONS!B246,MAPPING!$E$3:$G$302,3,FALSE)),""))</f>
        <v/>
      </c>
      <c r="E252" s="6">
        <f>IF(ALLOCATIONS!A246="","",ALLOCATIONS!C246)</f>
        <v/>
      </c>
      <c r="F252" s="6">
        <f>IF(ALLOCATIONS!A246="","",IF(ALLOCATIONS!D246="",0,ALLOCATIONS!D246))</f>
        <v/>
      </c>
      <c r="G252" s="6">
        <f>IF(ALLOCATIONS!A246="","",SUMIFS(RAW_004!$I$2:$I$10001,RAW_004!$D$2:$D$10001,ALLOCATIONS!A246,RAW_004!$H$2:$H$10001,ALLOCATIONS!B246,RAW_004!$N$2:$N$10001,ALLOCATIONS!C246))</f>
        <v/>
      </c>
      <c r="H252" s="6">
        <f>IF(A252="","",G252-F252)</f>
        <v/>
      </c>
    </row>
    <row r="253">
      <c r="A253" s="6">
        <f>IF(ALLOCATIONS!A247="","",IFERROR(VLOOKUP(ALLOCATIONS!A247,MAPPING!$A$3:$C$302,2,FALSE),"UNMAPPED"))</f>
        <v/>
      </c>
      <c r="B253" s="6">
        <f>IF(ALLOCATIONS!A247="","",IFERROR(VLOOKUP(ALLOCATIONS!A247,MAPPING!$A$3:$C$302,3,FALSE),ALLOCATIONS!A247))</f>
        <v/>
      </c>
      <c r="C253" s="6">
        <f>IF(ALLOCATIONS!A247="","",IFERROR(VLOOKUP(ALLOCATIONS!B247,MAPPING!$E$3:$G$302,2,FALSE),"UNMAPPED"))</f>
        <v/>
      </c>
      <c r="D253" s="6">
        <f>IF(ALLOCATIONS!A247="","",IFERROR(IF(VLOOKUP(ALLOCATIONS!B247,MAPPING!$E$3:$G$302,3,FALSE)="","",VLOOKUP(ALLOCATIONS!B247,MAPPING!$E$3:$G$302,3,FALSE)),""))</f>
        <v/>
      </c>
      <c r="E253" s="6">
        <f>IF(ALLOCATIONS!A247="","",ALLOCATIONS!C247)</f>
        <v/>
      </c>
      <c r="F253" s="6">
        <f>IF(ALLOCATIONS!A247="","",IF(ALLOCATIONS!D247="",0,ALLOCATIONS!D247))</f>
        <v/>
      </c>
      <c r="G253" s="6">
        <f>IF(ALLOCATIONS!A247="","",SUMIFS(RAW_004!$I$2:$I$10001,RAW_004!$D$2:$D$10001,ALLOCATIONS!A247,RAW_004!$H$2:$H$10001,ALLOCATIONS!B247,RAW_004!$N$2:$N$10001,ALLOCATIONS!C247))</f>
        <v/>
      </c>
      <c r="H253" s="6">
        <f>IF(A253="","",G253-F253)</f>
        <v/>
      </c>
    </row>
    <row r="254">
      <c r="A254" s="6">
        <f>IF(ALLOCATIONS!A248="","",IFERROR(VLOOKUP(ALLOCATIONS!A248,MAPPING!$A$3:$C$302,2,FALSE),"UNMAPPED"))</f>
        <v/>
      </c>
      <c r="B254" s="6">
        <f>IF(ALLOCATIONS!A248="","",IFERROR(VLOOKUP(ALLOCATIONS!A248,MAPPING!$A$3:$C$302,3,FALSE),ALLOCATIONS!A248))</f>
        <v/>
      </c>
      <c r="C254" s="6">
        <f>IF(ALLOCATIONS!A248="","",IFERROR(VLOOKUP(ALLOCATIONS!B248,MAPPING!$E$3:$G$302,2,FALSE),"UNMAPPED"))</f>
        <v/>
      </c>
      <c r="D254" s="6">
        <f>IF(ALLOCATIONS!A248="","",IFERROR(IF(VLOOKUP(ALLOCATIONS!B248,MAPPING!$E$3:$G$302,3,FALSE)="","",VLOOKUP(ALLOCATIONS!B248,MAPPING!$E$3:$G$302,3,FALSE)),""))</f>
        <v/>
      </c>
      <c r="E254" s="6">
        <f>IF(ALLOCATIONS!A248="","",ALLOCATIONS!C248)</f>
        <v/>
      </c>
      <c r="F254" s="6">
        <f>IF(ALLOCATIONS!A248="","",IF(ALLOCATIONS!D248="",0,ALLOCATIONS!D248))</f>
        <v/>
      </c>
      <c r="G254" s="6">
        <f>IF(ALLOCATIONS!A248="","",SUMIFS(RAW_004!$I$2:$I$10001,RAW_004!$D$2:$D$10001,ALLOCATIONS!A248,RAW_004!$H$2:$H$10001,ALLOCATIONS!B248,RAW_004!$N$2:$N$10001,ALLOCATIONS!C248))</f>
        <v/>
      </c>
      <c r="H254" s="6">
        <f>IF(A254="","",G254-F254)</f>
        <v/>
      </c>
    </row>
    <row r="255">
      <c r="A255" s="6">
        <f>IF(ALLOCATIONS!A249="","",IFERROR(VLOOKUP(ALLOCATIONS!A249,MAPPING!$A$3:$C$302,2,FALSE),"UNMAPPED"))</f>
        <v/>
      </c>
      <c r="B255" s="6">
        <f>IF(ALLOCATIONS!A249="","",IFERROR(VLOOKUP(ALLOCATIONS!A249,MAPPING!$A$3:$C$302,3,FALSE),ALLOCATIONS!A249))</f>
        <v/>
      </c>
      <c r="C255" s="6">
        <f>IF(ALLOCATIONS!A249="","",IFERROR(VLOOKUP(ALLOCATIONS!B249,MAPPING!$E$3:$G$302,2,FALSE),"UNMAPPED"))</f>
        <v/>
      </c>
      <c r="D255" s="6">
        <f>IF(ALLOCATIONS!A249="","",IFERROR(IF(VLOOKUP(ALLOCATIONS!B249,MAPPING!$E$3:$G$302,3,FALSE)="","",VLOOKUP(ALLOCATIONS!B249,MAPPING!$E$3:$G$302,3,FALSE)),""))</f>
        <v/>
      </c>
      <c r="E255" s="6">
        <f>IF(ALLOCATIONS!A249="","",ALLOCATIONS!C249)</f>
        <v/>
      </c>
      <c r="F255" s="6">
        <f>IF(ALLOCATIONS!A249="","",IF(ALLOCATIONS!D249="",0,ALLOCATIONS!D249))</f>
        <v/>
      </c>
      <c r="G255" s="6">
        <f>IF(ALLOCATIONS!A249="","",SUMIFS(RAW_004!$I$2:$I$10001,RAW_004!$D$2:$D$10001,ALLOCATIONS!A249,RAW_004!$H$2:$H$10001,ALLOCATIONS!B249,RAW_004!$N$2:$N$10001,ALLOCATIONS!C249))</f>
        <v/>
      </c>
      <c r="H255" s="6">
        <f>IF(A255="","",G255-F255)</f>
        <v/>
      </c>
    </row>
    <row r="256">
      <c r="A256" s="6">
        <f>IF(ALLOCATIONS!A250="","",IFERROR(VLOOKUP(ALLOCATIONS!A250,MAPPING!$A$3:$C$302,2,FALSE),"UNMAPPED"))</f>
        <v/>
      </c>
      <c r="B256" s="6">
        <f>IF(ALLOCATIONS!A250="","",IFERROR(VLOOKUP(ALLOCATIONS!A250,MAPPING!$A$3:$C$302,3,FALSE),ALLOCATIONS!A250))</f>
        <v/>
      </c>
      <c r="C256" s="6">
        <f>IF(ALLOCATIONS!A250="","",IFERROR(VLOOKUP(ALLOCATIONS!B250,MAPPING!$E$3:$G$302,2,FALSE),"UNMAPPED"))</f>
        <v/>
      </c>
      <c r="D256" s="6">
        <f>IF(ALLOCATIONS!A250="","",IFERROR(IF(VLOOKUP(ALLOCATIONS!B250,MAPPING!$E$3:$G$302,3,FALSE)="","",VLOOKUP(ALLOCATIONS!B250,MAPPING!$E$3:$G$302,3,FALSE)),""))</f>
        <v/>
      </c>
      <c r="E256" s="6">
        <f>IF(ALLOCATIONS!A250="","",ALLOCATIONS!C250)</f>
        <v/>
      </c>
      <c r="F256" s="6">
        <f>IF(ALLOCATIONS!A250="","",IF(ALLOCATIONS!D250="",0,ALLOCATIONS!D250))</f>
        <v/>
      </c>
      <c r="G256" s="6">
        <f>IF(ALLOCATIONS!A250="","",SUMIFS(RAW_004!$I$2:$I$10001,RAW_004!$D$2:$D$10001,ALLOCATIONS!A250,RAW_004!$H$2:$H$10001,ALLOCATIONS!B250,RAW_004!$N$2:$N$10001,ALLOCATIONS!C250))</f>
        <v/>
      </c>
      <c r="H256" s="6">
        <f>IF(A256="","",G256-F256)</f>
        <v/>
      </c>
    </row>
    <row r="257">
      <c r="A257" s="6">
        <f>IF(ALLOCATIONS!A251="","",IFERROR(VLOOKUP(ALLOCATIONS!A251,MAPPING!$A$3:$C$302,2,FALSE),"UNMAPPED"))</f>
        <v/>
      </c>
      <c r="B257" s="6">
        <f>IF(ALLOCATIONS!A251="","",IFERROR(VLOOKUP(ALLOCATIONS!A251,MAPPING!$A$3:$C$302,3,FALSE),ALLOCATIONS!A251))</f>
        <v/>
      </c>
      <c r="C257" s="6">
        <f>IF(ALLOCATIONS!A251="","",IFERROR(VLOOKUP(ALLOCATIONS!B251,MAPPING!$E$3:$G$302,2,FALSE),"UNMAPPED"))</f>
        <v/>
      </c>
      <c r="D257" s="6">
        <f>IF(ALLOCATIONS!A251="","",IFERROR(IF(VLOOKUP(ALLOCATIONS!B251,MAPPING!$E$3:$G$302,3,FALSE)="","",VLOOKUP(ALLOCATIONS!B251,MAPPING!$E$3:$G$302,3,FALSE)),""))</f>
        <v/>
      </c>
      <c r="E257" s="6">
        <f>IF(ALLOCATIONS!A251="","",ALLOCATIONS!C251)</f>
        <v/>
      </c>
      <c r="F257" s="6">
        <f>IF(ALLOCATIONS!A251="","",IF(ALLOCATIONS!D251="",0,ALLOCATIONS!D251))</f>
        <v/>
      </c>
      <c r="G257" s="6">
        <f>IF(ALLOCATIONS!A251="","",SUMIFS(RAW_004!$I$2:$I$10001,RAW_004!$D$2:$D$10001,ALLOCATIONS!A251,RAW_004!$H$2:$H$10001,ALLOCATIONS!B251,RAW_004!$N$2:$N$10001,ALLOCATIONS!C251))</f>
        <v/>
      </c>
      <c r="H257" s="6">
        <f>IF(A257="","",G257-F257)</f>
        <v/>
      </c>
    </row>
    <row r="258">
      <c r="A258" s="6">
        <f>IF(ALLOCATIONS!A252="","",IFERROR(VLOOKUP(ALLOCATIONS!A252,MAPPING!$A$3:$C$302,2,FALSE),"UNMAPPED"))</f>
        <v/>
      </c>
      <c r="B258" s="6">
        <f>IF(ALLOCATIONS!A252="","",IFERROR(VLOOKUP(ALLOCATIONS!A252,MAPPING!$A$3:$C$302,3,FALSE),ALLOCATIONS!A252))</f>
        <v/>
      </c>
      <c r="C258" s="6">
        <f>IF(ALLOCATIONS!A252="","",IFERROR(VLOOKUP(ALLOCATIONS!B252,MAPPING!$E$3:$G$302,2,FALSE),"UNMAPPED"))</f>
        <v/>
      </c>
      <c r="D258" s="6">
        <f>IF(ALLOCATIONS!A252="","",IFERROR(IF(VLOOKUP(ALLOCATIONS!B252,MAPPING!$E$3:$G$302,3,FALSE)="","",VLOOKUP(ALLOCATIONS!B252,MAPPING!$E$3:$G$302,3,FALSE)),""))</f>
        <v/>
      </c>
      <c r="E258" s="6">
        <f>IF(ALLOCATIONS!A252="","",ALLOCATIONS!C252)</f>
        <v/>
      </c>
      <c r="F258" s="6">
        <f>IF(ALLOCATIONS!A252="","",IF(ALLOCATIONS!D252="",0,ALLOCATIONS!D252))</f>
        <v/>
      </c>
      <c r="G258" s="6">
        <f>IF(ALLOCATIONS!A252="","",SUMIFS(RAW_004!$I$2:$I$10001,RAW_004!$D$2:$D$10001,ALLOCATIONS!A252,RAW_004!$H$2:$H$10001,ALLOCATIONS!B252,RAW_004!$N$2:$N$10001,ALLOCATIONS!C252))</f>
        <v/>
      </c>
      <c r="H258" s="6">
        <f>IF(A258="","",G258-F258)</f>
        <v/>
      </c>
    </row>
    <row r="259">
      <c r="A259" s="6">
        <f>IF(ALLOCATIONS!A253="","",IFERROR(VLOOKUP(ALLOCATIONS!A253,MAPPING!$A$3:$C$302,2,FALSE),"UNMAPPED"))</f>
        <v/>
      </c>
      <c r="B259" s="6">
        <f>IF(ALLOCATIONS!A253="","",IFERROR(VLOOKUP(ALLOCATIONS!A253,MAPPING!$A$3:$C$302,3,FALSE),ALLOCATIONS!A253))</f>
        <v/>
      </c>
      <c r="C259" s="6">
        <f>IF(ALLOCATIONS!A253="","",IFERROR(VLOOKUP(ALLOCATIONS!B253,MAPPING!$E$3:$G$302,2,FALSE),"UNMAPPED"))</f>
        <v/>
      </c>
      <c r="D259" s="6">
        <f>IF(ALLOCATIONS!A253="","",IFERROR(IF(VLOOKUP(ALLOCATIONS!B253,MAPPING!$E$3:$G$302,3,FALSE)="","",VLOOKUP(ALLOCATIONS!B253,MAPPING!$E$3:$G$302,3,FALSE)),""))</f>
        <v/>
      </c>
      <c r="E259" s="6">
        <f>IF(ALLOCATIONS!A253="","",ALLOCATIONS!C253)</f>
        <v/>
      </c>
      <c r="F259" s="6">
        <f>IF(ALLOCATIONS!A253="","",IF(ALLOCATIONS!D253="",0,ALLOCATIONS!D253))</f>
        <v/>
      </c>
      <c r="G259" s="6">
        <f>IF(ALLOCATIONS!A253="","",SUMIFS(RAW_004!$I$2:$I$10001,RAW_004!$D$2:$D$10001,ALLOCATIONS!A253,RAW_004!$H$2:$H$10001,ALLOCATIONS!B253,RAW_004!$N$2:$N$10001,ALLOCATIONS!C253))</f>
        <v/>
      </c>
      <c r="H259" s="6">
        <f>IF(A259="","",G259-F259)</f>
        <v/>
      </c>
    </row>
    <row r="260">
      <c r="A260" s="6">
        <f>IF(ALLOCATIONS!A254="","",IFERROR(VLOOKUP(ALLOCATIONS!A254,MAPPING!$A$3:$C$302,2,FALSE),"UNMAPPED"))</f>
        <v/>
      </c>
      <c r="B260" s="6">
        <f>IF(ALLOCATIONS!A254="","",IFERROR(VLOOKUP(ALLOCATIONS!A254,MAPPING!$A$3:$C$302,3,FALSE),ALLOCATIONS!A254))</f>
        <v/>
      </c>
      <c r="C260" s="6">
        <f>IF(ALLOCATIONS!A254="","",IFERROR(VLOOKUP(ALLOCATIONS!B254,MAPPING!$E$3:$G$302,2,FALSE),"UNMAPPED"))</f>
        <v/>
      </c>
      <c r="D260" s="6">
        <f>IF(ALLOCATIONS!A254="","",IFERROR(IF(VLOOKUP(ALLOCATIONS!B254,MAPPING!$E$3:$G$302,3,FALSE)="","",VLOOKUP(ALLOCATIONS!B254,MAPPING!$E$3:$G$302,3,FALSE)),""))</f>
        <v/>
      </c>
      <c r="E260" s="6">
        <f>IF(ALLOCATIONS!A254="","",ALLOCATIONS!C254)</f>
        <v/>
      </c>
      <c r="F260" s="6">
        <f>IF(ALLOCATIONS!A254="","",IF(ALLOCATIONS!D254="",0,ALLOCATIONS!D254))</f>
        <v/>
      </c>
      <c r="G260" s="6">
        <f>IF(ALLOCATIONS!A254="","",SUMIFS(RAW_004!$I$2:$I$10001,RAW_004!$D$2:$D$10001,ALLOCATIONS!A254,RAW_004!$H$2:$H$10001,ALLOCATIONS!B254,RAW_004!$N$2:$N$10001,ALLOCATIONS!C254))</f>
        <v/>
      </c>
      <c r="H260" s="6">
        <f>IF(A260="","",G260-F260)</f>
        <v/>
      </c>
    </row>
    <row r="261">
      <c r="A261" s="6">
        <f>IF(ALLOCATIONS!A255="","",IFERROR(VLOOKUP(ALLOCATIONS!A255,MAPPING!$A$3:$C$302,2,FALSE),"UNMAPPED"))</f>
        <v/>
      </c>
      <c r="B261" s="6">
        <f>IF(ALLOCATIONS!A255="","",IFERROR(VLOOKUP(ALLOCATIONS!A255,MAPPING!$A$3:$C$302,3,FALSE),ALLOCATIONS!A255))</f>
        <v/>
      </c>
      <c r="C261" s="6">
        <f>IF(ALLOCATIONS!A255="","",IFERROR(VLOOKUP(ALLOCATIONS!B255,MAPPING!$E$3:$G$302,2,FALSE),"UNMAPPED"))</f>
        <v/>
      </c>
      <c r="D261" s="6">
        <f>IF(ALLOCATIONS!A255="","",IFERROR(IF(VLOOKUP(ALLOCATIONS!B255,MAPPING!$E$3:$G$302,3,FALSE)="","",VLOOKUP(ALLOCATIONS!B255,MAPPING!$E$3:$G$302,3,FALSE)),""))</f>
        <v/>
      </c>
      <c r="E261" s="6">
        <f>IF(ALLOCATIONS!A255="","",ALLOCATIONS!C255)</f>
        <v/>
      </c>
      <c r="F261" s="6">
        <f>IF(ALLOCATIONS!A255="","",IF(ALLOCATIONS!D255="",0,ALLOCATIONS!D255))</f>
        <v/>
      </c>
      <c r="G261" s="6">
        <f>IF(ALLOCATIONS!A255="","",SUMIFS(RAW_004!$I$2:$I$10001,RAW_004!$D$2:$D$10001,ALLOCATIONS!A255,RAW_004!$H$2:$H$10001,ALLOCATIONS!B255,RAW_004!$N$2:$N$10001,ALLOCATIONS!C255))</f>
        <v/>
      </c>
      <c r="H261" s="6">
        <f>IF(A261="","",G261-F261)</f>
        <v/>
      </c>
    </row>
    <row r="262">
      <c r="A262" s="6">
        <f>IF(ALLOCATIONS!A256="","",IFERROR(VLOOKUP(ALLOCATIONS!A256,MAPPING!$A$3:$C$302,2,FALSE),"UNMAPPED"))</f>
        <v/>
      </c>
      <c r="B262" s="6">
        <f>IF(ALLOCATIONS!A256="","",IFERROR(VLOOKUP(ALLOCATIONS!A256,MAPPING!$A$3:$C$302,3,FALSE),ALLOCATIONS!A256))</f>
        <v/>
      </c>
      <c r="C262" s="6">
        <f>IF(ALLOCATIONS!A256="","",IFERROR(VLOOKUP(ALLOCATIONS!B256,MAPPING!$E$3:$G$302,2,FALSE),"UNMAPPED"))</f>
        <v/>
      </c>
      <c r="D262" s="6">
        <f>IF(ALLOCATIONS!A256="","",IFERROR(IF(VLOOKUP(ALLOCATIONS!B256,MAPPING!$E$3:$G$302,3,FALSE)="","",VLOOKUP(ALLOCATIONS!B256,MAPPING!$E$3:$G$302,3,FALSE)),""))</f>
        <v/>
      </c>
      <c r="E262" s="6">
        <f>IF(ALLOCATIONS!A256="","",ALLOCATIONS!C256)</f>
        <v/>
      </c>
      <c r="F262" s="6">
        <f>IF(ALLOCATIONS!A256="","",IF(ALLOCATIONS!D256="",0,ALLOCATIONS!D256))</f>
        <v/>
      </c>
      <c r="G262" s="6">
        <f>IF(ALLOCATIONS!A256="","",SUMIFS(RAW_004!$I$2:$I$10001,RAW_004!$D$2:$D$10001,ALLOCATIONS!A256,RAW_004!$H$2:$H$10001,ALLOCATIONS!B256,RAW_004!$N$2:$N$10001,ALLOCATIONS!C256))</f>
        <v/>
      </c>
      <c r="H262" s="6">
        <f>IF(A262="","",G262-F262)</f>
        <v/>
      </c>
    </row>
    <row r="263">
      <c r="A263" s="6">
        <f>IF(ALLOCATIONS!A257="","",IFERROR(VLOOKUP(ALLOCATIONS!A257,MAPPING!$A$3:$C$302,2,FALSE),"UNMAPPED"))</f>
        <v/>
      </c>
      <c r="B263" s="6">
        <f>IF(ALLOCATIONS!A257="","",IFERROR(VLOOKUP(ALLOCATIONS!A257,MAPPING!$A$3:$C$302,3,FALSE),ALLOCATIONS!A257))</f>
        <v/>
      </c>
      <c r="C263" s="6">
        <f>IF(ALLOCATIONS!A257="","",IFERROR(VLOOKUP(ALLOCATIONS!B257,MAPPING!$E$3:$G$302,2,FALSE),"UNMAPPED"))</f>
        <v/>
      </c>
      <c r="D263" s="6">
        <f>IF(ALLOCATIONS!A257="","",IFERROR(IF(VLOOKUP(ALLOCATIONS!B257,MAPPING!$E$3:$G$302,3,FALSE)="","",VLOOKUP(ALLOCATIONS!B257,MAPPING!$E$3:$G$302,3,FALSE)),""))</f>
        <v/>
      </c>
      <c r="E263" s="6">
        <f>IF(ALLOCATIONS!A257="","",ALLOCATIONS!C257)</f>
        <v/>
      </c>
      <c r="F263" s="6">
        <f>IF(ALLOCATIONS!A257="","",IF(ALLOCATIONS!D257="",0,ALLOCATIONS!D257))</f>
        <v/>
      </c>
      <c r="G263" s="6">
        <f>IF(ALLOCATIONS!A257="","",SUMIFS(RAW_004!$I$2:$I$10001,RAW_004!$D$2:$D$10001,ALLOCATIONS!A257,RAW_004!$H$2:$H$10001,ALLOCATIONS!B257,RAW_004!$N$2:$N$10001,ALLOCATIONS!C257))</f>
        <v/>
      </c>
      <c r="H263" s="6">
        <f>IF(A263="","",G263-F263)</f>
        <v/>
      </c>
    </row>
    <row r="264">
      <c r="A264" s="6">
        <f>IF(ALLOCATIONS!A258="","",IFERROR(VLOOKUP(ALLOCATIONS!A258,MAPPING!$A$3:$C$302,2,FALSE),"UNMAPPED"))</f>
        <v/>
      </c>
      <c r="B264" s="6">
        <f>IF(ALLOCATIONS!A258="","",IFERROR(VLOOKUP(ALLOCATIONS!A258,MAPPING!$A$3:$C$302,3,FALSE),ALLOCATIONS!A258))</f>
        <v/>
      </c>
      <c r="C264" s="6">
        <f>IF(ALLOCATIONS!A258="","",IFERROR(VLOOKUP(ALLOCATIONS!B258,MAPPING!$E$3:$G$302,2,FALSE),"UNMAPPED"))</f>
        <v/>
      </c>
      <c r="D264" s="6">
        <f>IF(ALLOCATIONS!A258="","",IFERROR(IF(VLOOKUP(ALLOCATIONS!B258,MAPPING!$E$3:$G$302,3,FALSE)="","",VLOOKUP(ALLOCATIONS!B258,MAPPING!$E$3:$G$302,3,FALSE)),""))</f>
        <v/>
      </c>
      <c r="E264" s="6">
        <f>IF(ALLOCATIONS!A258="","",ALLOCATIONS!C258)</f>
        <v/>
      </c>
      <c r="F264" s="6">
        <f>IF(ALLOCATIONS!A258="","",IF(ALLOCATIONS!D258="",0,ALLOCATIONS!D258))</f>
        <v/>
      </c>
      <c r="G264" s="6">
        <f>IF(ALLOCATIONS!A258="","",SUMIFS(RAW_004!$I$2:$I$10001,RAW_004!$D$2:$D$10001,ALLOCATIONS!A258,RAW_004!$H$2:$H$10001,ALLOCATIONS!B258,RAW_004!$N$2:$N$10001,ALLOCATIONS!C258))</f>
        <v/>
      </c>
      <c r="H264" s="6">
        <f>IF(A264="","",G264-F264)</f>
        <v/>
      </c>
    </row>
    <row r="265">
      <c r="A265" s="6">
        <f>IF(ALLOCATIONS!A259="","",IFERROR(VLOOKUP(ALLOCATIONS!A259,MAPPING!$A$3:$C$302,2,FALSE),"UNMAPPED"))</f>
        <v/>
      </c>
      <c r="B265" s="6">
        <f>IF(ALLOCATIONS!A259="","",IFERROR(VLOOKUP(ALLOCATIONS!A259,MAPPING!$A$3:$C$302,3,FALSE),ALLOCATIONS!A259))</f>
        <v/>
      </c>
      <c r="C265" s="6">
        <f>IF(ALLOCATIONS!A259="","",IFERROR(VLOOKUP(ALLOCATIONS!B259,MAPPING!$E$3:$G$302,2,FALSE),"UNMAPPED"))</f>
        <v/>
      </c>
      <c r="D265" s="6">
        <f>IF(ALLOCATIONS!A259="","",IFERROR(IF(VLOOKUP(ALLOCATIONS!B259,MAPPING!$E$3:$G$302,3,FALSE)="","",VLOOKUP(ALLOCATIONS!B259,MAPPING!$E$3:$G$302,3,FALSE)),""))</f>
        <v/>
      </c>
      <c r="E265" s="6">
        <f>IF(ALLOCATIONS!A259="","",ALLOCATIONS!C259)</f>
        <v/>
      </c>
      <c r="F265" s="6">
        <f>IF(ALLOCATIONS!A259="","",IF(ALLOCATIONS!D259="",0,ALLOCATIONS!D259))</f>
        <v/>
      </c>
      <c r="G265" s="6">
        <f>IF(ALLOCATIONS!A259="","",SUMIFS(RAW_004!$I$2:$I$10001,RAW_004!$D$2:$D$10001,ALLOCATIONS!A259,RAW_004!$H$2:$H$10001,ALLOCATIONS!B259,RAW_004!$N$2:$N$10001,ALLOCATIONS!C259))</f>
        <v/>
      </c>
      <c r="H265" s="6">
        <f>IF(A265="","",G265-F265)</f>
        <v/>
      </c>
    </row>
    <row r="266">
      <c r="A266" s="6">
        <f>IF(ALLOCATIONS!A260="","",IFERROR(VLOOKUP(ALLOCATIONS!A260,MAPPING!$A$3:$C$302,2,FALSE),"UNMAPPED"))</f>
        <v/>
      </c>
      <c r="B266" s="6">
        <f>IF(ALLOCATIONS!A260="","",IFERROR(VLOOKUP(ALLOCATIONS!A260,MAPPING!$A$3:$C$302,3,FALSE),ALLOCATIONS!A260))</f>
        <v/>
      </c>
      <c r="C266" s="6">
        <f>IF(ALLOCATIONS!A260="","",IFERROR(VLOOKUP(ALLOCATIONS!B260,MAPPING!$E$3:$G$302,2,FALSE),"UNMAPPED"))</f>
        <v/>
      </c>
      <c r="D266" s="6">
        <f>IF(ALLOCATIONS!A260="","",IFERROR(IF(VLOOKUP(ALLOCATIONS!B260,MAPPING!$E$3:$G$302,3,FALSE)="","",VLOOKUP(ALLOCATIONS!B260,MAPPING!$E$3:$G$302,3,FALSE)),""))</f>
        <v/>
      </c>
      <c r="E266" s="6">
        <f>IF(ALLOCATIONS!A260="","",ALLOCATIONS!C260)</f>
        <v/>
      </c>
      <c r="F266" s="6">
        <f>IF(ALLOCATIONS!A260="","",IF(ALLOCATIONS!D260="",0,ALLOCATIONS!D260))</f>
        <v/>
      </c>
      <c r="G266" s="6">
        <f>IF(ALLOCATIONS!A260="","",SUMIFS(RAW_004!$I$2:$I$10001,RAW_004!$D$2:$D$10001,ALLOCATIONS!A260,RAW_004!$H$2:$H$10001,ALLOCATIONS!B260,RAW_004!$N$2:$N$10001,ALLOCATIONS!C260))</f>
        <v/>
      </c>
      <c r="H266" s="6">
        <f>IF(A266="","",G266-F266)</f>
        <v/>
      </c>
    </row>
    <row r="267">
      <c r="A267" s="6">
        <f>IF(ALLOCATIONS!A261="","",IFERROR(VLOOKUP(ALLOCATIONS!A261,MAPPING!$A$3:$C$302,2,FALSE),"UNMAPPED"))</f>
        <v/>
      </c>
      <c r="B267" s="6">
        <f>IF(ALLOCATIONS!A261="","",IFERROR(VLOOKUP(ALLOCATIONS!A261,MAPPING!$A$3:$C$302,3,FALSE),ALLOCATIONS!A261))</f>
        <v/>
      </c>
      <c r="C267" s="6">
        <f>IF(ALLOCATIONS!A261="","",IFERROR(VLOOKUP(ALLOCATIONS!B261,MAPPING!$E$3:$G$302,2,FALSE),"UNMAPPED"))</f>
        <v/>
      </c>
      <c r="D267" s="6">
        <f>IF(ALLOCATIONS!A261="","",IFERROR(IF(VLOOKUP(ALLOCATIONS!B261,MAPPING!$E$3:$G$302,3,FALSE)="","",VLOOKUP(ALLOCATIONS!B261,MAPPING!$E$3:$G$302,3,FALSE)),""))</f>
        <v/>
      </c>
      <c r="E267" s="6">
        <f>IF(ALLOCATIONS!A261="","",ALLOCATIONS!C261)</f>
        <v/>
      </c>
      <c r="F267" s="6">
        <f>IF(ALLOCATIONS!A261="","",IF(ALLOCATIONS!D261="",0,ALLOCATIONS!D261))</f>
        <v/>
      </c>
      <c r="G267" s="6">
        <f>IF(ALLOCATIONS!A261="","",SUMIFS(RAW_004!$I$2:$I$10001,RAW_004!$D$2:$D$10001,ALLOCATIONS!A261,RAW_004!$H$2:$H$10001,ALLOCATIONS!B261,RAW_004!$N$2:$N$10001,ALLOCATIONS!C261))</f>
        <v/>
      </c>
      <c r="H267" s="6">
        <f>IF(A267="","",G267-F267)</f>
        <v/>
      </c>
    </row>
    <row r="268">
      <c r="A268" s="6">
        <f>IF(ALLOCATIONS!A262="","",IFERROR(VLOOKUP(ALLOCATIONS!A262,MAPPING!$A$3:$C$302,2,FALSE),"UNMAPPED"))</f>
        <v/>
      </c>
      <c r="B268" s="6">
        <f>IF(ALLOCATIONS!A262="","",IFERROR(VLOOKUP(ALLOCATIONS!A262,MAPPING!$A$3:$C$302,3,FALSE),ALLOCATIONS!A262))</f>
        <v/>
      </c>
      <c r="C268" s="6">
        <f>IF(ALLOCATIONS!A262="","",IFERROR(VLOOKUP(ALLOCATIONS!B262,MAPPING!$E$3:$G$302,2,FALSE),"UNMAPPED"))</f>
        <v/>
      </c>
      <c r="D268" s="6">
        <f>IF(ALLOCATIONS!A262="","",IFERROR(IF(VLOOKUP(ALLOCATIONS!B262,MAPPING!$E$3:$G$302,3,FALSE)="","",VLOOKUP(ALLOCATIONS!B262,MAPPING!$E$3:$G$302,3,FALSE)),""))</f>
        <v/>
      </c>
      <c r="E268" s="6">
        <f>IF(ALLOCATIONS!A262="","",ALLOCATIONS!C262)</f>
        <v/>
      </c>
      <c r="F268" s="6">
        <f>IF(ALLOCATIONS!A262="","",IF(ALLOCATIONS!D262="",0,ALLOCATIONS!D262))</f>
        <v/>
      </c>
      <c r="G268" s="6">
        <f>IF(ALLOCATIONS!A262="","",SUMIFS(RAW_004!$I$2:$I$10001,RAW_004!$D$2:$D$10001,ALLOCATIONS!A262,RAW_004!$H$2:$H$10001,ALLOCATIONS!B262,RAW_004!$N$2:$N$10001,ALLOCATIONS!C262))</f>
        <v/>
      </c>
      <c r="H268" s="6">
        <f>IF(A268="","",G268-F268)</f>
        <v/>
      </c>
    </row>
    <row r="269">
      <c r="A269" s="6">
        <f>IF(ALLOCATIONS!A263="","",IFERROR(VLOOKUP(ALLOCATIONS!A263,MAPPING!$A$3:$C$302,2,FALSE),"UNMAPPED"))</f>
        <v/>
      </c>
      <c r="B269" s="6">
        <f>IF(ALLOCATIONS!A263="","",IFERROR(VLOOKUP(ALLOCATIONS!A263,MAPPING!$A$3:$C$302,3,FALSE),ALLOCATIONS!A263))</f>
        <v/>
      </c>
      <c r="C269" s="6">
        <f>IF(ALLOCATIONS!A263="","",IFERROR(VLOOKUP(ALLOCATIONS!B263,MAPPING!$E$3:$G$302,2,FALSE),"UNMAPPED"))</f>
        <v/>
      </c>
      <c r="D269" s="6">
        <f>IF(ALLOCATIONS!A263="","",IFERROR(IF(VLOOKUP(ALLOCATIONS!B263,MAPPING!$E$3:$G$302,3,FALSE)="","",VLOOKUP(ALLOCATIONS!B263,MAPPING!$E$3:$G$302,3,FALSE)),""))</f>
        <v/>
      </c>
      <c r="E269" s="6">
        <f>IF(ALLOCATIONS!A263="","",ALLOCATIONS!C263)</f>
        <v/>
      </c>
      <c r="F269" s="6">
        <f>IF(ALLOCATIONS!A263="","",IF(ALLOCATIONS!D263="",0,ALLOCATIONS!D263))</f>
        <v/>
      </c>
      <c r="G269" s="6">
        <f>IF(ALLOCATIONS!A263="","",SUMIFS(RAW_004!$I$2:$I$10001,RAW_004!$D$2:$D$10001,ALLOCATIONS!A263,RAW_004!$H$2:$H$10001,ALLOCATIONS!B263,RAW_004!$N$2:$N$10001,ALLOCATIONS!C263))</f>
        <v/>
      </c>
      <c r="H269" s="6">
        <f>IF(A269="","",G269-F269)</f>
        <v/>
      </c>
    </row>
    <row r="270">
      <c r="A270" s="6">
        <f>IF(ALLOCATIONS!A264="","",IFERROR(VLOOKUP(ALLOCATIONS!A264,MAPPING!$A$3:$C$302,2,FALSE),"UNMAPPED"))</f>
        <v/>
      </c>
      <c r="B270" s="6">
        <f>IF(ALLOCATIONS!A264="","",IFERROR(VLOOKUP(ALLOCATIONS!A264,MAPPING!$A$3:$C$302,3,FALSE),ALLOCATIONS!A264))</f>
        <v/>
      </c>
      <c r="C270" s="6">
        <f>IF(ALLOCATIONS!A264="","",IFERROR(VLOOKUP(ALLOCATIONS!B264,MAPPING!$E$3:$G$302,2,FALSE),"UNMAPPED"))</f>
        <v/>
      </c>
      <c r="D270" s="6">
        <f>IF(ALLOCATIONS!A264="","",IFERROR(IF(VLOOKUP(ALLOCATIONS!B264,MAPPING!$E$3:$G$302,3,FALSE)="","",VLOOKUP(ALLOCATIONS!B264,MAPPING!$E$3:$G$302,3,FALSE)),""))</f>
        <v/>
      </c>
      <c r="E270" s="6">
        <f>IF(ALLOCATIONS!A264="","",ALLOCATIONS!C264)</f>
        <v/>
      </c>
      <c r="F270" s="6">
        <f>IF(ALLOCATIONS!A264="","",IF(ALLOCATIONS!D264="",0,ALLOCATIONS!D264))</f>
        <v/>
      </c>
      <c r="G270" s="6">
        <f>IF(ALLOCATIONS!A264="","",SUMIFS(RAW_004!$I$2:$I$10001,RAW_004!$D$2:$D$10001,ALLOCATIONS!A264,RAW_004!$H$2:$H$10001,ALLOCATIONS!B264,RAW_004!$N$2:$N$10001,ALLOCATIONS!C264))</f>
        <v/>
      </c>
      <c r="H270" s="6">
        <f>IF(A270="","",G270-F270)</f>
        <v/>
      </c>
    </row>
    <row r="271">
      <c r="A271" s="6">
        <f>IF(ALLOCATIONS!A265="","",IFERROR(VLOOKUP(ALLOCATIONS!A265,MAPPING!$A$3:$C$302,2,FALSE),"UNMAPPED"))</f>
        <v/>
      </c>
      <c r="B271" s="6">
        <f>IF(ALLOCATIONS!A265="","",IFERROR(VLOOKUP(ALLOCATIONS!A265,MAPPING!$A$3:$C$302,3,FALSE),ALLOCATIONS!A265))</f>
        <v/>
      </c>
      <c r="C271" s="6">
        <f>IF(ALLOCATIONS!A265="","",IFERROR(VLOOKUP(ALLOCATIONS!B265,MAPPING!$E$3:$G$302,2,FALSE),"UNMAPPED"))</f>
        <v/>
      </c>
      <c r="D271" s="6">
        <f>IF(ALLOCATIONS!A265="","",IFERROR(IF(VLOOKUP(ALLOCATIONS!B265,MAPPING!$E$3:$G$302,3,FALSE)="","",VLOOKUP(ALLOCATIONS!B265,MAPPING!$E$3:$G$302,3,FALSE)),""))</f>
        <v/>
      </c>
      <c r="E271" s="6">
        <f>IF(ALLOCATIONS!A265="","",ALLOCATIONS!C265)</f>
        <v/>
      </c>
      <c r="F271" s="6">
        <f>IF(ALLOCATIONS!A265="","",IF(ALLOCATIONS!D265="",0,ALLOCATIONS!D265))</f>
        <v/>
      </c>
      <c r="G271" s="6">
        <f>IF(ALLOCATIONS!A265="","",SUMIFS(RAW_004!$I$2:$I$10001,RAW_004!$D$2:$D$10001,ALLOCATIONS!A265,RAW_004!$H$2:$H$10001,ALLOCATIONS!B265,RAW_004!$N$2:$N$10001,ALLOCATIONS!C265))</f>
        <v/>
      </c>
      <c r="H271" s="6">
        <f>IF(A271="","",G271-F271)</f>
        <v/>
      </c>
    </row>
    <row r="272">
      <c r="A272" s="6">
        <f>IF(ALLOCATIONS!A266="","",IFERROR(VLOOKUP(ALLOCATIONS!A266,MAPPING!$A$3:$C$302,2,FALSE),"UNMAPPED"))</f>
        <v/>
      </c>
      <c r="B272" s="6">
        <f>IF(ALLOCATIONS!A266="","",IFERROR(VLOOKUP(ALLOCATIONS!A266,MAPPING!$A$3:$C$302,3,FALSE),ALLOCATIONS!A266))</f>
        <v/>
      </c>
      <c r="C272" s="6">
        <f>IF(ALLOCATIONS!A266="","",IFERROR(VLOOKUP(ALLOCATIONS!B266,MAPPING!$E$3:$G$302,2,FALSE),"UNMAPPED"))</f>
        <v/>
      </c>
      <c r="D272" s="6">
        <f>IF(ALLOCATIONS!A266="","",IFERROR(IF(VLOOKUP(ALLOCATIONS!B266,MAPPING!$E$3:$G$302,3,FALSE)="","",VLOOKUP(ALLOCATIONS!B266,MAPPING!$E$3:$G$302,3,FALSE)),""))</f>
        <v/>
      </c>
      <c r="E272" s="6">
        <f>IF(ALLOCATIONS!A266="","",ALLOCATIONS!C266)</f>
        <v/>
      </c>
      <c r="F272" s="6">
        <f>IF(ALLOCATIONS!A266="","",IF(ALLOCATIONS!D266="",0,ALLOCATIONS!D266))</f>
        <v/>
      </c>
      <c r="G272" s="6">
        <f>IF(ALLOCATIONS!A266="","",SUMIFS(RAW_004!$I$2:$I$10001,RAW_004!$D$2:$D$10001,ALLOCATIONS!A266,RAW_004!$H$2:$H$10001,ALLOCATIONS!B266,RAW_004!$N$2:$N$10001,ALLOCATIONS!C266))</f>
        <v/>
      </c>
      <c r="H272" s="6">
        <f>IF(A272="","",G272-F272)</f>
        <v/>
      </c>
    </row>
    <row r="273">
      <c r="A273" s="6">
        <f>IF(ALLOCATIONS!A267="","",IFERROR(VLOOKUP(ALLOCATIONS!A267,MAPPING!$A$3:$C$302,2,FALSE),"UNMAPPED"))</f>
        <v/>
      </c>
      <c r="B273" s="6">
        <f>IF(ALLOCATIONS!A267="","",IFERROR(VLOOKUP(ALLOCATIONS!A267,MAPPING!$A$3:$C$302,3,FALSE),ALLOCATIONS!A267))</f>
        <v/>
      </c>
      <c r="C273" s="6">
        <f>IF(ALLOCATIONS!A267="","",IFERROR(VLOOKUP(ALLOCATIONS!B267,MAPPING!$E$3:$G$302,2,FALSE),"UNMAPPED"))</f>
        <v/>
      </c>
      <c r="D273" s="6">
        <f>IF(ALLOCATIONS!A267="","",IFERROR(IF(VLOOKUP(ALLOCATIONS!B267,MAPPING!$E$3:$G$302,3,FALSE)="","",VLOOKUP(ALLOCATIONS!B267,MAPPING!$E$3:$G$302,3,FALSE)),""))</f>
        <v/>
      </c>
      <c r="E273" s="6">
        <f>IF(ALLOCATIONS!A267="","",ALLOCATIONS!C267)</f>
        <v/>
      </c>
      <c r="F273" s="6">
        <f>IF(ALLOCATIONS!A267="","",IF(ALLOCATIONS!D267="",0,ALLOCATIONS!D267))</f>
        <v/>
      </c>
      <c r="G273" s="6">
        <f>IF(ALLOCATIONS!A267="","",SUMIFS(RAW_004!$I$2:$I$10001,RAW_004!$D$2:$D$10001,ALLOCATIONS!A267,RAW_004!$H$2:$H$10001,ALLOCATIONS!B267,RAW_004!$N$2:$N$10001,ALLOCATIONS!C267))</f>
        <v/>
      </c>
      <c r="H273" s="6">
        <f>IF(A273="","",G273-F273)</f>
        <v/>
      </c>
    </row>
    <row r="274">
      <c r="A274" s="6">
        <f>IF(ALLOCATIONS!A268="","",IFERROR(VLOOKUP(ALLOCATIONS!A268,MAPPING!$A$3:$C$302,2,FALSE),"UNMAPPED"))</f>
        <v/>
      </c>
      <c r="B274" s="6">
        <f>IF(ALLOCATIONS!A268="","",IFERROR(VLOOKUP(ALLOCATIONS!A268,MAPPING!$A$3:$C$302,3,FALSE),ALLOCATIONS!A268))</f>
        <v/>
      </c>
      <c r="C274" s="6">
        <f>IF(ALLOCATIONS!A268="","",IFERROR(VLOOKUP(ALLOCATIONS!B268,MAPPING!$E$3:$G$302,2,FALSE),"UNMAPPED"))</f>
        <v/>
      </c>
      <c r="D274" s="6">
        <f>IF(ALLOCATIONS!A268="","",IFERROR(IF(VLOOKUP(ALLOCATIONS!B268,MAPPING!$E$3:$G$302,3,FALSE)="","",VLOOKUP(ALLOCATIONS!B268,MAPPING!$E$3:$G$302,3,FALSE)),""))</f>
        <v/>
      </c>
      <c r="E274" s="6">
        <f>IF(ALLOCATIONS!A268="","",ALLOCATIONS!C268)</f>
        <v/>
      </c>
      <c r="F274" s="6">
        <f>IF(ALLOCATIONS!A268="","",IF(ALLOCATIONS!D268="",0,ALLOCATIONS!D268))</f>
        <v/>
      </c>
      <c r="G274" s="6">
        <f>IF(ALLOCATIONS!A268="","",SUMIFS(RAW_004!$I$2:$I$10001,RAW_004!$D$2:$D$10001,ALLOCATIONS!A268,RAW_004!$H$2:$H$10001,ALLOCATIONS!B268,RAW_004!$N$2:$N$10001,ALLOCATIONS!C268))</f>
        <v/>
      </c>
      <c r="H274" s="6">
        <f>IF(A274="","",G274-F274)</f>
        <v/>
      </c>
    </row>
    <row r="275">
      <c r="A275" s="6">
        <f>IF(ALLOCATIONS!A269="","",IFERROR(VLOOKUP(ALLOCATIONS!A269,MAPPING!$A$3:$C$302,2,FALSE),"UNMAPPED"))</f>
        <v/>
      </c>
      <c r="B275" s="6">
        <f>IF(ALLOCATIONS!A269="","",IFERROR(VLOOKUP(ALLOCATIONS!A269,MAPPING!$A$3:$C$302,3,FALSE),ALLOCATIONS!A269))</f>
        <v/>
      </c>
      <c r="C275" s="6">
        <f>IF(ALLOCATIONS!A269="","",IFERROR(VLOOKUP(ALLOCATIONS!B269,MAPPING!$E$3:$G$302,2,FALSE),"UNMAPPED"))</f>
        <v/>
      </c>
      <c r="D275" s="6">
        <f>IF(ALLOCATIONS!A269="","",IFERROR(IF(VLOOKUP(ALLOCATIONS!B269,MAPPING!$E$3:$G$302,3,FALSE)="","",VLOOKUP(ALLOCATIONS!B269,MAPPING!$E$3:$G$302,3,FALSE)),""))</f>
        <v/>
      </c>
      <c r="E275" s="6">
        <f>IF(ALLOCATIONS!A269="","",ALLOCATIONS!C269)</f>
        <v/>
      </c>
      <c r="F275" s="6">
        <f>IF(ALLOCATIONS!A269="","",IF(ALLOCATIONS!D269="",0,ALLOCATIONS!D269))</f>
        <v/>
      </c>
      <c r="G275" s="6">
        <f>IF(ALLOCATIONS!A269="","",SUMIFS(RAW_004!$I$2:$I$10001,RAW_004!$D$2:$D$10001,ALLOCATIONS!A269,RAW_004!$H$2:$H$10001,ALLOCATIONS!B269,RAW_004!$N$2:$N$10001,ALLOCATIONS!C269))</f>
        <v/>
      </c>
      <c r="H275" s="6">
        <f>IF(A275="","",G275-F275)</f>
        <v/>
      </c>
    </row>
    <row r="276">
      <c r="A276" s="6">
        <f>IF(ALLOCATIONS!A270="","",IFERROR(VLOOKUP(ALLOCATIONS!A270,MAPPING!$A$3:$C$302,2,FALSE),"UNMAPPED"))</f>
        <v/>
      </c>
      <c r="B276" s="6">
        <f>IF(ALLOCATIONS!A270="","",IFERROR(VLOOKUP(ALLOCATIONS!A270,MAPPING!$A$3:$C$302,3,FALSE),ALLOCATIONS!A270))</f>
        <v/>
      </c>
      <c r="C276" s="6">
        <f>IF(ALLOCATIONS!A270="","",IFERROR(VLOOKUP(ALLOCATIONS!B270,MAPPING!$E$3:$G$302,2,FALSE),"UNMAPPED"))</f>
        <v/>
      </c>
      <c r="D276" s="6">
        <f>IF(ALLOCATIONS!A270="","",IFERROR(IF(VLOOKUP(ALLOCATIONS!B270,MAPPING!$E$3:$G$302,3,FALSE)="","",VLOOKUP(ALLOCATIONS!B270,MAPPING!$E$3:$G$302,3,FALSE)),""))</f>
        <v/>
      </c>
      <c r="E276" s="6">
        <f>IF(ALLOCATIONS!A270="","",ALLOCATIONS!C270)</f>
        <v/>
      </c>
      <c r="F276" s="6">
        <f>IF(ALLOCATIONS!A270="","",IF(ALLOCATIONS!D270="",0,ALLOCATIONS!D270))</f>
        <v/>
      </c>
      <c r="G276" s="6">
        <f>IF(ALLOCATIONS!A270="","",SUMIFS(RAW_004!$I$2:$I$10001,RAW_004!$D$2:$D$10001,ALLOCATIONS!A270,RAW_004!$H$2:$H$10001,ALLOCATIONS!B270,RAW_004!$N$2:$N$10001,ALLOCATIONS!C270))</f>
        <v/>
      </c>
      <c r="H276" s="6">
        <f>IF(A276="","",G276-F276)</f>
        <v/>
      </c>
    </row>
    <row r="277">
      <c r="A277" s="6">
        <f>IF(ALLOCATIONS!A271="","",IFERROR(VLOOKUP(ALLOCATIONS!A271,MAPPING!$A$3:$C$302,2,FALSE),"UNMAPPED"))</f>
        <v/>
      </c>
      <c r="B277" s="6">
        <f>IF(ALLOCATIONS!A271="","",IFERROR(VLOOKUP(ALLOCATIONS!A271,MAPPING!$A$3:$C$302,3,FALSE),ALLOCATIONS!A271))</f>
        <v/>
      </c>
      <c r="C277" s="6">
        <f>IF(ALLOCATIONS!A271="","",IFERROR(VLOOKUP(ALLOCATIONS!B271,MAPPING!$E$3:$G$302,2,FALSE),"UNMAPPED"))</f>
        <v/>
      </c>
      <c r="D277" s="6">
        <f>IF(ALLOCATIONS!A271="","",IFERROR(IF(VLOOKUP(ALLOCATIONS!B271,MAPPING!$E$3:$G$302,3,FALSE)="","",VLOOKUP(ALLOCATIONS!B271,MAPPING!$E$3:$G$302,3,FALSE)),""))</f>
        <v/>
      </c>
      <c r="E277" s="6">
        <f>IF(ALLOCATIONS!A271="","",ALLOCATIONS!C271)</f>
        <v/>
      </c>
      <c r="F277" s="6">
        <f>IF(ALLOCATIONS!A271="","",IF(ALLOCATIONS!D271="",0,ALLOCATIONS!D271))</f>
        <v/>
      </c>
      <c r="G277" s="6">
        <f>IF(ALLOCATIONS!A271="","",SUMIFS(RAW_004!$I$2:$I$10001,RAW_004!$D$2:$D$10001,ALLOCATIONS!A271,RAW_004!$H$2:$H$10001,ALLOCATIONS!B271,RAW_004!$N$2:$N$10001,ALLOCATIONS!C271))</f>
        <v/>
      </c>
      <c r="H277" s="6">
        <f>IF(A277="","",G277-F277)</f>
        <v/>
      </c>
    </row>
    <row r="278">
      <c r="A278" s="6">
        <f>IF(ALLOCATIONS!A272="","",IFERROR(VLOOKUP(ALLOCATIONS!A272,MAPPING!$A$3:$C$302,2,FALSE),"UNMAPPED"))</f>
        <v/>
      </c>
      <c r="B278" s="6">
        <f>IF(ALLOCATIONS!A272="","",IFERROR(VLOOKUP(ALLOCATIONS!A272,MAPPING!$A$3:$C$302,3,FALSE),ALLOCATIONS!A272))</f>
        <v/>
      </c>
      <c r="C278" s="6">
        <f>IF(ALLOCATIONS!A272="","",IFERROR(VLOOKUP(ALLOCATIONS!B272,MAPPING!$E$3:$G$302,2,FALSE),"UNMAPPED"))</f>
        <v/>
      </c>
      <c r="D278" s="6">
        <f>IF(ALLOCATIONS!A272="","",IFERROR(IF(VLOOKUP(ALLOCATIONS!B272,MAPPING!$E$3:$G$302,3,FALSE)="","",VLOOKUP(ALLOCATIONS!B272,MAPPING!$E$3:$G$302,3,FALSE)),""))</f>
        <v/>
      </c>
      <c r="E278" s="6">
        <f>IF(ALLOCATIONS!A272="","",ALLOCATIONS!C272)</f>
        <v/>
      </c>
      <c r="F278" s="6">
        <f>IF(ALLOCATIONS!A272="","",IF(ALLOCATIONS!D272="",0,ALLOCATIONS!D272))</f>
        <v/>
      </c>
      <c r="G278" s="6">
        <f>IF(ALLOCATIONS!A272="","",SUMIFS(RAW_004!$I$2:$I$10001,RAW_004!$D$2:$D$10001,ALLOCATIONS!A272,RAW_004!$H$2:$H$10001,ALLOCATIONS!B272,RAW_004!$N$2:$N$10001,ALLOCATIONS!C272))</f>
        <v/>
      </c>
      <c r="H278" s="6">
        <f>IF(A278="","",G278-F278)</f>
        <v/>
      </c>
    </row>
    <row r="279">
      <c r="A279" s="6">
        <f>IF(ALLOCATIONS!A273="","",IFERROR(VLOOKUP(ALLOCATIONS!A273,MAPPING!$A$3:$C$302,2,FALSE),"UNMAPPED"))</f>
        <v/>
      </c>
      <c r="B279" s="6">
        <f>IF(ALLOCATIONS!A273="","",IFERROR(VLOOKUP(ALLOCATIONS!A273,MAPPING!$A$3:$C$302,3,FALSE),ALLOCATIONS!A273))</f>
        <v/>
      </c>
      <c r="C279" s="6">
        <f>IF(ALLOCATIONS!A273="","",IFERROR(VLOOKUP(ALLOCATIONS!B273,MAPPING!$E$3:$G$302,2,FALSE),"UNMAPPED"))</f>
        <v/>
      </c>
      <c r="D279" s="6">
        <f>IF(ALLOCATIONS!A273="","",IFERROR(IF(VLOOKUP(ALLOCATIONS!B273,MAPPING!$E$3:$G$302,3,FALSE)="","",VLOOKUP(ALLOCATIONS!B273,MAPPING!$E$3:$G$302,3,FALSE)),""))</f>
        <v/>
      </c>
      <c r="E279" s="6">
        <f>IF(ALLOCATIONS!A273="","",ALLOCATIONS!C273)</f>
        <v/>
      </c>
      <c r="F279" s="6">
        <f>IF(ALLOCATIONS!A273="","",IF(ALLOCATIONS!D273="",0,ALLOCATIONS!D273))</f>
        <v/>
      </c>
      <c r="G279" s="6">
        <f>IF(ALLOCATIONS!A273="","",SUMIFS(RAW_004!$I$2:$I$10001,RAW_004!$D$2:$D$10001,ALLOCATIONS!A273,RAW_004!$H$2:$H$10001,ALLOCATIONS!B273,RAW_004!$N$2:$N$10001,ALLOCATIONS!C273))</f>
        <v/>
      </c>
      <c r="H279" s="6">
        <f>IF(A279="","",G279-F279)</f>
        <v/>
      </c>
    </row>
    <row r="280">
      <c r="A280" s="6">
        <f>IF(ALLOCATIONS!A274="","",IFERROR(VLOOKUP(ALLOCATIONS!A274,MAPPING!$A$3:$C$302,2,FALSE),"UNMAPPED"))</f>
        <v/>
      </c>
      <c r="B280" s="6">
        <f>IF(ALLOCATIONS!A274="","",IFERROR(VLOOKUP(ALLOCATIONS!A274,MAPPING!$A$3:$C$302,3,FALSE),ALLOCATIONS!A274))</f>
        <v/>
      </c>
      <c r="C280" s="6">
        <f>IF(ALLOCATIONS!A274="","",IFERROR(VLOOKUP(ALLOCATIONS!B274,MAPPING!$E$3:$G$302,2,FALSE),"UNMAPPED"))</f>
        <v/>
      </c>
      <c r="D280" s="6">
        <f>IF(ALLOCATIONS!A274="","",IFERROR(IF(VLOOKUP(ALLOCATIONS!B274,MAPPING!$E$3:$G$302,3,FALSE)="","",VLOOKUP(ALLOCATIONS!B274,MAPPING!$E$3:$G$302,3,FALSE)),""))</f>
        <v/>
      </c>
      <c r="E280" s="6">
        <f>IF(ALLOCATIONS!A274="","",ALLOCATIONS!C274)</f>
        <v/>
      </c>
      <c r="F280" s="6">
        <f>IF(ALLOCATIONS!A274="","",IF(ALLOCATIONS!D274="",0,ALLOCATIONS!D274))</f>
        <v/>
      </c>
      <c r="G280" s="6">
        <f>IF(ALLOCATIONS!A274="","",SUMIFS(RAW_004!$I$2:$I$10001,RAW_004!$D$2:$D$10001,ALLOCATIONS!A274,RAW_004!$H$2:$H$10001,ALLOCATIONS!B274,RAW_004!$N$2:$N$10001,ALLOCATIONS!C274))</f>
        <v/>
      </c>
      <c r="H280" s="6">
        <f>IF(A280="","",G280-F280)</f>
        <v/>
      </c>
    </row>
    <row r="281">
      <c r="A281" s="6">
        <f>IF(ALLOCATIONS!A275="","",IFERROR(VLOOKUP(ALLOCATIONS!A275,MAPPING!$A$3:$C$302,2,FALSE),"UNMAPPED"))</f>
        <v/>
      </c>
      <c r="B281" s="6">
        <f>IF(ALLOCATIONS!A275="","",IFERROR(VLOOKUP(ALLOCATIONS!A275,MAPPING!$A$3:$C$302,3,FALSE),ALLOCATIONS!A275))</f>
        <v/>
      </c>
      <c r="C281" s="6">
        <f>IF(ALLOCATIONS!A275="","",IFERROR(VLOOKUP(ALLOCATIONS!B275,MAPPING!$E$3:$G$302,2,FALSE),"UNMAPPED"))</f>
        <v/>
      </c>
      <c r="D281" s="6">
        <f>IF(ALLOCATIONS!A275="","",IFERROR(IF(VLOOKUP(ALLOCATIONS!B275,MAPPING!$E$3:$G$302,3,FALSE)="","",VLOOKUP(ALLOCATIONS!B275,MAPPING!$E$3:$G$302,3,FALSE)),""))</f>
        <v/>
      </c>
      <c r="E281" s="6">
        <f>IF(ALLOCATIONS!A275="","",ALLOCATIONS!C275)</f>
        <v/>
      </c>
      <c r="F281" s="6">
        <f>IF(ALLOCATIONS!A275="","",IF(ALLOCATIONS!D275="",0,ALLOCATIONS!D275))</f>
        <v/>
      </c>
      <c r="G281" s="6">
        <f>IF(ALLOCATIONS!A275="","",SUMIFS(RAW_004!$I$2:$I$10001,RAW_004!$D$2:$D$10001,ALLOCATIONS!A275,RAW_004!$H$2:$H$10001,ALLOCATIONS!B275,RAW_004!$N$2:$N$10001,ALLOCATIONS!C275))</f>
        <v/>
      </c>
      <c r="H281" s="6">
        <f>IF(A281="","",G281-F281)</f>
        <v/>
      </c>
    </row>
    <row r="282">
      <c r="A282" s="6">
        <f>IF(ALLOCATIONS!A276="","",IFERROR(VLOOKUP(ALLOCATIONS!A276,MAPPING!$A$3:$C$302,2,FALSE),"UNMAPPED"))</f>
        <v/>
      </c>
      <c r="B282" s="6">
        <f>IF(ALLOCATIONS!A276="","",IFERROR(VLOOKUP(ALLOCATIONS!A276,MAPPING!$A$3:$C$302,3,FALSE),ALLOCATIONS!A276))</f>
        <v/>
      </c>
      <c r="C282" s="6">
        <f>IF(ALLOCATIONS!A276="","",IFERROR(VLOOKUP(ALLOCATIONS!B276,MAPPING!$E$3:$G$302,2,FALSE),"UNMAPPED"))</f>
        <v/>
      </c>
      <c r="D282" s="6">
        <f>IF(ALLOCATIONS!A276="","",IFERROR(IF(VLOOKUP(ALLOCATIONS!B276,MAPPING!$E$3:$G$302,3,FALSE)="","",VLOOKUP(ALLOCATIONS!B276,MAPPING!$E$3:$G$302,3,FALSE)),""))</f>
        <v/>
      </c>
      <c r="E282" s="6">
        <f>IF(ALLOCATIONS!A276="","",ALLOCATIONS!C276)</f>
        <v/>
      </c>
      <c r="F282" s="6">
        <f>IF(ALLOCATIONS!A276="","",IF(ALLOCATIONS!D276="",0,ALLOCATIONS!D276))</f>
        <v/>
      </c>
      <c r="G282" s="6">
        <f>IF(ALLOCATIONS!A276="","",SUMIFS(RAW_004!$I$2:$I$10001,RAW_004!$D$2:$D$10001,ALLOCATIONS!A276,RAW_004!$H$2:$H$10001,ALLOCATIONS!B276,RAW_004!$N$2:$N$10001,ALLOCATIONS!C276))</f>
        <v/>
      </c>
      <c r="H282" s="6">
        <f>IF(A282="","",G282-F282)</f>
        <v/>
      </c>
    </row>
    <row r="283">
      <c r="A283" s="6">
        <f>IF(ALLOCATIONS!A277="","",IFERROR(VLOOKUP(ALLOCATIONS!A277,MAPPING!$A$3:$C$302,2,FALSE),"UNMAPPED"))</f>
        <v/>
      </c>
      <c r="B283" s="6">
        <f>IF(ALLOCATIONS!A277="","",IFERROR(VLOOKUP(ALLOCATIONS!A277,MAPPING!$A$3:$C$302,3,FALSE),ALLOCATIONS!A277))</f>
        <v/>
      </c>
      <c r="C283" s="6">
        <f>IF(ALLOCATIONS!A277="","",IFERROR(VLOOKUP(ALLOCATIONS!B277,MAPPING!$E$3:$G$302,2,FALSE),"UNMAPPED"))</f>
        <v/>
      </c>
      <c r="D283" s="6">
        <f>IF(ALLOCATIONS!A277="","",IFERROR(IF(VLOOKUP(ALLOCATIONS!B277,MAPPING!$E$3:$G$302,3,FALSE)="","",VLOOKUP(ALLOCATIONS!B277,MAPPING!$E$3:$G$302,3,FALSE)),""))</f>
        <v/>
      </c>
      <c r="E283" s="6">
        <f>IF(ALLOCATIONS!A277="","",ALLOCATIONS!C277)</f>
        <v/>
      </c>
      <c r="F283" s="6">
        <f>IF(ALLOCATIONS!A277="","",IF(ALLOCATIONS!D277="",0,ALLOCATIONS!D277))</f>
        <v/>
      </c>
      <c r="G283" s="6">
        <f>IF(ALLOCATIONS!A277="","",SUMIFS(RAW_004!$I$2:$I$10001,RAW_004!$D$2:$D$10001,ALLOCATIONS!A277,RAW_004!$H$2:$H$10001,ALLOCATIONS!B277,RAW_004!$N$2:$N$10001,ALLOCATIONS!C277))</f>
        <v/>
      </c>
      <c r="H283" s="6">
        <f>IF(A283="","",G283-F283)</f>
        <v/>
      </c>
    </row>
    <row r="284">
      <c r="A284" s="6">
        <f>IF(ALLOCATIONS!A278="","",IFERROR(VLOOKUP(ALLOCATIONS!A278,MAPPING!$A$3:$C$302,2,FALSE),"UNMAPPED"))</f>
        <v/>
      </c>
      <c r="B284" s="6">
        <f>IF(ALLOCATIONS!A278="","",IFERROR(VLOOKUP(ALLOCATIONS!A278,MAPPING!$A$3:$C$302,3,FALSE),ALLOCATIONS!A278))</f>
        <v/>
      </c>
      <c r="C284" s="6">
        <f>IF(ALLOCATIONS!A278="","",IFERROR(VLOOKUP(ALLOCATIONS!B278,MAPPING!$E$3:$G$302,2,FALSE),"UNMAPPED"))</f>
        <v/>
      </c>
      <c r="D284" s="6">
        <f>IF(ALLOCATIONS!A278="","",IFERROR(IF(VLOOKUP(ALLOCATIONS!B278,MAPPING!$E$3:$G$302,3,FALSE)="","",VLOOKUP(ALLOCATIONS!B278,MAPPING!$E$3:$G$302,3,FALSE)),""))</f>
        <v/>
      </c>
      <c r="E284" s="6">
        <f>IF(ALLOCATIONS!A278="","",ALLOCATIONS!C278)</f>
        <v/>
      </c>
      <c r="F284" s="6">
        <f>IF(ALLOCATIONS!A278="","",IF(ALLOCATIONS!D278="",0,ALLOCATIONS!D278))</f>
        <v/>
      </c>
      <c r="G284" s="6">
        <f>IF(ALLOCATIONS!A278="","",SUMIFS(RAW_004!$I$2:$I$10001,RAW_004!$D$2:$D$10001,ALLOCATIONS!A278,RAW_004!$H$2:$H$10001,ALLOCATIONS!B278,RAW_004!$N$2:$N$10001,ALLOCATIONS!C278))</f>
        <v/>
      </c>
      <c r="H284" s="6">
        <f>IF(A284="","",G284-F284)</f>
        <v/>
      </c>
    </row>
    <row r="285">
      <c r="A285" s="6">
        <f>IF(ALLOCATIONS!A279="","",IFERROR(VLOOKUP(ALLOCATIONS!A279,MAPPING!$A$3:$C$302,2,FALSE),"UNMAPPED"))</f>
        <v/>
      </c>
      <c r="B285" s="6">
        <f>IF(ALLOCATIONS!A279="","",IFERROR(VLOOKUP(ALLOCATIONS!A279,MAPPING!$A$3:$C$302,3,FALSE),ALLOCATIONS!A279))</f>
        <v/>
      </c>
      <c r="C285" s="6">
        <f>IF(ALLOCATIONS!A279="","",IFERROR(VLOOKUP(ALLOCATIONS!B279,MAPPING!$E$3:$G$302,2,FALSE),"UNMAPPED"))</f>
        <v/>
      </c>
      <c r="D285" s="6">
        <f>IF(ALLOCATIONS!A279="","",IFERROR(IF(VLOOKUP(ALLOCATIONS!B279,MAPPING!$E$3:$G$302,3,FALSE)="","",VLOOKUP(ALLOCATIONS!B279,MAPPING!$E$3:$G$302,3,FALSE)),""))</f>
        <v/>
      </c>
      <c r="E285" s="6">
        <f>IF(ALLOCATIONS!A279="","",ALLOCATIONS!C279)</f>
        <v/>
      </c>
      <c r="F285" s="6">
        <f>IF(ALLOCATIONS!A279="","",IF(ALLOCATIONS!D279="",0,ALLOCATIONS!D279))</f>
        <v/>
      </c>
      <c r="G285" s="6">
        <f>IF(ALLOCATIONS!A279="","",SUMIFS(RAW_004!$I$2:$I$10001,RAW_004!$D$2:$D$10001,ALLOCATIONS!A279,RAW_004!$H$2:$H$10001,ALLOCATIONS!B279,RAW_004!$N$2:$N$10001,ALLOCATIONS!C279))</f>
        <v/>
      </c>
      <c r="H285" s="6">
        <f>IF(A285="","",G285-F285)</f>
        <v/>
      </c>
    </row>
    <row r="286">
      <c r="A286" s="6">
        <f>IF(ALLOCATIONS!A280="","",IFERROR(VLOOKUP(ALLOCATIONS!A280,MAPPING!$A$3:$C$302,2,FALSE),"UNMAPPED"))</f>
        <v/>
      </c>
      <c r="B286" s="6">
        <f>IF(ALLOCATIONS!A280="","",IFERROR(VLOOKUP(ALLOCATIONS!A280,MAPPING!$A$3:$C$302,3,FALSE),ALLOCATIONS!A280))</f>
        <v/>
      </c>
      <c r="C286" s="6">
        <f>IF(ALLOCATIONS!A280="","",IFERROR(VLOOKUP(ALLOCATIONS!B280,MAPPING!$E$3:$G$302,2,FALSE),"UNMAPPED"))</f>
        <v/>
      </c>
      <c r="D286" s="6">
        <f>IF(ALLOCATIONS!A280="","",IFERROR(IF(VLOOKUP(ALLOCATIONS!B280,MAPPING!$E$3:$G$302,3,FALSE)="","",VLOOKUP(ALLOCATIONS!B280,MAPPING!$E$3:$G$302,3,FALSE)),""))</f>
        <v/>
      </c>
      <c r="E286" s="6">
        <f>IF(ALLOCATIONS!A280="","",ALLOCATIONS!C280)</f>
        <v/>
      </c>
      <c r="F286" s="6">
        <f>IF(ALLOCATIONS!A280="","",IF(ALLOCATIONS!D280="",0,ALLOCATIONS!D280))</f>
        <v/>
      </c>
      <c r="G286" s="6">
        <f>IF(ALLOCATIONS!A280="","",SUMIFS(RAW_004!$I$2:$I$10001,RAW_004!$D$2:$D$10001,ALLOCATIONS!A280,RAW_004!$H$2:$H$10001,ALLOCATIONS!B280,RAW_004!$N$2:$N$10001,ALLOCATIONS!C280))</f>
        <v/>
      </c>
      <c r="H286" s="6">
        <f>IF(A286="","",G286-F286)</f>
        <v/>
      </c>
    </row>
    <row r="287">
      <c r="A287" s="6">
        <f>IF(ALLOCATIONS!A281="","",IFERROR(VLOOKUP(ALLOCATIONS!A281,MAPPING!$A$3:$C$302,2,FALSE),"UNMAPPED"))</f>
        <v/>
      </c>
      <c r="B287" s="6">
        <f>IF(ALLOCATIONS!A281="","",IFERROR(VLOOKUP(ALLOCATIONS!A281,MAPPING!$A$3:$C$302,3,FALSE),ALLOCATIONS!A281))</f>
        <v/>
      </c>
      <c r="C287" s="6">
        <f>IF(ALLOCATIONS!A281="","",IFERROR(VLOOKUP(ALLOCATIONS!B281,MAPPING!$E$3:$G$302,2,FALSE),"UNMAPPED"))</f>
        <v/>
      </c>
      <c r="D287" s="6">
        <f>IF(ALLOCATIONS!A281="","",IFERROR(IF(VLOOKUP(ALLOCATIONS!B281,MAPPING!$E$3:$G$302,3,FALSE)="","",VLOOKUP(ALLOCATIONS!B281,MAPPING!$E$3:$G$302,3,FALSE)),""))</f>
        <v/>
      </c>
      <c r="E287" s="6">
        <f>IF(ALLOCATIONS!A281="","",ALLOCATIONS!C281)</f>
        <v/>
      </c>
      <c r="F287" s="6">
        <f>IF(ALLOCATIONS!A281="","",IF(ALLOCATIONS!D281="",0,ALLOCATIONS!D281))</f>
        <v/>
      </c>
      <c r="G287" s="6">
        <f>IF(ALLOCATIONS!A281="","",SUMIFS(RAW_004!$I$2:$I$10001,RAW_004!$D$2:$D$10001,ALLOCATIONS!A281,RAW_004!$H$2:$H$10001,ALLOCATIONS!B281,RAW_004!$N$2:$N$10001,ALLOCATIONS!C281))</f>
        <v/>
      </c>
      <c r="H287" s="6">
        <f>IF(A287="","",G287-F287)</f>
        <v/>
      </c>
    </row>
    <row r="288">
      <c r="A288" s="6">
        <f>IF(ALLOCATIONS!A282="","",IFERROR(VLOOKUP(ALLOCATIONS!A282,MAPPING!$A$3:$C$302,2,FALSE),"UNMAPPED"))</f>
        <v/>
      </c>
      <c r="B288" s="6">
        <f>IF(ALLOCATIONS!A282="","",IFERROR(VLOOKUP(ALLOCATIONS!A282,MAPPING!$A$3:$C$302,3,FALSE),ALLOCATIONS!A282))</f>
        <v/>
      </c>
      <c r="C288" s="6">
        <f>IF(ALLOCATIONS!A282="","",IFERROR(VLOOKUP(ALLOCATIONS!B282,MAPPING!$E$3:$G$302,2,FALSE),"UNMAPPED"))</f>
        <v/>
      </c>
      <c r="D288" s="6">
        <f>IF(ALLOCATIONS!A282="","",IFERROR(IF(VLOOKUP(ALLOCATIONS!B282,MAPPING!$E$3:$G$302,3,FALSE)="","",VLOOKUP(ALLOCATIONS!B282,MAPPING!$E$3:$G$302,3,FALSE)),""))</f>
        <v/>
      </c>
      <c r="E288" s="6">
        <f>IF(ALLOCATIONS!A282="","",ALLOCATIONS!C282)</f>
        <v/>
      </c>
      <c r="F288" s="6">
        <f>IF(ALLOCATIONS!A282="","",IF(ALLOCATIONS!D282="",0,ALLOCATIONS!D282))</f>
        <v/>
      </c>
      <c r="G288" s="6">
        <f>IF(ALLOCATIONS!A282="","",SUMIFS(RAW_004!$I$2:$I$10001,RAW_004!$D$2:$D$10001,ALLOCATIONS!A282,RAW_004!$H$2:$H$10001,ALLOCATIONS!B282,RAW_004!$N$2:$N$10001,ALLOCATIONS!C282))</f>
        <v/>
      </c>
      <c r="H288" s="6">
        <f>IF(A288="","",G288-F288)</f>
        <v/>
      </c>
    </row>
    <row r="289">
      <c r="A289" s="6">
        <f>IF(ALLOCATIONS!A283="","",IFERROR(VLOOKUP(ALLOCATIONS!A283,MAPPING!$A$3:$C$302,2,FALSE),"UNMAPPED"))</f>
        <v/>
      </c>
      <c r="B289" s="6">
        <f>IF(ALLOCATIONS!A283="","",IFERROR(VLOOKUP(ALLOCATIONS!A283,MAPPING!$A$3:$C$302,3,FALSE),ALLOCATIONS!A283))</f>
        <v/>
      </c>
      <c r="C289" s="6">
        <f>IF(ALLOCATIONS!A283="","",IFERROR(VLOOKUP(ALLOCATIONS!B283,MAPPING!$E$3:$G$302,2,FALSE),"UNMAPPED"))</f>
        <v/>
      </c>
      <c r="D289" s="6">
        <f>IF(ALLOCATIONS!A283="","",IFERROR(IF(VLOOKUP(ALLOCATIONS!B283,MAPPING!$E$3:$G$302,3,FALSE)="","",VLOOKUP(ALLOCATIONS!B283,MAPPING!$E$3:$G$302,3,FALSE)),""))</f>
        <v/>
      </c>
      <c r="E289" s="6">
        <f>IF(ALLOCATIONS!A283="","",ALLOCATIONS!C283)</f>
        <v/>
      </c>
      <c r="F289" s="6">
        <f>IF(ALLOCATIONS!A283="","",IF(ALLOCATIONS!D283="",0,ALLOCATIONS!D283))</f>
        <v/>
      </c>
      <c r="G289" s="6">
        <f>IF(ALLOCATIONS!A283="","",SUMIFS(RAW_004!$I$2:$I$10001,RAW_004!$D$2:$D$10001,ALLOCATIONS!A283,RAW_004!$H$2:$H$10001,ALLOCATIONS!B283,RAW_004!$N$2:$N$10001,ALLOCATIONS!C283))</f>
        <v/>
      </c>
      <c r="H289" s="6">
        <f>IF(A289="","",G289-F289)</f>
        <v/>
      </c>
    </row>
    <row r="290">
      <c r="A290" s="6">
        <f>IF(ALLOCATIONS!A284="","",IFERROR(VLOOKUP(ALLOCATIONS!A284,MAPPING!$A$3:$C$302,2,FALSE),"UNMAPPED"))</f>
        <v/>
      </c>
      <c r="B290" s="6">
        <f>IF(ALLOCATIONS!A284="","",IFERROR(VLOOKUP(ALLOCATIONS!A284,MAPPING!$A$3:$C$302,3,FALSE),ALLOCATIONS!A284))</f>
        <v/>
      </c>
      <c r="C290" s="6">
        <f>IF(ALLOCATIONS!A284="","",IFERROR(VLOOKUP(ALLOCATIONS!B284,MAPPING!$E$3:$G$302,2,FALSE),"UNMAPPED"))</f>
        <v/>
      </c>
      <c r="D290" s="6">
        <f>IF(ALLOCATIONS!A284="","",IFERROR(IF(VLOOKUP(ALLOCATIONS!B284,MAPPING!$E$3:$G$302,3,FALSE)="","",VLOOKUP(ALLOCATIONS!B284,MAPPING!$E$3:$G$302,3,FALSE)),""))</f>
        <v/>
      </c>
      <c r="E290" s="6">
        <f>IF(ALLOCATIONS!A284="","",ALLOCATIONS!C284)</f>
        <v/>
      </c>
      <c r="F290" s="6">
        <f>IF(ALLOCATIONS!A284="","",IF(ALLOCATIONS!D284="",0,ALLOCATIONS!D284))</f>
        <v/>
      </c>
      <c r="G290" s="6">
        <f>IF(ALLOCATIONS!A284="","",SUMIFS(RAW_004!$I$2:$I$10001,RAW_004!$D$2:$D$10001,ALLOCATIONS!A284,RAW_004!$H$2:$H$10001,ALLOCATIONS!B284,RAW_004!$N$2:$N$10001,ALLOCATIONS!C284))</f>
        <v/>
      </c>
      <c r="H290" s="6">
        <f>IF(A290="","",G290-F290)</f>
        <v/>
      </c>
    </row>
    <row r="291">
      <c r="A291" s="6">
        <f>IF(ALLOCATIONS!A285="","",IFERROR(VLOOKUP(ALLOCATIONS!A285,MAPPING!$A$3:$C$302,2,FALSE),"UNMAPPED"))</f>
        <v/>
      </c>
      <c r="B291" s="6">
        <f>IF(ALLOCATIONS!A285="","",IFERROR(VLOOKUP(ALLOCATIONS!A285,MAPPING!$A$3:$C$302,3,FALSE),ALLOCATIONS!A285))</f>
        <v/>
      </c>
      <c r="C291" s="6">
        <f>IF(ALLOCATIONS!A285="","",IFERROR(VLOOKUP(ALLOCATIONS!B285,MAPPING!$E$3:$G$302,2,FALSE),"UNMAPPED"))</f>
        <v/>
      </c>
      <c r="D291" s="6">
        <f>IF(ALLOCATIONS!A285="","",IFERROR(IF(VLOOKUP(ALLOCATIONS!B285,MAPPING!$E$3:$G$302,3,FALSE)="","",VLOOKUP(ALLOCATIONS!B285,MAPPING!$E$3:$G$302,3,FALSE)),""))</f>
        <v/>
      </c>
      <c r="E291" s="6">
        <f>IF(ALLOCATIONS!A285="","",ALLOCATIONS!C285)</f>
        <v/>
      </c>
      <c r="F291" s="6">
        <f>IF(ALLOCATIONS!A285="","",IF(ALLOCATIONS!D285="",0,ALLOCATIONS!D285))</f>
        <v/>
      </c>
      <c r="G291" s="6">
        <f>IF(ALLOCATIONS!A285="","",SUMIFS(RAW_004!$I$2:$I$10001,RAW_004!$D$2:$D$10001,ALLOCATIONS!A285,RAW_004!$H$2:$H$10001,ALLOCATIONS!B285,RAW_004!$N$2:$N$10001,ALLOCATIONS!C285))</f>
        <v/>
      </c>
      <c r="H291" s="6">
        <f>IF(A291="","",G291-F291)</f>
        <v/>
      </c>
    </row>
    <row r="292">
      <c r="A292" s="6">
        <f>IF(ALLOCATIONS!A286="","",IFERROR(VLOOKUP(ALLOCATIONS!A286,MAPPING!$A$3:$C$302,2,FALSE),"UNMAPPED"))</f>
        <v/>
      </c>
      <c r="B292" s="6">
        <f>IF(ALLOCATIONS!A286="","",IFERROR(VLOOKUP(ALLOCATIONS!A286,MAPPING!$A$3:$C$302,3,FALSE),ALLOCATIONS!A286))</f>
        <v/>
      </c>
      <c r="C292" s="6">
        <f>IF(ALLOCATIONS!A286="","",IFERROR(VLOOKUP(ALLOCATIONS!B286,MAPPING!$E$3:$G$302,2,FALSE),"UNMAPPED"))</f>
        <v/>
      </c>
      <c r="D292" s="6">
        <f>IF(ALLOCATIONS!A286="","",IFERROR(IF(VLOOKUP(ALLOCATIONS!B286,MAPPING!$E$3:$G$302,3,FALSE)="","",VLOOKUP(ALLOCATIONS!B286,MAPPING!$E$3:$G$302,3,FALSE)),""))</f>
        <v/>
      </c>
      <c r="E292" s="6">
        <f>IF(ALLOCATIONS!A286="","",ALLOCATIONS!C286)</f>
        <v/>
      </c>
      <c r="F292" s="6">
        <f>IF(ALLOCATIONS!A286="","",IF(ALLOCATIONS!D286="",0,ALLOCATIONS!D286))</f>
        <v/>
      </c>
      <c r="G292" s="6">
        <f>IF(ALLOCATIONS!A286="","",SUMIFS(RAW_004!$I$2:$I$10001,RAW_004!$D$2:$D$10001,ALLOCATIONS!A286,RAW_004!$H$2:$H$10001,ALLOCATIONS!B286,RAW_004!$N$2:$N$10001,ALLOCATIONS!C286))</f>
        <v/>
      </c>
      <c r="H292" s="6">
        <f>IF(A292="","",G292-F292)</f>
        <v/>
      </c>
    </row>
    <row r="293">
      <c r="A293" s="6">
        <f>IF(ALLOCATIONS!A287="","",IFERROR(VLOOKUP(ALLOCATIONS!A287,MAPPING!$A$3:$C$302,2,FALSE),"UNMAPPED"))</f>
        <v/>
      </c>
      <c r="B293" s="6">
        <f>IF(ALLOCATIONS!A287="","",IFERROR(VLOOKUP(ALLOCATIONS!A287,MAPPING!$A$3:$C$302,3,FALSE),ALLOCATIONS!A287))</f>
        <v/>
      </c>
      <c r="C293" s="6">
        <f>IF(ALLOCATIONS!A287="","",IFERROR(VLOOKUP(ALLOCATIONS!B287,MAPPING!$E$3:$G$302,2,FALSE),"UNMAPPED"))</f>
        <v/>
      </c>
      <c r="D293" s="6">
        <f>IF(ALLOCATIONS!A287="","",IFERROR(IF(VLOOKUP(ALLOCATIONS!B287,MAPPING!$E$3:$G$302,3,FALSE)="","",VLOOKUP(ALLOCATIONS!B287,MAPPING!$E$3:$G$302,3,FALSE)),""))</f>
        <v/>
      </c>
      <c r="E293" s="6">
        <f>IF(ALLOCATIONS!A287="","",ALLOCATIONS!C287)</f>
        <v/>
      </c>
      <c r="F293" s="6">
        <f>IF(ALLOCATIONS!A287="","",IF(ALLOCATIONS!D287="",0,ALLOCATIONS!D287))</f>
        <v/>
      </c>
      <c r="G293" s="6">
        <f>IF(ALLOCATIONS!A287="","",SUMIFS(RAW_004!$I$2:$I$10001,RAW_004!$D$2:$D$10001,ALLOCATIONS!A287,RAW_004!$H$2:$H$10001,ALLOCATIONS!B287,RAW_004!$N$2:$N$10001,ALLOCATIONS!C287))</f>
        <v/>
      </c>
      <c r="H293" s="6">
        <f>IF(A293="","",G293-F293)</f>
        <v/>
      </c>
    </row>
    <row r="294">
      <c r="A294" s="6">
        <f>IF(ALLOCATIONS!A288="","",IFERROR(VLOOKUP(ALLOCATIONS!A288,MAPPING!$A$3:$C$302,2,FALSE),"UNMAPPED"))</f>
        <v/>
      </c>
      <c r="B294" s="6">
        <f>IF(ALLOCATIONS!A288="","",IFERROR(VLOOKUP(ALLOCATIONS!A288,MAPPING!$A$3:$C$302,3,FALSE),ALLOCATIONS!A288))</f>
        <v/>
      </c>
      <c r="C294" s="6">
        <f>IF(ALLOCATIONS!A288="","",IFERROR(VLOOKUP(ALLOCATIONS!B288,MAPPING!$E$3:$G$302,2,FALSE),"UNMAPPED"))</f>
        <v/>
      </c>
      <c r="D294" s="6">
        <f>IF(ALLOCATIONS!A288="","",IFERROR(IF(VLOOKUP(ALLOCATIONS!B288,MAPPING!$E$3:$G$302,3,FALSE)="","",VLOOKUP(ALLOCATIONS!B288,MAPPING!$E$3:$G$302,3,FALSE)),""))</f>
        <v/>
      </c>
      <c r="E294" s="6">
        <f>IF(ALLOCATIONS!A288="","",ALLOCATIONS!C288)</f>
        <v/>
      </c>
      <c r="F294" s="6">
        <f>IF(ALLOCATIONS!A288="","",IF(ALLOCATIONS!D288="",0,ALLOCATIONS!D288))</f>
        <v/>
      </c>
      <c r="G294" s="6">
        <f>IF(ALLOCATIONS!A288="","",SUMIFS(RAW_004!$I$2:$I$10001,RAW_004!$D$2:$D$10001,ALLOCATIONS!A288,RAW_004!$H$2:$H$10001,ALLOCATIONS!B288,RAW_004!$N$2:$N$10001,ALLOCATIONS!C288))</f>
        <v/>
      </c>
      <c r="H294" s="6">
        <f>IF(A294="","",G294-F294)</f>
        <v/>
      </c>
    </row>
    <row r="295">
      <c r="A295" s="6">
        <f>IF(ALLOCATIONS!A289="","",IFERROR(VLOOKUP(ALLOCATIONS!A289,MAPPING!$A$3:$C$302,2,FALSE),"UNMAPPED"))</f>
        <v/>
      </c>
      <c r="B295" s="6">
        <f>IF(ALLOCATIONS!A289="","",IFERROR(VLOOKUP(ALLOCATIONS!A289,MAPPING!$A$3:$C$302,3,FALSE),ALLOCATIONS!A289))</f>
        <v/>
      </c>
      <c r="C295" s="6">
        <f>IF(ALLOCATIONS!A289="","",IFERROR(VLOOKUP(ALLOCATIONS!B289,MAPPING!$E$3:$G$302,2,FALSE),"UNMAPPED"))</f>
        <v/>
      </c>
      <c r="D295" s="6">
        <f>IF(ALLOCATIONS!A289="","",IFERROR(IF(VLOOKUP(ALLOCATIONS!B289,MAPPING!$E$3:$G$302,3,FALSE)="","",VLOOKUP(ALLOCATIONS!B289,MAPPING!$E$3:$G$302,3,FALSE)),""))</f>
        <v/>
      </c>
      <c r="E295" s="6">
        <f>IF(ALLOCATIONS!A289="","",ALLOCATIONS!C289)</f>
        <v/>
      </c>
      <c r="F295" s="6">
        <f>IF(ALLOCATIONS!A289="","",IF(ALLOCATIONS!D289="",0,ALLOCATIONS!D289))</f>
        <v/>
      </c>
      <c r="G295" s="6">
        <f>IF(ALLOCATIONS!A289="","",SUMIFS(RAW_004!$I$2:$I$10001,RAW_004!$D$2:$D$10001,ALLOCATIONS!A289,RAW_004!$H$2:$H$10001,ALLOCATIONS!B289,RAW_004!$N$2:$N$10001,ALLOCATIONS!C289))</f>
        <v/>
      </c>
      <c r="H295" s="6">
        <f>IF(A295="","",G295-F295)</f>
        <v/>
      </c>
    </row>
    <row r="296">
      <c r="A296" s="6">
        <f>IF(ALLOCATIONS!A290="","",IFERROR(VLOOKUP(ALLOCATIONS!A290,MAPPING!$A$3:$C$302,2,FALSE),"UNMAPPED"))</f>
        <v/>
      </c>
      <c r="B296" s="6">
        <f>IF(ALLOCATIONS!A290="","",IFERROR(VLOOKUP(ALLOCATIONS!A290,MAPPING!$A$3:$C$302,3,FALSE),ALLOCATIONS!A290))</f>
        <v/>
      </c>
      <c r="C296" s="6">
        <f>IF(ALLOCATIONS!A290="","",IFERROR(VLOOKUP(ALLOCATIONS!B290,MAPPING!$E$3:$G$302,2,FALSE),"UNMAPPED"))</f>
        <v/>
      </c>
      <c r="D296" s="6">
        <f>IF(ALLOCATIONS!A290="","",IFERROR(IF(VLOOKUP(ALLOCATIONS!B290,MAPPING!$E$3:$G$302,3,FALSE)="","",VLOOKUP(ALLOCATIONS!B290,MAPPING!$E$3:$G$302,3,FALSE)),""))</f>
        <v/>
      </c>
      <c r="E296" s="6">
        <f>IF(ALLOCATIONS!A290="","",ALLOCATIONS!C290)</f>
        <v/>
      </c>
      <c r="F296" s="6">
        <f>IF(ALLOCATIONS!A290="","",IF(ALLOCATIONS!D290="",0,ALLOCATIONS!D290))</f>
        <v/>
      </c>
      <c r="G296" s="6">
        <f>IF(ALLOCATIONS!A290="","",SUMIFS(RAW_004!$I$2:$I$10001,RAW_004!$D$2:$D$10001,ALLOCATIONS!A290,RAW_004!$H$2:$H$10001,ALLOCATIONS!B290,RAW_004!$N$2:$N$10001,ALLOCATIONS!C290))</f>
        <v/>
      </c>
      <c r="H296" s="6">
        <f>IF(A296="","",G296-F296)</f>
        <v/>
      </c>
    </row>
    <row r="297">
      <c r="A297" s="6">
        <f>IF(ALLOCATIONS!A291="","",IFERROR(VLOOKUP(ALLOCATIONS!A291,MAPPING!$A$3:$C$302,2,FALSE),"UNMAPPED"))</f>
        <v/>
      </c>
      <c r="B297" s="6">
        <f>IF(ALLOCATIONS!A291="","",IFERROR(VLOOKUP(ALLOCATIONS!A291,MAPPING!$A$3:$C$302,3,FALSE),ALLOCATIONS!A291))</f>
        <v/>
      </c>
      <c r="C297" s="6">
        <f>IF(ALLOCATIONS!A291="","",IFERROR(VLOOKUP(ALLOCATIONS!B291,MAPPING!$E$3:$G$302,2,FALSE),"UNMAPPED"))</f>
        <v/>
      </c>
      <c r="D297" s="6">
        <f>IF(ALLOCATIONS!A291="","",IFERROR(IF(VLOOKUP(ALLOCATIONS!B291,MAPPING!$E$3:$G$302,3,FALSE)="","",VLOOKUP(ALLOCATIONS!B291,MAPPING!$E$3:$G$302,3,FALSE)),""))</f>
        <v/>
      </c>
      <c r="E297" s="6">
        <f>IF(ALLOCATIONS!A291="","",ALLOCATIONS!C291)</f>
        <v/>
      </c>
      <c r="F297" s="6">
        <f>IF(ALLOCATIONS!A291="","",IF(ALLOCATIONS!D291="",0,ALLOCATIONS!D291))</f>
        <v/>
      </c>
      <c r="G297" s="6">
        <f>IF(ALLOCATIONS!A291="","",SUMIFS(RAW_004!$I$2:$I$10001,RAW_004!$D$2:$D$10001,ALLOCATIONS!A291,RAW_004!$H$2:$H$10001,ALLOCATIONS!B291,RAW_004!$N$2:$N$10001,ALLOCATIONS!C291))</f>
        <v/>
      </c>
      <c r="H297" s="6">
        <f>IF(A297="","",G297-F297)</f>
        <v/>
      </c>
    </row>
    <row r="298">
      <c r="A298" s="6">
        <f>IF(ALLOCATIONS!A292="","",IFERROR(VLOOKUP(ALLOCATIONS!A292,MAPPING!$A$3:$C$302,2,FALSE),"UNMAPPED"))</f>
        <v/>
      </c>
      <c r="B298" s="6">
        <f>IF(ALLOCATIONS!A292="","",IFERROR(VLOOKUP(ALLOCATIONS!A292,MAPPING!$A$3:$C$302,3,FALSE),ALLOCATIONS!A292))</f>
        <v/>
      </c>
      <c r="C298" s="6">
        <f>IF(ALLOCATIONS!A292="","",IFERROR(VLOOKUP(ALLOCATIONS!B292,MAPPING!$E$3:$G$302,2,FALSE),"UNMAPPED"))</f>
        <v/>
      </c>
      <c r="D298" s="6">
        <f>IF(ALLOCATIONS!A292="","",IFERROR(IF(VLOOKUP(ALLOCATIONS!B292,MAPPING!$E$3:$G$302,3,FALSE)="","",VLOOKUP(ALLOCATIONS!B292,MAPPING!$E$3:$G$302,3,FALSE)),""))</f>
        <v/>
      </c>
      <c r="E298" s="6">
        <f>IF(ALLOCATIONS!A292="","",ALLOCATIONS!C292)</f>
        <v/>
      </c>
      <c r="F298" s="6">
        <f>IF(ALLOCATIONS!A292="","",IF(ALLOCATIONS!D292="",0,ALLOCATIONS!D292))</f>
        <v/>
      </c>
      <c r="G298" s="6">
        <f>IF(ALLOCATIONS!A292="","",SUMIFS(RAW_004!$I$2:$I$10001,RAW_004!$D$2:$D$10001,ALLOCATIONS!A292,RAW_004!$H$2:$H$10001,ALLOCATIONS!B292,RAW_004!$N$2:$N$10001,ALLOCATIONS!C292))</f>
        <v/>
      </c>
      <c r="H298" s="6">
        <f>IF(A298="","",G298-F298)</f>
        <v/>
      </c>
    </row>
    <row r="299">
      <c r="A299" s="6">
        <f>IF(ALLOCATIONS!A293="","",IFERROR(VLOOKUP(ALLOCATIONS!A293,MAPPING!$A$3:$C$302,2,FALSE),"UNMAPPED"))</f>
        <v/>
      </c>
      <c r="B299" s="6">
        <f>IF(ALLOCATIONS!A293="","",IFERROR(VLOOKUP(ALLOCATIONS!A293,MAPPING!$A$3:$C$302,3,FALSE),ALLOCATIONS!A293))</f>
        <v/>
      </c>
      <c r="C299" s="6">
        <f>IF(ALLOCATIONS!A293="","",IFERROR(VLOOKUP(ALLOCATIONS!B293,MAPPING!$E$3:$G$302,2,FALSE),"UNMAPPED"))</f>
        <v/>
      </c>
      <c r="D299" s="6">
        <f>IF(ALLOCATIONS!A293="","",IFERROR(IF(VLOOKUP(ALLOCATIONS!B293,MAPPING!$E$3:$G$302,3,FALSE)="","",VLOOKUP(ALLOCATIONS!B293,MAPPING!$E$3:$G$302,3,FALSE)),""))</f>
        <v/>
      </c>
      <c r="E299" s="6">
        <f>IF(ALLOCATIONS!A293="","",ALLOCATIONS!C293)</f>
        <v/>
      </c>
      <c r="F299" s="6">
        <f>IF(ALLOCATIONS!A293="","",IF(ALLOCATIONS!D293="",0,ALLOCATIONS!D293))</f>
        <v/>
      </c>
      <c r="G299" s="6">
        <f>IF(ALLOCATIONS!A293="","",SUMIFS(RAW_004!$I$2:$I$10001,RAW_004!$D$2:$D$10001,ALLOCATIONS!A293,RAW_004!$H$2:$H$10001,ALLOCATIONS!B293,RAW_004!$N$2:$N$10001,ALLOCATIONS!C293))</f>
        <v/>
      </c>
      <c r="H299" s="6">
        <f>IF(A299="","",G299-F299)</f>
        <v/>
      </c>
    </row>
    <row r="300">
      <c r="A300" s="6">
        <f>IF(ALLOCATIONS!A294="","",IFERROR(VLOOKUP(ALLOCATIONS!A294,MAPPING!$A$3:$C$302,2,FALSE),"UNMAPPED"))</f>
        <v/>
      </c>
      <c r="B300" s="6">
        <f>IF(ALLOCATIONS!A294="","",IFERROR(VLOOKUP(ALLOCATIONS!A294,MAPPING!$A$3:$C$302,3,FALSE),ALLOCATIONS!A294))</f>
        <v/>
      </c>
      <c r="C300" s="6">
        <f>IF(ALLOCATIONS!A294="","",IFERROR(VLOOKUP(ALLOCATIONS!B294,MAPPING!$E$3:$G$302,2,FALSE),"UNMAPPED"))</f>
        <v/>
      </c>
      <c r="D300" s="6">
        <f>IF(ALLOCATIONS!A294="","",IFERROR(IF(VLOOKUP(ALLOCATIONS!B294,MAPPING!$E$3:$G$302,3,FALSE)="","",VLOOKUP(ALLOCATIONS!B294,MAPPING!$E$3:$G$302,3,FALSE)),""))</f>
        <v/>
      </c>
      <c r="E300" s="6">
        <f>IF(ALLOCATIONS!A294="","",ALLOCATIONS!C294)</f>
        <v/>
      </c>
      <c r="F300" s="6">
        <f>IF(ALLOCATIONS!A294="","",IF(ALLOCATIONS!D294="",0,ALLOCATIONS!D294))</f>
        <v/>
      </c>
      <c r="G300" s="6">
        <f>IF(ALLOCATIONS!A294="","",SUMIFS(RAW_004!$I$2:$I$10001,RAW_004!$D$2:$D$10001,ALLOCATIONS!A294,RAW_004!$H$2:$H$10001,ALLOCATIONS!B294,RAW_004!$N$2:$N$10001,ALLOCATIONS!C294))</f>
        <v/>
      </c>
      <c r="H300" s="6">
        <f>IF(A300="","",G300-F300)</f>
        <v/>
      </c>
    </row>
    <row r="301">
      <c r="A301" s="6">
        <f>IF(ALLOCATIONS!A295="","",IFERROR(VLOOKUP(ALLOCATIONS!A295,MAPPING!$A$3:$C$302,2,FALSE),"UNMAPPED"))</f>
        <v/>
      </c>
      <c r="B301" s="6">
        <f>IF(ALLOCATIONS!A295="","",IFERROR(VLOOKUP(ALLOCATIONS!A295,MAPPING!$A$3:$C$302,3,FALSE),ALLOCATIONS!A295))</f>
        <v/>
      </c>
      <c r="C301" s="6">
        <f>IF(ALLOCATIONS!A295="","",IFERROR(VLOOKUP(ALLOCATIONS!B295,MAPPING!$E$3:$G$302,2,FALSE),"UNMAPPED"))</f>
        <v/>
      </c>
      <c r="D301" s="6">
        <f>IF(ALLOCATIONS!A295="","",IFERROR(IF(VLOOKUP(ALLOCATIONS!B295,MAPPING!$E$3:$G$302,3,FALSE)="","",VLOOKUP(ALLOCATIONS!B295,MAPPING!$E$3:$G$302,3,FALSE)),""))</f>
        <v/>
      </c>
      <c r="E301" s="6">
        <f>IF(ALLOCATIONS!A295="","",ALLOCATIONS!C295)</f>
        <v/>
      </c>
      <c r="F301" s="6">
        <f>IF(ALLOCATIONS!A295="","",IF(ALLOCATIONS!D295="",0,ALLOCATIONS!D295))</f>
        <v/>
      </c>
      <c r="G301" s="6">
        <f>IF(ALLOCATIONS!A295="","",SUMIFS(RAW_004!$I$2:$I$10001,RAW_004!$D$2:$D$10001,ALLOCATIONS!A295,RAW_004!$H$2:$H$10001,ALLOCATIONS!B295,RAW_004!$N$2:$N$10001,ALLOCATIONS!C295))</f>
        <v/>
      </c>
      <c r="H301" s="6">
        <f>IF(A301="","",G301-F301)</f>
        <v/>
      </c>
    </row>
    <row r="302">
      <c r="A302" s="6">
        <f>IF(ALLOCATIONS!A296="","",IFERROR(VLOOKUP(ALLOCATIONS!A296,MAPPING!$A$3:$C$302,2,FALSE),"UNMAPPED"))</f>
        <v/>
      </c>
      <c r="B302" s="6">
        <f>IF(ALLOCATIONS!A296="","",IFERROR(VLOOKUP(ALLOCATIONS!A296,MAPPING!$A$3:$C$302,3,FALSE),ALLOCATIONS!A296))</f>
        <v/>
      </c>
      <c r="C302" s="6">
        <f>IF(ALLOCATIONS!A296="","",IFERROR(VLOOKUP(ALLOCATIONS!B296,MAPPING!$E$3:$G$302,2,FALSE),"UNMAPPED"))</f>
        <v/>
      </c>
      <c r="D302" s="6">
        <f>IF(ALLOCATIONS!A296="","",IFERROR(IF(VLOOKUP(ALLOCATIONS!B296,MAPPING!$E$3:$G$302,3,FALSE)="","",VLOOKUP(ALLOCATIONS!B296,MAPPING!$E$3:$G$302,3,FALSE)),""))</f>
        <v/>
      </c>
      <c r="E302" s="6">
        <f>IF(ALLOCATIONS!A296="","",ALLOCATIONS!C296)</f>
        <v/>
      </c>
      <c r="F302" s="6">
        <f>IF(ALLOCATIONS!A296="","",IF(ALLOCATIONS!D296="",0,ALLOCATIONS!D296))</f>
        <v/>
      </c>
      <c r="G302" s="6">
        <f>IF(ALLOCATIONS!A296="","",SUMIFS(RAW_004!$I$2:$I$10001,RAW_004!$D$2:$D$10001,ALLOCATIONS!A296,RAW_004!$H$2:$H$10001,ALLOCATIONS!B296,RAW_004!$N$2:$N$10001,ALLOCATIONS!C296))</f>
        <v/>
      </c>
      <c r="H302" s="6">
        <f>IF(A302="","",G302-F302)</f>
        <v/>
      </c>
    </row>
    <row r="303">
      <c r="A303" s="6">
        <f>IF(ALLOCATIONS!A297="","",IFERROR(VLOOKUP(ALLOCATIONS!A297,MAPPING!$A$3:$C$302,2,FALSE),"UNMAPPED"))</f>
        <v/>
      </c>
      <c r="B303" s="6">
        <f>IF(ALLOCATIONS!A297="","",IFERROR(VLOOKUP(ALLOCATIONS!A297,MAPPING!$A$3:$C$302,3,FALSE),ALLOCATIONS!A297))</f>
        <v/>
      </c>
      <c r="C303" s="6">
        <f>IF(ALLOCATIONS!A297="","",IFERROR(VLOOKUP(ALLOCATIONS!B297,MAPPING!$E$3:$G$302,2,FALSE),"UNMAPPED"))</f>
        <v/>
      </c>
      <c r="D303" s="6">
        <f>IF(ALLOCATIONS!A297="","",IFERROR(IF(VLOOKUP(ALLOCATIONS!B297,MAPPING!$E$3:$G$302,3,FALSE)="","",VLOOKUP(ALLOCATIONS!B297,MAPPING!$E$3:$G$302,3,FALSE)),""))</f>
        <v/>
      </c>
      <c r="E303" s="6">
        <f>IF(ALLOCATIONS!A297="","",ALLOCATIONS!C297)</f>
        <v/>
      </c>
      <c r="F303" s="6">
        <f>IF(ALLOCATIONS!A297="","",IF(ALLOCATIONS!D297="",0,ALLOCATIONS!D297))</f>
        <v/>
      </c>
      <c r="G303" s="6">
        <f>IF(ALLOCATIONS!A297="","",SUMIFS(RAW_004!$I$2:$I$10001,RAW_004!$D$2:$D$10001,ALLOCATIONS!A297,RAW_004!$H$2:$H$10001,ALLOCATIONS!B297,RAW_004!$N$2:$N$10001,ALLOCATIONS!C297))</f>
        <v/>
      </c>
      <c r="H303" s="6">
        <f>IF(A303="","",G303-F303)</f>
        <v/>
      </c>
    </row>
    <row r="304">
      <c r="A304" s="6">
        <f>IF(ALLOCATIONS!A298="","",IFERROR(VLOOKUP(ALLOCATIONS!A298,MAPPING!$A$3:$C$302,2,FALSE),"UNMAPPED"))</f>
        <v/>
      </c>
      <c r="B304" s="6">
        <f>IF(ALLOCATIONS!A298="","",IFERROR(VLOOKUP(ALLOCATIONS!A298,MAPPING!$A$3:$C$302,3,FALSE),ALLOCATIONS!A298))</f>
        <v/>
      </c>
      <c r="C304" s="6">
        <f>IF(ALLOCATIONS!A298="","",IFERROR(VLOOKUP(ALLOCATIONS!B298,MAPPING!$E$3:$G$302,2,FALSE),"UNMAPPED"))</f>
        <v/>
      </c>
      <c r="D304" s="6">
        <f>IF(ALLOCATIONS!A298="","",IFERROR(IF(VLOOKUP(ALLOCATIONS!B298,MAPPING!$E$3:$G$302,3,FALSE)="","",VLOOKUP(ALLOCATIONS!B298,MAPPING!$E$3:$G$302,3,FALSE)),""))</f>
        <v/>
      </c>
      <c r="E304" s="6">
        <f>IF(ALLOCATIONS!A298="","",ALLOCATIONS!C298)</f>
        <v/>
      </c>
      <c r="F304" s="6">
        <f>IF(ALLOCATIONS!A298="","",IF(ALLOCATIONS!D298="",0,ALLOCATIONS!D298))</f>
        <v/>
      </c>
      <c r="G304" s="6">
        <f>IF(ALLOCATIONS!A298="","",SUMIFS(RAW_004!$I$2:$I$10001,RAW_004!$D$2:$D$10001,ALLOCATIONS!A298,RAW_004!$H$2:$H$10001,ALLOCATIONS!B298,RAW_004!$N$2:$N$10001,ALLOCATIONS!C298))</f>
        <v/>
      </c>
      <c r="H304" s="6">
        <f>IF(A304="","",G304-F304)</f>
        <v/>
      </c>
    </row>
    <row r="305">
      <c r="A305" s="6">
        <f>IF(ALLOCATIONS!A299="","",IFERROR(VLOOKUP(ALLOCATIONS!A299,MAPPING!$A$3:$C$302,2,FALSE),"UNMAPPED"))</f>
        <v/>
      </c>
      <c r="B305" s="6">
        <f>IF(ALLOCATIONS!A299="","",IFERROR(VLOOKUP(ALLOCATIONS!A299,MAPPING!$A$3:$C$302,3,FALSE),ALLOCATIONS!A299))</f>
        <v/>
      </c>
      <c r="C305" s="6">
        <f>IF(ALLOCATIONS!A299="","",IFERROR(VLOOKUP(ALLOCATIONS!B299,MAPPING!$E$3:$G$302,2,FALSE),"UNMAPPED"))</f>
        <v/>
      </c>
      <c r="D305" s="6">
        <f>IF(ALLOCATIONS!A299="","",IFERROR(IF(VLOOKUP(ALLOCATIONS!B299,MAPPING!$E$3:$G$302,3,FALSE)="","",VLOOKUP(ALLOCATIONS!B299,MAPPING!$E$3:$G$302,3,FALSE)),""))</f>
        <v/>
      </c>
      <c r="E305" s="6">
        <f>IF(ALLOCATIONS!A299="","",ALLOCATIONS!C299)</f>
        <v/>
      </c>
      <c r="F305" s="6">
        <f>IF(ALLOCATIONS!A299="","",IF(ALLOCATIONS!D299="",0,ALLOCATIONS!D299))</f>
        <v/>
      </c>
      <c r="G305" s="6">
        <f>IF(ALLOCATIONS!A299="","",SUMIFS(RAW_004!$I$2:$I$10001,RAW_004!$D$2:$D$10001,ALLOCATIONS!A299,RAW_004!$H$2:$H$10001,ALLOCATIONS!B299,RAW_004!$N$2:$N$10001,ALLOCATIONS!C299))</f>
        <v/>
      </c>
      <c r="H305" s="6">
        <f>IF(A305="","",G305-F305)</f>
        <v/>
      </c>
    </row>
    <row r="306">
      <c r="A306" s="6">
        <f>IF(ALLOCATIONS!A300="","",IFERROR(VLOOKUP(ALLOCATIONS!A300,MAPPING!$A$3:$C$302,2,FALSE),"UNMAPPED"))</f>
        <v/>
      </c>
      <c r="B306" s="6">
        <f>IF(ALLOCATIONS!A300="","",IFERROR(VLOOKUP(ALLOCATIONS!A300,MAPPING!$A$3:$C$302,3,FALSE),ALLOCATIONS!A300))</f>
        <v/>
      </c>
      <c r="C306" s="6">
        <f>IF(ALLOCATIONS!A300="","",IFERROR(VLOOKUP(ALLOCATIONS!B300,MAPPING!$E$3:$G$302,2,FALSE),"UNMAPPED"))</f>
        <v/>
      </c>
      <c r="D306" s="6">
        <f>IF(ALLOCATIONS!A300="","",IFERROR(IF(VLOOKUP(ALLOCATIONS!B300,MAPPING!$E$3:$G$302,3,FALSE)="","",VLOOKUP(ALLOCATIONS!B300,MAPPING!$E$3:$G$302,3,FALSE)),""))</f>
        <v/>
      </c>
      <c r="E306" s="6">
        <f>IF(ALLOCATIONS!A300="","",ALLOCATIONS!C300)</f>
        <v/>
      </c>
      <c r="F306" s="6">
        <f>IF(ALLOCATIONS!A300="","",IF(ALLOCATIONS!D300="",0,ALLOCATIONS!D300))</f>
        <v/>
      </c>
      <c r="G306" s="6">
        <f>IF(ALLOCATIONS!A300="","",SUMIFS(RAW_004!$I$2:$I$10001,RAW_004!$D$2:$D$10001,ALLOCATIONS!A300,RAW_004!$H$2:$H$10001,ALLOCATIONS!B300,RAW_004!$N$2:$N$10001,ALLOCATIONS!C300))</f>
        <v/>
      </c>
      <c r="H306" s="6">
        <f>IF(A306="","",G306-F306)</f>
        <v/>
      </c>
    </row>
    <row r="307">
      <c r="A307" s="6">
        <f>IF(ALLOCATIONS!A301="","",IFERROR(VLOOKUP(ALLOCATIONS!A301,MAPPING!$A$3:$C$302,2,FALSE),"UNMAPPED"))</f>
        <v/>
      </c>
      <c r="B307" s="6">
        <f>IF(ALLOCATIONS!A301="","",IFERROR(VLOOKUP(ALLOCATIONS!A301,MAPPING!$A$3:$C$302,3,FALSE),ALLOCATIONS!A301))</f>
        <v/>
      </c>
      <c r="C307" s="6">
        <f>IF(ALLOCATIONS!A301="","",IFERROR(VLOOKUP(ALLOCATIONS!B301,MAPPING!$E$3:$G$302,2,FALSE),"UNMAPPED"))</f>
        <v/>
      </c>
      <c r="D307" s="6">
        <f>IF(ALLOCATIONS!A301="","",IFERROR(IF(VLOOKUP(ALLOCATIONS!B301,MAPPING!$E$3:$G$302,3,FALSE)="","",VLOOKUP(ALLOCATIONS!B301,MAPPING!$E$3:$G$302,3,FALSE)),""))</f>
        <v/>
      </c>
      <c r="E307" s="6">
        <f>IF(ALLOCATIONS!A301="","",ALLOCATIONS!C301)</f>
        <v/>
      </c>
      <c r="F307" s="6">
        <f>IF(ALLOCATIONS!A301="","",IF(ALLOCATIONS!D301="",0,ALLOCATIONS!D301))</f>
        <v/>
      </c>
      <c r="G307" s="6">
        <f>IF(ALLOCATIONS!A301="","",SUMIFS(RAW_004!$I$2:$I$10001,RAW_004!$D$2:$D$10001,ALLOCATIONS!A301,RAW_004!$H$2:$H$10001,ALLOCATIONS!B301,RAW_004!$N$2:$N$10001,ALLOCATIONS!C301))</f>
        <v/>
      </c>
      <c r="H307" s="6">
        <f>IF(A307="","",G307-F307)</f>
        <v/>
      </c>
    </row>
    <row r="308">
      <c r="A308" s="6">
        <f>IF(ALLOCATIONS!A302="","",IFERROR(VLOOKUP(ALLOCATIONS!A302,MAPPING!$A$3:$C$302,2,FALSE),"UNMAPPED"))</f>
        <v/>
      </c>
      <c r="B308" s="6">
        <f>IF(ALLOCATIONS!A302="","",IFERROR(VLOOKUP(ALLOCATIONS!A302,MAPPING!$A$3:$C$302,3,FALSE),ALLOCATIONS!A302))</f>
        <v/>
      </c>
      <c r="C308" s="6">
        <f>IF(ALLOCATIONS!A302="","",IFERROR(VLOOKUP(ALLOCATIONS!B302,MAPPING!$E$3:$G$302,2,FALSE),"UNMAPPED"))</f>
        <v/>
      </c>
      <c r="D308" s="6">
        <f>IF(ALLOCATIONS!A302="","",IFERROR(IF(VLOOKUP(ALLOCATIONS!B302,MAPPING!$E$3:$G$302,3,FALSE)="","",VLOOKUP(ALLOCATIONS!B302,MAPPING!$E$3:$G$302,3,FALSE)),""))</f>
        <v/>
      </c>
      <c r="E308" s="6">
        <f>IF(ALLOCATIONS!A302="","",ALLOCATIONS!C302)</f>
        <v/>
      </c>
      <c r="F308" s="6">
        <f>IF(ALLOCATIONS!A302="","",IF(ALLOCATIONS!D302="",0,ALLOCATIONS!D302))</f>
        <v/>
      </c>
      <c r="G308" s="6">
        <f>IF(ALLOCATIONS!A302="","",SUMIFS(RAW_004!$I$2:$I$10001,RAW_004!$D$2:$D$10001,ALLOCATIONS!A302,RAW_004!$H$2:$H$10001,ALLOCATIONS!B302,RAW_004!$N$2:$N$10001,ALLOCATIONS!C302))</f>
        <v/>
      </c>
      <c r="H308" s="6">
        <f>IF(A308="","",G308-F308)</f>
        <v/>
      </c>
    </row>
    <row r="309">
      <c r="A309" s="6">
        <f>IF(ALLOCATIONS!A303="","",IFERROR(VLOOKUP(ALLOCATIONS!A303,MAPPING!$A$3:$C$302,2,FALSE),"UNMAPPED"))</f>
        <v/>
      </c>
      <c r="B309" s="6">
        <f>IF(ALLOCATIONS!A303="","",IFERROR(VLOOKUP(ALLOCATIONS!A303,MAPPING!$A$3:$C$302,3,FALSE),ALLOCATIONS!A303))</f>
        <v/>
      </c>
      <c r="C309" s="6">
        <f>IF(ALLOCATIONS!A303="","",IFERROR(VLOOKUP(ALLOCATIONS!B303,MAPPING!$E$3:$G$302,2,FALSE),"UNMAPPED"))</f>
        <v/>
      </c>
      <c r="D309" s="6">
        <f>IF(ALLOCATIONS!A303="","",IFERROR(IF(VLOOKUP(ALLOCATIONS!B303,MAPPING!$E$3:$G$302,3,FALSE)="","",VLOOKUP(ALLOCATIONS!B303,MAPPING!$E$3:$G$302,3,FALSE)),""))</f>
        <v/>
      </c>
      <c r="E309" s="6">
        <f>IF(ALLOCATIONS!A303="","",ALLOCATIONS!C303)</f>
        <v/>
      </c>
      <c r="F309" s="6">
        <f>IF(ALLOCATIONS!A303="","",IF(ALLOCATIONS!D303="",0,ALLOCATIONS!D303))</f>
        <v/>
      </c>
      <c r="G309" s="6">
        <f>IF(ALLOCATIONS!A303="","",SUMIFS(RAW_004!$I$2:$I$10001,RAW_004!$D$2:$D$10001,ALLOCATIONS!A303,RAW_004!$H$2:$H$10001,ALLOCATIONS!B303,RAW_004!$N$2:$N$10001,ALLOCATIONS!C303))</f>
        <v/>
      </c>
      <c r="H309" s="6">
        <f>IF(A309="","",G309-F309)</f>
        <v/>
      </c>
    </row>
    <row r="310">
      <c r="A310" s="6">
        <f>IF(ALLOCATIONS!A304="","",IFERROR(VLOOKUP(ALLOCATIONS!A304,MAPPING!$A$3:$C$302,2,FALSE),"UNMAPPED"))</f>
        <v/>
      </c>
      <c r="B310" s="6">
        <f>IF(ALLOCATIONS!A304="","",IFERROR(VLOOKUP(ALLOCATIONS!A304,MAPPING!$A$3:$C$302,3,FALSE),ALLOCATIONS!A304))</f>
        <v/>
      </c>
      <c r="C310" s="6">
        <f>IF(ALLOCATIONS!A304="","",IFERROR(VLOOKUP(ALLOCATIONS!B304,MAPPING!$E$3:$G$302,2,FALSE),"UNMAPPED"))</f>
        <v/>
      </c>
      <c r="D310" s="6">
        <f>IF(ALLOCATIONS!A304="","",IFERROR(IF(VLOOKUP(ALLOCATIONS!B304,MAPPING!$E$3:$G$302,3,FALSE)="","",VLOOKUP(ALLOCATIONS!B304,MAPPING!$E$3:$G$302,3,FALSE)),""))</f>
        <v/>
      </c>
      <c r="E310" s="6">
        <f>IF(ALLOCATIONS!A304="","",ALLOCATIONS!C304)</f>
        <v/>
      </c>
      <c r="F310" s="6">
        <f>IF(ALLOCATIONS!A304="","",IF(ALLOCATIONS!D304="",0,ALLOCATIONS!D304))</f>
        <v/>
      </c>
      <c r="G310" s="6">
        <f>IF(ALLOCATIONS!A304="","",SUMIFS(RAW_004!$I$2:$I$10001,RAW_004!$D$2:$D$10001,ALLOCATIONS!A304,RAW_004!$H$2:$H$10001,ALLOCATIONS!B304,RAW_004!$N$2:$N$10001,ALLOCATIONS!C304))</f>
        <v/>
      </c>
      <c r="H310" s="6">
        <f>IF(A310="","",G310-F310)</f>
        <v/>
      </c>
    </row>
    <row r="311">
      <c r="A311" s="6">
        <f>IF(ALLOCATIONS!A305="","",IFERROR(VLOOKUP(ALLOCATIONS!A305,MAPPING!$A$3:$C$302,2,FALSE),"UNMAPPED"))</f>
        <v/>
      </c>
      <c r="B311" s="6">
        <f>IF(ALLOCATIONS!A305="","",IFERROR(VLOOKUP(ALLOCATIONS!A305,MAPPING!$A$3:$C$302,3,FALSE),ALLOCATIONS!A305))</f>
        <v/>
      </c>
      <c r="C311" s="6">
        <f>IF(ALLOCATIONS!A305="","",IFERROR(VLOOKUP(ALLOCATIONS!B305,MAPPING!$E$3:$G$302,2,FALSE),"UNMAPPED"))</f>
        <v/>
      </c>
      <c r="D311" s="6">
        <f>IF(ALLOCATIONS!A305="","",IFERROR(IF(VLOOKUP(ALLOCATIONS!B305,MAPPING!$E$3:$G$302,3,FALSE)="","",VLOOKUP(ALLOCATIONS!B305,MAPPING!$E$3:$G$302,3,FALSE)),""))</f>
        <v/>
      </c>
      <c r="E311" s="6">
        <f>IF(ALLOCATIONS!A305="","",ALLOCATIONS!C305)</f>
        <v/>
      </c>
      <c r="F311" s="6">
        <f>IF(ALLOCATIONS!A305="","",IF(ALLOCATIONS!D305="",0,ALLOCATIONS!D305))</f>
        <v/>
      </c>
      <c r="G311" s="6">
        <f>IF(ALLOCATIONS!A305="","",SUMIFS(RAW_004!$I$2:$I$10001,RAW_004!$D$2:$D$10001,ALLOCATIONS!A305,RAW_004!$H$2:$H$10001,ALLOCATIONS!B305,RAW_004!$N$2:$N$10001,ALLOCATIONS!C305))</f>
        <v/>
      </c>
      <c r="H311" s="6">
        <f>IF(A311="","",G311-F311)</f>
        <v/>
      </c>
    </row>
    <row r="312">
      <c r="A312" s="6">
        <f>IF(ALLOCATIONS!A306="","",IFERROR(VLOOKUP(ALLOCATIONS!A306,MAPPING!$A$3:$C$302,2,FALSE),"UNMAPPED"))</f>
        <v/>
      </c>
      <c r="B312" s="6">
        <f>IF(ALLOCATIONS!A306="","",IFERROR(VLOOKUP(ALLOCATIONS!A306,MAPPING!$A$3:$C$302,3,FALSE),ALLOCATIONS!A306))</f>
        <v/>
      </c>
      <c r="C312" s="6">
        <f>IF(ALLOCATIONS!A306="","",IFERROR(VLOOKUP(ALLOCATIONS!B306,MAPPING!$E$3:$G$302,2,FALSE),"UNMAPPED"))</f>
        <v/>
      </c>
      <c r="D312" s="6">
        <f>IF(ALLOCATIONS!A306="","",IFERROR(IF(VLOOKUP(ALLOCATIONS!B306,MAPPING!$E$3:$G$302,3,FALSE)="","",VLOOKUP(ALLOCATIONS!B306,MAPPING!$E$3:$G$302,3,FALSE)),""))</f>
        <v/>
      </c>
      <c r="E312" s="6">
        <f>IF(ALLOCATIONS!A306="","",ALLOCATIONS!C306)</f>
        <v/>
      </c>
      <c r="F312" s="6">
        <f>IF(ALLOCATIONS!A306="","",IF(ALLOCATIONS!D306="",0,ALLOCATIONS!D306))</f>
        <v/>
      </c>
      <c r="G312" s="6">
        <f>IF(ALLOCATIONS!A306="","",SUMIFS(RAW_004!$I$2:$I$10001,RAW_004!$D$2:$D$10001,ALLOCATIONS!A306,RAW_004!$H$2:$H$10001,ALLOCATIONS!B306,RAW_004!$N$2:$N$10001,ALLOCATIONS!C306))</f>
        <v/>
      </c>
      <c r="H312" s="6">
        <f>IF(A312="","",G312-F312)</f>
        <v/>
      </c>
    </row>
    <row r="313">
      <c r="A313" s="6">
        <f>IF(ALLOCATIONS!A307="","",IFERROR(VLOOKUP(ALLOCATIONS!A307,MAPPING!$A$3:$C$302,2,FALSE),"UNMAPPED"))</f>
        <v/>
      </c>
      <c r="B313" s="6">
        <f>IF(ALLOCATIONS!A307="","",IFERROR(VLOOKUP(ALLOCATIONS!A307,MAPPING!$A$3:$C$302,3,FALSE),ALLOCATIONS!A307))</f>
        <v/>
      </c>
      <c r="C313" s="6">
        <f>IF(ALLOCATIONS!A307="","",IFERROR(VLOOKUP(ALLOCATIONS!B307,MAPPING!$E$3:$G$302,2,FALSE),"UNMAPPED"))</f>
        <v/>
      </c>
      <c r="D313" s="6">
        <f>IF(ALLOCATIONS!A307="","",IFERROR(IF(VLOOKUP(ALLOCATIONS!B307,MAPPING!$E$3:$G$302,3,FALSE)="","",VLOOKUP(ALLOCATIONS!B307,MAPPING!$E$3:$G$302,3,FALSE)),""))</f>
        <v/>
      </c>
      <c r="E313" s="6">
        <f>IF(ALLOCATIONS!A307="","",ALLOCATIONS!C307)</f>
        <v/>
      </c>
      <c r="F313" s="6">
        <f>IF(ALLOCATIONS!A307="","",IF(ALLOCATIONS!D307="",0,ALLOCATIONS!D307))</f>
        <v/>
      </c>
      <c r="G313" s="6">
        <f>IF(ALLOCATIONS!A307="","",SUMIFS(RAW_004!$I$2:$I$10001,RAW_004!$D$2:$D$10001,ALLOCATIONS!A307,RAW_004!$H$2:$H$10001,ALLOCATIONS!B307,RAW_004!$N$2:$N$10001,ALLOCATIONS!C307))</f>
        <v/>
      </c>
      <c r="H313" s="6">
        <f>IF(A313="","",G313-F313)</f>
        <v/>
      </c>
    </row>
    <row r="314">
      <c r="A314" s="6">
        <f>IF(ALLOCATIONS!A308="","",IFERROR(VLOOKUP(ALLOCATIONS!A308,MAPPING!$A$3:$C$302,2,FALSE),"UNMAPPED"))</f>
        <v/>
      </c>
      <c r="B314" s="6">
        <f>IF(ALLOCATIONS!A308="","",IFERROR(VLOOKUP(ALLOCATIONS!A308,MAPPING!$A$3:$C$302,3,FALSE),ALLOCATIONS!A308))</f>
        <v/>
      </c>
      <c r="C314" s="6">
        <f>IF(ALLOCATIONS!A308="","",IFERROR(VLOOKUP(ALLOCATIONS!B308,MAPPING!$E$3:$G$302,2,FALSE),"UNMAPPED"))</f>
        <v/>
      </c>
      <c r="D314" s="6">
        <f>IF(ALLOCATIONS!A308="","",IFERROR(IF(VLOOKUP(ALLOCATIONS!B308,MAPPING!$E$3:$G$302,3,FALSE)="","",VLOOKUP(ALLOCATIONS!B308,MAPPING!$E$3:$G$302,3,FALSE)),""))</f>
        <v/>
      </c>
      <c r="E314" s="6">
        <f>IF(ALLOCATIONS!A308="","",ALLOCATIONS!C308)</f>
        <v/>
      </c>
      <c r="F314" s="6">
        <f>IF(ALLOCATIONS!A308="","",IF(ALLOCATIONS!D308="",0,ALLOCATIONS!D308))</f>
        <v/>
      </c>
      <c r="G314" s="6">
        <f>IF(ALLOCATIONS!A308="","",SUMIFS(RAW_004!$I$2:$I$10001,RAW_004!$D$2:$D$10001,ALLOCATIONS!A308,RAW_004!$H$2:$H$10001,ALLOCATIONS!B308,RAW_004!$N$2:$N$10001,ALLOCATIONS!C308))</f>
        <v/>
      </c>
      <c r="H314" s="6">
        <f>IF(A314="","",G314-F314)</f>
        <v/>
      </c>
    </row>
    <row r="315">
      <c r="A315" s="6">
        <f>IF(ALLOCATIONS!A309="","",IFERROR(VLOOKUP(ALLOCATIONS!A309,MAPPING!$A$3:$C$302,2,FALSE),"UNMAPPED"))</f>
        <v/>
      </c>
      <c r="B315" s="6">
        <f>IF(ALLOCATIONS!A309="","",IFERROR(VLOOKUP(ALLOCATIONS!A309,MAPPING!$A$3:$C$302,3,FALSE),ALLOCATIONS!A309))</f>
        <v/>
      </c>
      <c r="C315" s="6">
        <f>IF(ALLOCATIONS!A309="","",IFERROR(VLOOKUP(ALLOCATIONS!B309,MAPPING!$E$3:$G$302,2,FALSE),"UNMAPPED"))</f>
        <v/>
      </c>
      <c r="D315" s="6">
        <f>IF(ALLOCATIONS!A309="","",IFERROR(IF(VLOOKUP(ALLOCATIONS!B309,MAPPING!$E$3:$G$302,3,FALSE)="","",VLOOKUP(ALLOCATIONS!B309,MAPPING!$E$3:$G$302,3,FALSE)),""))</f>
        <v/>
      </c>
      <c r="E315" s="6">
        <f>IF(ALLOCATIONS!A309="","",ALLOCATIONS!C309)</f>
        <v/>
      </c>
      <c r="F315" s="6">
        <f>IF(ALLOCATIONS!A309="","",IF(ALLOCATIONS!D309="",0,ALLOCATIONS!D309))</f>
        <v/>
      </c>
      <c r="G315" s="6">
        <f>IF(ALLOCATIONS!A309="","",SUMIFS(RAW_004!$I$2:$I$10001,RAW_004!$D$2:$D$10001,ALLOCATIONS!A309,RAW_004!$H$2:$H$10001,ALLOCATIONS!B309,RAW_004!$N$2:$N$10001,ALLOCATIONS!C309))</f>
        <v/>
      </c>
      <c r="H315" s="6">
        <f>IF(A315="","",G315-F315)</f>
        <v/>
      </c>
    </row>
    <row r="316">
      <c r="A316" s="6">
        <f>IF(ALLOCATIONS!A310="","",IFERROR(VLOOKUP(ALLOCATIONS!A310,MAPPING!$A$3:$C$302,2,FALSE),"UNMAPPED"))</f>
        <v/>
      </c>
      <c r="B316" s="6">
        <f>IF(ALLOCATIONS!A310="","",IFERROR(VLOOKUP(ALLOCATIONS!A310,MAPPING!$A$3:$C$302,3,FALSE),ALLOCATIONS!A310))</f>
        <v/>
      </c>
      <c r="C316" s="6">
        <f>IF(ALLOCATIONS!A310="","",IFERROR(VLOOKUP(ALLOCATIONS!B310,MAPPING!$E$3:$G$302,2,FALSE),"UNMAPPED"))</f>
        <v/>
      </c>
      <c r="D316" s="6">
        <f>IF(ALLOCATIONS!A310="","",IFERROR(IF(VLOOKUP(ALLOCATIONS!B310,MAPPING!$E$3:$G$302,3,FALSE)="","",VLOOKUP(ALLOCATIONS!B310,MAPPING!$E$3:$G$302,3,FALSE)),""))</f>
        <v/>
      </c>
      <c r="E316" s="6">
        <f>IF(ALLOCATIONS!A310="","",ALLOCATIONS!C310)</f>
        <v/>
      </c>
      <c r="F316" s="6">
        <f>IF(ALLOCATIONS!A310="","",IF(ALLOCATIONS!D310="",0,ALLOCATIONS!D310))</f>
        <v/>
      </c>
      <c r="G316" s="6">
        <f>IF(ALLOCATIONS!A310="","",SUMIFS(RAW_004!$I$2:$I$10001,RAW_004!$D$2:$D$10001,ALLOCATIONS!A310,RAW_004!$H$2:$H$10001,ALLOCATIONS!B310,RAW_004!$N$2:$N$10001,ALLOCATIONS!C310))</f>
        <v/>
      </c>
      <c r="H316" s="6">
        <f>IF(A316="","",G316-F316)</f>
        <v/>
      </c>
    </row>
    <row r="317">
      <c r="A317" s="6">
        <f>IF(ALLOCATIONS!A311="","",IFERROR(VLOOKUP(ALLOCATIONS!A311,MAPPING!$A$3:$C$302,2,FALSE),"UNMAPPED"))</f>
        <v/>
      </c>
      <c r="B317" s="6">
        <f>IF(ALLOCATIONS!A311="","",IFERROR(VLOOKUP(ALLOCATIONS!A311,MAPPING!$A$3:$C$302,3,FALSE),ALLOCATIONS!A311))</f>
        <v/>
      </c>
      <c r="C317" s="6">
        <f>IF(ALLOCATIONS!A311="","",IFERROR(VLOOKUP(ALLOCATIONS!B311,MAPPING!$E$3:$G$302,2,FALSE),"UNMAPPED"))</f>
        <v/>
      </c>
      <c r="D317" s="6">
        <f>IF(ALLOCATIONS!A311="","",IFERROR(IF(VLOOKUP(ALLOCATIONS!B311,MAPPING!$E$3:$G$302,3,FALSE)="","",VLOOKUP(ALLOCATIONS!B311,MAPPING!$E$3:$G$302,3,FALSE)),""))</f>
        <v/>
      </c>
      <c r="E317" s="6">
        <f>IF(ALLOCATIONS!A311="","",ALLOCATIONS!C311)</f>
        <v/>
      </c>
      <c r="F317" s="6">
        <f>IF(ALLOCATIONS!A311="","",IF(ALLOCATIONS!D311="",0,ALLOCATIONS!D311))</f>
        <v/>
      </c>
      <c r="G317" s="6">
        <f>IF(ALLOCATIONS!A311="","",SUMIFS(RAW_004!$I$2:$I$10001,RAW_004!$D$2:$D$10001,ALLOCATIONS!A311,RAW_004!$H$2:$H$10001,ALLOCATIONS!B311,RAW_004!$N$2:$N$10001,ALLOCATIONS!C311))</f>
        <v/>
      </c>
      <c r="H317" s="6">
        <f>IF(A317="","",G317-F317)</f>
        <v/>
      </c>
    </row>
    <row r="318">
      <c r="A318" s="6">
        <f>IF(ALLOCATIONS!A312="","",IFERROR(VLOOKUP(ALLOCATIONS!A312,MAPPING!$A$3:$C$302,2,FALSE),"UNMAPPED"))</f>
        <v/>
      </c>
      <c r="B318" s="6">
        <f>IF(ALLOCATIONS!A312="","",IFERROR(VLOOKUP(ALLOCATIONS!A312,MAPPING!$A$3:$C$302,3,FALSE),ALLOCATIONS!A312))</f>
        <v/>
      </c>
      <c r="C318" s="6">
        <f>IF(ALLOCATIONS!A312="","",IFERROR(VLOOKUP(ALLOCATIONS!B312,MAPPING!$E$3:$G$302,2,FALSE),"UNMAPPED"))</f>
        <v/>
      </c>
      <c r="D318" s="6">
        <f>IF(ALLOCATIONS!A312="","",IFERROR(IF(VLOOKUP(ALLOCATIONS!B312,MAPPING!$E$3:$G$302,3,FALSE)="","",VLOOKUP(ALLOCATIONS!B312,MAPPING!$E$3:$G$302,3,FALSE)),""))</f>
        <v/>
      </c>
      <c r="E318" s="6">
        <f>IF(ALLOCATIONS!A312="","",ALLOCATIONS!C312)</f>
        <v/>
      </c>
      <c r="F318" s="6">
        <f>IF(ALLOCATIONS!A312="","",IF(ALLOCATIONS!D312="",0,ALLOCATIONS!D312))</f>
        <v/>
      </c>
      <c r="G318" s="6">
        <f>IF(ALLOCATIONS!A312="","",SUMIFS(RAW_004!$I$2:$I$10001,RAW_004!$D$2:$D$10001,ALLOCATIONS!A312,RAW_004!$H$2:$H$10001,ALLOCATIONS!B312,RAW_004!$N$2:$N$10001,ALLOCATIONS!C312))</f>
        <v/>
      </c>
      <c r="H318" s="6">
        <f>IF(A318="","",G318-F318)</f>
        <v/>
      </c>
    </row>
    <row r="319">
      <c r="A319" s="6">
        <f>IF(ALLOCATIONS!A313="","",IFERROR(VLOOKUP(ALLOCATIONS!A313,MAPPING!$A$3:$C$302,2,FALSE),"UNMAPPED"))</f>
        <v/>
      </c>
      <c r="B319" s="6">
        <f>IF(ALLOCATIONS!A313="","",IFERROR(VLOOKUP(ALLOCATIONS!A313,MAPPING!$A$3:$C$302,3,FALSE),ALLOCATIONS!A313))</f>
        <v/>
      </c>
      <c r="C319" s="6">
        <f>IF(ALLOCATIONS!A313="","",IFERROR(VLOOKUP(ALLOCATIONS!B313,MAPPING!$E$3:$G$302,2,FALSE),"UNMAPPED"))</f>
        <v/>
      </c>
      <c r="D319" s="6">
        <f>IF(ALLOCATIONS!A313="","",IFERROR(IF(VLOOKUP(ALLOCATIONS!B313,MAPPING!$E$3:$G$302,3,FALSE)="","",VLOOKUP(ALLOCATIONS!B313,MAPPING!$E$3:$G$302,3,FALSE)),""))</f>
        <v/>
      </c>
      <c r="E319" s="6">
        <f>IF(ALLOCATIONS!A313="","",ALLOCATIONS!C313)</f>
        <v/>
      </c>
      <c r="F319" s="6">
        <f>IF(ALLOCATIONS!A313="","",IF(ALLOCATIONS!D313="",0,ALLOCATIONS!D313))</f>
        <v/>
      </c>
      <c r="G319" s="6">
        <f>IF(ALLOCATIONS!A313="","",SUMIFS(RAW_004!$I$2:$I$10001,RAW_004!$D$2:$D$10001,ALLOCATIONS!A313,RAW_004!$H$2:$H$10001,ALLOCATIONS!B313,RAW_004!$N$2:$N$10001,ALLOCATIONS!C313))</f>
        <v/>
      </c>
      <c r="H319" s="6">
        <f>IF(A319="","",G319-F319)</f>
        <v/>
      </c>
    </row>
    <row r="320">
      <c r="A320" s="6">
        <f>IF(ALLOCATIONS!A314="","",IFERROR(VLOOKUP(ALLOCATIONS!A314,MAPPING!$A$3:$C$302,2,FALSE),"UNMAPPED"))</f>
        <v/>
      </c>
      <c r="B320" s="6">
        <f>IF(ALLOCATIONS!A314="","",IFERROR(VLOOKUP(ALLOCATIONS!A314,MAPPING!$A$3:$C$302,3,FALSE),ALLOCATIONS!A314))</f>
        <v/>
      </c>
      <c r="C320" s="6">
        <f>IF(ALLOCATIONS!A314="","",IFERROR(VLOOKUP(ALLOCATIONS!B314,MAPPING!$E$3:$G$302,2,FALSE),"UNMAPPED"))</f>
        <v/>
      </c>
      <c r="D320" s="6">
        <f>IF(ALLOCATIONS!A314="","",IFERROR(IF(VLOOKUP(ALLOCATIONS!B314,MAPPING!$E$3:$G$302,3,FALSE)="","",VLOOKUP(ALLOCATIONS!B314,MAPPING!$E$3:$G$302,3,FALSE)),""))</f>
        <v/>
      </c>
      <c r="E320" s="6">
        <f>IF(ALLOCATIONS!A314="","",ALLOCATIONS!C314)</f>
        <v/>
      </c>
      <c r="F320" s="6">
        <f>IF(ALLOCATIONS!A314="","",IF(ALLOCATIONS!D314="",0,ALLOCATIONS!D314))</f>
        <v/>
      </c>
      <c r="G320" s="6">
        <f>IF(ALLOCATIONS!A314="","",SUMIFS(RAW_004!$I$2:$I$10001,RAW_004!$D$2:$D$10001,ALLOCATIONS!A314,RAW_004!$H$2:$H$10001,ALLOCATIONS!B314,RAW_004!$N$2:$N$10001,ALLOCATIONS!C314))</f>
        <v/>
      </c>
      <c r="H320" s="6">
        <f>IF(A320="","",G320-F320)</f>
        <v/>
      </c>
    </row>
    <row r="321">
      <c r="A321" s="6">
        <f>IF(ALLOCATIONS!A315="","",IFERROR(VLOOKUP(ALLOCATIONS!A315,MAPPING!$A$3:$C$302,2,FALSE),"UNMAPPED"))</f>
        <v/>
      </c>
      <c r="B321" s="6">
        <f>IF(ALLOCATIONS!A315="","",IFERROR(VLOOKUP(ALLOCATIONS!A315,MAPPING!$A$3:$C$302,3,FALSE),ALLOCATIONS!A315))</f>
        <v/>
      </c>
      <c r="C321" s="6">
        <f>IF(ALLOCATIONS!A315="","",IFERROR(VLOOKUP(ALLOCATIONS!B315,MAPPING!$E$3:$G$302,2,FALSE),"UNMAPPED"))</f>
        <v/>
      </c>
      <c r="D321" s="6">
        <f>IF(ALLOCATIONS!A315="","",IFERROR(IF(VLOOKUP(ALLOCATIONS!B315,MAPPING!$E$3:$G$302,3,FALSE)="","",VLOOKUP(ALLOCATIONS!B315,MAPPING!$E$3:$G$302,3,FALSE)),""))</f>
        <v/>
      </c>
      <c r="E321" s="6">
        <f>IF(ALLOCATIONS!A315="","",ALLOCATIONS!C315)</f>
        <v/>
      </c>
      <c r="F321" s="6">
        <f>IF(ALLOCATIONS!A315="","",IF(ALLOCATIONS!D315="",0,ALLOCATIONS!D315))</f>
        <v/>
      </c>
      <c r="G321" s="6">
        <f>IF(ALLOCATIONS!A315="","",SUMIFS(RAW_004!$I$2:$I$10001,RAW_004!$D$2:$D$10001,ALLOCATIONS!A315,RAW_004!$H$2:$H$10001,ALLOCATIONS!B315,RAW_004!$N$2:$N$10001,ALLOCATIONS!C315))</f>
        <v/>
      </c>
      <c r="H321" s="6">
        <f>IF(A321="","",G321-F321)</f>
        <v/>
      </c>
    </row>
    <row r="322">
      <c r="A322" s="6">
        <f>IF(ALLOCATIONS!A316="","",IFERROR(VLOOKUP(ALLOCATIONS!A316,MAPPING!$A$3:$C$302,2,FALSE),"UNMAPPED"))</f>
        <v/>
      </c>
      <c r="B322" s="6">
        <f>IF(ALLOCATIONS!A316="","",IFERROR(VLOOKUP(ALLOCATIONS!A316,MAPPING!$A$3:$C$302,3,FALSE),ALLOCATIONS!A316))</f>
        <v/>
      </c>
      <c r="C322" s="6">
        <f>IF(ALLOCATIONS!A316="","",IFERROR(VLOOKUP(ALLOCATIONS!B316,MAPPING!$E$3:$G$302,2,FALSE),"UNMAPPED"))</f>
        <v/>
      </c>
      <c r="D322" s="6">
        <f>IF(ALLOCATIONS!A316="","",IFERROR(IF(VLOOKUP(ALLOCATIONS!B316,MAPPING!$E$3:$G$302,3,FALSE)="","",VLOOKUP(ALLOCATIONS!B316,MAPPING!$E$3:$G$302,3,FALSE)),""))</f>
        <v/>
      </c>
      <c r="E322" s="6">
        <f>IF(ALLOCATIONS!A316="","",ALLOCATIONS!C316)</f>
        <v/>
      </c>
      <c r="F322" s="6">
        <f>IF(ALLOCATIONS!A316="","",IF(ALLOCATIONS!D316="",0,ALLOCATIONS!D316))</f>
        <v/>
      </c>
      <c r="G322" s="6">
        <f>IF(ALLOCATIONS!A316="","",SUMIFS(RAW_004!$I$2:$I$10001,RAW_004!$D$2:$D$10001,ALLOCATIONS!A316,RAW_004!$H$2:$H$10001,ALLOCATIONS!B316,RAW_004!$N$2:$N$10001,ALLOCATIONS!C316))</f>
        <v/>
      </c>
      <c r="H322" s="6">
        <f>IF(A322="","",G322-F322)</f>
        <v/>
      </c>
    </row>
    <row r="323">
      <c r="A323" s="6">
        <f>IF(ALLOCATIONS!A317="","",IFERROR(VLOOKUP(ALLOCATIONS!A317,MAPPING!$A$3:$C$302,2,FALSE),"UNMAPPED"))</f>
        <v/>
      </c>
      <c r="B323" s="6">
        <f>IF(ALLOCATIONS!A317="","",IFERROR(VLOOKUP(ALLOCATIONS!A317,MAPPING!$A$3:$C$302,3,FALSE),ALLOCATIONS!A317))</f>
        <v/>
      </c>
      <c r="C323" s="6">
        <f>IF(ALLOCATIONS!A317="","",IFERROR(VLOOKUP(ALLOCATIONS!B317,MAPPING!$E$3:$G$302,2,FALSE),"UNMAPPED"))</f>
        <v/>
      </c>
      <c r="D323" s="6">
        <f>IF(ALLOCATIONS!A317="","",IFERROR(IF(VLOOKUP(ALLOCATIONS!B317,MAPPING!$E$3:$G$302,3,FALSE)="","",VLOOKUP(ALLOCATIONS!B317,MAPPING!$E$3:$G$302,3,FALSE)),""))</f>
        <v/>
      </c>
      <c r="E323" s="6">
        <f>IF(ALLOCATIONS!A317="","",ALLOCATIONS!C317)</f>
        <v/>
      </c>
      <c r="F323" s="6">
        <f>IF(ALLOCATIONS!A317="","",IF(ALLOCATIONS!D317="",0,ALLOCATIONS!D317))</f>
        <v/>
      </c>
      <c r="G323" s="6">
        <f>IF(ALLOCATIONS!A317="","",SUMIFS(RAW_004!$I$2:$I$10001,RAW_004!$D$2:$D$10001,ALLOCATIONS!A317,RAW_004!$H$2:$H$10001,ALLOCATIONS!B317,RAW_004!$N$2:$N$10001,ALLOCATIONS!C317))</f>
        <v/>
      </c>
      <c r="H323" s="6">
        <f>IF(A323="","",G323-F323)</f>
        <v/>
      </c>
    </row>
    <row r="324">
      <c r="A324" s="6">
        <f>IF(ALLOCATIONS!A318="","",IFERROR(VLOOKUP(ALLOCATIONS!A318,MAPPING!$A$3:$C$302,2,FALSE),"UNMAPPED"))</f>
        <v/>
      </c>
      <c r="B324" s="6">
        <f>IF(ALLOCATIONS!A318="","",IFERROR(VLOOKUP(ALLOCATIONS!A318,MAPPING!$A$3:$C$302,3,FALSE),ALLOCATIONS!A318))</f>
        <v/>
      </c>
      <c r="C324" s="6">
        <f>IF(ALLOCATIONS!A318="","",IFERROR(VLOOKUP(ALLOCATIONS!B318,MAPPING!$E$3:$G$302,2,FALSE),"UNMAPPED"))</f>
        <v/>
      </c>
      <c r="D324" s="6">
        <f>IF(ALLOCATIONS!A318="","",IFERROR(IF(VLOOKUP(ALLOCATIONS!B318,MAPPING!$E$3:$G$302,3,FALSE)="","",VLOOKUP(ALLOCATIONS!B318,MAPPING!$E$3:$G$302,3,FALSE)),""))</f>
        <v/>
      </c>
      <c r="E324" s="6">
        <f>IF(ALLOCATIONS!A318="","",ALLOCATIONS!C318)</f>
        <v/>
      </c>
      <c r="F324" s="6">
        <f>IF(ALLOCATIONS!A318="","",IF(ALLOCATIONS!D318="",0,ALLOCATIONS!D318))</f>
        <v/>
      </c>
      <c r="G324" s="6">
        <f>IF(ALLOCATIONS!A318="","",SUMIFS(RAW_004!$I$2:$I$10001,RAW_004!$D$2:$D$10001,ALLOCATIONS!A318,RAW_004!$H$2:$H$10001,ALLOCATIONS!B318,RAW_004!$N$2:$N$10001,ALLOCATIONS!C318))</f>
        <v/>
      </c>
      <c r="H324" s="6">
        <f>IF(A324="","",G324-F324)</f>
        <v/>
      </c>
    </row>
    <row r="325">
      <c r="A325" s="6">
        <f>IF(ALLOCATIONS!A319="","",IFERROR(VLOOKUP(ALLOCATIONS!A319,MAPPING!$A$3:$C$302,2,FALSE),"UNMAPPED"))</f>
        <v/>
      </c>
      <c r="B325" s="6">
        <f>IF(ALLOCATIONS!A319="","",IFERROR(VLOOKUP(ALLOCATIONS!A319,MAPPING!$A$3:$C$302,3,FALSE),ALLOCATIONS!A319))</f>
        <v/>
      </c>
      <c r="C325" s="6">
        <f>IF(ALLOCATIONS!A319="","",IFERROR(VLOOKUP(ALLOCATIONS!B319,MAPPING!$E$3:$G$302,2,FALSE),"UNMAPPED"))</f>
        <v/>
      </c>
      <c r="D325" s="6">
        <f>IF(ALLOCATIONS!A319="","",IFERROR(IF(VLOOKUP(ALLOCATIONS!B319,MAPPING!$E$3:$G$302,3,FALSE)="","",VLOOKUP(ALLOCATIONS!B319,MAPPING!$E$3:$G$302,3,FALSE)),""))</f>
        <v/>
      </c>
      <c r="E325" s="6">
        <f>IF(ALLOCATIONS!A319="","",ALLOCATIONS!C319)</f>
        <v/>
      </c>
      <c r="F325" s="6">
        <f>IF(ALLOCATIONS!A319="","",IF(ALLOCATIONS!D319="",0,ALLOCATIONS!D319))</f>
        <v/>
      </c>
      <c r="G325" s="6">
        <f>IF(ALLOCATIONS!A319="","",SUMIFS(RAW_004!$I$2:$I$10001,RAW_004!$D$2:$D$10001,ALLOCATIONS!A319,RAW_004!$H$2:$H$10001,ALLOCATIONS!B319,RAW_004!$N$2:$N$10001,ALLOCATIONS!C319))</f>
        <v/>
      </c>
      <c r="H325" s="6">
        <f>IF(A325="","",G325-F325)</f>
        <v/>
      </c>
    </row>
    <row r="326">
      <c r="A326" s="6">
        <f>IF(ALLOCATIONS!A320="","",IFERROR(VLOOKUP(ALLOCATIONS!A320,MAPPING!$A$3:$C$302,2,FALSE),"UNMAPPED"))</f>
        <v/>
      </c>
      <c r="B326" s="6">
        <f>IF(ALLOCATIONS!A320="","",IFERROR(VLOOKUP(ALLOCATIONS!A320,MAPPING!$A$3:$C$302,3,FALSE),ALLOCATIONS!A320))</f>
        <v/>
      </c>
      <c r="C326" s="6">
        <f>IF(ALLOCATIONS!A320="","",IFERROR(VLOOKUP(ALLOCATIONS!B320,MAPPING!$E$3:$G$302,2,FALSE),"UNMAPPED"))</f>
        <v/>
      </c>
      <c r="D326" s="6">
        <f>IF(ALLOCATIONS!A320="","",IFERROR(IF(VLOOKUP(ALLOCATIONS!B320,MAPPING!$E$3:$G$302,3,FALSE)="","",VLOOKUP(ALLOCATIONS!B320,MAPPING!$E$3:$G$302,3,FALSE)),""))</f>
        <v/>
      </c>
      <c r="E326" s="6">
        <f>IF(ALLOCATIONS!A320="","",ALLOCATIONS!C320)</f>
        <v/>
      </c>
      <c r="F326" s="6">
        <f>IF(ALLOCATIONS!A320="","",IF(ALLOCATIONS!D320="",0,ALLOCATIONS!D320))</f>
        <v/>
      </c>
      <c r="G326" s="6">
        <f>IF(ALLOCATIONS!A320="","",SUMIFS(RAW_004!$I$2:$I$10001,RAW_004!$D$2:$D$10001,ALLOCATIONS!A320,RAW_004!$H$2:$H$10001,ALLOCATIONS!B320,RAW_004!$N$2:$N$10001,ALLOCATIONS!C320))</f>
        <v/>
      </c>
      <c r="H326" s="6">
        <f>IF(A326="","",G326-F326)</f>
        <v/>
      </c>
    </row>
    <row r="327">
      <c r="A327" s="6">
        <f>IF(ALLOCATIONS!A321="","",IFERROR(VLOOKUP(ALLOCATIONS!A321,MAPPING!$A$3:$C$302,2,FALSE),"UNMAPPED"))</f>
        <v/>
      </c>
      <c r="B327" s="6">
        <f>IF(ALLOCATIONS!A321="","",IFERROR(VLOOKUP(ALLOCATIONS!A321,MAPPING!$A$3:$C$302,3,FALSE),ALLOCATIONS!A321))</f>
        <v/>
      </c>
      <c r="C327" s="6">
        <f>IF(ALLOCATIONS!A321="","",IFERROR(VLOOKUP(ALLOCATIONS!B321,MAPPING!$E$3:$G$302,2,FALSE),"UNMAPPED"))</f>
        <v/>
      </c>
      <c r="D327" s="6">
        <f>IF(ALLOCATIONS!A321="","",IFERROR(IF(VLOOKUP(ALLOCATIONS!B321,MAPPING!$E$3:$G$302,3,FALSE)="","",VLOOKUP(ALLOCATIONS!B321,MAPPING!$E$3:$G$302,3,FALSE)),""))</f>
        <v/>
      </c>
      <c r="E327" s="6">
        <f>IF(ALLOCATIONS!A321="","",ALLOCATIONS!C321)</f>
        <v/>
      </c>
      <c r="F327" s="6">
        <f>IF(ALLOCATIONS!A321="","",IF(ALLOCATIONS!D321="",0,ALLOCATIONS!D321))</f>
        <v/>
      </c>
      <c r="G327" s="6">
        <f>IF(ALLOCATIONS!A321="","",SUMIFS(RAW_004!$I$2:$I$10001,RAW_004!$D$2:$D$10001,ALLOCATIONS!A321,RAW_004!$H$2:$H$10001,ALLOCATIONS!B321,RAW_004!$N$2:$N$10001,ALLOCATIONS!C321))</f>
        <v/>
      </c>
      <c r="H327" s="6">
        <f>IF(A327="","",G327-F327)</f>
        <v/>
      </c>
    </row>
    <row r="328">
      <c r="A328" s="6">
        <f>IF(ALLOCATIONS!A322="","",IFERROR(VLOOKUP(ALLOCATIONS!A322,MAPPING!$A$3:$C$302,2,FALSE),"UNMAPPED"))</f>
        <v/>
      </c>
      <c r="B328" s="6">
        <f>IF(ALLOCATIONS!A322="","",IFERROR(VLOOKUP(ALLOCATIONS!A322,MAPPING!$A$3:$C$302,3,FALSE),ALLOCATIONS!A322))</f>
        <v/>
      </c>
      <c r="C328" s="6">
        <f>IF(ALLOCATIONS!A322="","",IFERROR(VLOOKUP(ALLOCATIONS!B322,MAPPING!$E$3:$G$302,2,FALSE),"UNMAPPED"))</f>
        <v/>
      </c>
      <c r="D328" s="6">
        <f>IF(ALLOCATIONS!A322="","",IFERROR(IF(VLOOKUP(ALLOCATIONS!B322,MAPPING!$E$3:$G$302,3,FALSE)="","",VLOOKUP(ALLOCATIONS!B322,MAPPING!$E$3:$G$302,3,FALSE)),""))</f>
        <v/>
      </c>
      <c r="E328" s="6">
        <f>IF(ALLOCATIONS!A322="","",ALLOCATIONS!C322)</f>
        <v/>
      </c>
      <c r="F328" s="6">
        <f>IF(ALLOCATIONS!A322="","",IF(ALLOCATIONS!D322="",0,ALLOCATIONS!D322))</f>
        <v/>
      </c>
      <c r="G328" s="6">
        <f>IF(ALLOCATIONS!A322="","",SUMIFS(RAW_004!$I$2:$I$10001,RAW_004!$D$2:$D$10001,ALLOCATIONS!A322,RAW_004!$H$2:$H$10001,ALLOCATIONS!B322,RAW_004!$N$2:$N$10001,ALLOCATIONS!C322))</f>
        <v/>
      </c>
      <c r="H328" s="6">
        <f>IF(A328="","",G328-F328)</f>
        <v/>
      </c>
    </row>
    <row r="329">
      <c r="A329" s="6">
        <f>IF(ALLOCATIONS!A323="","",IFERROR(VLOOKUP(ALLOCATIONS!A323,MAPPING!$A$3:$C$302,2,FALSE),"UNMAPPED"))</f>
        <v/>
      </c>
      <c r="B329" s="6">
        <f>IF(ALLOCATIONS!A323="","",IFERROR(VLOOKUP(ALLOCATIONS!A323,MAPPING!$A$3:$C$302,3,FALSE),ALLOCATIONS!A323))</f>
        <v/>
      </c>
      <c r="C329" s="6">
        <f>IF(ALLOCATIONS!A323="","",IFERROR(VLOOKUP(ALLOCATIONS!B323,MAPPING!$E$3:$G$302,2,FALSE),"UNMAPPED"))</f>
        <v/>
      </c>
      <c r="D329" s="6">
        <f>IF(ALLOCATIONS!A323="","",IFERROR(IF(VLOOKUP(ALLOCATIONS!B323,MAPPING!$E$3:$G$302,3,FALSE)="","",VLOOKUP(ALLOCATIONS!B323,MAPPING!$E$3:$G$302,3,FALSE)),""))</f>
        <v/>
      </c>
      <c r="E329" s="6">
        <f>IF(ALLOCATIONS!A323="","",ALLOCATIONS!C323)</f>
        <v/>
      </c>
      <c r="F329" s="6">
        <f>IF(ALLOCATIONS!A323="","",IF(ALLOCATIONS!D323="",0,ALLOCATIONS!D323))</f>
        <v/>
      </c>
      <c r="G329" s="6">
        <f>IF(ALLOCATIONS!A323="","",SUMIFS(RAW_004!$I$2:$I$10001,RAW_004!$D$2:$D$10001,ALLOCATIONS!A323,RAW_004!$H$2:$H$10001,ALLOCATIONS!B323,RAW_004!$N$2:$N$10001,ALLOCATIONS!C323))</f>
        <v/>
      </c>
      <c r="H329" s="6">
        <f>IF(A329="","",G329-F329)</f>
        <v/>
      </c>
    </row>
    <row r="330">
      <c r="A330" s="6">
        <f>IF(ALLOCATIONS!A324="","",IFERROR(VLOOKUP(ALLOCATIONS!A324,MAPPING!$A$3:$C$302,2,FALSE),"UNMAPPED"))</f>
        <v/>
      </c>
      <c r="B330" s="6">
        <f>IF(ALLOCATIONS!A324="","",IFERROR(VLOOKUP(ALLOCATIONS!A324,MAPPING!$A$3:$C$302,3,FALSE),ALLOCATIONS!A324))</f>
        <v/>
      </c>
      <c r="C330" s="6">
        <f>IF(ALLOCATIONS!A324="","",IFERROR(VLOOKUP(ALLOCATIONS!B324,MAPPING!$E$3:$G$302,2,FALSE),"UNMAPPED"))</f>
        <v/>
      </c>
      <c r="D330" s="6">
        <f>IF(ALLOCATIONS!A324="","",IFERROR(IF(VLOOKUP(ALLOCATIONS!B324,MAPPING!$E$3:$G$302,3,FALSE)="","",VLOOKUP(ALLOCATIONS!B324,MAPPING!$E$3:$G$302,3,FALSE)),""))</f>
        <v/>
      </c>
      <c r="E330" s="6">
        <f>IF(ALLOCATIONS!A324="","",ALLOCATIONS!C324)</f>
        <v/>
      </c>
      <c r="F330" s="6">
        <f>IF(ALLOCATIONS!A324="","",IF(ALLOCATIONS!D324="",0,ALLOCATIONS!D324))</f>
        <v/>
      </c>
      <c r="G330" s="6">
        <f>IF(ALLOCATIONS!A324="","",SUMIFS(RAW_004!$I$2:$I$10001,RAW_004!$D$2:$D$10001,ALLOCATIONS!A324,RAW_004!$H$2:$H$10001,ALLOCATIONS!B324,RAW_004!$N$2:$N$10001,ALLOCATIONS!C324))</f>
        <v/>
      </c>
      <c r="H330" s="6">
        <f>IF(A330="","",G330-F330)</f>
        <v/>
      </c>
    </row>
    <row r="331">
      <c r="A331" s="6">
        <f>IF(ALLOCATIONS!A325="","",IFERROR(VLOOKUP(ALLOCATIONS!A325,MAPPING!$A$3:$C$302,2,FALSE),"UNMAPPED"))</f>
        <v/>
      </c>
      <c r="B331" s="6">
        <f>IF(ALLOCATIONS!A325="","",IFERROR(VLOOKUP(ALLOCATIONS!A325,MAPPING!$A$3:$C$302,3,FALSE),ALLOCATIONS!A325))</f>
        <v/>
      </c>
      <c r="C331" s="6">
        <f>IF(ALLOCATIONS!A325="","",IFERROR(VLOOKUP(ALLOCATIONS!B325,MAPPING!$E$3:$G$302,2,FALSE),"UNMAPPED"))</f>
        <v/>
      </c>
      <c r="D331" s="6">
        <f>IF(ALLOCATIONS!A325="","",IFERROR(IF(VLOOKUP(ALLOCATIONS!B325,MAPPING!$E$3:$G$302,3,FALSE)="","",VLOOKUP(ALLOCATIONS!B325,MAPPING!$E$3:$G$302,3,FALSE)),""))</f>
        <v/>
      </c>
      <c r="E331" s="6">
        <f>IF(ALLOCATIONS!A325="","",ALLOCATIONS!C325)</f>
        <v/>
      </c>
      <c r="F331" s="6">
        <f>IF(ALLOCATIONS!A325="","",IF(ALLOCATIONS!D325="",0,ALLOCATIONS!D325))</f>
        <v/>
      </c>
      <c r="G331" s="6">
        <f>IF(ALLOCATIONS!A325="","",SUMIFS(RAW_004!$I$2:$I$10001,RAW_004!$D$2:$D$10001,ALLOCATIONS!A325,RAW_004!$H$2:$H$10001,ALLOCATIONS!B325,RAW_004!$N$2:$N$10001,ALLOCATIONS!C325))</f>
        <v/>
      </c>
      <c r="H331" s="6">
        <f>IF(A331="","",G331-F331)</f>
        <v/>
      </c>
    </row>
    <row r="332">
      <c r="A332" s="6">
        <f>IF(ALLOCATIONS!A326="","",IFERROR(VLOOKUP(ALLOCATIONS!A326,MAPPING!$A$3:$C$302,2,FALSE),"UNMAPPED"))</f>
        <v/>
      </c>
      <c r="B332" s="6">
        <f>IF(ALLOCATIONS!A326="","",IFERROR(VLOOKUP(ALLOCATIONS!A326,MAPPING!$A$3:$C$302,3,FALSE),ALLOCATIONS!A326))</f>
        <v/>
      </c>
      <c r="C332" s="6">
        <f>IF(ALLOCATIONS!A326="","",IFERROR(VLOOKUP(ALLOCATIONS!B326,MAPPING!$E$3:$G$302,2,FALSE),"UNMAPPED"))</f>
        <v/>
      </c>
      <c r="D332" s="6">
        <f>IF(ALLOCATIONS!A326="","",IFERROR(IF(VLOOKUP(ALLOCATIONS!B326,MAPPING!$E$3:$G$302,3,FALSE)="","",VLOOKUP(ALLOCATIONS!B326,MAPPING!$E$3:$G$302,3,FALSE)),""))</f>
        <v/>
      </c>
      <c r="E332" s="6">
        <f>IF(ALLOCATIONS!A326="","",ALLOCATIONS!C326)</f>
        <v/>
      </c>
      <c r="F332" s="6">
        <f>IF(ALLOCATIONS!A326="","",IF(ALLOCATIONS!D326="",0,ALLOCATIONS!D326))</f>
        <v/>
      </c>
      <c r="G332" s="6">
        <f>IF(ALLOCATIONS!A326="","",SUMIFS(RAW_004!$I$2:$I$10001,RAW_004!$D$2:$D$10001,ALLOCATIONS!A326,RAW_004!$H$2:$H$10001,ALLOCATIONS!B326,RAW_004!$N$2:$N$10001,ALLOCATIONS!C326))</f>
        <v/>
      </c>
      <c r="H332" s="6">
        <f>IF(A332="","",G332-F332)</f>
        <v/>
      </c>
    </row>
    <row r="333">
      <c r="A333" s="6">
        <f>IF(ALLOCATIONS!A327="","",IFERROR(VLOOKUP(ALLOCATIONS!A327,MAPPING!$A$3:$C$302,2,FALSE),"UNMAPPED"))</f>
        <v/>
      </c>
      <c r="B333" s="6">
        <f>IF(ALLOCATIONS!A327="","",IFERROR(VLOOKUP(ALLOCATIONS!A327,MAPPING!$A$3:$C$302,3,FALSE),ALLOCATIONS!A327))</f>
        <v/>
      </c>
      <c r="C333" s="6">
        <f>IF(ALLOCATIONS!A327="","",IFERROR(VLOOKUP(ALLOCATIONS!B327,MAPPING!$E$3:$G$302,2,FALSE),"UNMAPPED"))</f>
        <v/>
      </c>
      <c r="D333" s="6">
        <f>IF(ALLOCATIONS!A327="","",IFERROR(IF(VLOOKUP(ALLOCATIONS!B327,MAPPING!$E$3:$G$302,3,FALSE)="","",VLOOKUP(ALLOCATIONS!B327,MAPPING!$E$3:$G$302,3,FALSE)),""))</f>
        <v/>
      </c>
      <c r="E333" s="6">
        <f>IF(ALLOCATIONS!A327="","",ALLOCATIONS!C327)</f>
        <v/>
      </c>
      <c r="F333" s="6">
        <f>IF(ALLOCATIONS!A327="","",IF(ALLOCATIONS!D327="",0,ALLOCATIONS!D327))</f>
        <v/>
      </c>
      <c r="G333" s="6">
        <f>IF(ALLOCATIONS!A327="","",SUMIFS(RAW_004!$I$2:$I$10001,RAW_004!$D$2:$D$10001,ALLOCATIONS!A327,RAW_004!$H$2:$H$10001,ALLOCATIONS!B327,RAW_004!$N$2:$N$10001,ALLOCATIONS!C327))</f>
        <v/>
      </c>
      <c r="H333" s="6">
        <f>IF(A333="","",G333-F333)</f>
        <v/>
      </c>
    </row>
    <row r="334">
      <c r="A334" s="6">
        <f>IF(ALLOCATIONS!A328="","",IFERROR(VLOOKUP(ALLOCATIONS!A328,MAPPING!$A$3:$C$302,2,FALSE),"UNMAPPED"))</f>
        <v/>
      </c>
      <c r="B334" s="6">
        <f>IF(ALLOCATIONS!A328="","",IFERROR(VLOOKUP(ALLOCATIONS!A328,MAPPING!$A$3:$C$302,3,FALSE),ALLOCATIONS!A328))</f>
        <v/>
      </c>
      <c r="C334" s="6">
        <f>IF(ALLOCATIONS!A328="","",IFERROR(VLOOKUP(ALLOCATIONS!B328,MAPPING!$E$3:$G$302,2,FALSE),"UNMAPPED"))</f>
        <v/>
      </c>
      <c r="D334" s="6">
        <f>IF(ALLOCATIONS!A328="","",IFERROR(IF(VLOOKUP(ALLOCATIONS!B328,MAPPING!$E$3:$G$302,3,FALSE)="","",VLOOKUP(ALLOCATIONS!B328,MAPPING!$E$3:$G$302,3,FALSE)),""))</f>
        <v/>
      </c>
      <c r="E334" s="6">
        <f>IF(ALLOCATIONS!A328="","",ALLOCATIONS!C328)</f>
        <v/>
      </c>
      <c r="F334" s="6">
        <f>IF(ALLOCATIONS!A328="","",IF(ALLOCATIONS!D328="",0,ALLOCATIONS!D328))</f>
        <v/>
      </c>
      <c r="G334" s="6">
        <f>IF(ALLOCATIONS!A328="","",SUMIFS(RAW_004!$I$2:$I$10001,RAW_004!$D$2:$D$10001,ALLOCATIONS!A328,RAW_004!$H$2:$H$10001,ALLOCATIONS!B328,RAW_004!$N$2:$N$10001,ALLOCATIONS!C328))</f>
        <v/>
      </c>
      <c r="H334" s="6">
        <f>IF(A334="","",G334-F334)</f>
        <v/>
      </c>
    </row>
    <row r="335">
      <c r="A335" s="6">
        <f>IF(ALLOCATIONS!A329="","",IFERROR(VLOOKUP(ALLOCATIONS!A329,MAPPING!$A$3:$C$302,2,FALSE),"UNMAPPED"))</f>
        <v/>
      </c>
      <c r="B335" s="6">
        <f>IF(ALLOCATIONS!A329="","",IFERROR(VLOOKUP(ALLOCATIONS!A329,MAPPING!$A$3:$C$302,3,FALSE),ALLOCATIONS!A329))</f>
        <v/>
      </c>
      <c r="C335" s="6">
        <f>IF(ALLOCATIONS!A329="","",IFERROR(VLOOKUP(ALLOCATIONS!B329,MAPPING!$E$3:$G$302,2,FALSE),"UNMAPPED"))</f>
        <v/>
      </c>
      <c r="D335" s="6">
        <f>IF(ALLOCATIONS!A329="","",IFERROR(IF(VLOOKUP(ALLOCATIONS!B329,MAPPING!$E$3:$G$302,3,FALSE)="","",VLOOKUP(ALLOCATIONS!B329,MAPPING!$E$3:$G$302,3,FALSE)),""))</f>
        <v/>
      </c>
      <c r="E335" s="6">
        <f>IF(ALLOCATIONS!A329="","",ALLOCATIONS!C329)</f>
        <v/>
      </c>
      <c r="F335" s="6">
        <f>IF(ALLOCATIONS!A329="","",IF(ALLOCATIONS!D329="",0,ALLOCATIONS!D329))</f>
        <v/>
      </c>
      <c r="G335" s="6">
        <f>IF(ALLOCATIONS!A329="","",SUMIFS(RAW_004!$I$2:$I$10001,RAW_004!$D$2:$D$10001,ALLOCATIONS!A329,RAW_004!$H$2:$H$10001,ALLOCATIONS!B329,RAW_004!$N$2:$N$10001,ALLOCATIONS!C329))</f>
        <v/>
      </c>
      <c r="H335" s="6">
        <f>IF(A335="","",G335-F335)</f>
        <v/>
      </c>
    </row>
    <row r="336">
      <c r="A336" s="6">
        <f>IF(ALLOCATIONS!A330="","",IFERROR(VLOOKUP(ALLOCATIONS!A330,MAPPING!$A$3:$C$302,2,FALSE),"UNMAPPED"))</f>
        <v/>
      </c>
      <c r="B336" s="6">
        <f>IF(ALLOCATIONS!A330="","",IFERROR(VLOOKUP(ALLOCATIONS!A330,MAPPING!$A$3:$C$302,3,FALSE),ALLOCATIONS!A330))</f>
        <v/>
      </c>
      <c r="C336" s="6">
        <f>IF(ALLOCATIONS!A330="","",IFERROR(VLOOKUP(ALLOCATIONS!B330,MAPPING!$E$3:$G$302,2,FALSE),"UNMAPPED"))</f>
        <v/>
      </c>
      <c r="D336" s="6">
        <f>IF(ALLOCATIONS!A330="","",IFERROR(IF(VLOOKUP(ALLOCATIONS!B330,MAPPING!$E$3:$G$302,3,FALSE)="","",VLOOKUP(ALLOCATIONS!B330,MAPPING!$E$3:$G$302,3,FALSE)),""))</f>
        <v/>
      </c>
      <c r="E336" s="6">
        <f>IF(ALLOCATIONS!A330="","",ALLOCATIONS!C330)</f>
        <v/>
      </c>
      <c r="F336" s="6">
        <f>IF(ALLOCATIONS!A330="","",IF(ALLOCATIONS!D330="",0,ALLOCATIONS!D330))</f>
        <v/>
      </c>
      <c r="G336" s="6">
        <f>IF(ALLOCATIONS!A330="","",SUMIFS(RAW_004!$I$2:$I$10001,RAW_004!$D$2:$D$10001,ALLOCATIONS!A330,RAW_004!$H$2:$H$10001,ALLOCATIONS!B330,RAW_004!$N$2:$N$10001,ALLOCATIONS!C330))</f>
        <v/>
      </c>
      <c r="H336" s="6">
        <f>IF(A336="","",G336-F336)</f>
        <v/>
      </c>
    </row>
    <row r="337">
      <c r="A337" s="6">
        <f>IF(ALLOCATIONS!A331="","",IFERROR(VLOOKUP(ALLOCATIONS!A331,MAPPING!$A$3:$C$302,2,FALSE),"UNMAPPED"))</f>
        <v/>
      </c>
      <c r="B337" s="6">
        <f>IF(ALLOCATIONS!A331="","",IFERROR(VLOOKUP(ALLOCATIONS!A331,MAPPING!$A$3:$C$302,3,FALSE),ALLOCATIONS!A331))</f>
        <v/>
      </c>
      <c r="C337" s="6">
        <f>IF(ALLOCATIONS!A331="","",IFERROR(VLOOKUP(ALLOCATIONS!B331,MAPPING!$E$3:$G$302,2,FALSE),"UNMAPPED"))</f>
        <v/>
      </c>
      <c r="D337" s="6">
        <f>IF(ALLOCATIONS!A331="","",IFERROR(IF(VLOOKUP(ALLOCATIONS!B331,MAPPING!$E$3:$G$302,3,FALSE)="","",VLOOKUP(ALLOCATIONS!B331,MAPPING!$E$3:$G$302,3,FALSE)),""))</f>
        <v/>
      </c>
      <c r="E337" s="6">
        <f>IF(ALLOCATIONS!A331="","",ALLOCATIONS!C331)</f>
        <v/>
      </c>
      <c r="F337" s="6">
        <f>IF(ALLOCATIONS!A331="","",IF(ALLOCATIONS!D331="",0,ALLOCATIONS!D331))</f>
        <v/>
      </c>
      <c r="G337" s="6">
        <f>IF(ALLOCATIONS!A331="","",SUMIFS(RAW_004!$I$2:$I$10001,RAW_004!$D$2:$D$10001,ALLOCATIONS!A331,RAW_004!$H$2:$H$10001,ALLOCATIONS!B331,RAW_004!$N$2:$N$10001,ALLOCATIONS!C331))</f>
        <v/>
      </c>
      <c r="H337" s="6">
        <f>IF(A337="","",G337-F337)</f>
        <v/>
      </c>
    </row>
    <row r="338">
      <c r="A338" s="6">
        <f>IF(ALLOCATIONS!A332="","",IFERROR(VLOOKUP(ALLOCATIONS!A332,MAPPING!$A$3:$C$302,2,FALSE),"UNMAPPED"))</f>
        <v/>
      </c>
      <c r="B338" s="6">
        <f>IF(ALLOCATIONS!A332="","",IFERROR(VLOOKUP(ALLOCATIONS!A332,MAPPING!$A$3:$C$302,3,FALSE),ALLOCATIONS!A332))</f>
        <v/>
      </c>
      <c r="C338" s="6">
        <f>IF(ALLOCATIONS!A332="","",IFERROR(VLOOKUP(ALLOCATIONS!B332,MAPPING!$E$3:$G$302,2,FALSE),"UNMAPPED"))</f>
        <v/>
      </c>
      <c r="D338" s="6">
        <f>IF(ALLOCATIONS!A332="","",IFERROR(IF(VLOOKUP(ALLOCATIONS!B332,MAPPING!$E$3:$G$302,3,FALSE)="","",VLOOKUP(ALLOCATIONS!B332,MAPPING!$E$3:$G$302,3,FALSE)),""))</f>
        <v/>
      </c>
      <c r="E338" s="6">
        <f>IF(ALLOCATIONS!A332="","",ALLOCATIONS!C332)</f>
        <v/>
      </c>
      <c r="F338" s="6">
        <f>IF(ALLOCATIONS!A332="","",IF(ALLOCATIONS!D332="",0,ALLOCATIONS!D332))</f>
        <v/>
      </c>
      <c r="G338" s="6">
        <f>IF(ALLOCATIONS!A332="","",SUMIFS(RAW_004!$I$2:$I$10001,RAW_004!$D$2:$D$10001,ALLOCATIONS!A332,RAW_004!$H$2:$H$10001,ALLOCATIONS!B332,RAW_004!$N$2:$N$10001,ALLOCATIONS!C332))</f>
        <v/>
      </c>
      <c r="H338" s="6">
        <f>IF(A338="","",G338-F338)</f>
        <v/>
      </c>
    </row>
    <row r="339">
      <c r="A339" s="6">
        <f>IF(ALLOCATIONS!A333="","",IFERROR(VLOOKUP(ALLOCATIONS!A333,MAPPING!$A$3:$C$302,2,FALSE),"UNMAPPED"))</f>
        <v/>
      </c>
      <c r="B339" s="6">
        <f>IF(ALLOCATIONS!A333="","",IFERROR(VLOOKUP(ALLOCATIONS!A333,MAPPING!$A$3:$C$302,3,FALSE),ALLOCATIONS!A333))</f>
        <v/>
      </c>
      <c r="C339" s="6">
        <f>IF(ALLOCATIONS!A333="","",IFERROR(VLOOKUP(ALLOCATIONS!B333,MAPPING!$E$3:$G$302,2,FALSE),"UNMAPPED"))</f>
        <v/>
      </c>
      <c r="D339" s="6">
        <f>IF(ALLOCATIONS!A333="","",IFERROR(IF(VLOOKUP(ALLOCATIONS!B333,MAPPING!$E$3:$G$302,3,FALSE)="","",VLOOKUP(ALLOCATIONS!B333,MAPPING!$E$3:$G$302,3,FALSE)),""))</f>
        <v/>
      </c>
      <c r="E339" s="6">
        <f>IF(ALLOCATIONS!A333="","",ALLOCATIONS!C333)</f>
        <v/>
      </c>
      <c r="F339" s="6">
        <f>IF(ALLOCATIONS!A333="","",IF(ALLOCATIONS!D333="",0,ALLOCATIONS!D333))</f>
        <v/>
      </c>
      <c r="G339" s="6">
        <f>IF(ALLOCATIONS!A333="","",SUMIFS(RAW_004!$I$2:$I$10001,RAW_004!$D$2:$D$10001,ALLOCATIONS!A333,RAW_004!$H$2:$H$10001,ALLOCATIONS!B333,RAW_004!$N$2:$N$10001,ALLOCATIONS!C333))</f>
        <v/>
      </c>
      <c r="H339" s="6">
        <f>IF(A339="","",G339-F339)</f>
        <v/>
      </c>
    </row>
    <row r="340">
      <c r="A340" s="6">
        <f>IF(ALLOCATIONS!A334="","",IFERROR(VLOOKUP(ALLOCATIONS!A334,MAPPING!$A$3:$C$302,2,FALSE),"UNMAPPED"))</f>
        <v/>
      </c>
      <c r="B340" s="6">
        <f>IF(ALLOCATIONS!A334="","",IFERROR(VLOOKUP(ALLOCATIONS!A334,MAPPING!$A$3:$C$302,3,FALSE),ALLOCATIONS!A334))</f>
        <v/>
      </c>
      <c r="C340" s="6">
        <f>IF(ALLOCATIONS!A334="","",IFERROR(VLOOKUP(ALLOCATIONS!B334,MAPPING!$E$3:$G$302,2,FALSE),"UNMAPPED"))</f>
        <v/>
      </c>
      <c r="D340" s="6">
        <f>IF(ALLOCATIONS!A334="","",IFERROR(IF(VLOOKUP(ALLOCATIONS!B334,MAPPING!$E$3:$G$302,3,FALSE)="","",VLOOKUP(ALLOCATIONS!B334,MAPPING!$E$3:$G$302,3,FALSE)),""))</f>
        <v/>
      </c>
      <c r="E340" s="6">
        <f>IF(ALLOCATIONS!A334="","",ALLOCATIONS!C334)</f>
        <v/>
      </c>
      <c r="F340" s="6">
        <f>IF(ALLOCATIONS!A334="","",IF(ALLOCATIONS!D334="",0,ALLOCATIONS!D334))</f>
        <v/>
      </c>
      <c r="G340" s="6">
        <f>IF(ALLOCATIONS!A334="","",SUMIFS(RAW_004!$I$2:$I$10001,RAW_004!$D$2:$D$10001,ALLOCATIONS!A334,RAW_004!$H$2:$H$10001,ALLOCATIONS!B334,RAW_004!$N$2:$N$10001,ALLOCATIONS!C334))</f>
        <v/>
      </c>
      <c r="H340" s="6">
        <f>IF(A340="","",G340-F340)</f>
        <v/>
      </c>
    </row>
    <row r="341">
      <c r="A341" s="6">
        <f>IF(ALLOCATIONS!A335="","",IFERROR(VLOOKUP(ALLOCATIONS!A335,MAPPING!$A$3:$C$302,2,FALSE),"UNMAPPED"))</f>
        <v/>
      </c>
      <c r="B341" s="6">
        <f>IF(ALLOCATIONS!A335="","",IFERROR(VLOOKUP(ALLOCATIONS!A335,MAPPING!$A$3:$C$302,3,FALSE),ALLOCATIONS!A335))</f>
        <v/>
      </c>
      <c r="C341" s="6">
        <f>IF(ALLOCATIONS!A335="","",IFERROR(VLOOKUP(ALLOCATIONS!B335,MAPPING!$E$3:$G$302,2,FALSE),"UNMAPPED"))</f>
        <v/>
      </c>
      <c r="D341" s="6">
        <f>IF(ALLOCATIONS!A335="","",IFERROR(IF(VLOOKUP(ALLOCATIONS!B335,MAPPING!$E$3:$G$302,3,FALSE)="","",VLOOKUP(ALLOCATIONS!B335,MAPPING!$E$3:$G$302,3,FALSE)),""))</f>
        <v/>
      </c>
      <c r="E341" s="6">
        <f>IF(ALLOCATIONS!A335="","",ALLOCATIONS!C335)</f>
        <v/>
      </c>
      <c r="F341" s="6">
        <f>IF(ALLOCATIONS!A335="","",IF(ALLOCATIONS!D335="",0,ALLOCATIONS!D335))</f>
        <v/>
      </c>
      <c r="G341" s="6">
        <f>IF(ALLOCATIONS!A335="","",SUMIFS(RAW_004!$I$2:$I$10001,RAW_004!$D$2:$D$10001,ALLOCATIONS!A335,RAW_004!$H$2:$H$10001,ALLOCATIONS!B335,RAW_004!$N$2:$N$10001,ALLOCATIONS!C335))</f>
        <v/>
      </c>
      <c r="H341" s="6">
        <f>IF(A341="","",G341-F341)</f>
        <v/>
      </c>
    </row>
    <row r="342">
      <c r="A342" s="6">
        <f>IF(ALLOCATIONS!A336="","",IFERROR(VLOOKUP(ALLOCATIONS!A336,MAPPING!$A$3:$C$302,2,FALSE),"UNMAPPED"))</f>
        <v/>
      </c>
      <c r="B342" s="6">
        <f>IF(ALLOCATIONS!A336="","",IFERROR(VLOOKUP(ALLOCATIONS!A336,MAPPING!$A$3:$C$302,3,FALSE),ALLOCATIONS!A336))</f>
        <v/>
      </c>
      <c r="C342" s="6">
        <f>IF(ALLOCATIONS!A336="","",IFERROR(VLOOKUP(ALLOCATIONS!B336,MAPPING!$E$3:$G$302,2,FALSE),"UNMAPPED"))</f>
        <v/>
      </c>
      <c r="D342" s="6">
        <f>IF(ALLOCATIONS!A336="","",IFERROR(IF(VLOOKUP(ALLOCATIONS!B336,MAPPING!$E$3:$G$302,3,FALSE)="","",VLOOKUP(ALLOCATIONS!B336,MAPPING!$E$3:$G$302,3,FALSE)),""))</f>
        <v/>
      </c>
      <c r="E342" s="6">
        <f>IF(ALLOCATIONS!A336="","",ALLOCATIONS!C336)</f>
        <v/>
      </c>
      <c r="F342" s="6">
        <f>IF(ALLOCATIONS!A336="","",IF(ALLOCATIONS!D336="",0,ALLOCATIONS!D336))</f>
        <v/>
      </c>
      <c r="G342" s="6">
        <f>IF(ALLOCATIONS!A336="","",SUMIFS(RAW_004!$I$2:$I$10001,RAW_004!$D$2:$D$10001,ALLOCATIONS!A336,RAW_004!$H$2:$H$10001,ALLOCATIONS!B336,RAW_004!$N$2:$N$10001,ALLOCATIONS!C336))</f>
        <v/>
      </c>
      <c r="H342" s="6">
        <f>IF(A342="","",G342-F342)</f>
        <v/>
      </c>
    </row>
    <row r="343">
      <c r="A343" s="6">
        <f>IF(ALLOCATIONS!A337="","",IFERROR(VLOOKUP(ALLOCATIONS!A337,MAPPING!$A$3:$C$302,2,FALSE),"UNMAPPED"))</f>
        <v/>
      </c>
      <c r="B343" s="6">
        <f>IF(ALLOCATIONS!A337="","",IFERROR(VLOOKUP(ALLOCATIONS!A337,MAPPING!$A$3:$C$302,3,FALSE),ALLOCATIONS!A337))</f>
        <v/>
      </c>
      <c r="C343" s="6">
        <f>IF(ALLOCATIONS!A337="","",IFERROR(VLOOKUP(ALLOCATIONS!B337,MAPPING!$E$3:$G$302,2,FALSE),"UNMAPPED"))</f>
        <v/>
      </c>
      <c r="D343" s="6">
        <f>IF(ALLOCATIONS!A337="","",IFERROR(IF(VLOOKUP(ALLOCATIONS!B337,MAPPING!$E$3:$G$302,3,FALSE)="","",VLOOKUP(ALLOCATIONS!B337,MAPPING!$E$3:$G$302,3,FALSE)),""))</f>
        <v/>
      </c>
      <c r="E343" s="6">
        <f>IF(ALLOCATIONS!A337="","",ALLOCATIONS!C337)</f>
        <v/>
      </c>
      <c r="F343" s="6">
        <f>IF(ALLOCATIONS!A337="","",IF(ALLOCATIONS!D337="",0,ALLOCATIONS!D337))</f>
        <v/>
      </c>
      <c r="G343" s="6">
        <f>IF(ALLOCATIONS!A337="","",SUMIFS(RAW_004!$I$2:$I$10001,RAW_004!$D$2:$D$10001,ALLOCATIONS!A337,RAW_004!$H$2:$H$10001,ALLOCATIONS!B337,RAW_004!$N$2:$N$10001,ALLOCATIONS!C337))</f>
        <v/>
      </c>
      <c r="H343" s="6">
        <f>IF(A343="","",G343-F343)</f>
        <v/>
      </c>
    </row>
    <row r="344">
      <c r="A344" s="6">
        <f>IF(ALLOCATIONS!A338="","",IFERROR(VLOOKUP(ALLOCATIONS!A338,MAPPING!$A$3:$C$302,2,FALSE),"UNMAPPED"))</f>
        <v/>
      </c>
      <c r="B344" s="6">
        <f>IF(ALLOCATIONS!A338="","",IFERROR(VLOOKUP(ALLOCATIONS!A338,MAPPING!$A$3:$C$302,3,FALSE),ALLOCATIONS!A338))</f>
        <v/>
      </c>
      <c r="C344" s="6">
        <f>IF(ALLOCATIONS!A338="","",IFERROR(VLOOKUP(ALLOCATIONS!B338,MAPPING!$E$3:$G$302,2,FALSE),"UNMAPPED"))</f>
        <v/>
      </c>
      <c r="D344" s="6">
        <f>IF(ALLOCATIONS!A338="","",IFERROR(IF(VLOOKUP(ALLOCATIONS!B338,MAPPING!$E$3:$G$302,3,FALSE)="","",VLOOKUP(ALLOCATIONS!B338,MAPPING!$E$3:$G$302,3,FALSE)),""))</f>
        <v/>
      </c>
      <c r="E344" s="6">
        <f>IF(ALLOCATIONS!A338="","",ALLOCATIONS!C338)</f>
        <v/>
      </c>
      <c r="F344" s="6">
        <f>IF(ALLOCATIONS!A338="","",IF(ALLOCATIONS!D338="",0,ALLOCATIONS!D338))</f>
        <v/>
      </c>
      <c r="G344" s="6">
        <f>IF(ALLOCATIONS!A338="","",SUMIFS(RAW_004!$I$2:$I$10001,RAW_004!$D$2:$D$10001,ALLOCATIONS!A338,RAW_004!$H$2:$H$10001,ALLOCATIONS!B338,RAW_004!$N$2:$N$10001,ALLOCATIONS!C338))</f>
        <v/>
      </c>
      <c r="H344" s="6">
        <f>IF(A344="","",G344-F344)</f>
        <v/>
      </c>
    </row>
    <row r="345">
      <c r="A345" s="6">
        <f>IF(ALLOCATIONS!A339="","",IFERROR(VLOOKUP(ALLOCATIONS!A339,MAPPING!$A$3:$C$302,2,FALSE),"UNMAPPED"))</f>
        <v/>
      </c>
      <c r="B345" s="6">
        <f>IF(ALLOCATIONS!A339="","",IFERROR(VLOOKUP(ALLOCATIONS!A339,MAPPING!$A$3:$C$302,3,FALSE),ALLOCATIONS!A339))</f>
        <v/>
      </c>
      <c r="C345" s="6">
        <f>IF(ALLOCATIONS!A339="","",IFERROR(VLOOKUP(ALLOCATIONS!B339,MAPPING!$E$3:$G$302,2,FALSE),"UNMAPPED"))</f>
        <v/>
      </c>
      <c r="D345" s="6">
        <f>IF(ALLOCATIONS!A339="","",IFERROR(IF(VLOOKUP(ALLOCATIONS!B339,MAPPING!$E$3:$G$302,3,FALSE)="","",VLOOKUP(ALLOCATIONS!B339,MAPPING!$E$3:$G$302,3,FALSE)),""))</f>
        <v/>
      </c>
      <c r="E345" s="6">
        <f>IF(ALLOCATIONS!A339="","",ALLOCATIONS!C339)</f>
        <v/>
      </c>
      <c r="F345" s="6">
        <f>IF(ALLOCATIONS!A339="","",IF(ALLOCATIONS!D339="",0,ALLOCATIONS!D339))</f>
        <v/>
      </c>
      <c r="G345" s="6">
        <f>IF(ALLOCATIONS!A339="","",SUMIFS(RAW_004!$I$2:$I$10001,RAW_004!$D$2:$D$10001,ALLOCATIONS!A339,RAW_004!$H$2:$H$10001,ALLOCATIONS!B339,RAW_004!$N$2:$N$10001,ALLOCATIONS!C339))</f>
        <v/>
      </c>
      <c r="H345" s="6">
        <f>IF(A345="","",G345-F345)</f>
        <v/>
      </c>
    </row>
    <row r="346">
      <c r="A346" s="6">
        <f>IF(ALLOCATIONS!A340="","",IFERROR(VLOOKUP(ALLOCATIONS!A340,MAPPING!$A$3:$C$302,2,FALSE),"UNMAPPED"))</f>
        <v/>
      </c>
      <c r="B346" s="6">
        <f>IF(ALLOCATIONS!A340="","",IFERROR(VLOOKUP(ALLOCATIONS!A340,MAPPING!$A$3:$C$302,3,FALSE),ALLOCATIONS!A340))</f>
        <v/>
      </c>
      <c r="C346" s="6">
        <f>IF(ALLOCATIONS!A340="","",IFERROR(VLOOKUP(ALLOCATIONS!B340,MAPPING!$E$3:$G$302,2,FALSE),"UNMAPPED"))</f>
        <v/>
      </c>
      <c r="D346" s="6">
        <f>IF(ALLOCATIONS!A340="","",IFERROR(IF(VLOOKUP(ALLOCATIONS!B340,MAPPING!$E$3:$G$302,3,FALSE)="","",VLOOKUP(ALLOCATIONS!B340,MAPPING!$E$3:$G$302,3,FALSE)),""))</f>
        <v/>
      </c>
      <c r="E346" s="6">
        <f>IF(ALLOCATIONS!A340="","",ALLOCATIONS!C340)</f>
        <v/>
      </c>
      <c r="F346" s="6">
        <f>IF(ALLOCATIONS!A340="","",IF(ALLOCATIONS!D340="",0,ALLOCATIONS!D340))</f>
        <v/>
      </c>
      <c r="G346" s="6">
        <f>IF(ALLOCATIONS!A340="","",SUMIFS(RAW_004!$I$2:$I$10001,RAW_004!$D$2:$D$10001,ALLOCATIONS!A340,RAW_004!$H$2:$H$10001,ALLOCATIONS!B340,RAW_004!$N$2:$N$10001,ALLOCATIONS!C340))</f>
        <v/>
      </c>
      <c r="H346" s="6">
        <f>IF(A346="","",G346-F346)</f>
        <v/>
      </c>
    </row>
    <row r="347">
      <c r="A347" s="6">
        <f>IF(ALLOCATIONS!A341="","",IFERROR(VLOOKUP(ALLOCATIONS!A341,MAPPING!$A$3:$C$302,2,FALSE),"UNMAPPED"))</f>
        <v/>
      </c>
      <c r="B347" s="6">
        <f>IF(ALLOCATIONS!A341="","",IFERROR(VLOOKUP(ALLOCATIONS!A341,MAPPING!$A$3:$C$302,3,FALSE),ALLOCATIONS!A341))</f>
        <v/>
      </c>
      <c r="C347" s="6">
        <f>IF(ALLOCATIONS!A341="","",IFERROR(VLOOKUP(ALLOCATIONS!B341,MAPPING!$E$3:$G$302,2,FALSE),"UNMAPPED"))</f>
        <v/>
      </c>
      <c r="D347" s="6">
        <f>IF(ALLOCATIONS!A341="","",IFERROR(IF(VLOOKUP(ALLOCATIONS!B341,MAPPING!$E$3:$G$302,3,FALSE)="","",VLOOKUP(ALLOCATIONS!B341,MAPPING!$E$3:$G$302,3,FALSE)),""))</f>
        <v/>
      </c>
      <c r="E347" s="6">
        <f>IF(ALLOCATIONS!A341="","",ALLOCATIONS!C341)</f>
        <v/>
      </c>
      <c r="F347" s="6">
        <f>IF(ALLOCATIONS!A341="","",IF(ALLOCATIONS!D341="",0,ALLOCATIONS!D341))</f>
        <v/>
      </c>
      <c r="G347" s="6">
        <f>IF(ALLOCATIONS!A341="","",SUMIFS(RAW_004!$I$2:$I$10001,RAW_004!$D$2:$D$10001,ALLOCATIONS!A341,RAW_004!$H$2:$H$10001,ALLOCATIONS!B341,RAW_004!$N$2:$N$10001,ALLOCATIONS!C341))</f>
        <v/>
      </c>
      <c r="H347" s="6">
        <f>IF(A347="","",G347-F347)</f>
        <v/>
      </c>
    </row>
    <row r="348">
      <c r="A348" s="6">
        <f>IF(ALLOCATIONS!A342="","",IFERROR(VLOOKUP(ALLOCATIONS!A342,MAPPING!$A$3:$C$302,2,FALSE),"UNMAPPED"))</f>
        <v/>
      </c>
      <c r="B348" s="6">
        <f>IF(ALLOCATIONS!A342="","",IFERROR(VLOOKUP(ALLOCATIONS!A342,MAPPING!$A$3:$C$302,3,FALSE),ALLOCATIONS!A342))</f>
        <v/>
      </c>
      <c r="C348" s="6">
        <f>IF(ALLOCATIONS!A342="","",IFERROR(VLOOKUP(ALLOCATIONS!B342,MAPPING!$E$3:$G$302,2,FALSE),"UNMAPPED"))</f>
        <v/>
      </c>
      <c r="D348" s="6">
        <f>IF(ALLOCATIONS!A342="","",IFERROR(IF(VLOOKUP(ALLOCATIONS!B342,MAPPING!$E$3:$G$302,3,FALSE)="","",VLOOKUP(ALLOCATIONS!B342,MAPPING!$E$3:$G$302,3,FALSE)),""))</f>
        <v/>
      </c>
      <c r="E348" s="6">
        <f>IF(ALLOCATIONS!A342="","",ALLOCATIONS!C342)</f>
        <v/>
      </c>
      <c r="F348" s="6">
        <f>IF(ALLOCATIONS!A342="","",IF(ALLOCATIONS!D342="",0,ALLOCATIONS!D342))</f>
        <v/>
      </c>
      <c r="G348" s="6">
        <f>IF(ALLOCATIONS!A342="","",SUMIFS(RAW_004!$I$2:$I$10001,RAW_004!$D$2:$D$10001,ALLOCATIONS!A342,RAW_004!$H$2:$H$10001,ALLOCATIONS!B342,RAW_004!$N$2:$N$10001,ALLOCATIONS!C342))</f>
        <v/>
      </c>
      <c r="H348" s="6">
        <f>IF(A348="","",G348-F348)</f>
        <v/>
      </c>
    </row>
    <row r="349">
      <c r="A349" s="6">
        <f>IF(ALLOCATIONS!A343="","",IFERROR(VLOOKUP(ALLOCATIONS!A343,MAPPING!$A$3:$C$302,2,FALSE),"UNMAPPED"))</f>
        <v/>
      </c>
      <c r="B349" s="6">
        <f>IF(ALLOCATIONS!A343="","",IFERROR(VLOOKUP(ALLOCATIONS!A343,MAPPING!$A$3:$C$302,3,FALSE),ALLOCATIONS!A343))</f>
        <v/>
      </c>
      <c r="C349" s="6">
        <f>IF(ALLOCATIONS!A343="","",IFERROR(VLOOKUP(ALLOCATIONS!B343,MAPPING!$E$3:$G$302,2,FALSE),"UNMAPPED"))</f>
        <v/>
      </c>
      <c r="D349" s="6">
        <f>IF(ALLOCATIONS!A343="","",IFERROR(IF(VLOOKUP(ALLOCATIONS!B343,MAPPING!$E$3:$G$302,3,FALSE)="","",VLOOKUP(ALLOCATIONS!B343,MAPPING!$E$3:$G$302,3,FALSE)),""))</f>
        <v/>
      </c>
      <c r="E349" s="6">
        <f>IF(ALLOCATIONS!A343="","",ALLOCATIONS!C343)</f>
        <v/>
      </c>
      <c r="F349" s="6">
        <f>IF(ALLOCATIONS!A343="","",IF(ALLOCATIONS!D343="",0,ALLOCATIONS!D343))</f>
        <v/>
      </c>
      <c r="G349" s="6">
        <f>IF(ALLOCATIONS!A343="","",SUMIFS(RAW_004!$I$2:$I$10001,RAW_004!$D$2:$D$10001,ALLOCATIONS!A343,RAW_004!$H$2:$H$10001,ALLOCATIONS!B343,RAW_004!$N$2:$N$10001,ALLOCATIONS!C343))</f>
        <v/>
      </c>
      <c r="H349" s="6">
        <f>IF(A349="","",G349-F349)</f>
        <v/>
      </c>
    </row>
    <row r="350">
      <c r="A350" s="6">
        <f>IF(ALLOCATIONS!A344="","",IFERROR(VLOOKUP(ALLOCATIONS!A344,MAPPING!$A$3:$C$302,2,FALSE),"UNMAPPED"))</f>
        <v/>
      </c>
      <c r="B350" s="6">
        <f>IF(ALLOCATIONS!A344="","",IFERROR(VLOOKUP(ALLOCATIONS!A344,MAPPING!$A$3:$C$302,3,FALSE),ALLOCATIONS!A344))</f>
        <v/>
      </c>
      <c r="C350" s="6">
        <f>IF(ALLOCATIONS!A344="","",IFERROR(VLOOKUP(ALLOCATIONS!B344,MAPPING!$E$3:$G$302,2,FALSE),"UNMAPPED"))</f>
        <v/>
      </c>
      <c r="D350" s="6">
        <f>IF(ALLOCATIONS!A344="","",IFERROR(IF(VLOOKUP(ALLOCATIONS!B344,MAPPING!$E$3:$G$302,3,FALSE)="","",VLOOKUP(ALLOCATIONS!B344,MAPPING!$E$3:$G$302,3,FALSE)),""))</f>
        <v/>
      </c>
      <c r="E350" s="6">
        <f>IF(ALLOCATIONS!A344="","",ALLOCATIONS!C344)</f>
        <v/>
      </c>
      <c r="F350" s="6">
        <f>IF(ALLOCATIONS!A344="","",IF(ALLOCATIONS!D344="",0,ALLOCATIONS!D344))</f>
        <v/>
      </c>
      <c r="G350" s="6">
        <f>IF(ALLOCATIONS!A344="","",SUMIFS(RAW_004!$I$2:$I$10001,RAW_004!$D$2:$D$10001,ALLOCATIONS!A344,RAW_004!$H$2:$H$10001,ALLOCATIONS!B344,RAW_004!$N$2:$N$10001,ALLOCATIONS!C344))</f>
        <v/>
      </c>
      <c r="H350" s="6">
        <f>IF(A350="","",G350-F350)</f>
        <v/>
      </c>
    </row>
    <row r="351">
      <c r="A351" s="6">
        <f>IF(ALLOCATIONS!A345="","",IFERROR(VLOOKUP(ALLOCATIONS!A345,MAPPING!$A$3:$C$302,2,FALSE),"UNMAPPED"))</f>
        <v/>
      </c>
      <c r="B351" s="6">
        <f>IF(ALLOCATIONS!A345="","",IFERROR(VLOOKUP(ALLOCATIONS!A345,MAPPING!$A$3:$C$302,3,FALSE),ALLOCATIONS!A345))</f>
        <v/>
      </c>
      <c r="C351" s="6">
        <f>IF(ALLOCATIONS!A345="","",IFERROR(VLOOKUP(ALLOCATIONS!B345,MAPPING!$E$3:$G$302,2,FALSE),"UNMAPPED"))</f>
        <v/>
      </c>
      <c r="D351" s="6">
        <f>IF(ALLOCATIONS!A345="","",IFERROR(IF(VLOOKUP(ALLOCATIONS!B345,MAPPING!$E$3:$G$302,3,FALSE)="","",VLOOKUP(ALLOCATIONS!B345,MAPPING!$E$3:$G$302,3,FALSE)),""))</f>
        <v/>
      </c>
      <c r="E351" s="6">
        <f>IF(ALLOCATIONS!A345="","",ALLOCATIONS!C345)</f>
        <v/>
      </c>
      <c r="F351" s="6">
        <f>IF(ALLOCATIONS!A345="","",IF(ALLOCATIONS!D345="",0,ALLOCATIONS!D345))</f>
        <v/>
      </c>
      <c r="G351" s="6">
        <f>IF(ALLOCATIONS!A345="","",SUMIFS(RAW_004!$I$2:$I$10001,RAW_004!$D$2:$D$10001,ALLOCATIONS!A345,RAW_004!$H$2:$H$10001,ALLOCATIONS!B345,RAW_004!$N$2:$N$10001,ALLOCATIONS!C345))</f>
        <v/>
      </c>
      <c r="H351" s="6">
        <f>IF(A351="","",G351-F351)</f>
        <v/>
      </c>
    </row>
    <row r="352">
      <c r="A352" s="6">
        <f>IF(ALLOCATIONS!A346="","",IFERROR(VLOOKUP(ALLOCATIONS!A346,MAPPING!$A$3:$C$302,2,FALSE),"UNMAPPED"))</f>
        <v/>
      </c>
      <c r="B352" s="6">
        <f>IF(ALLOCATIONS!A346="","",IFERROR(VLOOKUP(ALLOCATIONS!A346,MAPPING!$A$3:$C$302,3,FALSE),ALLOCATIONS!A346))</f>
        <v/>
      </c>
      <c r="C352" s="6">
        <f>IF(ALLOCATIONS!A346="","",IFERROR(VLOOKUP(ALLOCATIONS!B346,MAPPING!$E$3:$G$302,2,FALSE),"UNMAPPED"))</f>
        <v/>
      </c>
      <c r="D352" s="6">
        <f>IF(ALLOCATIONS!A346="","",IFERROR(IF(VLOOKUP(ALLOCATIONS!B346,MAPPING!$E$3:$G$302,3,FALSE)="","",VLOOKUP(ALLOCATIONS!B346,MAPPING!$E$3:$G$302,3,FALSE)),""))</f>
        <v/>
      </c>
      <c r="E352" s="6">
        <f>IF(ALLOCATIONS!A346="","",ALLOCATIONS!C346)</f>
        <v/>
      </c>
      <c r="F352" s="6">
        <f>IF(ALLOCATIONS!A346="","",IF(ALLOCATIONS!D346="",0,ALLOCATIONS!D346))</f>
        <v/>
      </c>
      <c r="G352" s="6">
        <f>IF(ALLOCATIONS!A346="","",SUMIFS(RAW_004!$I$2:$I$10001,RAW_004!$D$2:$D$10001,ALLOCATIONS!A346,RAW_004!$H$2:$H$10001,ALLOCATIONS!B346,RAW_004!$N$2:$N$10001,ALLOCATIONS!C346))</f>
        <v/>
      </c>
      <c r="H352" s="6">
        <f>IF(A352="","",G352-F352)</f>
        <v/>
      </c>
    </row>
    <row r="353">
      <c r="A353" s="6">
        <f>IF(ALLOCATIONS!A347="","",IFERROR(VLOOKUP(ALLOCATIONS!A347,MAPPING!$A$3:$C$302,2,FALSE),"UNMAPPED"))</f>
        <v/>
      </c>
      <c r="B353" s="6">
        <f>IF(ALLOCATIONS!A347="","",IFERROR(VLOOKUP(ALLOCATIONS!A347,MAPPING!$A$3:$C$302,3,FALSE),ALLOCATIONS!A347))</f>
        <v/>
      </c>
      <c r="C353" s="6">
        <f>IF(ALLOCATIONS!A347="","",IFERROR(VLOOKUP(ALLOCATIONS!B347,MAPPING!$E$3:$G$302,2,FALSE),"UNMAPPED"))</f>
        <v/>
      </c>
      <c r="D353" s="6">
        <f>IF(ALLOCATIONS!A347="","",IFERROR(IF(VLOOKUP(ALLOCATIONS!B347,MAPPING!$E$3:$G$302,3,FALSE)="","",VLOOKUP(ALLOCATIONS!B347,MAPPING!$E$3:$G$302,3,FALSE)),""))</f>
        <v/>
      </c>
      <c r="E353" s="6">
        <f>IF(ALLOCATIONS!A347="","",ALLOCATIONS!C347)</f>
        <v/>
      </c>
      <c r="F353" s="6">
        <f>IF(ALLOCATIONS!A347="","",IF(ALLOCATIONS!D347="",0,ALLOCATIONS!D347))</f>
        <v/>
      </c>
      <c r="G353" s="6">
        <f>IF(ALLOCATIONS!A347="","",SUMIFS(RAW_004!$I$2:$I$10001,RAW_004!$D$2:$D$10001,ALLOCATIONS!A347,RAW_004!$H$2:$H$10001,ALLOCATIONS!B347,RAW_004!$N$2:$N$10001,ALLOCATIONS!C347))</f>
        <v/>
      </c>
      <c r="H353" s="6">
        <f>IF(A353="","",G353-F353)</f>
        <v/>
      </c>
    </row>
    <row r="354">
      <c r="A354" s="6">
        <f>IF(ALLOCATIONS!A348="","",IFERROR(VLOOKUP(ALLOCATIONS!A348,MAPPING!$A$3:$C$302,2,FALSE),"UNMAPPED"))</f>
        <v/>
      </c>
      <c r="B354" s="6">
        <f>IF(ALLOCATIONS!A348="","",IFERROR(VLOOKUP(ALLOCATIONS!A348,MAPPING!$A$3:$C$302,3,FALSE),ALLOCATIONS!A348))</f>
        <v/>
      </c>
      <c r="C354" s="6">
        <f>IF(ALLOCATIONS!A348="","",IFERROR(VLOOKUP(ALLOCATIONS!B348,MAPPING!$E$3:$G$302,2,FALSE),"UNMAPPED"))</f>
        <v/>
      </c>
      <c r="D354" s="6">
        <f>IF(ALLOCATIONS!A348="","",IFERROR(IF(VLOOKUP(ALLOCATIONS!B348,MAPPING!$E$3:$G$302,3,FALSE)="","",VLOOKUP(ALLOCATIONS!B348,MAPPING!$E$3:$G$302,3,FALSE)),""))</f>
        <v/>
      </c>
      <c r="E354" s="6">
        <f>IF(ALLOCATIONS!A348="","",ALLOCATIONS!C348)</f>
        <v/>
      </c>
      <c r="F354" s="6">
        <f>IF(ALLOCATIONS!A348="","",IF(ALLOCATIONS!D348="",0,ALLOCATIONS!D348))</f>
        <v/>
      </c>
      <c r="G354" s="6">
        <f>IF(ALLOCATIONS!A348="","",SUMIFS(RAW_004!$I$2:$I$10001,RAW_004!$D$2:$D$10001,ALLOCATIONS!A348,RAW_004!$H$2:$H$10001,ALLOCATIONS!B348,RAW_004!$N$2:$N$10001,ALLOCATIONS!C348))</f>
        <v/>
      </c>
      <c r="H354" s="6">
        <f>IF(A354="","",G354-F354)</f>
        <v/>
      </c>
    </row>
    <row r="355">
      <c r="A355" s="6">
        <f>IF(ALLOCATIONS!A349="","",IFERROR(VLOOKUP(ALLOCATIONS!A349,MAPPING!$A$3:$C$302,2,FALSE),"UNMAPPED"))</f>
        <v/>
      </c>
      <c r="B355" s="6">
        <f>IF(ALLOCATIONS!A349="","",IFERROR(VLOOKUP(ALLOCATIONS!A349,MAPPING!$A$3:$C$302,3,FALSE),ALLOCATIONS!A349))</f>
        <v/>
      </c>
      <c r="C355" s="6">
        <f>IF(ALLOCATIONS!A349="","",IFERROR(VLOOKUP(ALLOCATIONS!B349,MAPPING!$E$3:$G$302,2,FALSE),"UNMAPPED"))</f>
        <v/>
      </c>
      <c r="D355" s="6">
        <f>IF(ALLOCATIONS!A349="","",IFERROR(IF(VLOOKUP(ALLOCATIONS!B349,MAPPING!$E$3:$G$302,3,FALSE)="","",VLOOKUP(ALLOCATIONS!B349,MAPPING!$E$3:$G$302,3,FALSE)),""))</f>
        <v/>
      </c>
      <c r="E355" s="6">
        <f>IF(ALLOCATIONS!A349="","",ALLOCATIONS!C349)</f>
        <v/>
      </c>
      <c r="F355" s="6">
        <f>IF(ALLOCATIONS!A349="","",IF(ALLOCATIONS!D349="",0,ALLOCATIONS!D349))</f>
        <v/>
      </c>
      <c r="G355" s="6">
        <f>IF(ALLOCATIONS!A349="","",SUMIFS(RAW_004!$I$2:$I$10001,RAW_004!$D$2:$D$10001,ALLOCATIONS!A349,RAW_004!$H$2:$H$10001,ALLOCATIONS!B349,RAW_004!$N$2:$N$10001,ALLOCATIONS!C349))</f>
        <v/>
      </c>
      <c r="H355" s="6">
        <f>IF(A355="","",G355-F355)</f>
        <v/>
      </c>
    </row>
    <row r="356">
      <c r="A356" s="6">
        <f>IF(ALLOCATIONS!A350="","",IFERROR(VLOOKUP(ALLOCATIONS!A350,MAPPING!$A$3:$C$302,2,FALSE),"UNMAPPED"))</f>
        <v/>
      </c>
      <c r="B356" s="6">
        <f>IF(ALLOCATIONS!A350="","",IFERROR(VLOOKUP(ALLOCATIONS!A350,MAPPING!$A$3:$C$302,3,FALSE),ALLOCATIONS!A350))</f>
        <v/>
      </c>
      <c r="C356" s="6">
        <f>IF(ALLOCATIONS!A350="","",IFERROR(VLOOKUP(ALLOCATIONS!B350,MAPPING!$E$3:$G$302,2,FALSE),"UNMAPPED"))</f>
        <v/>
      </c>
      <c r="D356" s="6">
        <f>IF(ALLOCATIONS!A350="","",IFERROR(IF(VLOOKUP(ALLOCATIONS!B350,MAPPING!$E$3:$G$302,3,FALSE)="","",VLOOKUP(ALLOCATIONS!B350,MAPPING!$E$3:$G$302,3,FALSE)),""))</f>
        <v/>
      </c>
      <c r="E356" s="6">
        <f>IF(ALLOCATIONS!A350="","",ALLOCATIONS!C350)</f>
        <v/>
      </c>
      <c r="F356" s="6">
        <f>IF(ALLOCATIONS!A350="","",IF(ALLOCATIONS!D350="",0,ALLOCATIONS!D350))</f>
        <v/>
      </c>
      <c r="G356" s="6">
        <f>IF(ALLOCATIONS!A350="","",SUMIFS(RAW_004!$I$2:$I$10001,RAW_004!$D$2:$D$10001,ALLOCATIONS!A350,RAW_004!$H$2:$H$10001,ALLOCATIONS!B350,RAW_004!$N$2:$N$10001,ALLOCATIONS!C350))</f>
        <v/>
      </c>
      <c r="H356" s="6">
        <f>IF(A356="","",G356-F356)</f>
        <v/>
      </c>
    </row>
    <row r="357">
      <c r="A357" s="6">
        <f>IF(ALLOCATIONS!A351="","",IFERROR(VLOOKUP(ALLOCATIONS!A351,MAPPING!$A$3:$C$302,2,FALSE),"UNMAPPED"))</f>
        <v/>
      </c>
      <c r="B357" s="6">
        <f>IF(ALLOCATIONS!A351="","",IFERROR(VLOOKUP(ALLOCATIONS!A351,MAPPING!$A$3:$C$302,3,FALSE),ALLOCATIONS!A351))</f>
        <v/>
      </c>
      <c r="C357" s="6">
        <f>IF(ALLOCATIONS!A351="","",IFERROR(VLOOKUP(ALLOCATIONS!B351,MAPPING!$E$3:$G$302,2,FALSE),"UNMAPPED"))</f>
        <v/>
      </c>
      <c r="D357" s="6">
        <f>IF(ALLOCATIONS!A351="","",IFERROR(IF(VLOOKUP(ALLOCATIONS!B351,MAPPING!$E$3:$G$302,3,FALSE)="","",VLOOKUP(ALLOCATIONS!B351,MAPPING!$E$3:$G$302,3,FALSE)),""))</f>
        <v/>
      </c>
      <c r="E357" s="6">
        <f>IF(ALLOCATIONS!A351="","",ALLOCATIONS!C351)</f>
        <v/>
      </c>
      <c r="F357" s="6">
        <f>IF(ALLOCATIONS!A351="","",IF(ALLOCATIONS!D351="",0,ALLOCATIONS!D351))</f>
        <v/>
      </c>
      <c r="G357" s="6">
        <f>IF(ALLOCATIONS!A351="","",SUMIFS(RAW_004!$I$2:$I$10001,RAW_004!$D$2:$D$10001,ALLOCATIONS!A351,RAW_004!$H$2:$H$10001,ALLOCATIONS!B351,RAW_004!$N$2:$N$10001,ALLOCATIONS!C351))</f>
        <v/>
      </c>
      <c r="H357" s="6">
        <f>IF(A357="","",G357-F357)</f>
        <v/>
      </c>
    </row>
    <row r="358">
      <c r="A358" s="6">
        <f>IF(ALLOCATIONS!A352="","",IFERROR(VLOOKUP(ALLOCATIONS!A352,MAPPING!$A$3:$C$302,2,FALSE),"UNMAPPED"))</f>
        <v/>
      </c>
      <c r="B358" s="6">
        <f>IF(ALLOCATIONS!A352="","",IFERROR(VLOOKUP(ALLOCATIONS!A352,MAPPING!$A$3:$C$302,3,FALSE),ALLOCATIONS!A352))</f>
        <v/>
      </c>
      <c r="C358" s="6">
        <f>IF(ALLOCATIONS!A352="","",IFERROR(VLOOKUP(ALLOCATIONS!B352,MAPPING!$E$3:$G$302,2,FALSE),"UNMAPPED"))</f>
        <v/>
      </c>
      <c r="D358" s="6">
        <f>IF(ALLOCATIONS!A352="","",IFERROR(IF(VLOOKUP(ALLOCATIONS!B352,MAPPING!$E$3:$G$302,3,FALSE)="","",VLOOKUP(ALLOCATIONS!B352,MAPPING!$E$3:$G$302,3,FALSE)),""))</f>
        <v/>
      </c>
      <c r="E358" s="6">
        <f>IF(ALLOCATIONS!A352="","",ALLOCATIONS!C352)</f>
        <v/>
      </c>
      <c r="F358" s="6">
        <f>IF(ALLOCATIONS!A352="","",IF(ALLOCATIONS!D352="",0,ALLOCATIONS!D352))</f>
        <v/>
      </c>
      <c r="G358" s="6">
        <f>IF(ALLOCATIONS!A352="","",SUMIFS(RAW_004!$I$2:$I$10001,RAW_004!$D$2:$D$10001,ALLOCATIONS!A352,RAW_004!$H$2:$H$10001,ALLOCATIONS!B352,RAW_004!$N$2:$N$10001,ALLOCATIONS!C352))</f>
        <v/>
      </c>
      <c r="H358" s="6">
        <f>IF(A358="","",G358-F358)</f>
        <v/>
      </c>
    </row>
    <row r="359">
      <c r="A359" s="6">
        <f>IF(ALLOCATIONS!A353="","",IFERROR(VLOOKUP(ALLOCATIONS!A353,MAPPING!$A$3:$C$302,2,FALSE),"UNMAPPED"))</f>
        <v/>
      </c>
      <c r="B359" s="6">
        <f>IF(ALLOCATIONS!A353="","",IFERROR(VLOOKUP(ALLOCATIONS!A353,MAPPING!$A$3:$C$302,3,FALSE),ALLOCATIONS!A353))</f>
        <v/>
      </c>
      <c r="C359" s="6">
        <f>IF(ALLOCATIONS!A353="","",IFERROR(VLOOKUP(ALLOCATIONS!B353,MAPPING!$E$3:$G$302,2,FALSE),"UNMAPPED"))</f>
        <v/>
      </c>
      <c r="D359" s="6">
        <f>IF(ALLOCATIONS!A353="","",IFERROR(IF(VLOOKUP(ALLOCATIONS!B353,MAPPING!$E$3:$G$302,3,FALSE)="","",VLOOKUP(ALLOCATIONS!B353,MAPPING!$E$3:$G$302,3,FALSE)),""))</f>
        <v/>
      </c>
      <c r="E359" s="6">
        <f>IF(ALLOCATIONS!A353="","",ALLOCATIONS!C353)</f>
        <v/>
      </c>
      <c r="F359" s="6">
        <f>IF(ALLOCATIONS!A353="","",IF(ALLOCATIONS!D353="",0,ALLOCATIONS!D353))</f>
        <v/>
      </c>
      <c r="G359" s="6">
        <f>IF(ALLOCATIONS!A353="","",SUMIFS(RAW_004!$I$2:$I$10001,RAW_004!$D$2:$D$10001,ALLOCATIONS!A353,RAW_004!$H$2:$H$10001,ALLOCATIONS!B353,RAW_004!$N$2:$N$10001,ALLOCATIONS!C353))</f>
        <v/>
      </c>
      <c r="H359" s="6">
        <f>IF(A359="","",G359-F359)</f>
        <v/>
      </c>
    </row>
    <row r="360">
      <c r="A360" s="6">
        <f>IF(ALLOCATIONS!A354="","",IFERROR(VLOOKUP(ALLOCATIONS!A354,MAPPING!$A$3:$C$302,2,FALSE),"UNMAPPED"))</f>
        <v/>
      </c>
      <c r="B360" s="6">
        <f>IF(ALLOCATIONS!A354="","",IFERROR(VLOOKUP(ALLOCATIONS!A354,MAPPING!$A$3:$C$302,3,FALSE),ALLOCATIONS!A354))</f>
        <v/>
      </c>
      <c r="C360" s="6">
        <f>IF(ALLOCATIONS!A354="","",IFERROR(VLOOKUP(ALLOCATIONS!B354,MAPPING!$E$3:$G$302,2,FALSE),"UNMAPPED"))</f>
        <v/>
      </c>
      <c r="D360" s="6">
        <f>IF(ALLOCATIONS!A354="","",IFERROR(IF(VLOOKUP(ALLOCATIONS!B354,MAPPING!$E$3:$G$302,3,FALSE)="","",VLOOKUP(ALLOCATIONS!B354,MAPPING!$E$3:$G$302,3,FALSE)),""))</f>
        <v/>
      </c>
      <c r="E360" s="6">
        <f>IF(ALLOCATIONS!A354="","",ALLOCATIONS!C354)</f>
        <v/>
      </c>
      <c r="F360" s="6">
        <f>IF(ALLOCATIONS!A354="","",IF(ALLOCATIONS!D354="",0,ALLOCATIONS!D354))</f>
        <v/>
      </c>
      <c r="G360" s="6">
        <f>IF(ALLOCATIONS!A354="","",SUMIFS(RAW_004!$I$2:$I$10001,RAW_004!$D$2:$D$10001,ALLOCATIONS!A354,RAW_004!$H$2:$H$10001,ALLOCATIONS!B354,RAW_004!$N$2:$N$10001,ALLOCATIONS!C354))</f>
        <v/>
      </c>
      <c r="H360" s="6">
        <f>IF(A360="","",G360-F360)</f>
        <v/>
      </c>
    </row>
    <row r="361">
      <c r="A361" s="6">
        <f>IF(ALLOCATIONS!A355="","",IFERROR(VLOOKUP(ALLOCATIONS!A355,MAPPING!$A$3:$C$302,2,FALSE),"UNMAPPED"))</f>
        <v/>
      </c>
      <c r="B361" s="6">
        <f>IF(ALLOCATIONS!A355="","",IFERROR(VLOOKUP(ALLOCATIONS!A355,MAPPING!$A$3:$C$302,3,FALSE),ALLOCATIONS!A355))</f>
        <v/>
      </c>
      <c r="C361" s="6">
        <f>IF(ALLOCATIONS!A355="","",IFERROR(VLOOKUP(ALLOCATIONS!B355,MAPPING!$E$3:$G$302,2,FALSE),"UNMAPPED"))</f>
        <v/>
      </c>
      <c r="D361" s="6">
        <f>IF(ALLOCATIONS!A355="","",IFERROR(IF(VLOOKUP(ALLOCATIONS!B355,MAPPING!$E$3:$G$302,3,FALSE)="","",VLOOKUP(ALLOCATIONS!B355,MAPPING!$E$3:$G$302,3,FALSE)),""))</f>
        <v/>
      </c>
      <c r="E361" s="6">
        <f>IF(ALLOCATIONS!A355="","",ALLOCATIONS!C355)</f>
        <v/>
      </c>
      <c r="F361" s="6">
        <f>IF(ALLOCATIONS!A355="","",IF(ALLOCATIONS!D355="",0,ALLOCATIONS!D355))</f>
        <v/>
      </c>
      <c r="G361" s="6">
        <f>IF(ALLOCATIONS!A355="","",SUMIFS(RAW_004!$I$2:$I$10001,RAW_004!$D$2:$D$10001,ALLOCATIONS!A355,RAW_004!$H$2:$H$10001,ALLOCATIONS!B355,RAW_004!$N$2:$N$10001,ALLOCATIONS!C355))</f>
        <v/>
      </c>
      <c r="H361" s="6">
        <f>IF(A361="","",G361-F361)</f>
        <v/>
      </c>
    </row>
    <row r="362">
      <c r="A362" s="6">
        <f>IF(ALLOCATIONS!A356="","",IFERROR(VLOOKUP(ALLOCATIONS!A356,MAPPING!$A$3:$C$302,2,FALSE),"UNMAPPED"))</f>
        <v/>
      </c>
      <c r="B362" s="6">
        <f>IF(ALLOCATIONS!A356="","",IFERROR(VLOOKUP(ALLOCATIONS!A356,MAPPING!$A$3:$C$302,3,FALSE),ALLOCATIONS!A356))</f>
        <v/>
      </c>
      <c r="C362" s="6">
        <f>IF(ALLOCATIONS!A356="","",IFERROR(VLOOKUP(ALLOCATIONS!B356,MAPPING!$E$3:$G$302,2,FALSE),"UNMAPPED"))</f>
        <v/>
      </c>
      <c r="D362" s="6">
        <f>IF(ALLOCATIONS!A356="","",IFERROR(IF(VLOOKUP(ALLOCATIONS!B356,MAPPING!$E$3:$G$302,3,FALSE)="","",VLOOKUP(ALLOCATIONS!B356,MAPPING!$E$3:$G$302,3,FALSE)),""))</f>
        <v/>
      </c>
      <c r="E362" s="6">
        <f>IF(ALLOCATIONS!A356="","",ALLOCATIONS!C356)</f>
        <v/>
      </c>
      <c r="F362" s="6">
        <f>IF(ALLOCATIONS!A356="","",IF(ALLOCATIONS!D356="",0,ALLOCATIONS!D356))</f>
        <v/>
      </c>
      <c r="G362" s="6">
        <f>IF(ALLOCATIONS!A356="","",SUMIFS(RAW_004!$I$2:$I$10001,RAW_004!$D$2:$D$10001,ALLOCATIONS!A356,RAW_004!$H$2:$H$10001,ALLOCATIONS!B356,RAW_004!$N$2:$N$10001,ALLOCATIONS!C356))</f>
        <v/>
      </c>
      <c r="H362" s="6">
        <f>IF(A362="","",G362-F362)</f>
        <v/>
      </c>
    </row>
    <row r="363">
      <c r="A363" s="6">
        <f>IF(ALLOCATIONS!A357="","",IFERROR(VLOOKUP(ALLOCATIONS!A357,MAPPING!$A$3:$C$302,2,FALSE),"UNMAPPED"))</f>
        <v/>
      </c>
      <c r="B363" s="6">
        <f>IF(ALLOCATIONS!A357="","",IFERROR(VLOOKUP(ALLOCATIONS!A357,MAPPING!$A$3:$C$302,3,FALSE),ALLOCATIONS!A357))</f>
        <v/>
      </c>
      <c r="C363" s="6">
        <f>IF(ALLOCATIONS!A357="","",IFERROR(VLOOKUP(ALLOCATIONS!B357,MAPPING!$E$3:$G$302,2,FALSE),"UNMAPPED"))</f>
        <v/>
      </c>
      <c r="D363" s="6">
        <f>IF(ALLOCATIONS!A357="","",IFERROR(IF(VLOOKUP(ALLOCATIONS!B357,MAPPING!$E$3:$G$302,3,FALSE)="","",VLOOKUP(ALLOCATIONS!B357,MAPPING!$E$3:$G$302,3,FALSE)),""))</f>
        <v/>
      </c>
      <c r="E363" s="6">
        <f>IF(ALLOCATIONS!A357="","",ALLOCATIONS!C357)</f>
        <v/>
      </c>
      <c r="F363" s="6">
        <f>IF(ALLOCATIONS!A357="","",IF(ALLOCATIONS!D357="",0,ALLOCATIONS!D357))</f>
        <v/>
      </c>
      <c r="G363" s="6">
        <f>IF(ALLOCATIONS!A357="","",SUMIFS(RAW_004!$I$2:$I$10001,RAW_004!$D$2:$D$10001,ALLOCATIONS!A357,RAW_004!$H$2:$H$10001,ALLOCATIONS!B357,RAW_004!$N$2:$N$10001,ALLOCATIONS!C357))</f>
        <v/>
      </c>
      <c r="H363" s="6">
        <f>IF(A363="","",G363-F363)</f>
        <v/>
      </c>
    </row>
    <row r="364">
      <c r="A364" s="6">
        <f>IF(ALLOCATIONS!A358="","",IFERROR(VLOOKUP(ALLOCATIONS!A358,MAPPING!$A$3:$C$302,2,FALSE),"UNMAPPED"))</f>
        <v/>
      </c>
      <c r="B364" s="6">
        <f>IF(ALLOCATIONS!A358="","",IFERROR(VLOOKUP(ALLOCATIONS!A358,MAPPING!$A$3:$C$302,3,FALSE),ALLOCATIONS!A358))</f>
        <v/>
      </c>
      <c r="C364" s="6">
        <f>IF(ALLOCATIONS!A358="","",IFERROR(VLOOKUP(ALLOCATIONS!B358,MAPPING!$E$3:$G$302,2,FALSE),"UNMAPPED"))</f>
        <v/>
      </c>
      <c r="D364" s="6">
        <f>IF(ALLOCATIONS!A358="","",IFERROR(IF(VLOOKUP(ALLOCATIONS!B358,MAPPING!$E$3:$G$302,3,FALSE)="","",VLOOKUP(ALLOCATIONS!B358,MAPPING!$E$3:$G$302,3,FALSE)),""))</f>
        <v/>
      </c>
      <c r="E364" s="6">
        <f>IF(ALLOCATIONS!A358="","",ALLOCATIONS!C358)</f>
        <v/>
      </c>
      <c r="F364" s="6">
        <f>IF(ALLOCATIONS!A358="","",IF(ALLOCATIONS!D358="",0,ALLOCATIONS!D358))</f>
        <v/>
      </c>
      <c r="G364" s="6">
        <f>IF(ALLOCATIONS!A358="","",SUMIFS(RAW_004!$I$2:$I$10001,RAW_004!$D$2:$D$10001,ALLOCATIONS!A358,RAW_004!$H$2:$H$10001,ALLOCATIONS!B358,RAW_004!$N$2:$N$10001,ALLOCATIONS!C358))</f>
        <v/>
      </c>
      <c r="H364" s="6">
        <f>IF(A364="","",G364-F364)</f>
        <v/>
      </c>
    </row>
    <row r="365">
      <c r="A365" s="6">
        <f>IF(ALLOCATIONS!A359="","",IFERROR(VLOOKUP(ALLOCATIONS!A359,MAPPING!$A$3:$C$302,2,FALSE),"UNMAPPED"))</f>
        <v/>
      </c>
      <c r="B365" s="6">
        <f>IF(ALLOCATIONS!A359="","",IFERROR(VLOOKUP(ALLOCATIONS!A359,MAPPING!$A$3:$C$302,3,FALSE),ALLOCATIONS!A359))</f>
        <v/>
      </c>
      <c r="C365" s="6">
        <f>IF(ALLOCATIONS!A359="","",IFERROR(VLOOKUP(ALLOCATIONS!B359,MAPPING!$E$3:$G$302,2,FALSE),"UNMAPPED"))</f>
        <v/>
      </c>
      <c r="D365" s="6">
        <f>IF(ALLOCATIONS!A359="","",IFERROR(IF(VLOOKUP(ALLOCATIONS!B359,MAPPING!$E$3:$G$302,3,FALSE)="","",VLOOKUP(ALLOCATIONS!B359,MAPPING!$E$3:$G$302,3,FALSE)),""))</f>
        <v/>
      </c>
      <c r="E365" s="6">
        <f>IF(ALLOCATIONS!A359="","",ALLOCATIONS!C359)</f>
        <v/>
      </c>
      <c r="F365" s="6">
        <f>IF(ALLOCATIONS!A359="","",IF(ALLOCATIONS!D359="",0,ALLOCATIONS!D359))</f>
        <v/>
      </c>
      <c r="G365" s="6">
        <f>IF(ALLOCATIONS!A359="","",SUMIFS(RAW_004!$I$2:$I$10001,RAW_004!$D$2:$D$10001,ALLOCATIONS!A359,RAW_004!$H$2:$H$10001,ALLOCATIONS!B359,RAW_004!$N$2:$N$10001,ALLOCATIONS!C359))</f>
        <v/>
      </c>
      <c r="H365" s="6">
        <f>IF(A365="","",G365-F365)</f>
        <v/>
      </c>
    </row>
    <row r="366">
      <c r="A366" s="6">
        <f>IF(ALLOCATIONS!A360="","",IFERROR(VLOOKUP(ALLOCATIONS!A360,MAPPING!$A$3:$C$302,2,FALSE),"UNMAPPED"))</f>
        <v/>
      </c>
      <c r="B366" s="6">
        <f>IF(ALLOCATIONS!A360="","",IFERROR(VLOOKUP(ALLOCATIONS!A360,MAPPING!$A$3:$C$302,3,FALSE),ALLOCATIONS!A360))</f>
        <v/>
      </c>
      <c r="C366" s="6">
        <f>IF(ALLOCATIONS!A360="","",IFERROR(VLOOKUP(ALLOCATIONS!B360,MAPPING!$E$3:$G$302,2,FALSE),"UNMAPPED"))</f>
        <v/>
      </c>
      <c r="D366" s="6">
        <f>IF(ALLOCATIONS!A360="","",IFERROR(IF(VLOOKUP(ALLOCATIONS!B360,MAPPING!$E$3:$G$302,3,FALSE)="","",VLOOKUP(ALLOCATIONS!B360,MAPPING!$E$3:$G$302,3,FALSE)),""))</f>
        <v/>
      </c>
      <c r="E366" s="6">
        <f>IF(ALLOCATIONS!A360="","",ALLOCATIONS!C360)</f>
        <v/>
      </c>
      <c r="F366" s="6">
        <f>IF(ALLOCATIONS!A360="","",IF(ALLOCATIONS!D360="",0,ALLOCATIONS!D360))</f>
        <v/>
      </c>
      <c r="G366" s="6">
        <f>IF(ALLOCATIONS!A360="","",SUMIFS(RAW_004!$I$2:$I$10001,RAW_004!$D$2:$D$10001,ALLOCATIONS!A360,RAW_004!$H$2:$H$10001,ALLOCATIONS!B360,RAW_004!$N$2:$N$10001,ALLOCATIONS!C360))</f>
        <v/>
      </c>
      <c r="H366" s="6">
        <f>IF(A366="","",G366-F366)</f>
        <v/>
      </c>
    </row>
    <row r="367">
      <c r="A367" s="6">
        <f>IF(ALLOCATIONS!A361="","",IFERROR(VLOOKUP(ALLOCATIONS!A361,MAPPING!$A$3:$C$302,2,FALSE),"UNMAPPED"))</f>
        <v/>
      </c>
      <c r="B367" s="6">
        <f>IF(ALLOCATIONS!A361="","",IFERROR(VLOOKUP(ALLOCATIONS!A361,MAPPING!$A$3:$C$302,3,FALSE),ALLOCATIONS!A361))</f>
        <v/>
      </c>
      <c r="C367" s="6">
        <f>IF(ALLOCATIONS!A361="","",IFERROR(VLOOKUP(ALLOCATIONS!B361,MAPPING!$E$3:$G$302,2,FALSE),"UNMAPPED"))</f>
        <v/>
      </c>
      <c r="D367" s="6">
        <f>IF(ALLOCATIONS!A361="","",IFERROR(IF(VLOOKUP(ALLOCATIONS!B361,MAPPING!$E$3:$G$302,3,FALSE)="","",VLOOKUP(ALLOCATIONS!B361,MAPPING!$E$3:$G$302,3,FALSE)),""))</f>
        <v/>
      </c>
      <c r="E367" s="6">
        <f>IF(ALLOCATIONS!A361="","",ALLOCATIONS!C361)</f>
        <v/>
      </c>
      <c r="F367" s="6">
        <f>IF(ALLOCATIONS!A361="","",IF(ALLOCATIONS!D361="",0,ALLOCATIONS!D361))</f>
        <v/>
      </c>
      <c r="G367" s="6">
        <f>IF(ALLOCATIONS!A361="","",SUMIFS(RAW_004!$I$2:$I$10001,RAW_004!$D$2:$D$10001,ALLOCATIONS!A361,RAW_004!$H$2:$H$10001,ALLOCATIONS!B361,RAW_004!$N$2:$N$10001,ALLOCATIONS!C361))</f>
        <v/>
      </c>
      <c r="H367" s="6">
        <f>IF(A367="","",G367-F367)</f>
        <v/>
      </c>
    </row>
    <row r="368">
      <c r="A368" s="6">
        <f>IF(ALLOCATIONS!A362="","",IFERROR(VLOOKUP(ALLOCATIONS!A362,MAPPING!$A$3:$C$302,2,FALSE),"UNMAPPED"))</f>
        <v/>
      </c>
      <c r="B368" s="6">
        <f>IF(ALLOCATIONS!A362="","",IFERROR(VLOOKUP(ALLOCATIONS!A362,MAPPING!$A$3:$C$302,3,FALSE),ALLOCATIONS!A362))</f>
        <v/>
      </c>
      <c r="C368" s="6">
        <f>IF(ALLOCATIONS!A362="","",IFERROR(VLOOKUP(ALLOCATIONS!B362,MAPPING!$E$3:$G$302,2,FALSE),"UNMAPPED"))</f>
        <v/>
      </c>
      <c r="D368" s="6">
        <f>IF(ALLOCATIONS!A362="","",IFERROR(IF(VLOOKUP(ALLOCATIONS!B362,MAPPING!$E$3:$G$302,3,FALSE)="","",VLOOKUP(ALLOCATIONS!B362,MAPPING!$E$3:$G$302,3,FALSE)),""))</f>
        <v/>
      </c>
      <c r="E368" s="6">
        <f>IF(ALLOCATIONS!A362="","",ALLOCATIONS!C362)</f>
        <v/>
      </c>
      <c r="F368" s="6">
        <f>IF(ALLOCATIONS!A362="","",IF(ALLOCATIONS!D362="",0,ALLOCATIONS!D362))</f>
        <v/>
      </c>
      <c r="G368" s="6">
        <f>IF(ALLOCATIONS!A362="","",SUMIFS(RAW_004!$I$2:$I$10001,RAW_004!$D$2:$D$10001,ALLOCATIONS!A362,RAW_004!$H$2:$H$10001,ALLOCATIONS!B362,RAW_004!$N$2:$N$10001,ALLOCATIONS!C362))</f>
        <v/>
      </c>
      <c r="H368" s="6">
        <f>IF(A368="","",G368-F368)</f>
        <v/>
      </c>
    </row>
    <row r="369">
      <c r="A369" s="6">
        <f>IF(ALLOCATIONS!A363="","",IFERROR(VLOOKUP(ALLOCATIONS!A363,MAPPING!$A$3:$C$302,2,FALSE),"UNMAPPED"))</f>
        <v/>
      </c>
      <c r="B369" s="6">
        <f>IF(ALLOCATIONS!A363="","",IFERROR(VLOOKUP(ALLOCATIONS!A363,MAPPING!$A$3:$C$302,3,FALSE),ALLOCATIONS!A363))</f>
        <v/>
      </c>
      <c r="C369" s="6">
        <f>IF(ALLOCATIONS!A363="","",IFERROR(VLOOKUP(ALLOCATIONS!B363,MAPPING!$E$3:$G$302,2,FALSE),"UNMAPPED"))</f>
        <v/>
      </c>
      <c r="D369" s="6">
        <f>IF(ALLOCATIONS!A363="","",IFERROR(IF(VLOOKUP(ALLOCATIONS!B363,MAPPING!$E$3:$G$302,3,FALSE)="","",VLOOKUP(ALLOCATIONS!B363,MAPPING!$E$3:$G$302,3,FALSE)),""))</f>
        <v/>
      </c>
      <c r="E369" s="6">
        <f>IF(ALLOCATIONS!A363="","",ALLOCATIONS!C363)</f>
        <v/>
      </c>
      <c r="F369" s="6">
        <f>IF(ALLOCATIONS!A363="","",IF(ALLOCATIONS!D363="",0,ALLOCATIONS!D363))</f>
        <v/>
      </c>
      <c r="G369" s="6">
        <f>IF(ALLOCATIONS!A363="","",SUMIFS(RAW_004!$I$2:$I$10001,RAW_004!$D$2:$D$10001,ALLOCATIONS!A363,RAW_004!$H$2:$H$10001,ALLOCATIONS!B363,RAW_004!$N$2:$N$10001,ALLOCATIONS!C363))</f>
        <v/>
      </c>
      <c r="H369" s="6">
        <f>IF(A369="","",G369-F369)</f>
        <v/>
      </c>
    </row>
    <row r="370">
      <c r="A370" s="6">
        <f>IF(ALLOCATIONS!A364="","",IFERROR(VLOOKUP(ALLOCATIONS!A364,MAPPING!$A$3:$C$302,2,FALSE),"UNMAPPED"))</f>
        <v/>
      </c>
      <c r="B370" s="6">
        <f>IF(ALLOCATIONS!A364="","",IFERROR(VLOOKUP(ALLOCATIONS!A364,MAPPING!$A$3:$C$302,3,FALSE),ALLOCATIONS!A364))</f>
        <v/>
      </c>
      <c r="C370" s="6">
        <f>IF(ALLOCATIONS!A364="","",IFERROR(VLOOKUP(ALLOCATIONS!B364,MAPPING!$E$3:$G$302,2,FALSE),"UNMAPPED"))</f>
        <v/>
      </c>
      <c r="D370" s="6">
        <f>IF(ALLOCATIONS!A364="","",IFERROR(IF(VLOOKUP(ALLOCATIONS!B364,MAPPING!$E$3:$G$302,3,FALSE)="","",VLOOKUP(ALLOCATIONS!B364,MAPPING!$E$3:$G$302,3,FALSE)),""))</f>
        <v/>
      </c>
      <c r="E370" s="6">
        <f>IF(ALLOCATIONS!A364="","",ALLOCATIONS!C364)</f>
        <v/>
      </c>
      <c r="F370" s="6">
        <f>IF(ALLOCATIONS!A364="","",IF(ALLOCATIONS!D364="",0,ALLOCATIONS!D364))</f>
        <v/>
      </c>
      <c r="G370" s="6">
        <f>IF(ALLOCATIONS!A364="","",SUMIFS(RAW_004!$I$2:$I$10001,RAW_004!$D$2:$D$10001,ALLOCATIONS!A364,RAW_004!$H$2:$H$10001,ALLOCATIONS!B364,RAW_004!$N$2:$N$10001,ALLOCATIONS!C364))</f>
        <v/>
      </c>
      <c r="H370" s="6">
        <f>IF(A370="","",G370-F370)</f>
        <v/>
      </c>
    </row>
    <row r="371">
      <c r="A371" s="6">
        <f>IF(ALLOCATIONS!A365="","",IFERROR(VLOOKUP(ALLOCATIONS!A365,MAPPING!$A$3:$C$302,2,FALSE),"UNMAPPED"))</f>
        <v/>
      </c>
      <c r="B371" s="6">
        <f>IF(ALLOCATIONS!A365="","",IFERROR(VLOOKUP(ALLOCATIONS!A365,MAPPING!$A$3:$C$302,3,FALSE),ALLOCATIONS!A365))</f>
        <v/>
      </c>
      <c r="C371" s="6">
        <f>IF(ALLOCATIONS!A365="","",IFERROR(VLOOKUP(ALLOCATIONS!B365,MAPPING!$E$3:$G$302,2,FALSE),"UNMAPPED"))</f>
        <v/>
      </c>
      <c r="D371" s="6">
        <f>IF(ALLOCATIONS!A365="","",IFERROR(IF(VLOOKUP(ALLOCATIONS!B365,MAPPING!$E$3:$G$302,3,FALSE)="","",VLOOKUP(ALLOCATIONS!B365,MAPPING!$E$3:$G$302,3,FALSE)),""))</f>
        <v/>
      </c>
      <c r="E371" s="6">
        <f>IF(ALLOCATIONS!A365="","",ALLOCATIONS!C365)</f>
        <v/>
      </c>
      <c r="F371" s="6">
        <f>IF(ALLOCATIONS!A365="","",IF(ALLOCATIONS!D365="",0,ALLOCATIONS!D365))</f>
        <v/>
      </c>
      <c r="G371" s="6">
        <f>IF(ALLOCATIONS!A365="","",SUMIFS(RAW_004!$I$2:$I$10001,RAW_004!$D$2:$D$10001,ALLOCATIONS!A365,RAW_004!$H$2:$H$10001,ALLOCATIONS!B365,RAW_004!$N$2:$N$10001,ALLOCATIONS!C365))</f>
        <v/>
      </c>
      <c r="H371" s="6">
        <f>IF(A371="","",G371-F371)</f>
        <v/>
      </c>
    </row>
    <row r="372">
      <c r="A372" s="6">
        <f>IF(ALLOCATIONS!A366="","",IFERROR(VLOOKUP(ALLOCATIONS!A366,MAPPING!$A$3:$C$302,2,FALSE),"UNMAPPED"))</f>
        <v/>
      </c>
      <c r="B372" s="6">
        <f>IF(ALLOCATIONS!A366="","",IFERROR(VLOOKUP(ALLOCATIONS!A366,MAPPING!$A$3:$C$302,3,FALSE),ALLOCATIONS!A366))</f>
        <v/>
      </c>
      <c r="C372" s="6">
        <f>IF(ALLOCATIONS!A366="","",IFERROR(VLOOKUP(ALLOCATIONS!B366,MAPPING!$E$3:$G$302,2,FALSE),"UNMAPPED"))</f>
        <v/>
      </c>
      <c r="D372" s="6">
        <f>IF(ALLOCATIONS!A366="","",IFERROR(IF(VLOOKUP(ALLOCATIONS!B366,MAPPING!$E$3:$G$302,3,FALSE)="","",VLOOKUP(ALLOCATIONS!B366,MAPPING!$E$3:$G$302,3,FALSE)),""))</f>
        <v/>
      </c>
      <c r="E372" s="6">
        <f>IF(ALLOCATIONS!A366="","",ALLOCATIONS!C366)</f>
        <v/>
      </c>
      <c r="F372" s="6">
        <f>IF(ALLOCATIONS!A366="","",IF(ALLOCATIONS!D366="",0,ALLOCATIONS!D366))</f>
        <v/>
      </c>
      <c r="G372" s="6">
        <f>IF(ALLOCATIONS!A366="","",SUMIFS(RAW_004!$I$2:$I$10001,RAW_004!$D$2:$D$10001,ALLOCATIONS!A366,RAW_004!$H$2:$H$10001,ALLOCATIONS!B366,RAW_004!$N$2:$N$10001,ALLOCATIONS!C366))</f>
        <v/>
      </c>
      <c r="H372" s="6">
        <f>IF(A372="","",G372-F372)</f>
        <v/>
      </c>
    </row>
    <row r="373">
      <c r="A373" s="6">
        <f>IF(ALLOCATIONS!A367="","",IFERROR(VLOOKUP(ALLOCATIONS!A367,MAPPING!$A$3:$C$302,2,FALSE),"UNMAPPED"))</f>
        <v/>
      </c>
      <c r="B373" s="6">
        <f>IF(ALLOCATIONS!A367="","",IFERROR(VLOOKUP(ALLOCATIONS!A367,MAPPING!$A$3:$C$302,3,FALSE),ALLOCATIONS!A367))</f>
        <v/>
      </c>
      <c r="C373" s="6">
        <f>IF(ALLOCATIONS!A367="","",IFERROR(VLOOKUP(ALLOCATIONS!B367,MAPPING!$E$3:$G$302,2,FALSE),"UNMAPPED"))</f>
        <v/>
      </c>
      <c r="D373" s="6">
        <f>IF(ALLOCATIONS!A367="","",IFERROR(IF(VLOOKUP(ALLOCATIONS!B367,MAPPING!$E$3:$G$302,3,FALSE)="","",VLOOKUP(ALLOCATIONS!B367,MAPPING!$E$3:$G$302,3,FALSE)),""))</f>
        <v/>
      </c>
      <c r="E373" s="6">
        <f>IF(ALLOCATIONS!A367="","",ALLOCATIONS!C367)</f>
        <v/>
      </c>
      <c r="F373" s="6">
        <f>IF(ALLOCATIONS!A367="","",IF(ALLOCATIONS!D367="",0,ALLOCATIONS!D367))</f>
        <v/>
      </c>
      <c r="G373" s="6">
        <f>IF(ALLOCATIONS!A367="","",SUMIFS(RAW_004!$I$2:$I$10001,RAW_004!$D$2:$D$10001,ALLOCATIONS!A367,RAW_004!$H$2:$H$10001,ALLOCATIONS!B367,RAW_004!$N$2:$N$10001,ALLOCATIONS!C367))</f>
        <v/>
      </c>
      <c r="H373" s="6">
        <f>IF(A373="","",G373-F373)</f>
        <v/>
      </c>
    </row>
    <row r="374">
      <c r="A374" s="6">
        <f>IF(ALLOCATIONS!A368="","",IFERROR(VLOOKUP(ALLOCATIONS!A368,MAPPING!$A$3:$C$302,2,FALSE),"UNMAPPED"))</f>
        <v/>
      </c>
      <c r="B374" s="6">
        <f>IF(ALLOCATIONS!A368="","",IFERROR(VLOOKUP(ALLOCATIONS!A368,MAPPING!$A$3:$C$302,3,FALSE),ALLOCATIONS!A368))</f>
        <v/>
      </c>
      <c r="C374" s="6">
        <f>IF(ALLOCATIONS!A368="","",IFERROR(VLOOKUP(ALLOCATIONS!B368,MAPPING!$E$3:$G$302,2,FALSE),"UNMAPPED"))</f>
        <v/>
      </c>
      <c r="D374" s="6">
        <f>IF(ALLOCATIONS!A368="","",IFERROR(IF(VLOOKUP(ALLOCATIONS!B368,MAPPING!$E$3:$G$302,3,FALSE)="","",VLOOKUP(ALLOCATIONS!B368,MAPPING!$E$3:$G$302,3,FALSE)),""))</f>
        <v/>
      </c>
      <c r="E374" s="6">
        <f>IF(ALLOCATIONS!A368="","",ALLOCATIONS!C368)</f>
        <v/>
      </c>
      <c r="F374" s="6">
        <f>IF(ALLOCATIONS!A368="","",IF(ALLOCATIONS!D368="",0,ALLOCATIONS!D368))</f>
        <v/>
      </c>
      <c r="G374" s="6">
        <f>IF(ALLOCATIONS!A368="","",SUMIFS(RAW_004!$I$2:$I$10001,RAW_004!$D$2:$D$10001,ALLOCATIONS!A368,RAW_004!$H$2:$H$10001,ALLOCATIONS!B368,RAW_004!$N$2:$N$10001,ALLOCATIONS!C368))</f>
        <v/>
      </c>
      <c r="H374" s="6">
        <f>IF(A374="","",G374-F374)</f>
        <v/>
      </c>
    </row>
    <row r="375">
      <c r="A375" s="6">
        <f>IF(ALLOCATIONS!A369="","",IFERROR(VLOOKUP(ALLOCATIONS!A369,MAPPING!$A$3:$C$302,2,FALSE),"UNMAPPED"))</f>
        <v/>
      </c>
      <c r="B375" s="6">
        <f>IF(ALLOCATIONS!A369="","",IFERROR(VLOOKUP(ALLOCATIONS!A369,MAPPING!$A$3:$C$302,3,FALSE),ALLOCATIONS!A369))</f>
        <v/>
      </c>
      <c r="C375" s="6">
        <f>IF(ALLOCATIONS!A369="","",IFERROR(VLOOKUP(ALLOCATIONS!B369,MAPPING!$E$3:$G$302,2,FALSE),"UNMAPPED"))</f>
        <v/>
      </c>
      <c r="D375" s="6">
        <f>IF(ALLOCATIONS!A369="","",IFERROR(IF(VLOOKUP(ALLOCATIONS!B369,MAPPING!$E$3:$G$302,3,FALSE)="","",VLOOKUP(ALLOCATIONS!B369,MAPPING!$E$3:$G$302,3,FALSE)),""))</f>
        <v/>
      </c>
      <c r="E375" s="6">
        <f>IF(ALLOCATIONS!A369="","",ALLOCATIONS!C369)</f>
        <v/>
      </c>
      <c r="F375" s="6">
        <f>IF(ALLOCATIONS!A369="","",IF(ALLOCATIONS!D369="",0,ALLOCATIONS!D369))</f>
        <v/>
      </c>
      <c r="G375" s="6">
        <f>IF(ALLOCATIONS!A369="","",SUMIFS(RAW_004!$I$2:$I$10001,RAW_004!$D$2:$D$10001,ALLOCATIONS!A369,RAW_004!$H$2:$H$10001,ALLOCATIONS!B369,RAW_004!$N$2:$N$10001,ALLOCATIONS!C369))</f>
        <v/>
      </c>
      <c r="H375" s="6">
        <f>IF(A375="","",G375-F375)</f>
        <v/>
      </c>
    </row>
    <row r="376">
      <c r="A376" s="6">
        <f>IF(ALLOCATIONS!A370="","",IFERROR(VLOOKUP(ALLOCATIONS!A370,MAPPING!$A$3:$C$302,2,FALSE),"UNMAPPED"))</f>
        <v/>
      </c>
      <c r="B376" s="6">
        <f>IF(ALLOCATIONS!A370="","",IFERROR(VLOOKUP(ALLOCATIONS!A370,MAPPING!$A$3:$C$302,3,FALSE),ALLOCATIONS!A370))</f>
        <v/>
      </c>
      <c r="C376" s="6">
        <f>IF(ALLOCATIONS!A370="","",IFERROR(VLOOKUP(ALLOCATIONS!B370,MAPPING!$E$3:$G$302,2,FALSE),"UNMAPPED"))</f>
        <v/>
      </c>
      <c r="D376" s="6">
        <f>IF(ALLOCATIONS!A370="","",IFERROR(IF(VLOOKUP(ALLOCATIONS!B370,MAPPING!$E$3:$G$302,3,FALSE)="","",VLOOKUP(ALLOCATIONS!B370,MAPPING!$E$3:$G$302,3,FALSE)),""))</f>
        <v/>
      </c>
      <c r="E376" s="6">
        <f>IF(ALLOCATIONS!A370="","",ALLOCATIONS!C370)</f>
        <v/>
      </c>
      <c r="F376" s="6">
        <f>IF(ALLOCATIONS!A370="","",IF(ALLOCATIONS!D370="",0,ALLOCATIONS!D370))</f>
        <v/>
      </c>
      <c r="G376" s="6">
        <f>IF(ALLOCATIONS!A370="","",SUMIFS(RAW_004!$I$2:$I$10001,RAW_004!$D$2:$D$10001,ALLOCATIONS!A370,RAW_004!$H$2:$H$10001,ALLOCATIONS!B370,RAW_004!$N$2:$N$10001,ALLOCATIONS!C370))</f>
        <v/>
      </c>
      <c r="H376" s="6">
        <f>IF(A376="","",G376-F376)</f>
        <v/>
      </c>
    </row>
    <row r="377">
      <c r="A377" s="6">
        <f>IF(ALLOCATIONS!A371="","",IFERROR(VLOOKUP(ALLOCATIONS!A371,MAPPING!$A$3:$C$302,2,FALSE),"UNMAPPED"))</f>
        <v/>
      </c>
      <c r="B377" s="6">
        <f>IF(ALLOCATIONS!A371="","",IFERROR(VLOOKUP(ALLOCATIONS!A371,MAPPING!$A$3:$C$302,3,FALSE),ALLOCATIONS!A371))</f>
        <v/>
      </c>
      <c r="C377" s="6">
        <f>IF(ALLOCATIONS!A371="","",IFERROR(VLOOKUP(ALLOCATIONS!B371,MAPPING!$E$3:$G$302,2,FALSE),"UNMAPPED"))</f>
        <v/>
      </c>
      <c r="D377" s="6">
        <f>IF(ALLOCATIONS!A371="","",IFERROR(IF(VLOOKUP(ALLOCATIONS!B371,MAPPING!$E$3:$G$302,3,FALSE)="","",VLOOKUP(ALLOCATIONS!B371,MAPPING!$E$3:$G$302,3,FALSE)),""))</f>
        <v/>
      </c>
      <c r="E377" s="6">
        <f>IF(ALLOCATIONS!A371="","",ALLOCATIONS!C371)</f>
        <v/>
      </c>
      <c r="F377" s="6">
        <f>IF(ALLOCATIONS!A371="","",IF(ALLOCATIONS!D371="",0,ALLOCATIONS!D371))</f>
        <v/>
      </c>
      <c r="G377" s="6">
        <f>IF(ALLOCATIONS!A371="","",SUMIFS(RAW_004!$I$2:$I$10001,RAW_004!$D$2:$D$10001,ALLOCATIONS!A371,RAW_004!$H$2:$H$10001,ALLOCATIONS!B371,RAW_004!$N$2:$N$10001,ALLOCATIONS!C371))</f>
        <v/>
      </c>
      <c r="H377" s="6">
        <f>IF(A377="","",G377-F377)</f>
        <v/>
      </c>
    </row>
    <row r="378">
      <c r="A378" s="6">
        <f>IF(ALLOCATIONS!A372="","",IFERROR(VLOOKUP(ALLOCATIONS!A372,MAPPING!$A$3:$C$302,2,FALSE),"UNMAPPED"))</f>
        <v/>
      </c>
      <c r="B378" s="6">
        <f>IF(ALLOCATIONS!A372="","",IFERROR(VLOOKUP(ALLOCATIONS!A372,MAPPING!$A$3:$C$302,3,FALSE),ALLOCATIONS!A372))</f>
        <v/>
      </c>
      <c r="C378" s="6">
        <f>IF(ALLOCATIONS!A372="","",IFERROR(VLOOKUP(ALLOCATIONS!B372,MAPPING!$E$3:$G$302,2,FALSE),"UNMAPPED"))</f>
        <v/>
      </c>
      <c r="D378" s="6">
        <f>IF(ALLOCATIONS!A372="","",IFERROR(IF(VLOOKUP(ALLOCATIONS!B372,MAPPING!$E$3:$G$302,3,FALSE)="","",VLOOKUP(ALLOCATIONS!B372,MAPPING!$E$3:$G$302,3,FALSE)),""))</f>
        <v/>
      </c>
      <c r="E378" s="6">
        <f>IF(ALLOCATIONS!A372="","",ALLOCATIONS!C372)</f>
        <v/>
      </c>
      <c r="F378" s="6">
        <f>IF(ALLOCATIONS!A372="","",IF(ALLOCATIONS!D372="",0,ALLOCATIONS!D372))</f>
        <v/>
      </c>
      <c r="G378" s="6">
        <f>IF(ALLOCATIONS!A372="","",SUMIFS(RAW_004!$I$2:$I$10001,RAW_004!$D$2:$D$10001,ALLOCATIONS!A372,RAW_004!$H$2:$H$10001,ALLOCATIONS!B372,RAW_004!$N$2:$N$10001,ALLOCATIONS!C372))</f>
        <v/>
      </c>
      <c r="H378" s="6">
        <f>IF(A378="","",G378-F378)</f>
        <v/>
      </c>
    </row>
    <row r="379">
      <c r="A379" s="6">
        <f>IF(ALLOCATIONS!A373="","",IFERROR(VLOOKUP(ALLOCATIONS!A373,MAPPING!$A$3:$C$302,2,FALSE),"UNMAPPED"))</f>
        <v/>
      </c>
      <c r="B379" s="6">
        <f>IF(ALLOCATIONS!A373="","",IFERROR(VLOOKUP(ALLOCATIONS!A373,MAPPING!$A$3:$C$302,3,FALSE),ALLOCATIONS!A373))</f>
        <v/>
      </c>
      <c r="C379" s="6">
        <f>IF(ALLOCATIONS!A373="","",IFERROR(VLOOKUP(ALLOCATIONS!B373,MAPPING!$E$3:$G$302,2,FALSE),"UNMAPPED"))</f>
        <v/>
      </c>
      <c r="D379" s="6">
        <f>IF(ALLOCATIONS!A373="","",IFERROR(IF(VLOOKUP(ALLOCATIONS!B373,MAPPING!$E$3:$G$302,3,FALSE)="","",VLOOKUP(ALLOCATIONS!B373,MAPPING!$E$3:$G$302,3,FALSE)),""))</f>
        <v/>
      </c>
      <c r="E379" s="6">
        <f>IF(ALLOCATIONS!A373="","",ALLOCATIONS!C373)</f>
        <v/>
      </c>
      <c r="F379" s="6">
        <f>IF(ALLOCATIONS!A373="","",IF(ALLOCATIONS!D373="",0,ALLOCATIONS!D373))</f>
        <v/>
      </c>
      <c r="G379" s="6">
        <f>IF(ALLOCATIONS!A373="","",SUMIFS(RAW_004!$I$2:$I$10001,RAW_004!$D$2:$D$10001,ALLOCATIONS!A373,RAW_004!$H$2:$H$10001,ALLOCATIONS!B373,RAW_004!$N$2:$N$10001,ALLOCATIONS!C373))</f>
        <v/>
      </c>
      <c r="H379" s="6">
        <f>IF(A379="","",G379-F379)</f>
        <v/>
      </c>
    </row>
    <row r="380">
      <c r="A380" s="6">
        <f>IF(ALLOCATIONS!A374="","",IFERROR(VLOOKUP(ALLOCATIONS!A374,MAPPING!$A$3:$C$302,2,FALSE),"UNMAPPED"))</f>
        <v/>
      </c>
      <c r="B380" s="6">
        <f>IF(ALLOCATIONS!A374="","",IFERROR(VLOOKUP(ALLOCATIONS!A374,MAPPING!$A$3:$C$302,3,FALSE),ALLOCATIONS!A374))</f>
        <v/>
      </c>
      <c r="C380" s="6">
        <f>IF(ALLOCATIONS!A374="","",IFERROR(VLOOKUP(ALLOCATIONS!B374,MAPPING!$E$3:$G$302,2,FALSE),"UNMAPPED"))</f>
        <v/>
      </c>
      <c r="D380" s="6">
        <f>IF(ALLOCATIONS!A374="","",IFERROR(IF(VLOOKUP(ALLOCATIONS!B374,MAPPING!$E$3:$G$302,3,FALSE)="","",VLOOKUP(ALLOCATIONS!B374,MAPPING!$E$3:$G$302,3,FALSE)),""))</f>
        <v/>
      </c>
      <c r="E380" s="6">
        <f>IF(ALLOCATIONS!A374="","",ALLOCATIONS!C374)</f>
        <v/>
      </c>
      <c r="F380" s="6">
        <f>IF(ALLOCATIONS!A374="","",IF(ALLOCATIONS!D374="",0,ALLOCATIONS!D374))</f>
        <v/>
      </c>
      <c r="G380" s="6">
        <f>IF(ALLOCATIONS!A374="","",SUMIFS(RAW_004!$I$2:$I$10001,RAW_004!$D$2:$D$10001,ALLOCATIONS!A374,RAW_004!$H$2:$H$10001,ALLOCATIONS!B374,RAW_004!$N$2:$N$10001,ALLOCATIONS!C374))</f>
        <v/>
      </c>
      <c r="H380" s="6">
        <f>IF(A380="","",G380-F380)</f>
        <v/>
      </c>
    </row>
    <row r="381">
      <c r="A381" s="6">
        <f>IF(ALLOCATIONS!A375="","",IFERROR(VLOOKUP(ALLOCATIONS!A375,MAPPING!$A$3:$C$302,2,FALSE),"UNMAPPED"))</f>
        <v/>
      </c>
      <c r="B381" s="6">
        <f>IF(ALLOCATIONS!A375="","",IFERROR(VLOOKUP(ALLOCATIONS!A375,MAPPING!$A$3:$C$302,3,FALSE),ALLOCATIONS!A375))</f>
        <v/>
      </c>
      <c r="C381" s="6">
        <f>IF(ALLOCATIONS!A375="","",IFERROR(VLOOKUP(ALLOCATIONS!B375,MAPPING!$E$3:$G$302,2,FALSE),"UNMAPPED"))</f>
        <v/>
      </c>
      <c r="D381" s="6">
        <f>IF(ALLOCATIONS!A375="","",IFERROR(IF(VLOOKUP(ALLOCATIONS!B375,MAPPING!$E$3:$G$302,3,FALSE)="","",VLOOKUP(ALLOCATIONS!B375,MAPPING!$E$3:$G$302,3,FALSE)),""))</f>
        <v/>
      </c>
      <c r="E381" s="6">
        <f>IF(ALLOCATIONS!A375="","",ALLOCATIONS!C375)</f>
        <v/>
      </c>
      <c r="F381" s="6">
        <f>IF(ALLOCATIONS!A375="","",IF(ALLOCATIONS!D375="",0,ALLOCATIONS!D375))</f>
        <v/>
      </c>
      <c r="G381" s="6">
        <f>IF(ALLOCATIONS!A375="","",SUMIFS(RAW_004!$I$2:$I$10001,RAW_004!$D$2:$D$10001,ALLOCATIONS!A375,RAW_004!$H$2:$H$10001,ALLOCATIONS!B375,RAW_004!$N$2:$N$10001,ALLOCATIONS!C375))</f>
        <v/>
      </c>
      <c r="H381" s="6">
        <f>IF(A381="","",G381-F381)</f>
        <v/>
      </c>
    </row>
    <row r="382">
      <c r="A382" s="6">
        <f>IF(ALLOCATIONS!A376="","",IFERROR(VLOOKUP(ALLOCATIONS!A376,MAPPING!$A$3:$C$302,2,FALSE),"UNMAPPED"))</f>
        <v/>
      </c>
      <c r="B382" s="6">
        <f>IF(ALLOCATIONS!A376="","",IFERROR(VLOOKUP(ALLOCATIONS!A376,MAPPING!$A$3:$C$302,3,FALSE),ALLOCATIONS!A376))</f>
        <v/>
      </c>
      <c r="C382" s="6">
        <f>IF(ALLOCATIONS!A376="","",IFERROR(VLOOKUP(ALLOCATIONS!B376,MAPPING!$E$3:$G$302,2,FALSE),"UNMAPPED"))</f>
        <v/>
      </c>
      <c r="D382" s="6">
        <f>IF(ALLOCATIONS!A376="","",IFERROR(IF(VLOOKUP(ALLOCATIONS!B376,MAPPING!$E$3:$G$302,3,FALSE)="","",VLOOKUP(ALLOCATIONS!B376,MAPPING!$E$3:$G$302,3,FALSE)),""))</f>
        <v/>
      </c>
      <c r="E382" s="6">
        <f>IF(ALLOCATIONS!A376="","",ALLOCATIONS!C376)</f>
        <v/>
      </c>
      <c r="F382" s="6">
        <f>IF(ALLOCATIONS!A376="","",IF(ALLOCATIONS!D376="",0,ALLOCATIONS!D376))</f>
        <v/>
      </c>
      <c r="G382" s="6">
        <f>IF(ALLOCATIONS!A376="","",SUMIFS(RAW_004!$I$2:$I$10001,RAW_004!$D$2:$D$10001,ALLOCATIONS!A376,RAW_004!$H$2:$H$10001,ALLOCATIONS!B376,RAW_004!$N$2:$N$10001,ALLOCATIONS!C376))</f>
        <v/>
      </c>
      <c r="H382" s="6">
        <f>IF(A382="","",G382-F382)</f>
        <v/>
      </c>
    </row>
    <row r="383">
      <c r="A383" s="6">
        <f>IF(ALLOCATIONS!A377="","",IFERROR(VLOOKUP(ALLOCATIONS!A377,MAPPING!$A$3:$C$302,2,FALSE),"UNMAPPED"))</f>
        <v/>
      </c>
      <c r="B383" s="6">
        <f>IF(ALLOCATIONS!A377="","",IFERROR(VLOOKUP(ALLOCATIONS!A377,MAPPING!$A$3:$C$302,3,FALSE),ALLOCATIONS!A377))</f>
        <v/>
      </c>
      <c r="C383" s="6">
        <f>IF(ALLOCATIONS!A377="","",IFERROR(VLOOKUP(ALLOCATIONS!B377,MAPPING!$E$3:$G$302,2,FALSE),"UNMAPPED"))</f>
        <v/>
      </c>
      <c r="D383" s="6">
        <f>IF(ALLOCATIONS!A377="","",IFERROR(IF(VLOOKUP(ALLOCATIONS!B377,MAPPING!$E$3:$G$302,3,FALSE)="","",VLOOKUP(ALLOCATIONS!B377,MAPPING!$E$3:$G$302,3,FALSE)),""))</f>
        <v/>
      </c>
      <c r="E383" s="6">
        <f>IF(ALLOCATIONS!A377="","",ALLOCATIONS!C377)</f>
        <v/>
      </c>
      <c r="F383" s="6">
        <f>IF(ALLOCATIONS!A377="","",IF(ALLOCATIONS!D377="",0,ALLOCATIONS!D377))</f>
        <v/>
      </c>
      <c r="G383" s="6">
        <f>IF(ALLOCATIONS!A377="","",SUMIFS(RAW_004!$I$2:$I$10001,RAW_004!$D$2:$D$10001,ALLOCATIONS!A377,RAW_004!$H$2:$H$10001,ALLOCATIONS!B377,RAW_004!$N$2:$N$10001,ALLOCATIONS!C377))</f>
        <v/>
      </c>
      <c r="H383" s="6">
        <f>IF(A383="","",G383-F383)</f>
        <v/>
      </c>
    </row>
    <row r="384">
      <c r="A384" s="6">
        <f>IF(ALLOCATIONS!A378="","",IFERROR(VLOOKUP(ALLOCATIONS!A378,MAPPING!$A$3:$C$302,2,FALSE),"UNMAPPED"))</f>
        <v/>
      </c>
      <c r="B384" s="6">
        <f>IF(ALLOCATIONS!A378="","",IFERROR(VLOOKUP(ALLOCATIONS!A378,MAPPING!$A$3:$C$302,3,FALSE),ALLOCATIONS!A378))</f>
        <v/>
      </c>
      <c r="C384" s="6">
        <f>IF(ALLOCATIONS!A378="","",IFERROR(VLOOKUP(ALLOCATIONS!B378,MAPPING!$E$3:$G$302,2,FALSE),"UNMAPPED"))</f>
        <v/>
      </c>
      <c r="D384" s="6">
        <f>IF(ALLOCATIONS!A378="","",IFERROR(IF(VLOOKUP(ALLOCATIONS!B378,MAPPING!$E$3:$G$302,3,FALSE)="","",VLOOKUP(ALLOCATIONS!B378,MAPPING!$E$3:$G$302,3,FALSE)),""))</f>
        <v/>
      </c>
      <c r="E384" s="6">
        <f>IF(ALLOCATIONS!A378="","",ALLOCATIONS!C378)</f>
        <v/>
      </c>
      <c r="F384" s="6">
        <f>IF(ALLOCATIONS!A378="","",IF(ALLOCATIONS!D378="",0,ALLOCATIONS!D378))</f>
        <v/>
      </c>
      <c r="G384" s="6">
        <f>IF(ALLOCATIONS!A378="","",SUMIFS(RAW_004!$I$2:$I$10001,RAW_004!$D$2:$D$10001,ALLOCATIONS!A378,RAW_004!$H$2:$H$10001,ALLOCATIONS!B378,RAW_004!$N$2:$N$10001,ALLOCATIONS!C378))</f>
        <v/>
      </c>
      <c r="H384" s="6">
        <f>IF(A384="","",G384-F384)</f>
        <v/>
      </c>
    </row>
    <row r="385">
      <c r="A385" s="6">
        <f>IF(ALLOCATIONS!A379="","",IFERROR(VLOOKUP(ALLOCATIONS!A379,MAPPING!$A$3:$C$302,2,FALSE),"UNMAPPED"))</f>
        <v/>
      </c>
      <c r="B385" s="6">
        <f>IF(ALLOCATIONS!A379="","",IFERROR(VLOOKUP(ALLOCATIONS!A379,MAPPING!$A$3:$C$302,3,FALSE),ALLOCATIONS!A379))</f>
        <v/>
      </c>
      <c r="C385" s="6">
        <f>IF(ALLOCATIONS!A379="","",IFERROR(VLOOKUP(ALLOCATIONS!B379,MAPPING!$E$3:$G$302,2,FALSE),"UNMAPPED"))</f>
        <v/>
      </c>
      <c r="D385" s="6">
        <f>IF(ALLOCATIONS!A379="","",IFERROR(IF(VLOOKUP(ALLOCATIONS!B379,MAPPING!$E$3:$G$302,3,FALSE)="","",VLOOKUP(ALLOCATIONS!B379,MAPPING!$E$3:$G$302,3,FALSE)),""))</f>
        <v/>
      </c>
      <c r="E385" s="6">
        <f>IF(ALLOCATIONS!A379="","",ALLOCATIONS!C379)</f>
        <v/>
      </c>
      <c r="F385" s="6">
        <f>IF(ALLOCATIONS!A379="","",IF(ALLOCATIONS!D379="",0,ALLOCATIONS!D379))</f>
        <v/>
      </c>
      <c r="G385" s="6">
        <f>IF(ALLOCATIONS!A379="","",SUMIFS(RAW_004!$I$2:$I$10001,RAW_004!$D$2:$D$10001,ALLOCATIONS!A379,RAW_004!$H$2:$H$10001,ALLOCATIONS!B379,RAW_004!$N$2:$N$10001,ALLOCATIONS!C379))</f>
        <v/>
      </c>
      <c r="H385" s="6">
        <f>IF(A385="","",G385-F385)</f>
        <v/>
      </c>
    </row>
    <row r="386">
      <c r="A386" s="6">
        <f>IF(ALLOCATIONS!A380="","",IFERROR(VLOOKUP(ALLOCATIONS!A380,MAPPING!$A$3:$C$302,2,FALSE),"UNMAPPED"))</f>
        <v/>
      </c>
      <c r="B386" s="6">
        <f>IF(ALLOCATIONS!A380="","",IFERROR(VLOOKUP(ALLOCATIONS!A380,MAPPING!$A$3:$C$302,3,FALSE),ALLOCATIONS!A380))</f>
        <v/>
      </c>
      <c r="C386" s="6">
        <f>IF(ALLOCATIONS!A380="","",IFERROR(VLOOKUP(ALLOCATIONS!B380,MAPPING!$E$3:$G$302,2,FALSE),"UNMAPPED"))</f>
        <v/>
      </c>
      <c r="D386" s="6">
        <f>IF(ALLOCATIONS!A380="","",IFERROR(IF(VLOOKUP(ALLOCATIONS!B380,MAPPING!$E$3:$G$302,3,FALSE)="","",VLOOKUP(ALLOCATIONS!B380,MAPPING!$E$3:$G$302,3,FALSE)),""))</f>
        <v/>
      </c>
      <c r="E386" s="6">
        <f>IF(ALLOCATIONS!A380="","",ALLOCATIONS!C380)</f>
        <v/>
      </c>
      <c r="F386" s="6">
        <f>IF(ALLOCATIONS!A380="","",IF(ALLOCATIONS!D380="",0,ALLOCATIONS!D380))</f>
        <v/>
      </c>
      <c r="G386" s="6">
        <f>IF(ALLOCATIONS!A380="","",SUMIFS(RAW_004!$I$2:$I$10001,RAW_004!$D$2:$D$10001,ALLOCATIONS!A380,RAW_004!$H$2:$H$10001,ALLOCATIONS!B380,RAW_004!$N$2:$N$10001,ALLOCATIONS!C380))</f>
        <v/>
      </c>
      <c r="H386" s="6">
        <f>IF(A386="","",G386-F386)</f>
        <v/>
      </c>
    </row>
    <row r="387">
      <c r="A387" s="6">
        <f>IF(ALLOCATIONS!A381="","",IFERROR(VLOOKUP(ALLOCATIONS!A381,MAPPING!$A$3:$C$302,2,FALSE),"UNMAPPED"))</f>
        <v/>
      </c>
      <c r="B387" s="6">
        <f>IF(ALLOCATIONS!A381="","",IFERROR(VLOOKUP(ALLOCATIONS!A381,MAPPING!$A$3:$C$302,3,FALSE),ALLOCATIONS!A381))</f>
        <v/>
      </c>
      <c r="C387" s="6">
        <f>IF(ALLOCATIONS!A381="","",IFERROR(VLOOKUP(ALLOCATIONS!B381,MAPPING!$E$3:$G$302,2,FALSE),"UNMAPPED"))</f>
        <v/>
      </c>
      <c r="D387" s="6">
        <f>IF(ALLOCATIONS!A381="","",IFERROR(IF(VLOOKUP(ALLOCATIONS!B381,MAPPING!$E$3:$G$302,3,FALSE)="","",VLOOKUP(ALLOCATIONS!B381,MAPPING!$E$3:$G$302,3,FALSE)),""))</f>
        <v/>
      </c>
      <c r="E387" s="6">
        <f>IF(ALLOCATIONS!A381="","",ALLOCATIONS!C381)</f>
        <v/>
      </c>
      <c r="F387" s="6">
        <f>IF(ALLOCATIONS!A381="","",IF(ALLOCATIONS!D381="",0,ALLOCATIONS!D381))</f>
        <v/>
      </c>
      <c r="G387" s="6">
        <f>IF(ALLOCATIONS!A381="","",SUMIFS(RAW_004!$I$2:$I$10001,RAW_004!$D$2:$D$10001,ALLOCATIONS!A381,RAW_004!$H$2:$H$10001,ALLOCATIONS!B381,RAW_004!$N$2:$N$10001,ALLOCATIONS!C381))</f>
        <v/>
      </c>
      <c r="H387" s="6">
        <f>IF(A387="","",G387-F387)</f>
        <v/>
      </c>
    </row>
    <row r="388">
      <c r="A388" s="6">
        <f>IF(ALLOCATIONS!A382="","",IFERROR(VLOOKUP(ALLOCATIONS!A382,MAPPING!$A$3:$C$302,2,FALSE),"UNMAPPED"))</f>
        <v/>
      </c>
      <c r="B388" s="6">
        <f>IF(ALLOCATIONS!A382="","",IFERROR(VLOOKUP(ALLOCATIONS!A382,MAPPING!$A$3:$C$302,3,FALSE),ALLOCATIONS!A382))</f>
        <v/>
      </c>
      <c r="C388" s="6">
        <f>IF(ALLOCATIONS!A382="","",IFERROR(VLOOKUP(ALLOCATIONS!B382,MAPPING!$E$3:$G$302,2,FALSE),"UNMAPPED"))</f>
        <v/>
      </c>
      <c r="D388" s="6">
        <f>IF(ALLOCATIONS!A382="","",IFERROR(IF(VLOOKUP(ALLOCATIONS!B382,MAPPING!$E$3:$G$302,3,FALSE)="","",VLOOKUP(ALLOCATIONS!B382,MAPPING!$E$3:$G$302,3,FALSE)),""))</f>
        <v/>
      </c>
      <c r="E388" s="6">
        <f>IF(ALLOCATIONS!A382="","",ALLOCATIONS!C382)</f>
        <v/>
      </c>
      <c r="F388" s="6">
        <f>IF(ALLOCATIONS!A382="","",IF(ALLOCATIONS!D382="",0,ALLOCATIONS!D382))</f>
        <v/>
      </c>
      <c r="G388" s="6">
        <f>IF(ALLOCATIONS!A382="","",SUMIFS(RAW_004!$I$2:$I$10001,RAW_004!$D$2:$D$10001,ALLOCATIONS!A382,RAW_004!$H$2:$H$10001,ALLOCATIONS!B382,RAW_004!$N$2:$N$10001,ALLOCATIONS!C382))</f>
        <v/>
      </c>
      <c r="H388" s="6">
        <f>IF(A388="","",G388-F388)</f>
        <v/>
      </c>
    </row>
    <row r="389">
      <c r="A389" s="6">
        <f>IF(ALLOCATIONS!A383="","",IFERROR(VLOOKUP(ALLOCATIONS!A383,MAPPING!$A$3:$C$302,2,FALSE),"UNMAPPED"))</f>
        <v/>
      </c>
      <c r="B389" s="6">
        <f>IF(ALLOCATIONS!A383="","",IFERROR(VLOOKUP(ALLOCATIONS!A383,MAPPING!$A$3:$C$302,3,FALSE),ALLOCATIONS!A383))</f>
        <v/>
      </c>
      <c r="C389" s="6">
        <f>IF(ALLOCATIONS!A383="","",IFERROR(VLOOKUP(ALLOCATIONS!B383,MAPPING!$E$3:$G$302,2,FALSE),"UNMAPPED"))</f>
        <v/>
      </c>
      <c r="D389" s="6">
        <f>IF(ALLOCATIONS!A383="","",IFERROR(IF(VLOOKUP(ALLOCATIONS!B383,MAPPING!$E$3:$G$302,3,FALSE)="","",VLOOKUP(ALLOCATIONS!B383,MAPPING!$E$3:$G$302,3,FALSE)),""))</f>
        <v/>
      </c>
      <c r="E389" s="6">
        <f>IF(ALLOCATIONS!A383="","",ALLOCATIONS!C383)</f>
        <v/>
      </c>
      <c r="F389" s="6">
        <f>IF(ALLOCATIONS!A383="","",IF(ALLOCATIONS!D383="",0,ALLOCATIONS!D383))</f>
        <v/>
      </c>
      <c r="G389" s="6">
        <f>IF(ALLOCATIONS!A383="","",SUMIFS(RAW_004!$I$2:$I$10001,RAW_004!$D$2:$D$10001,ALLOCATIONS!A383,RAW_004!$H$2:$H$10001,ALLOCATIONS!B383,RAW_004!$N$2:$N$10001,ALLOCATIONS!C383))</f>
        <v/>
      </c>
      <c r="H389" s="6">
        <f>IF(A389="","",G389-F389)</f>
        <v/>
      </c>
    </row>
    <row r="390">
      <c r="A390" s="6">
        <f>IF(ALLOCATIONS!A384="","",IFERROR(VLOOKUP(ALLOCATIONS!A384,MAPPING!$A$3:$C$302,2,FALSE),"UNMAPPED"))</f>
        <v/>
      </c>
      <c r="B390" s="6">
        <f>IF(ALLOCATIONS!A384="","",IFERROR(VLOOKUP(ALLOCATIONS!A384,MAPPING!$A$3:$C$302,3,FALSE),ALLOCATIONS!A384))</f>
        <v/>
      </c>
      <c r="C390" s="6">
        <f>IF(ALLOCATIONS!A384="","",IFERROR(VLOOKUP(ALLOCATIONS!B384,MAPPING!$E$3:$G$302,2,FALSE),"UNMAPPED"))</f>
        <v/>
      </c>
      <c r="D390" s="6">
        <f>IF(ALLOCATIONS!A384="","",IFERROR(IF(VLOOKUP(ALLOCATIONS!B384,MAPPING!$E$3:$G$302,3,FALSE)="","",VLOOKUP(ALLOCATIONS!B384,MAPPING!$E$3:$G$302,3,FALSE)),""))</f>
        <v/>
      </c>
      <c r="E390" s="6">
        <f>IF(ALLOCATIONS!A384="","",ALLOCATIONS!C384)</f>
        <v/>
      </c>
      <c r="F390" s="6">
        <f>IF(ALLOCATIONS!A384="","",IF(ALLOCATIONS!D384="",0,ALLOCATIONS!D384))</f>
        <v/>
      </c>
      <c r="G390" s="6">
        <f>IF(ALLOCATIONS!A384="","",SUMIFS(RAW_004!$I$2:$I$10001,RAW_004!$D$2:$D$10001,ALLOCATIONS!A384,RAW_004!$H$2:$H$10001,ALLOCATIONS!B384,RAW_004!$N$2:$N$10001,ALLOCATIONS!C384))</f>
        <v/>
      </c>
      <c r="H390" s="6">
        <f>IF(A390="","",G390-F390)</f>
        <v/>
      </c>
    </row>
    <row r="391">
      <c r="A391" s="6">
        <f>IF(ALLOCATIONS!A385="","",IFERROR(VLOOKUP(ALLOCATIONS!A385,MAPPING!$A$3:$C$302,2,FALSE),"UNMAPPED"))</f>
        <v/>
      </c>
      <c r="B391" s="6">
        <f>IF(ALLOCATIONS!A385="","",IFERROR(VLOOKUP(ALLOCATIONS!A385,MAPPING!$A$3:$C$302,3,FALSE),ALLOCATIONS!A385))</f>
        <v/>
      </c>
      <c r="C391" s="6">
        <f>IF(ALLOCATIONS!A385="","",IFERROR(VLOOKUP(ALLOCATIONS!B385,MAPPING!$E$3:$G$302,2,FALSE),"UNMAPPED"))</f>
        <v/>
      </c>
      <c r="D391" s="6">
        <f>IF(ALLOCATIONS!A385="","",IFERROR(IF(VLOOKUP(ALLOCATIONS!B385,MAPPING!$E$3:$G$302,3,FALSE)="","",VLOOKUP(ALLOCATIONS!B385,MAPPING!$E$3:$G$302,3,FALSE)),""))</f>
        <v/>
      </c>
      <c r="E391" s="6">
        <f>IF(ALLOCATIONS!A385="","",ALLOCATIONS!C385)</f>
        <v/>
      </c>
      <c r="F391" s="6">
        <f>IF(ALLOCATIONS!A385="","",IF(ALLOCATIONS!D385="",0,ALLOCATIONS!D385))</f>
        <v/>
      </c>
      <c r="G391" s="6">
        <f>IF(ALLOCATIONS!A385="","",SUMIFS(RAW_004!$I$2:$I$10001,RAW_004!$D$2:$D$10001,ALLOCATIONS!A385,RAW_004!$H$2:$H$10001,ALLOCATIONS!B385,RAW_004!$N$2:$N$10001,ALLOCATIONS!C385))</f>
        <v/>
      </c>
      <c r="H391" s="6">
        <f>IF(A391="","",G391-F391)</f>
        <v/>
      </c>
    </row>
    <row r="392">
      <c r="A392" s="6">
        <f>IF(ALLOCATIONS!A386="","",IFERROR(VLOOKUP(ALLOCATIONS!A386,MAPPING!$A$3:$C$302,2,FALSE),"UNMAPPED"))</f>
        <v/>
      </c>
      <c r="B392" s="6">
        <f>IF(ALLOCATIONS!A386="","",IFERROR(VLOOKUP(ALLOCATIONS!A386,MAPPING!$A$3:$C$302,3,FALSE),ALLOCATIONS!A386))</f>
        <v/>
      </c>
      <c r="C392" s="6">
        <f>IF(ALLOCATIONS!A386="","",IFERROR(VLOOKUP(ALLOCATIONS!B386,MAPPING!$E$3:$G$302,2,FALSE),"UNMAPPED"))</f>
        <v/>
      </c>
      <c r="D392" s="6">
        <f>IF(ALLOCATIONS!A386="","",IFERROR(IF(VLOOKUP(ALLOCATIONS!B386,MAPPING!$E$3:$G$302,3,FALSE)="","",VLOOKUP(ALLOCATIONS!B386,MAPPING!$E$3:$G$302,3,FALSE)),""))</f>
        <v/>
      </c>
      <c r="E392" s="6">
        <f>IF(ALLOCATIONS!A386="","",ALLOCATIONS!C386)</f>
        <v/>
      </c>
      <c r="F392" s="6">
        <f>IF(ALLOCATIONS!A386="","",IF(ALLOCATIONS!D386="",0,ALLOCATIONS!D386))</f>
        <v/>
      </c>
      <c r="G392" s="6">
        <f>IF(ALLOCATIONS!A386="","",SUMIFS(RAW_004!$I$2:$I$10001,RAW_004!$D$2:$D$10001,ALLOCATIONS!A386,RAW_004!$H$2:$H$10001,ALLOCATIONS!B386,RAW_004!$N$2:$N$10001,ALLOCATIONS!C386))</f>
        <v/>
      </c>
      <c r="H392" s="6">
        <f>IF(A392="","",G392-F392)</f>
        <v/>
      </c>
    </row>
    <row r="393">
      <c r="A393" s="6">
        <f>IF(ALLOCATIONS!A387="","",IFERROR(VLOOKUP(ALLOCATIONS!A387,MAPPING!$A$3:$C$302,2,FALSE),"UNMAPPED"))</f>
        <v/>
      </c>
      <c r="B393" s="6">
        <f>IF(ALLOCATIONS!A387="","",IFERROR(VLOOKUP(ALLOCATIONS!A387,MAPPING!$A$3:$C$302,3,FALSE),ALLOCATIONS!A387))</f>
        <v/>
      </c>
      <c r="C393" s="6">
        <f>IF(ALLOCATIONS!A387="","",IFERROR(VLOOKUP(ALLOCATIONS!B387,MAPPING!$E$3:$G$302,2,FALSE),"UNMAPPED"))</f>
        <v/>
      </c>
      <c r="D393" s="6">
        <f>IF(ALLOCATIONS!A387="","",IFERROR(IF(VLOOKUP(ALLOCATIONS!B387,MAPPING!$E$3:$G$302,3,FALSE)="","",VLOOKUP(ALLOCATIONS!B387,MAPPING!$E$3:$G$302,3,FALSE)),""))</f>
        <v/>
      </c>
      <c r="E393" s="6">
        <f>IF(ALLOCATIONS!A387="","",ALLOCATIONS!C387)</f>
        <v/>
      </c>
      <c r="F393" s="6">
        <f>IF(ALLOCATIONS!A387="","",IF(ALLOCATIONS!D387="",0,ALLOCATIONS!D387))</f>
        <v/>
      </c>
      <c r="G393" s="6">
        <f>IF(ALLOCATIONS!A387="","",SUMIFS(RAW_004!$I$2:$I$10001,RAW_004!$D$2:$D$10001,ALLOCATIONS!A387,RAW_004!$H$2:$H$10001,ALLOCATIONS!B387,RAW_004!$N$2:$N$10001,ALLOCATIONS!C387))</f>
        <v/>
      </c>
      <c r="H393" s="6">
        <f>IF(A393="","",G393-F393)</f>
        <v/>
      </c>
    </row>
    <row r="394">
      <c r="A394" s="6">
        <f>IF(ALLOCATIONS!A388="","",IFERROR(VLOOKUP(ALLOCATIONS!A388,MAPPING!$A$3:$C$302,2,FALSE),"UNMAPPED"))</f>
        <v/>
      </c>
      <c r="B394" s="6">
        <f>IF(ALLOCATIONS!A388="","",IFERROR(VLOOKUP(ALLOCATIONS!A388,MAPPING!$A$3:$C$302,3,FALSE),ALLOCATIONS!A388))</f>
        <v/>
      </c>
      <c r="C394" s="6">
        <f>IF(ALLOCATIONS!A388="","",IFERROR(VLOOKUP(ALLOCATIONS!B388,MAPPING!$E$3:$G$302,2,FALSE),"UNMAPPED"))</f>
        <v/>
      </c>
      <c r="D394" s="6">
        <f>IF(ALLOCATIONS!A388="","",IFERROR(IF(VLOOKUP(ALLOCATIONS!B388,MAPPING!$E$3:$G$302,3,FALSE)="","",VLOOKUP(ALLOCATIONS!B388,MAPPING!$E$3:$G$302,3,FALSE)),""))</f>
        <v/>
      </c>
      <c r="E394" s="6">
        <f>IF(ALLOCATIONS!A388="","",ALLOCATIONS!C388)</f>
        <v/>
      </c>
      <c r="F394" s="6">
        <f>IF(ALLOCATIONS!A388="","",IF(ALLOCATIONS!D388="",0,ALLOCATIONS!D388))</f>
        <v/>
      </c>
      <c r="G394" s="6">
        <f>IF(ALLOCATIONS!A388="","",SUMIFS(RAW_004!$I$2:$I$10001,RAW_004!$D$2:$D$10001,ALLOCATIONS!A388,RAW_004!$H$2:$H$10001,ALLOCATIONS!B388,RAW_004!$N$2:$N$10001,ALLOCATIONS!C388))</f>
        <v/>
      </c>
      <c r="H394" s="6">
        <f>IF(A394="","",G394-F394)</f>
        <v/>
      </c>
    </row>
    <row r="395">
      <c r="A395" s="6">
        <f>IF(ALLOCATIONS!A389="","",IFERROR(VLOOKUP(ALLOCATIONS!A389,MAPPING!$A$3:$C$302,2,FALSE),"UNMAPPED"))</f>
        <v/>
      </c>
      <c r="B395" s="6">
        <f>IF(ALLOCATIONS!A389="","",IFERROR(VLOOKUP(ALLOCATIONS!A389,MAPPING!$A$3:$C$302,3,FALSE),ALLOCATIONS!A389))</f>
        <v/>
      </c>
      <c r="C395" s="6">
        <f>IF(ALLOCATIONS!A389="","",IFERROR(VLOOKUP(ALLOCATIONS!B389,MAPPING!$E$3:$G$302,2,FALSE),"UNMAPPED"))</f>
        <v/>
      </c>
      <c r="D395" s="6">
        <f>IF(ALLOCATIONS!A389="","",IFERROR(IF(VLOOKUP(ALLOCATIONS!B389,MAPPING!$E$3:$G$302,3,FALSE)="","",VLOOKUP(ALLOCATIONS!B389,MAPPING!$E$3:$G$302,3,FALSE)),""))</f>
        <v/>
      </c>
      <c r="E395" s="6">
        <f>IF(ALLOCATIONS!A389="","",ALLOCATIONS!C389)</f>
        <v/>
      </c>
      <c r="F395" s="6">
        <f>IF(ALLOCATIONS!A389="","",IF(ALLOCATIONS!D389="",0,ALLOCATIONS!D389))</f>
        <v/>
      </c>
      <c r="G395" s="6">
        <f>IF(ALLOCATIONS!A389="","",SUMIFS(RAW_004!$I$2:$I$10001,RAW_004!$D$2:$D$10001,ALLOCATIONS!A389,RAW_004!$H$2:$H$10001,ALLOCATIONS!B389,RAW_004!$N$2:$N$10001,ALLOCATIONS!C389))</f>
        <v/>
      </c>
      <c r="H395" s="6">
        <f>IF(A395="","",G395-F395)</f>
        <v/>
      </c>
    </row>
    <row r="396">
      <c r="A396" s="6">
        <f>IF(ALLOCATIONS!A390="","",IFERROR(VLOOKUP(ALLOCATIONS!A390,MAPPING!$A$3:$C$302,2,FALSE),"UNMAPPED"))</f>
        <v/>
      </c>
      <c r="B396" s="6">
        <f>IF(ALLOCATIONS!A390="","",IFERROR(VLOOKUP(ALLOCATIONS!A390,MAPPING!$A$3:$C$302,3,FALSE),ALLOCATIONS!A390))</f>
        <v/>
      </c>
      <c r="C396" s="6">
        <f>IF(ALLOCATIONS!A390="","",IFERROR(VLOOKUP(ALLOCATIONS!B390,MAPPING!$E$3:$G$302,2,FALSE),"UNMAPPED"))</f>
        <v/>
      </c>
      <c r="D396" s="6">
        <f>IF(ALLOCATIONS!A390="","",IFERROR(IF(VLOOKUP(ALLOCATIONS!B390,MAPPING!$E$3:$G$302,3,FALSE)="","",VLOOKUP(ALLOCATIONS!B390,MAPPING!$E$3:$G$302,3,FALSE)),""))</f>
        <v/>
      </c>
      <c r="E396" s="6">
        <f>IF(ALLOCATIONS!A390="","",ALLOCATIONS!C390)</f>
        <v/>
      </c>
      <c r="F396" s="6">
        <f>IF(ALLOCATIONS!A390="","",IF(ALLOCATIONS!D390="",0,ALLOCATIONS!D390))</f>
        <v/>
      </c>
      <c r="G396" s="6">
        <f>IF(ALLOCATIONS!A390="","",SUMIFS(RAW_004!$I$2:$I$10001,RAW_004!$D$2:$D$10001,ALLOCATIONS!A390,RAW_004!$H$2:$H$10001,ALLOCATIONS!B390,RAW_004!$N$2:$N$10001,ALLOCATIONS!C390))</f>
        <v/>
      </c>
      <c r="H396" s="6">
        <f>IF(A396="","",G396-F396)</f>
        <v/>
      </c>
    </row>
    <row r="397">
      <c r="A397" s="6">
        <f>IF(ALLOCATIONS!A391="","",IFERROR(VLOOKUP(ALLOCATIONS!A391,MAPPING!$A$3:$C$302,2,FALSE),"UNMAPPED"))</f>
        <v/>
      </c>
      <c r="B397" s="6">
        <f>IF(ALLOCATIONS!A391="","",IFERROR(VLOOKUP(ALLOCATIONS!A391,MAPPING!$A$3:$C$302,3,FALSE),ALLOCATIONS!A391))</f>
        <v/>
      </c>
      <c r="C397" s="6">
        <f>IF(ALLOCATIONS!A391="","",IFERROR(VLOOKUP(ALLOCATIONS!B391,MAPPING!$E$3:$G$302,2,FALSE),"UNMAPPED"))</f>
        <v/>
      </c>
      <c r="D397" s="6">
        <f>IF(ALLOCATIONS!A391="","",IFERROR(IF(VLOOKUP(ALLOCATIONS!B391,MAPPING!$E$3:$G$302,3,FALSE)="","",VLOOKUP(ALLOCATIONS!B391,MAPPING!$E$3:$G$302,3,FALSE)),""))</f>
        <v/>
      </c>
      <c r="E397" s="6">
        <f>IF(ALLOCATIONS!A391="","",ALLOCATIONS!C391)</f>
        <v/>
      </c>
      <c r="F397" s="6">
        <f>IF(ALLOCATIONS!A391="","",IF(ALLOCATIONS!D391="",0,ALLOCATIONS!D391))</f>
        <v/>
      </c>
      <c r="G397" s="6">
        <f>IF(ALLOCATIONS!A391="","",SUMIFS(RAW_004!$I$2:$I$10001,RAW_004!$D$2:$D$10001,ALLOCATIONS!A391,RAW_004!$H$2:$H$10001,ALLOCATIONS!B391,RAW_004!$N$2:$N$10001,ALLOCATIONS!C391))</f>
        <v/>
      </c>
      <c r="H397" s="6">
        <f>IF(A397="","",G397-F397)</f>
        <v/>
      </c>
    </row>
    <row r="398">
      <c r="A398" s="6">
        <f>IF(ALLOCATIONS!A392="","",IFERROR(VLOOKUP(ALLOCATIONS!A392,MAPPING!$A$3:$C$302,2,FALSE),"UNMAPPED"))</f>
        <v/>
      </c>
      <c r="B398" s="6">
        <f>IF(ALLOCATIONS!A392="","",IFERROR(VLOOKUP(ALLOCATIONS!A392,MAPPING!$A$3:$C$302,3,FALSE),ALLOCATIONS!A392))</f>
        <v/>
      </c>
      <c r="C398" s="6">
        <f>IF(ALLOCATIONS!A392="","",IFERROR(VLOOKUP(ALLOCATIONS!B392,MAPPING!$E$3:$G$302,2,FALSE),"UNMAPPED"))</f>
        <v/>
      </c>
      <c r="D398" s="6">
        <f>IF(ALLOCATIONS!A392="","",IFERROR(IF(VLOOKUP(ALLOCATIONS!B392,MAPPING!$E$3:$G$302,3,FALSE)="","",VLOOKUP(ALLOCATIONS!B392,MAPPING!$E$3:$G$302,3,FALSE)),""))</f>
        <v/>
      </c>
      <c r="E398" s="6">
        <f>IF(ALLOCATIONS!A392="","",ALLOCATIONS!C392)</f>
        <v/>
      </c>
      <c r="F398" s="6">
        <f>IF(ALLOCATIONS!A392="","",IF(ALLOCATIONS!D392="",0,ALLOCATIONS!D392))</f>
        <v/>
      </c>
      <c r="G398" s="6">
        <f>IF(ALLOCATIONS!A392="","",SUMIFS(RAW_004!$I$2:$I$10001,RAW_004!$D$2:$D$10001,ALLOCATIONS!A392,RAW_004!$H$2:$H$10001,ALLOCATIONS!B392,RAW_004!$N$2:$N$10001,ALLOCATIONS!C392))</f>
        <v/>
      </c>
      <c r="H398" s="6">
        <f>IF(A398="","",G398-F398)</f>
        <v/>
      </c>
    </row>
    <row r="399">
      <c r="A399" s="6">
        <f>IF(ALLOCATIONS!A393="","",IFERROR(VLOOKUP(ALLOCATIONS!A393,MAPPING!$A$3:$C$302,2,FALSE),"UNMAPPED"))</f>
        <v/>
      </c>
      <c r="B399" s="6">
        <f>IF(ALLOCATIONS!A393="","",IFERROR(VLOOKUP(ALLOCATIONS!A393,MAPPING!$A$3:$C$302,3,FALSE),ALLOCATIONS!A393))</f>
        <v/>
      </c>
      <c r="C399" s="6">
        <f>IF(ALLOCATIONS!A393="","",IFERROR(VLOOKUP(ALLOCATIONS!B393,MAPPING!$E$3:$G$302,2,FALSE),"UNMAPPED"))</f>
        <v/>
      </c>
      <c r="D399" s="6">
        <f>IF(ALLOCATIONS!A393="","",IFERROR(IF(VLOOKUP(ALLOCATIONS!B393,MAPPING!$E$3:$G$302,3,FALSE)="","",VLOOKUP(ALLOCATIONS!B393,MAPPING!$E$3:$G$302,3,FALSE)),""))</f>
        <v/>
      </c>
      <c r="E399" s="6">
        <f>IF(ALLOCATIONS!A393="","",ALLOCATIONS!C393)</f>
        <v/>
      </c>
      <c r="F399" s="6">
        <f>IF(ALLOCATIONS!A393="","",IF(ALLOCATIONS!D393="",0,ALLOCATIONS!D393))</f>
        <v/>
      </c>
      <c r="G399" s="6">
        <f>IF(ALLOCATIONS!A393="","",SUMIFS(RAW_004!$I$2:$I$10001,RAW_004!$D$2:$D$10001,ALLOCATIONS!A393,RAW_004!$H$2:$H$10001,ALLOCATIONS!B393,RAW_004!$N$2:$N$10001,ALLOCATIONS!C393))</f>
        <v/>
      </c>
      <c r="H399" s="6">
        <f>IF(A399="","",G399-F399)</f>
        <v/>
      </c>
    </row>
    <row r="400">
      <c r="A400" s="6">
        <f>IF(ALLOCATIONS!A394="","",IFERROR(VLOOKUP(ALLOCATIONS!A394,MAPPING!$A$3:$C$302,2,FALSE),"UNMAPPED"))</f>
        <v/>
      </c>
      <c r="B400" s="6">
        <f>IF(ALLOCATIONS!A394="","",IFERROR(VLOOKUP(ALLOCATIONS!A394,MAPPING!$A$3:$C$302,3,FALSE),ALLOCATIONS!A394))</f>
        <v/>
      </c>
      <c r="C400" s="6">
        <f>IF(ALLOCATIONS!A394="","",IFERROR(VLOOKUP(ALLOCATIONS!B394,MAPPING!$E$3:$G$302,2,FALSE),"UNMAPPED"))</f>
        <v/>
      </c>
      <c r="D400" s="6">
        <f>IF(ALLOCATIONS!A394="","",IFERROR(IF(VLOOKUP(ALLOCATIONS!B394,MAPPING!$E$3:$G$302,3,FALSE)="","",VLOOKUP(ALLOCATIONS!B394,MAPPING!$E$3:$G$302,3,FALSE)),""))</f>
        <v/>
      </c>
      <c r="E400" s="6">
        <f>IF(ALLOCATIONS!A394="","",ALLOCATIONS!C394)</f>
        <v/>
      </c>
      <c r="F400" s="6">
        <f>IF(ALLOCATIONS!A394="","",IF(ALLOCATIONS!D394="",0,ALLOCATIONS!D394))</f>
        <v/>
      </c>
      <c r="G400" s="6">
        <f>IF(ALLOCATIONS!A394="","",SUMIFS(RAW_004!$I$2:$I$10001,RAW_004!$D$2:$D$10001,ALLOCATIONS!A394,RAW_004!$H$2:$H$10001,ALLOCATIONS!B394,RAW_004!$N$2:$N$10001,ALLOCATIONS!C394))</f>
        <v/>
      </c>
      <c r="H400" s="6">
        <f>IF(A400="","",G400-F400)</f>
        <v/>
      </c>
    </row>
    <row r="401">
      <c r="A401" s="6">
        <f>IF(ALLOCATIONS!A395="","",IFERROR(VLOOKUP(ALLOCATIONS!A395,MAPPING!$A$3:$C$302,2,FALSE),"UNMAPPED"))</f>
        <v/>
      </c>
      <c r="B401" s="6">
        <f>IF(ALLOCATIONS!A395="","",IFERROR(VLOOKUP(ALLOCATIONS!A395,MAPPING!$A$3:$C$302,3,FALSE),ALLOCATIONS!A395))</f>
        <v/>
      </c>
      <c r="C401" s="6">
        <f>IF(ALLOCATIONS!A395="","",IFERROR(VLOOKUP(ALLOCATIONS!B395,MAPPING!$E$3:$G$302,2,FALSE),"UNMAPPED"))</f>
        <v/>
      </c>
      <c r="D401" s="6">
        <f>IF(ALLOCATIONS!A395="","",IFERROR(IF(VLOOKUP(ALLOCATIONS!B395,MAPPING!$E$3:$G$302,3,FALSE)="","",VLOOKUP(ALLOCATIONS!B395,MAPPING!$E$3:$G$302,3,FALSE)),""))</f>
        <v/>
      </c>
      <c r="E401" s="6">
        <f>IF(ALLOCATIONS!A395="","",ALLOCATIONS!C395)</f>
        <v/>
      </c>
      <c r="F401" s="6">
        <f>IF(ALLOCATIONS!A395="","",IF(ALLOCATIONS!D395="",0,ALLOCATIONS!D395))</f>
        <v/>
      </c>
      <c r="G401" s="6">
        <f>IF(ALLOCATIONS!A395="","",SUMIFS(RAW_004!$I$2:$I$10001,RAW_004!$D$2:$D$10001,ALLOCATIONS!A395,RAW_004!$H$2:$H$10001,ALLOCATIONS!B395,RAW_004!$N$2:$N$10001,ALLOCATIONS!C395))</f>
        <v/>
      </c>
      <c r="H401" s="6">
        <f>IF(A401="","",G401-F401)</f>
        <v/>
      </c>
    </row>
    <row r="402">
      <c r="A402" s="6">
        <f>IF(ALLOCATIONS!A396="","",IFERROR(VLOOKUP(ALLOCATIONS!A396,MAPPING!$A$3:$C$302,2,FALSE),"UNMAPPED"))</f>
        <v/>
      </c>
      <c r="B402" s="6">
        <f>IF(ALLOCATIONS!A396="","",IFERROR(VLOOKUP(ALLOCATIONS!A396,MAPPING!$A$3:$C$302,3,FALSE),ALLOCATIONS!A396))</f>
        <v/>
      </c>
      <c r="C402" s="6">
        <f>IF(ALLOCATIONS!A396="","",IFERROR(VLOOKUP(ALLOCATIONS!B396,MAPPING!$E$3:$G$302,2,FALSE),"UNMAPPED"))</f>
        <v/>
      </c>
      <c r="D402" s="6">
        <f>IF(ALLOCATIONS!A396="","",IFERROR(IF(VLOOKUP(ALLOCATIONS!B396,MAPPING!$E$3:$G$302,3,FALSE)="","",VLOOKUP(ALLOCATIONS!B396,MAPPING!$E$3:$G$302,3,FALSE)),""))</f>
        <v/>
      </c>
      <c r="E402" s="6">
        <f>IF(ALLOCATIONS!A396="","",ALLOCATIONS!C396)</f>
        <v/>
      </c>
      <c r="F402" s="6">
        <f>IF(ALLOCATIONS!A396="","",IF(ALLOCATIONS!D396="",0,ALLOCATIONS!D396))</f>
        <v/>
      </c>
      <c r="G402" s="6">
        <f>IF(ALLOCATIONS!A396="","",SUMIFS(RAW_004!$I$2:$I$10001,RAW_004!$D$2:$D$10001,ALLOCATIONS!A396,RAW_004!$H$2:$H$10001,ALLOCATIONS!B396,RAW_004!$N$2:$N$10001,ALLOCATIONS!C396))</f>
        <v/>
      </c>
      <c r="H402" s="6">
        <f>IF(A402="","",G402-F402)</f>
        <v/>
      </c>
    </row>
    <row r="403">
      <c r="A403" s="6">
        <f>IF(ALLOCATIONS!A397="","",IFERROR(VLOOKUP(ALLOCATIONS!A397,MAPPING!$A$3:$C$302,2,FALSE),"UNMAPPED"))</f>
        <v/>
      </c>
      <c r="B403" s="6">
        <f>IF(ALLOCATIONS!A397="","",IFERROR(VLOOKUP(ALLOCATIONS!A397,MAPPING!$A$3:$C$302,3,FALSE),ALLOCATIONS!A397))</f>
        <v/>
      </c>
      <c r="C403" s="6">
        <f>IF(ALLOCATIONS!A397="","",IFERROR(VLOOKUP(ALLOCATIONS!B397,MAPPING!$E$3:$G$302,2,FALSE),"UNMAPPED"))</f>
        <v/>
      </c>
      <c r="D403" s="6">
        <f>IF(ALLOCATIONS!A397="","",IFERROR(IF(VLOOKUP(ALLOCATIONS!B397,MAPPING!$E$3:$G$302,3,FALSE)="","",VLOOKUP(ALLOCATIONS!B397,MAPPING!$E$3:$G$302,3,FALSE)),""))</f>
        <v/>
      </c>
      <c r="E403" s="6">
        <f>IF(ALLOCATIONS!A397="","",ALLOCATIONS!C397)</f>
        <v/>
      </c>
      <c r="F403" s="6">
        <f>IF(ALLOCATIONS!A397="","",IF(ALLOCATIONS!D397="",0,ALLOCATIONS!D397))</f>
        <v/>
      </c>
      <c r="G403" s="6">
        <f>IF(ALLOCATIONS!A397="","",SUMIFS(RAW_004!$I$2:$I$10001,RAW_004!$D$2:$D$10001,ALLOCATIONS!A397,RAW_004!$H$2:$H$10001,ALLOCATIONS!B397,RAW_004!$N$2:$N$10001,ALLOCATIONS!C397))</f>
        <v/>
      </c>
      <c r="H403" s="6">
        <f>IF(A403="","",G403-F403)</f>
        <v/>
      </c>
    </row>
    <row r="404">
      <c r="A404" s="6">
        <f>IF(ALLOCATIONS!A398="","",IFERROR(VLOOKUP(ALLOCATIONS!A398,MAPPING!$A$3:$C$302,2,FALSE),"UNMAPPED"))</f>
        <v/>
      </c>
      <c r="B404" s="6">
        <f>IF(ALLOCATIONS!A398="","",IFERROR(VLOOKUP(ALLOCATIONS!A398,MAPPING!$A$3:$C$302,3,FALSE),ALLOCATIONS!A398))</f>
        <v/>
      </c>
      <c r="C404" s="6">
        <f>IF(ALLOCATIONS!A398="","",IFERROR(VLOOKUP(ALLOCATIONS!B398,MAPPING!$E$3:$G$302,2,FALSE),"UNMAPPED"))</f>
        <v/>
      </c>
      <c r="D404" s="6">
        <f>IF(ALLOCATIONS!A398="","",IFERROR(IF(VLOOKUP(ALLOCATIONS!B398,MAPPING!$E$3:$G$302,3,FALSE)="","",VLOOKUP(ALLOCATIONS!B398,MAPPING!$E$3:$G$302,3,FALSE)),""))</f>
        <v/>
      </c>
      <c r="E404" s="6">
        <f>IF(ALLOCATIONS!A398="","",ALLOCATIONS!C398)</f>
        <v/>
      </c>
      <c r="F404" s="6">
        <f>IF(ALLOCATIONS!A398="","",IF(ALLOCATIONS!D398="",0,ALLOCATIONS!D398))</f>
        <v/>
      </c>
      <c r="G404" s="6">
        <f>IF(ALLOCATIONS!A398="","",SUMIFS(RAW_004!$I$2:$I$10001,RAW_004!$D$2:$D$10001,ALLOCATIONS!A398,RAW_004!$H$2:$H$10001,ALLOCATIONS!B398,RAW_004!$N$2:$N$10001,ALLOCATIONS!C398))</f>
        <v/>
      </c>
      <c r="H404" s="6">
        <f>IF(A404="","",G404-F404)</f>
        <v/>
      </c>
    </row>
    <row r="405">
      <c r="A405" s="6">
        <f>IF(ALLOCATIONS!A399="","",IFERROR(VLOOKUP(ALLOCATIONS!A399,MAPPING!$A$3:$C$302,2,FALSE),"UNMAPPED"))</f>
        <v/>
      </c>
      <c r="B405" s="6">
        <f>IF(ALLOCATIONS!A399="","",IFERROR(VLOOKUP(ALLOCATIONS!A399,MAPPING!$A$3:$C$302,3,FALSE),ALLOCATIONS!A399))</f>
        <v/>
      </c>
      <c r="C405" s="6">
        <f>IF(ALLOCATIONS!A399="","",IFERROR(VLOOKUP(ALLOCATIONS!B399,MAPPING!$E$3:$G$302,2,FALSE),"UNMAPPED"))</f>
        <v/>
      </c>
      <c r="D405" s="6">
        <f>IF(ALLOCATIONS!A399="","",IFERROR(IF(VLOOKUP(ALLOCATIONS!B399,MAPPING!$E$3:$G$302,3,FALSE)="","",VLOOKUP(ALLOCATIONS!B399,MAPPING!$E$3:$G$302,3,FALSE)),""))</f>
        <v/>
      </c>
      <c r="E405" s="6">
        <f>IF(ALLOCATIONS!A399="","",ALLOCATIONS!C399)</f>
        <v/>
      </c>
      <c r="F405" s="6">
        <f>IF(ALLOCATIONS!A399="","",IF(ALLOCATIONS!D399="",0,ALLOCATIONS!D399))</f>
        <v/>
      </c>
      <c r="G405" s="6">
        <f>IF(ALLOCATIONS!A399="","",SUMIFS(RAW_004!$I$2:$I$10001,RAW_004!$D$2:$D$10001,ALLOCATIONS!A399,RAW_004!$H$2:$H$10001,ALLOCATIONS!B399,RAW_004!$N$2:$N$10001,ALLOCATIONS!C399))</f>
        <v/>
      </c>
      <c r="H405" s="6">
        <f>IF(A405="","",G405-F405)</f>
        <v/>
      </c>
    </row>
    <row r="406">
      <c r="A406" s="6">
        <f>IF(ALLOCATIONS!A400="","",IFERROR(VLOOKUP(ALLOCATIONS!A400,MAPPING!$A$3:$C$302,2,FALSE),"UNMAPPED"))</f>
        <v/>
      </c>
      <c r="B406" s="6">
        <f>IF(ALLOCATIONS!A400="","",IFERROR(VLOOKUP(ALLOCATIONS!A400,MAPPING!$A$3:$C$302,3,FALSE),ALLOCATIONS!A400))</f>
        <v/>
      </c>
      <c r="C406" s="6">
        <f>IF(ALLOCATIONS!A400="","",IFERROR(VLOOKUP(ALLOCATIONS!B400,MAPPING!$E$3:$G$302,2,FALSE),"UNMAPPED"))</f>
        <v/>
      </c>
      <c r="D406" s="6">
        <f>IF(ALLOCATIONS!A400="","",IFERROR(IF(VLOOKUP(ALLOCATIONS!B400,MAPPING!$E$3:$G$302,3,FALSE)="","",VLOOKUP(ALLOCATIONS!B400,MAPPING!$E$3:$G$302,3,FALSE)),""))</f>
        <v/>
      </c>
      <c r="E406" s="6">
        <f>IF(ALLOCATIONS!A400="","",ALLOCATIONS!C400)</f>
        <v/>
      </c>
      <c r="F406" s="6">
        <f>IF(ALLOCATIONS!A400="","",IF(ALLOCATIONS!D400="",0,ALLOCATIONS!D400))</f>
        <v/>
      </c>
      <c r="G406" s="6">
        <f>IF(ALLOCATIONS!A400="","",SUMIFS(RAW_004!$I$2:$I$10001,RAW_004!$D$2:$D$10001,ALLOCATIONS!A400,RAW_004!$H$2:$H$10001,ALLOCATIONS!B400,RAW_004!$N$2:$N$10001,ALLOCATIONS!C400))</f>
        <v/>
      </c>
      <c r="H406" s="6">
        <f>IF(A406="","",G406-F406)</f>
        <v/>
      </c>
    </row>
    <row r="407">
      <c r="A407" s="6">
        <f>IF(ALLOCATIONS!A401="","",IFERROR(VLOOKUP(ALLOCATIONS!A401,MAPPING!$A$3:$C$302,2,FALSE),"UNMAPPED"))</f>
        <v/>
      </c>
      <c r="B407" s="6">
        <f>IF(ALLOCATIONS!A401="","",IFERROR(VLOOKUP(ALLOCATIONS!A401,MAPPING!$A$3:$C$302,3,FALSE),ALLOCATIONS!A401))</f>
        <v/>
      </c>
      <c r="C407" s="6">
        <f>IF(ALLOCATIONS!A401="","",IFERROR(VLOOKUP(ALLOCATIONS!B401,MAPPING!$E$3:$G$302,2,FALSE),"UNMAPPED"))</f>
        <v/>
      </c>
      <c r="D407" s="6">
        <f>IF(ALLOCATIONS!A401="","",IFERROR(IF(VLOOKUP(ALLOCATIONS!B401,MAPPING!$E$3:$G$302,3,FALSE)="","",VLOOKUP(ALLOCATIONS!B401,MAPPING!$E$3:$G$302,3,FALSE)),""))</f>
        <v/>
      </c>
      <c r="E407" s="6">
        <f>IF(ALLOCATIONS!A401="","",ALLOCATIONS!C401)</f>
        <v/>
      </c>
      <c r="F407" s="6">
        <f>IF(ALLOCATIONS!A401="","",IF(ALLOCATIONS!D401="",0,ALLOCATIONS!D401))</f>
        <v/>
      </c>
      <c r="G407" s="6">
        <f>IF(ALLOCATIONS!A401="","",SUMIFS(RAW_004!$I$2:$I$10001,RAW_004!$D$2:$D$10001,ALLOCATIONS!A401,RAW_004!$H$2:$H$10001,ALLOCATIONS!B401,RAW_004!$N$2:$N$10001,ALLOCATIONS!C401))</f>
        <v/>
      </c>
      <c r="H407" s="6">
        <f>IF(A407="","",G407-F407)</f>
        <v/>
      </c>
    </row>
    <row r="408">
      <c r="A408" s="6">
        <f>IF(ALLOCATIONS!A402="","",IFERROR(VLOOKUP(ALLOCATIONS!A402,MAPPING!$A$3:$C$302,2,FALSE),"UNMAPPED"))</f>
        <v/>
      </c>
      <c r="B408" s="6">
        <f>IF(ALLOCATIONS!A402="","",IFERROR(VLOOKUP(ALLOCATIONS!A402,MAPPING!$A$3:$C$302,3,FALSE),ALLOCATIONS!A402))</f>
        <v/>
      </c>
      <c r="C408" s="6">
        <f>IF(ALLOCATIONS!A402="","",IFERROR(VLOOKUP(ALLOCATIONS!B402,MAPPING!$E$3:$G$302,2,FALSE),"UNMAPPED"))</f>
        <v/>
      </c>
      <c r="D408" s="6">
        <f>IF(ALLOCATIONS!A402="","",IFERROR(IF(VLOOKUP(ALLOCATIONS!B402,MAPPING!$E$3:$G$302,3,FALSE)="","",VLOOKUP(ALLOCATIONS!B402,MAPPING!$E$3:$G$302,3,FALSE)),""))</f>
        <v/>
      </c>
      <c r="E408" s="6">
        <f>IF(ALLOCATIONS!A402="","",ALLOCATIONS!C402)</f>
        <v/>
      </c>
      <c r="F408" s="6">
        <f>IF(ALLOCATIONS!A402="","",IF(ALLOCATIONS!D402="",0,ALLOCATIONS!D402))</f>
        <v/>
      </c>
      <c r="G408" s="6">
        <f>IF(ALLOCATIONS!A402="","",SUMIFS(RAW_004!$I$2:$I$10001,RAW_004!$D$2:$D$10001,ALLOCATIONS!A402,RAW_004!$H$2:$H$10001,ALLOCATIONS!B402,RAW_004!$N$2:$N$10001,ALLOCATIONS!C402))</f>
        <v/>
      </c>
      <c r="H408" s="6">
        <f>IF(A408="","",G408-F408)</f>
        <v/>
      </c>
    </row>
    <row r="409">
      <c r="A409" s="6">
        <f>IF(ALLOCATIONS!A403="","",IFERROR(VLOOKUP(ALLOCATIONS!A403,MAPPING!$A$3:$C$302,2,FALSE),"UNMAPPED"))</f>
        <v/>
      </c>
      <c r="B409" s="6">
        <f>IF(ALLOCATIONS!A403="","",IFERROR(VLOOKUP(ALLOCATIONS!A403,MAPPING!$A$3:$C$302,3,FALSE),ALLOCATIONS!A403))</f>
        <v/>
      </c>
      <c r="C409" s="6">
        <f>IF(ALLOCATIONS!A403="","",IFERROR(VLOOKUP(ALLOCATIONS!B403,MAPPING!$E$3:$G$302,2,FALSE),"UNMAPPED"))</f>
        <v/>
      </c>
      <c r="D409" s="6">
        <f>IF(ALLOCATIONS!A403="","",IFERROR(IF(VLOOKUP(ALLOCATIONS!B403,MAPPING!$E$3:$G$302,3,FALSE)="","",VLOOKUP(ALLOCATIONS!B403,MAPPING!$E$3:$G$302,3,FALSE)),""))</f>
        <v/>
      </c>
      <c r="E409" s="6">
        <f>IF(ALLOCATIONS!A403="","",ALLOCATIONS!C403)</f>
        <v/>
      </c>
      <c r="F409" s="6">
        <f>IF(ALLOCATIONS!A403="","",IF(ALLOCATIONS!D403="",0,ALLOCATIONS!D403))</f>
        <v/>
      </c>
      <c r="G409" s="6">
        <f>IF(ALLOCATIONS!A403="","",SUMIFS(RAW_004!$I$2:$I$10001,RAW_004!$D$2:$D$10001,ALLOCATIONS!A403,RAW_004!$H$2:$H$10001,ALLOCATIONS!B403,RAW_004!$N$2:$N$10001,ALLOCATIONS!C403))</f>
        <v/>
      </c>
      <c r="H409" s="6">
        <f>IF(A409="","",G409-F409)</f>
        <v/>
      </c>
    </row>
    <row r="410">
      <c r="A410" s="6">
        <f>IF(ALLOCATIONS!A404="","",IFERROR(VLOOKUP(ALLOCATIONS!A404,MAPPING!$A$3:$C$302,2,FALSE),"UNMAPPED"))</f>
        <v/>
      </c>
      <c r="B410" s="6">
        <f>IF(ALLOCATIONS!A404="","",IFERROR(VLOOKUP(ALLOCATIONS!A404,MAPPING!$A$3:$C$302,3,FALSE),ALLOCATIONS!A404))</f>
        <v/>
      </c>
      <c r="C410" s="6">
        <f>IF(ALLOCATIONS!A404="","",IFERROR(VLOOKUP(ALLOCATIONS!B404,MAPPING!$E$3:$G$302,2,FALSE),"UNMAPPED"))</f>
        <v/>
      </c>
      <c r="D410" s="6">
        <f>IF(ALLOCATIONS!A404="","",IFERROR(IF(VLOOKUP(ALLOCATIONS!B404,MAPPING!$E$3:$G$302,3,FALSE)="","",VLOOKUP(ALLOCATIONS!B404,MAPPING!$E$3:$G$302,3,FALSE)),""))</f>
        <v/>
      </c>
      <c r="E410" s="6">
        <f>IF(ALLOCATIONS!A404="","",ALLOCATIONS!C404)</f>
        <v/>
      </c>
      <c r="F410" s="6">
        <f>IF(ALLOCATIONS!A404="","",IF(ALLOCATIONS!D404="",0,ALLOCATIONS!D404))</f>
        <v/>
      </c>
      <c r="G410" s="6">
        <f>IF(ALLOCATIONS!A404="","",SUMIFS(RAW_004!$I$2:$I$10001,RAW_004!$D$2:$D$10001,ALLOCATIONS!A404,RAW_004!$H$2:$H$10001,ALLOCATIONS!B404,RAW_004!$N$2:$N$10001,ALLOCATIONS!C404))</f>
        <v/>
      </c>
      <c r="H410" s="6">
        <f>IF(A410="","",G410-F410)</f>
        <v/>
      </c>
    </row>
    <row r="411">
      <c r="A411" s="6">
        <f>IF(ALLOCATIONS!A405="","",IFERROR(VLOOKUP(ALLOCATIONS!A405,MAPPING!$A$3:$C$302,2,FALSE),"UNMAPPED"))</f>
        <v/>
      </c>
      <c r="B411" s="6">
        <f>IF(ALLOCATIONS!A405="","",IFERROR(VLOOKUP(ALLOCATIONS!A405,MAPPING!$A$3:$C$302,3,FALSE),ALLOCATIONS!A405))</f>
        <v/>
      </c>
      <c r="C411" s="6">
        <f>IF(ALLOCATIONS!A405="","",IFERROR(VLOOKUP(ALLOCATIONS!B405,MAPPING!$E$3:$G$302,2,FALSE),"UNMAPPED"))</f>
        <v/>
      </c>
      <c r="D411" s="6">
        <f>IF(ALLOCATIONS!A405="","",IFERROR(IF(VLOOKUP(ALLOCATIONS!B405,MAPPING!$E$3:$G$302,3,FALSE)="","",VLOOKUP(ALLOCATIONS!B405,MAPPING!$E$3:$G$302,3,FALSE)),""))</f>
        <v/>
      </c>
      <c r="E411" s="6">
        <f>IF(ALLOCATIONS!A405="","",ALLOCATIONS!C405)</f>
        <v/>
      </c>
      <c r="F411" s="6">
        <f>IF(ALLOCATIONS!A405="","",IF(ALLOCATIONS!D405="",0,ALLOCATIONS!D405))</f>
        <v/>
      </c>
      <c r="G411" s="6">
        <f>IF(ALLOCATIONS!A405="","",SUMIFS(RAW_004!$I$2:$I$10001,RAW_004!$D$2:$D$10001,ALLOCATIONS!A405,RAW_004!$H$2:$H$10001,ALLOCATIONS!B405,RAW_004!$N$2:$N$10001,ALLOCATIONS!C405))</f>
        <v/>
      </c>
      <c r="H411" s="6">
        <f>IF(A411="","",G411-F411)</f>
        <v/>
      </c>
    </row>
    <row r="412">
      <c r="A412" s="6">
        <f>IF(ALLOCATIONS!A406="","",IFERROR(VLOOKUP(ALLOCATIONS!A406,MAPPING!$A$3:$C$302,2,FALSE),"UNMAPPED"))</f>
        <v/>
      </c>
      <c r="B412" s="6">
        <f>IF(ALLOCATIONS!A406="","",IFERROR(VLOOKUP(ALLOCATIONS!A406,MAPPING!$A$3:$C$302,3,FALSE),ALLOCATIONS!A406))</f>
        <v/>
      </c>
      <c r="C412" s="6">
        <f>IF(ALLOCATIONS!A406="","",IFERROR(VLOOKUP(ALLOCATIONS!B406,MAPPING!$E$3:$G$302,2,FALSE),"UNMAPPED"))</f>
        <v/>
      </c>
      <c r="D412" s="6">
        <f>IF(ALLOCATIONS!A406="","",IFERROR(IF(VLOOKUP(ALLOCATIONS!B406,MAPPING!$E$3:$G$302,3,FALSE)="","",VLOOKUP(ALLOCATIONS!B406,MAPPING!$E$3:$G$302,3,FALSE)),""))</f>
        <v/>
      </c>
      <c r="E412" s="6">
        <f>IF(ALLOCATIONS!A406="","",ALLOCATIONS!C406)</f>
        <v/>
      </c>
      <c r="F412" s="6">
        <f>IF(ALLOCATIONS!A406="","",IF(ALLOCATIONS!D406="",0,ALLOCATIONS!D406))</f>
        <v/>
      </c>
      <c r="G412" s="6">
        <f>IF(ALLOCATIONS!A406="","",SUMIFS(RAW_004!$I$2:$I$10001,RAW_004!$D$2:$D$10001,ALLOCATIONS!A406,RAW_004!$H$2:$H$10001,ALLOCATIONS!B406,RAW_004!$N$2:$N$10001,ALLOCATIONS!C406))</f>
        <v/>
      </c>
      <c r="H412" s="6">
        <f>IF(A412="","",G412-F412)</f>
        <v/>
      </c>
    </row>
    <row r="413">
      <c r="A413" s="6">
        <f>IF(ALLOCATIONS!A407="","",IFERROR(VLOOKUP(ALLOCATIONS!A407,MAPPING!$A$3:$C$302,2,FALSE),"UNMAPPED"))</f>
        <v/>
      </c>
      <c r="B413" s="6">
        <f>IF(ALLOCATIONS!A407="","",IFERROR(VLOOKUP(ALLOCATIONS!A407,MAPPING!$A$3:$C$302,3,FALSE),ALLOCATIONS!A407))</f>
        <v/>
      </c>
      <c r="C413" s="6">
        <f>IF(ALLOCATIONS!A407="","",IFERROR(VLOOKUP(ALLOCATIONS!B407,MAPPING!$E$3:$G$302,2,FALSE),"UNMAPPED"))</f>
        <v/>
      </c>
      <c r="D413" s="6">
        <f>IF(ALLOCATIONS!A407="","",IFERROR(IF(VLOOKUP(ALLOCATIONS!B407,MAPPING!$E$3:$G$302,3,FALSE)="","",VLOOKUP(ALLOCATIONS!B407,MAPPING!$E$3:$G$302,3,FALSE)),""))</f>
        <v/>
      </c>
      <c r="E413" s="6">
        <f>IF(ALLOCATIONS!A407="","",ALLOCATIONS!C407)</f>
        <v/>
      </c>
      <c r="F413" s="6">
        <f>IF(ALLOCATIONS!A407="","",IF(ALLOCATIONS!D407="",0,ALLOCATIONS!D407))</f>
        <v/>
      </c>
      <c r="G413" s="6">
        <f>IF(ALLOCATIONS!A407="","",SUMIFS(RAW_004!$I$2:$I$10001,RAW_004!$D$2:$D$10001,ALLOCATIONS!A407,RAW_004!$H$2:$H$10001,ALLOCATIONS!B407,RAW_004!$N$2:$N$10001,ALLOCATIONS!C407))</f>
        <v/>
      </c>
      <c r="H413" s="6">
        <f>IF(A413="","",G413-F413)</f>
        <v/>
      </c>
    </row>
    <row r="414">
      <c r="A414" s="6">
        <f>IF(ALLOCATIONS!A408="","",IFERROR(VLOOKUP(ALLOCATIONS!A408,MAPPING!$A$3:$C$302,2,FALSE),"UNMAPPED"))</f>
        <v/>
      </c>
      <c r="B414" s="6">
        <f>IF(ALLOCATIONS!A408="","",IFERROR(VLOOKUP(ALLOCATIONS!A408,MAPPING!$A$3:$C$302,3,FALSE),ALLOCATIONS!A408))</f>
        <v/>
      </c>
      <c r="C414" s="6">
        <f>IF(ALLOCATIONS!A408="","",IFERROR(VLOOKUP(ALLOCATIONS!B408,MAPPING!$E$3:$G$302,2,FALSE),"UNMAPPED"))</f>
        <v/>
      </c>
      <c r="D414" s="6">
        <f>IF(ALLOCATIONS!A408="","",IFERROR(IF(VLOOKUP(ALLOCATIONS!B408,MAPPING!$E$3:$G$302,3,FALSE)="","",VLOOKUP(ALLOCATIONS!B408,MAPPING!$E$3:$G$302,3,FALSE)),""))</f>
        <v/>
      </c>
      <c r="E414" s="6">
        <f>IF(ALLOCATIONS!A408="","",ALLOCATIONS!C408)</f>
        <v/>
      </c>
      <c r="F414" s="6">
        <f>IF(ALLOCATIONS!A408="","",IF(ALLOCATIONS!D408="",0,ALLOCATIONS!D408))</f>
        <v/>
      </c>
      <c r="G414" s="6">
        <f>IF(ALLOCATIONS!A408="","",SUMIFS(RAW_004!$I$2:$I$10001,RAW_004!$D$2:$D$10001,ALLOCATIONS!A408,RAW_004!$H$2:$H$10001,ALLOCATIONS!B408,RAW_004!$N$2:$N$10001,ALLOCATIONS!C408))</f>
        <v/>
      </c>
      <c r="H414" s="6">
        <f>IF(A414="","",G414-F414)</f>
        <v/>
      </c>
    </row>
    <row r="415">
      <c r="A415" s="6">
        <f>IF(ALLOCATIONS!A409="","",IFERROR(VLOOKUP(ALLOCATIONS!A409,MAPPING!$A$3:$C$302,2,FALSE),"UNMAPPED"))</f>
        <v/>
      </c>
      <c r="B415" s="6">
        <f>IF(ALLOCATIONS!A409="","",IFERROR(VLOOKUP(ALLOCATIONS!A409,MAPPING!$A$3:$C$302,3,FALSE),ALLOCATIONS!A409))</f>
        <v/>
      </c>
      <c r="C415" s="6">
        <f>IF(ALLOCATIONS!A409="","",IFERROR(VLOOKUP(ALLOCATIONS!B409,MAPPING!$E$3:$G$302,2,FALSE),"UNMAPPED"))</f>
        <v/>
      </c>
      <c r="D415" s="6">
        <f>IF(ALLOCATIONS!A409="","",IFERROR(IF(VLOOKUP(ALLOCATIONS!B409,MAPPING!$E$3:$G$302,3,FALSE)="","",VLOOKUP(ALLOCATIONS!B409,MAPPING!$E$3:$G$302,3,FALSE)),""))</f>
        <v/>
      </c>
      <c r="E415" s="6">
        <f>IF(ALLOCATIONS!A409="","",ALLOCATIONS!C409)</f>
        <v/>
      </c>
      <c r="F415" s="6">
        <f>IF(ALLOCATIONS!A409="","",IF(ALLOCATIONS!D409="",0,ALLOCATIONS!D409))</f>
        <v/>
      </c>
      <c r="G415" s="6">
        <f>IF(ALLOCATIONS!A409="","",SUMIFS(RAW_004!$I$2:$I$10001,RAW_004!$D$2:$D$10001,ALLOCATIONS!A409,RAW_004!$H$2:$H$10001,ALLOCATIONS!B409,RAW_004!$N$2:$N$10001,ALLOCATIONS!C409))</f>
        <v/>
      </c>
      <c r="H415" s="6">
        <f>IF(A415="","",G415-F415)</f>
        <v/>
      </c>
    </row>
    <row r="416">
      <c r="A416" s="6">
        <f>IF(ALLOCATIONS!A410="","",IFERROR(VLOOKUP(ALLOCATIONS!A410,MAPPING!$A$3:$C$302,2,FALSE),"UNMAPPED"))</f>
        <v/>
      </c>
      <c r="B416" s="6">
        <f>IF(ALLOCATIONS!A410="","",IFERROR(VLOOKUP(ALLOCATIONS!A410,MAPPING!$A$3:$C$302,3,FALSE),ALLOCATIONS!A410))</f>
        <v/>
      </c>
      <c r="C416" s="6">
        <f>IF(ALLOCATIONS!A410="","",IFERROR(VLOOKUP(ALLOCATIONS!B410,MAPPING!$E$3:$G$302,2,FALSE),"UNMAPPED"))</f>
        <v/>
      </c>
      <c r="D416" s="6">
        <f>IF(ALLOCATIONS!A410="","",IFERROR(IF(VLOOKUP(ALLOCATIONS!B410,MAPPING!$E$3:$G$302,3,FALSE)="","",VLOOKUP(ALLOCATIONS!B410,MAPPING!$E$3:$G$302,3,FALSE)),""))</f>
        <v/>
      </c>
      <c r="E416" s="6">
        <f>IF(ALLOCATIONS!A410="","",ALLOCATIONS!C410)</f>
        <v/>
      </c>
      <c r="F416" s="6">
        <f>IF(ALLOCATIONS!A410="","",IF(ALLOCATIONS!D410="",0,ALLOCATIONS!D410))</f>
        <v/>
      </c>
      <c r="G416" s="6">
        <f>IF(ALLOCATIONS!A410="","",SUMIFS(RAW_004!$I$2:$I$10001,RAW_004!$D$2:$D$10001,ALLOCATIONS!A410,RAW_004!$H$2:$H$10001,ALLOCATIONS!B410,RAW_004!$N$2:$N$10001,ALLOCATIONS!C410))</f>
        <v/>
      </c>
      <c r="H416" s="6">
        <f>IF(A416="","",G416-F416)</f>
        <v/>
      </c>
    </row>
    <row r="417">
      <c r="A417" s="6">
        <f>IF(ALLOCATIONS!A411="","",IFERROR(VLOOKUP(ALLOCATIONS!A411,MAPPING!$A$3:$C$302,2,FALSE),"UNMAPPED"))</f>
        <v/>
      </c>
      <c r="B417" s="6">
        <f>IF(ALLOCATIONS!A411="","",IFERROR(VLOOKUP(ALLOCATIONS!A411,MAPPING!$A$3:$C$302,3,FALSE),ALLOCATIONS!A411))</f>
        <v/>
      </c>
      <c r="C417" s="6">
        <f>IF(ALLOCATIONS!A411="","",IFERROR(VLOOKUP(ALLOCATIONS!B411,MAPPING!$E$3:$G$302,2,FALSE),"UNMAPPED"))</f>
        <v/>
      </c>
      <c r="D417" s="6">
        <f>IF(ALLOCATIONS!A411="","",IFERROR(IF(VLOOKUP(ALLOCATIONS!B411,MAPPING!$E$3:$G$302,3,FALSE)="","",VLOOKUP(ALLOCATIONS!B411,MAPPING!$E$3:$G$302,3,FALSE)),""))</f>
        <v/>
      </c>
      <c r="E417" s="6">
        <f>IF(ALLOCATIONS!A411="","",ALLOCATIONS!C411)</f>
        <v/>
      </c>
      <c r="F417" s="6">
        <f>IF(ALLOCATIONS!A411="","",IF(ALLOCATIONS!D411="",0,ALLOCATIONS!D411))</f>
        <v/>
      </c>
      <c r="G417" s="6">
        <f>IF(ALLOCATIONS!A411="","",SUMIFS(RAW_004!$I$2:$I$10001,RAW_004!$D$2:$D$10001,ALLOCATIONS!A411,RAW_004!$H$2:$H$10001,ALLOCATIONS!B411,RAW_004!$N$2:$N$10001,ALLOCATIONS!C411))</f>
        <v/>
      </c>
      <c r="H417" s="6">
        <f>IF(A417="","",G417-F417)</f>
        <v/>
      </c>
    </row>
    <row r="418">
      <c r="A418" s="6">
        <f>IF(ALLOCATIONS!A412="","",IFERROR(VLOOKUP(ALLOCATIONS!A412,MAPPING!$A$3:$C$302,2,FALSE),"UNMAPPED"))</f>
        <v/>
      </c>
      <c r="B418" s="6">
        <f>IF(ALLOCATIONS!A412="","",IFERROR(VLOOKUP(ALLOCATIONS!A412,MAPPING!$A$3:$C$302,3,FALSE),ALLOCATIONS!A412))</f>
        <v/>
      </c>
      <c r="C418" s="6">
        <f>IF(ALLOCATIONS!A412="","",IFERROR(VLOOKUP(ALLOCATIONS!B412,MAPPING!$E$3:$G$302,2,FALSE),"UNMAPPED"))</f>
        <v/>
      </c>
      <c r="D418" s="6">
        <f>IF(ALLOCATIONS!A412="","",IFERROR(IF(VLOOKUP(ALLOCATIONS!B412,MAPPING!$E$3:$G$302,3,FALSE)="","",VLOOKUP(ALLOCATIONS!B412,MAPPING!$E$3:$G$302,3,FALSE)),""))</f>
        <v/>
      </c>
      <c r="E418" s="6">
        <f>IF(ALLOCATIONS!A412="","",ALLOCATIONS!C412)</f>
        <v/>
      </c>
      <c r="F418" s="6">
        <f>IF(ALLOCATIONS!A412="","",IF(ALLOCATIONS!D412="",0,ALLOCATIONS!D412))</f>
        <v/>
      </c>
      <c r="G418" s="6">
        <f>IF(ALLOCATIONS!A412="","",SUMIFS(RAW_004!$I$2:$I$10001,RAW_004!$D$2:$D$10001,ALLOCATIONS!A412,RAW_004!$H$2:$H$10001,ALLOCATIONS!B412,RAW_004!$N$2:$N$10001,ALLOCATIONS!C412))</f>
        <v/>
      </c>
      <c r="H418" s="6">
        <f>IF(A418="","",G418-F418)</f>
        <v/>
      </c>
    </row>
    <row r="419">
      <c r="A419" s="6">
        <f>IF(ALLOCATIONS!A413="","",IFERROR(VLOOKUP(ALLOCATIONS!A413,MAPPING!$A$3:$C$302,2,FALSE),"UNMAPPED"))</f>
        <v/>
      </c>
      <c r="B419" s="6">
        <f>IF(ALLOCATIONS!A413="","",IFERROR(VLOOKUP(ALLOCATIONS!A413,MAPPING!$A$3:$C$302,3,FALSE),ALLOCATIONS!A413))</f>
        <v/>
      </c>
      <c r="C419" s="6">
        <f>IF(ALLOCATIONS!A413="","",IFERROR(VLOOKUP(ALLOCATIONS!B413,MAPPING!$E$3:$G$302,2,FALSE),"UNMAPPED"))</f>
        <v/>
      </c>
      <c r="D419" s="6">
        <f>IF(ALLOCATIONS!A413="","",IFERROR(IF(VLOOKUP(ALLOCATIONS!B413,MAPPING!$E$3:$G$302,3,FALSE)="","",VLOOKUP(ALLOCATIONS!B413,MAPPING!$E$3:$G$302,3,FALSE)),""))</f>
        <v/>
      </c>
      <c r="E419" s="6">
        <f>IF(ALLOCATIONS!A413="","",ALLOCATIONS!C413)</f>
        <v/>
      </c>
      <c r="F419" s="6">
        <f>IF(ALLOCATIONS!A413="","",IF(ALLOCATIONS!D413="",0,ALLOCATIONS!D413))</f>
        <v/>
      </c>
      <c r="G419" s="6">
        <f>IF(ALLOCATIONS!A413="","",SUMIFS(RAW_004!$I$2:$I$10001,RAW_004!$D$2:$D$10001,ALLOCATIONS!A413,RAW_004!$H$2:$H$10001,ALLOCATIONS!B413,RAW_004!$N$2:$N$10001,ALLOCATIONS!C413))</f>
        <v/>
      </c>
      <c r="H419" s="6">
        <f>IF(A419="","",G419-F419)</f>
        <v/>
      </c>
    </row>
    <row r="420">
      <c r="A420" s="6">
        <f>IF(ALLOCATIONS!A414="","",IFERROR(VLOOKUP(ALLOCATIONS!A414,MAPPING!$A$3:$C$302,2,FALSE),"UNMAPPED"))</f>
        <v/>
      </c>
      <c r="B420" s="6">
        <f>IF(ALLOCATIONS!A414="","",IFERROR(VLOOKUP(ALLOCATIONS!A414,MAPPING!$A$3:$C$302,3,FALSE),ALLOCATIONS!A414))</f>
        <v/>
      </c>
      <c r="C420" s="6">
        <f>IF(ALLOCATIONS!A414="","",IFERROR(VLOOKUP(ALLOCATIONS!B414,MAPPING!$E$3:$G$302,2,FALSE),"UNMAPPED"))</f>
        <v/>
      </c>
      <c r="D420" s="6">
        <f>IF(ALLOCATIONS!A414="","",IFERROR(IF(VLOOKUP(ALLOCATIONS!B414,MAPPING!$E$3:$G$302,3,FALSE)="","",VLOOKUP(ALLOCATIONS!B414,MAPPING!$E$3:$G$302,3,FALSE)),""))</f>
        <v/>
      </c>
      <c r="E420" s="6">
        <f>IF(ALLOCATIONS!A414="","",ALLOCATIONS!C414)</f>
        <v/>
      </c>
      <c r="F420" s="6">
        <f>IF(ALLOCATIONS!A414="","",IF(ALLOCATIONS!D414="",0,ALLOCATIONS!D414))</f>
        <v/>
      </c>
      <c r="G420" s="6">
        <f>IF(ALLOCATIONS!A414="","",SUMIFS(RAW_004!$I$2:$I$10001,RAW_004!$D$2:$D$10001,ALLOCATIONS!A414,RAW_004!$H$2:$H$10001,ALLOCATIONS!B414,RAW_004!$N$2:$N$10001,ALLOCATIONS!C414))</f>
        <v/>
      </c>
      <c r="H420" s="6">
        <f>IF(A420="","",G420-F420)</f>
        <v/>
      </c>
    </row>
    <row r="421">
      <c r="A421" s="6">
        <f>IF(ALLOCATIONS!A415="","",IFERROR(VLOOKUP(ALLOCATIONS!A415,MAPPING!$A$3:$C$302,2,FALSE),"UNMAPPED"))</f>
        <v/>
      </c>
      <c r="B421" s="6">
        <f>IF(ALLOCATIONS!A415="","",IFERROR(VLOOKUP(ALLOCATIONS!A415,MAPPING!$A$3:$C$302,3,FALSE),ALLOCATIONS!A415))</f>
        <v/>
      </c>
      <c r="C421" s="6">
        <f>IF(ALLOCATIONS!A415="","",IFERROR(VLOOKUP(ALLOCATIONS!B415,MAPPING!$E$3:$G$302,2,FALSE),"UNMAPPED"))</f>
        <v/>
      </c>
      <c r="D421" s="6">
        <f>IF(ALLOCATIONS!A415="","",IFERROR(IF(VLOOKUP(ALLOCATIONS!B415,MAPPING!$E$3:$G$302,3,FALSE)="","",VLOOKUP(ALLOCATIONS!B415,MAPPING!$E$3:$G$302,3,FALSE)),""))</f>
        <v/>
      </c>
      <c r="E421" s="6">
        <f>IF(ALLOCATIONS!A415="","",ALLOCATIONS!C415)</f>
        <v/>
      </c>
      <c r="F421" s="6">
        <f>IF(ALLOCATIONS!A415="","",IF(ALLOCATIONS!D415="",0,ALLOCATIONS!D415))</f>
        <v/>
      </c>
      <c r="G421" s="6">
        <f>IF(ALLOCATIONS!A415="","",SUMIFS(RAW_004!$I$2:$I$10001,RAW_004!$D$2:$D$10001,ALLOCATIONS!A415,RAW_004!$H$2:$H$10001,ALLOCATIONS!B415,RAW_004!$N$2:$N$10001,ALLOCATIONS!C415))</f>
        <v/>
      </c>
      <c r="H421" s="6">
        <f>IF(A421="","",G421-F421)</f>
        <v/>
      </c>
    </row>
    <row r="422">
      <c r="A422" s="6">
        <f>IF(ALLOCATIONS!A416="","",IFERROR(VLOOKUP(ALLOCATIONS!A416,MAPPING!$A$3:$C$302,2,FALSE),"UNMAPPED"))</f>
        <v/>
      </c>
      <c r="B422" s="6">
        <f>IF(ALLOCATIONS!A416="","",IFERROR(VLOOKUP(ALLOCATIONS!A416,MAPPING!$A$3:$C$302,3,FALSE),ALLOCATIONS!A416))</f>
        <v/>
      </c>
      <c r="C422" s="6">
        <f>IF(ALLOCATIONS!A416="","",IFERROR(VLOOKUP(ALLOCATIONS!B416,MAPPING!$E$3:$G$302,2,FALSE),"UNMAPPED"))</f>
        <v/>
      </c>
      <c r="D422" s="6">
        <f>IF(ALLOCATIONS!A416="","",IFERROR(IF(VLOOKUP(ALLOCATIONS!B416,MAPPING!$E$3:$G$302,3,FALSE)="","",VLOOKUP(ALLOCATIONS!B416,MAPPING!$E$3:$G$302,3,FALSE)),""))</f>
        <v/>
      </c>
      <c r="E422" s="6">
        <f>IF(ALLOCATIONS!A416="","",ALLOCATIONS!C416)</f>
        <v/>
      </c>
      <c r="F422" s="6">
        <f>IF(ALLOCATIONS!A416="","",IF(ALLOCATIONS!D416="",0,ALLOCATIONS!D416))</f>
        <v/>
      </c>
      <c r="G422" s="6">
        <f>IF(ALLOCATIONS!A416="","",SUMIFS(RAW_004!$I$2:$I$10001,RAW_004!$D$2:$D$10001,ALLOCATIONS!A416,RAW_004!$H$2:$H$10001,ALLOCATIONS!B416,RAW_004!$N$2:$N$10001,ALLOCATIONS!C416))</f>
        <v/>
      </c>
      <c r="H422" s="6">
        <f>IF(A422="","",G422-F422)</f>
        <v/>
      </c>
    </row>
    <row r="423">
      <c r="A423" s="6">
        <f>IF(ALLOCATIONS!A417="","",IFERROR(VLOOKUP(ALLOCATIONS!A417,MAPPING!$A$3:$C$302,2,FALSE),"UNMAPPED"))</f>
        <v/>
      </c>
      <c r="B423" s="6">
        <f>IF(ALLOCATIONS!A417="","",IFERROR(VLOOKUP(ALLOCATIONS!A417,MAPPING!$A$3:$C$302,3,FALSE),ALLOCATIONS!A417))</f>
        <v/>
      </c>
      <c r="C423" s="6">
        <f>IF(ALLOCATIONS!A417="","",IFERROR(VLOOKUP(ALLOCATIONS!B417,MAPPING!$E$3:$G$302,2,FALSE),"UNMAPPED"))</f>
        <v/>
      </c>
      <c r="D423" s="6">
        <f>IF(ALLOCATIONS!A417="","",IFERROR(IF(VLOOKUP(ALLOCATIONS!B417,MAPPING!$E$3:$G$302,3,FALSE)="","",VLOOKUP(ALLOCATIONS!B417,MAPPING!$E$3:$G$302,3,FALSE)),""))</f>
        <v/>
      </c>
      <c r="E423" s="6">
        <f>IF(ALLOCATIONS!A417="","",ALLOCATIONS!C417)</f>
        <v/>
      </c>
      <c r="F423" s="6">
        <f>IF(ALLOCATIONS!A417="","",IF(ALLOCATIONS!D417="",0,ALLOCATIONS!D417))</f>
        <v/>
      </c>
      <c r="G423" s="6">
        <f>IF(ALLOCATIONS!A417="","",SUMIFS(RAW_004!$I$2:$I$10001,RAW_004!$D$2:$D$10001,ALLOCATIONS!A417,RAW_004!$H$2:$H$10001,ALLOCATIONS!B417,RAW_004!$N$2:$N$10001,ALLOCATIONS!C417))</f>
        <v/>
      </c>
      <c r="H423" s="6">
        <f>IF(A423="","",G423-F423)</f>
        <v/>
      </c>
    </row>
    <row r="424">
      <c r="A424" s="6">
        <f>IF(ALLOCATIONS!A418="","",IFERROR(VLOOKUP(ALLOCATIONS!A418,MAPPING!$A$3:$C$302,2,FALSE),"UNMAPPED"))</f>
        <v/>
      </c>
      <c r="B424" s="6">
        <f>IF(ALLOCATIONS!A418="","",IFERROR(VLOOKUP(ALLOCATIONS!A418,MAPPING!$A$3:$C$302,3,FALSE),ALLOCATIONS!A418))</f>
        <v/>
      </c>
      <c r="C424" s="6">
        <f>IF(ALLOCATIONS!A418="","",IFERROR(VLOOKUP(ALLOCATIONS!B418,MAPPING!$E$3:$G$302,2,FALSE),"UNMAPPED"))</f>
        <v/>
      </c>
      <c r="D424" s="6">
        <f>IF(ALLOCATIONS!A418="","",IFERROR(IF(VLOOKUP(ALLOCATIONS!B418,MAPPING!$E$3:$G$302,3,FALSE)="","",VLOOKUP(ALLOCATIONS!B418,MAPPING!$E$3:$G$302,3,FALSE)),""))</f>
        <v/>
      </c>
      <c r="E424" s="6">
        <f>IF(ALLOCATIONS!A418="","",ALLOCATIONS!C418)</f>
        <v/>
      </c>
      <c r="F424" s="6">
        <f>IF(ALLOCATIONS!A418="","",IF(ALLOCATIONS!D418="",0,ALLOCATIONS!D418))</f>
        <v/>
      </c>
      <c r="G424" s="6">
        <f>IF(ALLOCATIONS!A418="","",SUMIFS(RAW_004!$I$2:$I$10001,RAW_004!$D$2:$D$10001,ALLOCATIONS!A418,RAW_004!$H$2:$H$10001,ALLOCATIONS!B418,RAW_004!$N$2:$N$10001,ALLOCATIONS!C418))</f>
        <v/>
      </c>
      <c r="H424" s="6">
        <f>IF(A424="","",G424-F424)</f>
        <v/>
      </c>
    </row>
    <row r="425">
      <c r="A425" s="6">
        <f>IF(ALLOCATIONS!A419="","",IFERROR(VLOOKUP(ALLOCATIONS!A419,MAPPING!$A$3:$C$302,2,FALSE),"UNMAPPED"))</f>
        <v/>
      </c>
      <c r="B425" s="6">
        <f>IF(ALLOCATIONS!A419="","",IFERROR(VLOOKUP(ALLOCATIONS!A419,MAPPING!$A$3:$C$302,3,FALSE),ALLOCATIONS!A419))</f>
        <v/>
      </c>
      <c r="C425" s="6">
        <f>IF(ALLOCATIONS!A419="","",IFERROR(VLOOKUP(ALLOCATIONS!B419,MAPPING!$E$3:$G$302,2,FALSE),"UNMAPPED"))</f>
        <v/>
      </c>
      <c r="D425" s="6">
        <f>IF(ALLOCATIONS!A419="","",IFERROR(IF(VLOOKUP(ALLOCATIONS!B419,MAPPING!$E$3:$G$302,3,FALSE)="","",VLOOKUP(ALLOCATIONS!B419,MAPPING!$E$3:$G$302,3,FALSE)),""))</f>
        <v/>
      </c>
      <c r="E425" s="6">
        <f>IF(ALLOCATIONS!A419="","",ALLOCATIONS!C419)</f>
        <v/>
      </c>
      <c r="F425" s="6">
        <f>IF(ALLOCATIONS!A419="","",IF(ALLOCATIONS!D419="",0,ALLOCATIONS!D419))</f>
        <v/>
      </c>
      <c r="G425" s="6">
        <f>IF(ALLOCATIONS!A419="","",SUMIFS(RAW_004!$I$2:$I$10001,RAW_004!$D$2:$D$10001,ALLOCATIONS!A419,RAW_004!$H$2:$H$10001,ALLOCATIONS!B419,RAW_004!$N$2:$N$10001,ALLOCATIONS!C419))</f>
        <v/>
      </c>
      <c r="H425" s="6">
        <f>IF(A425="","",G425-F425)</f>
        <v/>
      </c>
    </row>
    <row r="426">
      <c r="A426" s="6">
        <f>IF(ALLOCATIONS!A420="","",IFERROR(VLOOKUP(ALLOCATIONS!A420,MAPPING!$A$3:$C$302,2,FALSE),"UNMAPPED"))</f>
        <v/>
      </c>
      <c r="B426" s="6">
        <f>IF(ALLOCATIONS!A420="","",IFERROR(VLOOKUP(ALLOCATIONS!A420,MAPPING!$A$3:$C$302,3,FALSE),ALLOCATIONS!A420))</f>
        <v/>
      </c>
      <c r="C426" s="6">
        <f>IF(ALLOCATIONS!A420="","",IFERROR(VLOOKUP(ALLOCATIONS!B420,MAPPING!$E$3:$G$302,2,FALSE),"UNMAPPED"))</f>
        <v/>
      </c>
      <c r="D426" s="6">
        <f>IF(ALLOCATIONS!A420="","",IFERROR(IF(VLOOKUP(ALLOCATIONS!B420,MAPPING!$E$3:$G$302,3,FALSE)="","",VLOOKUP(ALLOCATIONS!B420,MAPPING!$E$3:$G$302,3,FALSE)),""))</f>
        <v/>
      </c>
      <c r="E426" s="6">
        <f>IF(ALLOCATIONS!A420="","",ALLOCATIONS!C420)</f>
        <v/>
      </c>
      <c r="F426" s="6">
        <f>IF(ALLOCATIONS!A420="","",IF(ALLOCATIONS!D420="",0,ALLOCATIONS!D420))</f>
        <v/>
      </c>
      <c r="G426" s="6">
        <f>IF(ALLOCATIONS!A420="","",SUMIFS(RAW_004!$I$2:$I$10001,RAW_004!$D$2:$D$10001,ALLOCATIONS!A420,RAW_004!$H$2:$H$10001,ALLOCATIONS!B420,RAW_004!$N$2:$N$10001,ALLOCATIONS!C420))</f>
        <v/>
      </c>
      <c r="H426" s="6">
        <f>IF(A426="","",G426-F426)</f>
        <v/>
      </c>
    </row>
    <row r="427">
      <c r="A427" s="6">
        <f>IF(ALLOCATIONS!A421="","",IFERROR(VLOOKUP(ALLOCATIONS!A421,MAPPING!$A$3:$C$302,2,FALSE),"UNMAPPED"))</f>
        <v/>
      </c>
      <c r="B427" s="6">
        <f>IF(ALLOCATIONS!A421="","",IFERROR(VLOOKUP(ALLOCATIONS!A421,MAPPING!$A$3:$C$302,3,FALSE),ALLOCATIONS!A421))</f>
        <v/>
      </c>
      <c r="C427" s="6">
        <f>IF(ALLOCATIONS!A421="","",IFERROR(VLOOKUP(ALLOCATIONS!B421,MAPPING!$E$3:$G$302,2,FALSE),"UNMAPPED"))</f>
        <v/>
      </c>
      <c r="D427" s="6">
        <f>IF(ALLOCATIONS!A421="","",IFERROR(IF(VLOOKUP(ALLOCATIONS!B421,MAPPING!$E$3:$G$302,3,FALSE)="","",VLOOKUP(ALLOCATIONS!B421,MAPPING!$E$3:$G$302,3,FALSE)),""))</f>
        <v/>
      </c>
      <c r="E427" s="6">
        <f>IF(ALLOCATIONS!A421="","",ALLOCATIONS!C421)</f>
        <v/>
      </c>
      <c r="F427" s="6">
        <f>IF(ALLOCATIONS!A421="","",IF(ALLOCATIONS!D421="",0,ALLOCATIONS!D421))</f>
        <v/>
      </c>
      <c r="G427" s="6">
        <f>IF(ALLOCATIONS!A421="","",SUMIFS(RAW_004!$I$2:$I$10001,RAW_004!$D$2:$D$10001,ALLOCATIONS!A421,RAW_004!$H$2:$H$10001,ALLOCATIONS!B421,RAW_004!$N$2:$N$10001,ALLOCATIONS!C421))</f>
        <v/>
      </c>
      <c r="H427" s="6">
        <f>IF(A427="","",G427-F427)</f>
        <v/>
      </c>
    </row>
    <row r="428">
      <c r="A428" s="6">
        <f>IF(ALLOCATIONS!A422="","",IFERROR(VLOOKUP(ALLOCATIONS!A422,MAPPING!$A$3:$C$302,2,FALSE),"UNMAPPED"))</f>
        <v/>
      </c>
      <c r="B428" s="6">
        <f>IF(ALLOCATIONS!A422="","",IFERROR(VLOOKUP(ALLOCATIONS!A422,MAPPING!$A$3:$C$302,3,FALSE),ALLOCATIONS!A422))</f>
        <v/>
      </c>
      <c r="C428" s="6">
        <f>IF(ALLOCATIONS!A422="","",IFERROR(VLOOKUP(ALLOCATIONS!B422,MAPPING!$E$3:$G$302,2,FALSE),"UNMAPPED"))</f>
        <v/>
      </c>
      <c r="D428" s="6">
        <f>IF(ALLOCATIONS!A422="","",IFERROR(IF(VLOOKUP(ALLOCATIONS!B422,MAPPING!$E$3:$G$302,3,FALSE)="","",VLOOKUP(ALLOCATIONS!B422,MAPPING!$E$3:$G$302,3,FALSE)),""))</f>
        <v/>
      </c>
      <c r="E428" s="6">
        <f>IF(ALLOCATIONS!A422="","",ALLOCATIONS!C422)</f>
        <v/>
      </c>
      <c r="F428" s="6">
        <f>IF(ALLOCATIONS!A422="","",IF(ALLOCATIONS!D422="",0,ALLOCATIONS!D422))</f>
        <v/>
      </c>
      <c r="G428" s="6">
        <f>IF(ALLOCATIONS!A422="","",SUMIFS(RAW_004!$I$2:$I$10001,RAW_004!$D$2:$D$10001,ALLOCATIONS!A422,RAW_004!$H$2:$H$10001,ALLOCATIONS!B422,RAW_004!$N$2:$N$10001,ALLOCATIONS!C422))</f>
        <v/>
      </c>
      <c r="H428" s="6">
        <f>IF(A428="","",G428-F428)</f>
        <v/>
      </c>
    </row>
    <row r="429">
      <c r="A429" s="6">
        <f>IF(ALLOCATIONS!A423="","",IFERROR(VLOOKUP(ALLOCATIONS!A423,MAPPING!$A$3:$C$302,2,FALSE),"UNMAPPED"))</f>
        <v/>
      </c>
      <c r="B429" s="6">
        <f>IF(ALLOCATIONS!A423="","",IFERROR(VLOOKUP(ALLOCATIONS!A423,MAPPING!$A$3:$C$302,3,FALSE),ALLOCATIONS!A423))</f>
        <v/>
      </c>
      <c r="C429" s="6">
        <f>IF(ALLOCATIONS!A423="","",IFERROR(VLOOKUP(ALLOCATIONS!B423,MAPPING!$E$3:$G$302,2,FALSE),"UNMAPPED"))</f>
        <v/>
      </c>
      <c r="D429" s="6">
        <f>IF(ALLOCATIONS!A423="","",IFERROR(IF(VLOOKUP(ALLOCATIONS!B423,MAPPING!$E$3:$G$302,3,FALSE)="","",VLOOKUP(ALLOCATIONS!B423,MAPPING!$E$3:$G$302,3,FALSE)),""))</f>
        <v/>
      </c>
      <c r="E429" s="6">
        <f>IF(ALLOCATIONS!A423="","",ALLOCATIONS!C423)</f>
        <v/>
      </c>
      <c r="F429" s="6">
        <f>IF(ALLOCATIONS!A423="","",IF(ALLOCATIONS!D423="",0,ALLOCATIONS!D423))</f>
        <v/>
      </c>
      <c r="G429" s="6">
        <f>IF(ALLOCATIONS!A423="","",SUMIFS(RAW_004!$I$2:$I$10001,RAW_004!$D$2:$D$10001,ALLOCATIONS!A423,RAW_004!$H$2:$H$10001,ALLOCATIONS!B423,RAW_004!$N$2:$N$10001,ALLOCATIONS!C423))</f>
        <v/>
      </c>
      <c r="H429" s="6">
        <f>IF(A429="","",G429-F429)</f>
        <v/>
      </c>
    </row>
    <row r="430">
      <c r="A430" s="6">
        <f>IF(ALLOCATIONS!A424="","",IFERROR(VLOOKUP(ALLOCATIONS!A424,MAPPING!$A$3:$C$302,2,FALSE),"UNMAPPED"))</f>
        <v/>
      </c>
      <c r="B430" s="6">
        <f>IF(ALLOCATIONS!A424="","",IFERROR(VLOOKUP(ALLOCATIONS!A424,MAPPING!$A$3:$C$302,3,FALSE),ALLOCATIONS!A424))</f>
        <v/>
      </c>
      <c r="C430" s="6">
        <f>IF(ALLOCATIONS!A424="","",IFERROR(VLOOKUP(ALLOCATIONS!B424,MAPPING!$E$3:$G$302,2,FALSE),"UNMAPPED"))</f>
        <v/>
      </c>
      <c r="D430" s="6">
        <f>IF(ALLOCATIONS!A424="","",IFERROR(IF(VLOOKUP(ALLOCATIONS!B424,MAPPING!$E$3:$G$302,3,FALSE)="","",VLOOKUP(ALLOCATIONS!B424,MAPPING!$E$3:$G$302,3,FALSE)),""))</f>
        <v/>
      </c>
      <c r="E430" s="6">
        <f>IF(ALLOCATIONS!A424="","",ALLOCATIONS!C424)</f>
        <v/>
      </c>
      <c r="F430" s="6">
        <f>IF(ALLOCATIONS!A424="","",IF(ALLOCATIONS!D424="",0,ALLOCATIONS!D424))</f>
        <v/>
      </c>
      <c r="G430" s="6">
        <f>IF(ALLOCATIONS!A424="","",SUMIFS(RAW_004!$I$2:$I$10001,RAW_004!$D$2:$D$10001,ALLOCATIONS!A424,RAW_004!$H$2:$H$10001,ALLOCATIONS!B424,RAW_004!$N$2:$N$10001,ALLOCATIONS!C424))</f>
        <v/>
      </c>
      <c r="H430" s="6">
        <f>IF(A430="","",G430-F430)</f>
        <v/>
      </c>
    </row>
    <row r="431">
      <c r="A431" s="6">
        <f>IF(ALLOCATIONS!A425="","",IFERROR(VLOOKUP(ALLOCATIONS!A425,MAPPING!$A$3:$C$302,2,FALSE),"UNMAPPED"))</f>
        <v/>
      </c>
      <c r="B431" s="6">
        <f>IF(ALLOCATIONS!A425="","",IFERROR(VLOOKUP(ALLOCATIONS!A425,MAPPING!$A$3:$C$302,3,FALSE),ALLOCATIONS!A425))</f>
        <v/>
      </c>
      <c r="C431" s="6">
        <f>IF(ALLOCATIONS!A425="","",IFERROR(VLOOKUP(ALLOCATIONS!B425,MAPPING!$E$3:$G$302,2,FALSE),"UNMAPPED"))</f>
        <v/>
      </c>
      <c r="D431" s="6">
        <f>IF(ALLOCATIONS!A425="","",IFERROR(IF(VLOOKUP(ALLOCATIONS!B425,MAPPING!$E$3:$G$302,3,FALSE)="","",VLOOKUP(ALLOCATIONS!B425,MAPPING!$E$3:$G$302,3,FALSE)),""))</f>
        <v/>
      </c>
      <c r="E431" s="6">
        <f>IF(ALLOCATIONS!A425="","",ALLOCATIONS!C425)</f>
        <v/>
      </c>
      <c r="F431" s="6">
        <f>IF(ALLOCATIONS!A425="","",IF(ALLOCATIONS!D425="",0,ALLOCATIONS!D425))</f>
        <v/>
      </c>
      <c r="G431" s="6">
        <f>IF(ALLOCATIONS!A425="","",SUMIFS(RAW_004!$I$2:$I$10001,RAW_004!$D$2:$D$10001,ALLOCATIONS!A425,RAW_004!$H$2:$H$10001,ALLOCATIONS!B425,RAW_004!$N$2:$N$10001,ALLOCATIONS!C425))</f>
        <v/>
      </c>
      <c r="H431" s="6">
        <f>IF(A431="","",G431-F431)</f>
        <v/>
      </c>
    </row>
    <row r="432">
      <c r="A432" s="6">
        <f>IF(ALLOCATIONS!A426="","",IFERROR(VLOOKUP(ALLOCATIONS!A426,MAPPING!$A$3:$C$302,2,FALSE),"UNMAPPED"))</f>
        <v/>
      </c>
      <c r="B432" s="6">
        <f>IF(ALLOCATIONS!A426="","",IFERROR(VLOOKUP(ALLOCATIONS!A426,MAPPING!$A$3:$C$302,3,FALSE),ALLOCATIONS!A426))</f>
        <v/>
      </c>
      <c r="C432" s="6">
        <f>IF(ALLOCATIONS!A426="","",IFERROR(VLOOKUP(ALLOCATIONS!B426,MAPPING!$E$3:$G$302,2,FALSE),"UNMAPPED"))</f>
        <v/>
      </c>
      <c r="D432" s="6">
        <f>IF(ALLOCATIONS!A426="","",IFERROR(IF(VLOOKUP(ALLOCATIONS!B426,MAPPING!$E$3:$G$302,3,FALSE)="","",VLOOKUP(ALLOCATIONS!B426,MAPPING!$E$3:$G$302,3,FALSE)),""))</f>
        <v/>
      </c>
      <c r="E432" s="6">
        <f>IF(ALLOCATIONS!A426="","",ALLOCATIONS!C426)</f>
        <v/>
      </c>
      <c r="F432" s="6">
        <f>IF(ALLOCATIONS!A426="","",IF(ALLOCATIONS!D426="",0,ALLOCATIONS!D426))</f>
        <v/>
      </c>
      <c r="G432" s="6">
        <f>IF(ALLOCATIONS!A426="","",SUMIFS(RAW_004!$I$2:$I$10001,RAW_004!$D$2:$D$10001,ALLOCATIONS!A426,RAW_004!$H$2:$H$10001,ALLOCATIONS!B426,RAW_004!$N$2:$N$10001,ALLOCATIONS!C426))</f>
        <v/>
      </c>
      <c r="H432" s="6">
        <f>IF(A432="","",G432-F432)</f>
        <v/>
      </c>
    </row>
    <row r="433">
      <c r="A433" s="6">
        <f>IF(ALLOCATIONS!A427="","",IFERROR(VLOOKUP(ALLOCATIONS!A427,MAPPING!$A$3:$C$302,2,FALSE),"UNMAPPED"))</f>
        <v/>
      </c>
      <c r="B433" s="6">
        <f>IF(ALLOCATIONS!A427="","",IFERROR(VLOOKUP(ALLOCATIONS!A427,MAPPING!$A$3:$C$302,3,FALSE),ALLOCATIONS!A427))</f>
        <v/>
      </c>
      <c r="C433" s="6">
        <f>IF(ALLOCATIONS!A427="","",IFERROR(VLOOKUP(ALLOCATIONS!B427,MAPPING!$E$3:$G$302,2,FALSE),"UNMAPPED"))</f>
        <v/>
      </c>
      <c r="D433" s="6">
        <f>IF(ALLOCATIONS!A427="","",IFERROR(IF(VLOOKUP(ALLOCATIONS!B427,MAPPING!$E$3:$G$302,3,FALSE)="","",VLOOKUP(ALLOCATIONS!B427,MAPPING!$E$3:$G$302,3,FALSE)),""))</f>
        <v/>
      </c>
      <c r="E433" s="6">
        <f>IF(ALLOCATIONS!A427="","",ALLOCATIONS!C427)</f>
        <v/>
      </c>
      <c r="F433" s="6">
        <f>IF(ALLOCATIONS!A427="","",IF(ALLOCATIONS!D427="",0,ALLOCATIONS!D427))</f>
        <v/>
      </c>
      <c r="G433" s="6">
        <f>IF(ALLOCATIONS!A427="","",SUMIFS(RAW_004!$I$2:$I$10001,RAW_004!$D$2:$D$10001,ALLOCATIONS!A427,RAW_004!$H$2:$H$10001,ALLOCATIONS!B427,RAW_004!$N$2:$N$10001,ALLOCATIONS!C427))</f>
        <v/>
      </c>
      <c r="H433" s="6">
        <f>IF(A433="","",G433-F433)</f>
        <v/>
      </c>
    </row>
    <row r="434">
      <c r="A434" s="6">
        <f>IF(ALLOCATIONS!A428="","",IFERROR(VLOOKUP(ALLOCATIONS!A428,MAPPING!$A$3:$C$302,2,FALSE),"UNMAPPED"))</f>
        <v/>
      </c>
      <c r="B434" s="6">
        <f>IF(ALLOCATIONS!A428="","",IFERROR(VLOOKUP(ALLOCATIONS!A428,MAPPING!$A$3:$C$302,3,FALSE),ALLOCATIONS!A428))</f>
        <v/>
      </c>
      <c r="C434" s="6">
        <f>IF(ALLOCATIONS!A428="","",IFERROR(VLOOKUP(ALLOCATIONS!B428,MAPPING!$E$3:$G$302,2,FALSE),"UNMAPPED"))</f>
        <v/>
      </c>
      <c r="D434" s="6">
        <f>IF(ALLOCATIONS!A428="","",IFERROR(IF(VLOOKUP(ALLOCATIONS!B428,MAPPING!$E$3:$G$302,3,FALSE)="","",VLOOKUP(ALLOCATIONS!B428,MAPPING!$E$3:$G$302,3,FALSE)),""))</f>
        <v/>
      </c>
      <c r="E434" s="6">
        <f>IF(ALLOCATIONS!A428="","",ALLOCATIONS!C428)</f>
        <v/>
      </c>
      <c r="F434" s="6">
        <f>IF(ALLOCATIONS!A428="","",IF(ALLOCATIONS!D428="",0,ALLOCATIONS!D428))</f>
        <v/>
      </c>
      <c r="G434" s="6">
        <f>IF(ALLOCATIONS!A428="","",SUMIFS(RAW_004!$I$2:$I$10001,RAW_004!$D$2:$D$10001,ALLOCATIONS!A428,RAW_004!$H$2:$H$10001,ALLOCATIONS!B428,RAW_004!$N$2:$N$10001,ALLOCATIONS!C428))</f>
        <v/>
      </c>
      <c r="H434" s="6">
        <f>IF(A434="","",G434-F434)</f>
        <v/>
      </c>
    </row>
    <row r="435">
      <c r="A435" s="6">
        <f>IF(ALLOCATIONS!A429="","",IFERROR(VLOOKUP(ALLOCATIONS!A429,MAPPING!$A$3:$C$302,2,FALSE),"UNMAPPED"))</f>
        <v/>
      </c>
      <c r="B435" s="6">
        <f>IF(ALLOCATIONS!A429="","",IFERROR(VLOOKUP(ALLOCATIONS!A429,MAPPING!$A$3:$C$302,3,FALSE),ALLOCATIONS!A429))</f>
        <v/>
      </c>
      <c r="C435" s="6">
        <f>IF(ALLOCATIONS!A429="","",IFERROR(VLOOKUP(ALLOCATIONS!B429,MAPPING!$E$3:$G$302,2,FALSE),"UNMAPPED"))</f>
        <v/>
      </c>
      <c r="D435" s="6">
        <f>IF(ALLOCATIONS!A429="","",IFERROR(IF(VLOOKUP(ALLOCATIONS!B429,MAPPING!$E$3:$G$302,3,FALSE)="","",VLOOKUP(ALLOCATIONS!B429,MAPPING!$E$3:$G$302,3,FALSE)),""))</f>
        <v/>
      </c>
      <c r="E435" s="6">
        <f>IF(ALLOCATIONS!A429="","",ALLOCATIONS!C429)</f>
        <v/>
      </c>
      <c r="F435" s="6">
        <f>IF(ALLOCATIONS!A429="","",IF(ALLOCATIONS!D429="",0,ALLOCATIONS!D429))</f>
        <v/>
      </c>
      <c r="G435" s="6">
        <f>IF(ALLOCATIONS!A429="","",SUMIFS(RAW_004!$I$2:$I$10001,RAW_004!$D$2:$D$10001,ALLOCATIONS!A429,RAW_004!$H$2:$H$10001,ALLOCATIONS!B429,RAW_004!$N$2:$N$10001,ALLOCATIONS!C429))</f>
        <v/>
      </c>
      <c r="H435" s="6">
        <f>IF(A435="","",G435-F435)</f>
        <v/>
      </c>
    </row>
    <row r="436">
      <c r="A436" s="6">
        <f>IF(ALLOCATIONS!A430="","",IFERROR(VLOOKUP(ALLOCATIONS!A430,MAPPING!$A$3:$C$302,2,FALSE),"UNMAPPED"))</f>
        <v/>
      </c>
      <c r="B436" s="6">
        <f>IF(ALLOCATIONS!A430="","",IFERROR(VLOOKUP(ALLOCATIONS!A430,MAPPING!$A$3:$C$302,3,FALSE),ALLOCATIONS!A430))</f>
        <v/>
      </c>
      <c r="C436" s="6">
        <f>IF(ALLOCATIONS!A430="","",IFERROR(VLOOKUP(ALLOCATIONS!B430,MAPPING!$E$3:$G$302,2,FALSE),"UNMAPPED"))</f>
        <v/>
      </c>
      <c r="D436" s="6">
        <f>IF(ALLOCATIONS!A430="","",IFERROR(IF(VLOOKUP(ALLOCATIONS!B430,MAPPING!$E$3:$G$302,3,FALSE)="","",VLOOKUP(ALLOCATIONS!B430,MAPPING!$E$3:$G$302,3,FALSE)),""))</f>
        <v/>
      </c>
      <c r="E436" s="6">
        <f>IF(ALLOCATIONS!A430="","",ALLOCATIONS!C430)</f>
        <v/>
      </c>
      <c r="F436" s="6">
        <f>IF(ALLOCATIONS!A430="","",IF(ALLOCATIONS!D430="",0,ALLOCATIONS!D430))</f>
        <v/>
      </c>
      <c r="G436" s="6">
        <f>IF(ALLOCATIONS!A430="","",SUMIFS(RAW_004!$I$2:$I$10001,RAW_004!$D$2:$D$10001,ALLOCATIONS!A430,RAW_004!$H$2:$H$10001,ALLOCATIONS!B430,RAW_004!$N$2:$N$10001,ALLOCATIONS!C430))</f>
        <v/>
      </c>
      <c r="H436" s="6">
        <f>IF(A436="","",G436-F436)</f>
        <v/>
      </c>
    </row>
    <row r="437">
      <c r="A437" s="6">
        <f>IF(ALLOCATIONS!A431="","",IFERROR(VLOOKUP(ALLOCATIONS!A431,MAPPING!$A$3:$C$302,2,FALSE),"UNMAPPED"))</f>
        <v/>
      </c>
      <c r="B437" s="6">
        <f>IF(ALLOCATIONS!A431="","",IFERROR(VLOOKUP(ALLOCATIONS!A431,MAPPING!$A$3:$C$302,3,FALSE),ALLOCATIONS!A431))</f>
        <v/>
      </c>
      <c r="C437" s="6">
        <f>IF(ALLOCATIONS!A431="","",IFERROR(VLOOKUP(ALLOCATIONS!B431,MAPPING!$E$3:$G$302,2,FALSE),"UNMAPPED"))</f>
        <v/>
      </c>
      <c r="D437" s="6">
        <f>IF(ALLOCATIONS!A431="","",IFERROR(IF(VLOOKUP(ALLOCATIONS!B431,MAPPING!$E$3:$G$302,3,FALSE)="","",VLOOKUP(ALLOCATIONS!B431,MAPPING!$E$3:$G$302,3,FALSE)),""))</f>
        <v/>
      </c>
      <c r="E437" s="6">
        <f>IF(ALLOCATIONS!A431="","",ALLOCATIONS!C431)</f>
        <v/>
      </c>
      <c r="F437" s="6">
        <f>IF(ALLOCATIONS!A431="","",IF(ALLOCATIONS!D431="",0,ALLOCATIONS!D431))</f>
        <v/>
      </c>
      <c r="G437" s="6">
        <f>IF(ALLOCATIONS!A431="","",SUMIFS(RAW_004!$I$2:$I$10001,RAW_004!$D$2:$D$10001,ALLOCATIONS!A431,RAW_004!$H$2:$H$10001,ALLOCATIONS!B431,RAW_004!$N$2:$N$10001,ALLOCATIONS!C431))</f>
        <v/>
      </c>
      <c r="H437" s="6">
        <f>IF(A437="","",G437-F437)</f>
        <v/>
      </c>
    </row>
    <row r="438">
      <c r="A438" s="6">
        <f>IF(ALLOCATIONS!A432="","",IFERROR(VLOOKUP(ALLOCATIONS!A432,MAPPING!$A$3:$C$302,2,FALSE),"UNMAPPED"))</f>
        <v/>
      </c>
      <c r="B438" s="6">
        <f>IF(ALLOCATIONS!A432="","",IFERROR(VLOOKUP(ALLOCATIONS!A432,MAPPING!$A$3:$C$302,3,FALSE),ALLOCATIONS!A432))</f>
        <v/>
      </c>
      <c r="C438" s="6">
        <f>IF(ALLOCATIONS!A432="","",IFERROR(VLOOKUP(ALLOCATIONS!B432,MAPPING!$E$3:$G$302,2,FALSE),"UNMAPPED"))</f>
        <v/>
      </c>
      <c r="D438" s="6">
        <f>IF(ALLOCATIONS!A432="","",IFERROR(IF(VLOOKUP(ALLOCATIONS!B432,MAPPING!$E$3:$G$302,3,FALSE)="","",VLOOKUP(ALLOCATIONS!B432,MAPPING!$E$3:$G$302,3,FALSE)),""))</f>
        <v/>
      </c>
      <c r="E438" s="6">
        <f>IF(ALLOCATIONS!A432="","",ALLOCATIONS!C432)</f>
        <v/>
      </c>
      <c r="F438" s="6">
        <f>IF(ALLOCATIONS!A432="","",IF(ALLOCATIONS!D432="",0,ALLOCATIONS!D432))</f>
        <v/>
      </c>
      <c r="G438" s="6">
        <f>IF(ALLOCATIONS!A432="","",SUMIFS(RAW_004!$I$2:$I$10001,RAW_004!$D$2:$D$10001,ALLOCATIONS!A432,RAW_004!$H$2:$H$10001,ALLOCATIONS!B432,RAW_004!$N$2:$N$10001,ALLOCATIONS!C432))</f>
        <v/>
      </c>
      <c r="H438" s="6">
        <f>IF(A438="","",G438-F438)</f>
        <v/>
      </c>
    </row>
    <row r="439">
      <c r="A439" s="6">
        <f>IF(ALLOCATIONS!A433="","",IFERROR(VLOOKUP(ALLOCATIONS!A433,MAPPING!$A$3:$C$302,2,FALSE),"UNMAPPED"))</f>
        <v/>
      </c>
      <c r="B439" s="6">
        <f>IF(ALLOCATIONS!A433="","",IFERROR(VLOOKUP(ALLOCATIONS!A433,MAPPING!$A$3:$C$302,3,FALSE),ALLOCATIONS!A433))</f>
        <v/>
      </c>
      <c r="C439" s="6">
        <f>IF(ALLOCATIONS!A433="","",IFERROR(VLOOKUP(ALLOCATIONS!B433,MAPPING!$E$3:$G$302,2,FALSE),"UNMAPPED"))</f>
        <v/>
      </c>
      <c r="D439" s="6">
        <f>IF(ALLOCATIONS!A433="","",IFERROR(IF(VLOOKUP(ALLOCATIONS!B433,MAPPING!$E$3:$G$302,3,FALSE)="","",VLOOKUP(ALLOCATIONS!B433,MAPPING!$E$3:$G$302,3,FALSE)),""))</f>
        <v/>
      </c>
      <c r="E439" s="6">
        <f>IF(ALLOCATIONS!A433="","",ALLOCATIONS!C433)</f>
        <v/>
      </c>
      <c r="F439" s="6">
        <f>IF(ALLOCATIONS!A433="","",IF(ALLOCATIONS!D433="",0,ALLOCATIONS!D433))</f>
        <v/>
      </c>
      <c r="G439" s="6">
        <f>IF(ALLOCATIONS!A433="","",SUMIFS(RAW_004!$I$2:$I$10001,RAW_004!$D$2:$D$10001,ALLOCATIONS!A433,RAW_004!$H$2:$H$10001,ALLOCATIONS!B433,RAW_004!$N$2:$N$10001,ALLOCATIONS!C433))</f>
        <v/>
      </c>
      <c r="H439" s="6">
        <f>IF(A439="","",G439-F439)</f>
        <v/>
      </c>
    </row>
    <row r="440">
      <c r="A440" s="6">
        <f>IF(ALLOCATIONS!A434="","",IFERROR(VLOOKUP(ALLOCATIONS!A434,MAPPING!$A$3:$C$302,2,FALSE),"UNMAPPED"))</f>
        <v/>
      </c>
      <c r="B440" s="6">
        <f>IF(ALLOCATIONS!A434="","",IFERROR(VLOOKUP(ALLOCATIONS!A434,MAPPING!$A$3:$C$302,3,FALSE),ALLOCATIONS!A434))</f>
        <v/>
      </c>
      <c r="C440" s="6">
        <f>IF(ALLOCATIONS!A434="","",IFERROR(VLOOKUP(ALLOCATIONS!B434,MAPPING!$E$3:$G$302,2,FALSE),"UNMAPPED"))</f>
        <v/>
      </c>
      <c r="D440" s="6">
        <f>IF(ALLOCATIONS!A434="","",IFERROR(IF(VLOOKUP(ALLOCATIONS!B434,MAPPING!$E$3:$G$302,3,FALSE)="","",VLOOKUP(ALLOCATIONS!B434,MAPPING!$E$3:$G$302,3,FALSE)),""))</f>
        <v/>
      </c>
      <c r="E440" s="6">
        <f>IF(ALLOCATIONS!A434="","",ALLOCATIONS!C434)</f>
        <v/>
      </c>
      <c r="F440" s="6">
        <f>IF(ALLOCATIONS!A434="","",IF(ALLOCATIONS!D434="",0,ALLOCATIONS!D434))</f>
        <v/>
      </c>
      <c r="G440" s="6">
        <f>IF(ALLOCATIONS!A434="","",SUMIFS(RAW_004!$I$2:$I$10001,RAW_004!$D$2:$D$10001,ALLOCATIONS!A434,RAW_004!$H$2:$H$10001,ALLOCATIONS!B434,RAW_004!$N$2:$N$10001,ALLOCATIONS!C434))</f>
        <v/>
      </c>
      <c r="H440" s="6">
        <f>IF(A440="","",G440-F440)</f>
        <v/>
      </c>
    </row>
    <row r="441">
      <c r="A441" s="6">
        <f>IF(ALLOCATIONS!A435="","",IFERROR(VLOOKUP(ALLOCATIONS!A435,MAPPING!$A$3:$C$302,2,FALSE),"UNMAPPED"))</f>
        <v/>
      </c>
      <c r="B441" s="6">
        <f>IF(ALLOCATIONS!A435="","",IFERROR(VLOOKUP(ALLOCATIONS!A435,MAPPING!$A$3:$C$302,3,FALSE),ALLOCATIONS!A435))</f>
        <v/>
      </c>
      <c r="C441" s="6">
        <f>IF(ALLOCATIONS!A435="","",IFERROR(VLOOKUP(ALLOCATIONS!B435,MAPPING!$E$3:$G$302,2,FALSE),"UNMAPPED"))</f>
        <v/>
      </c>
      <c r="D441" s="6">
        <f>IF(ALLOCATIONS!A435="","",IFERROR(IF(VLOOKUP(ALLOCATIONS!B435,MAPPING!$E$3:$G$302,3,FALSE)="","",VLOOKUP(ALLOCATIONS!B435,MAPPING!$E$3:$G$302,3,FALSE)),""))</f>
        <v/>
      </c>
      <c r="E441" s="6">
        <f>IF(ALLOCATIONS!A435="","",ALLOCATIONS!C435)</f>
        <v/>
      </c>
      <c r="F441" s="6">
        <f>IF(ALLOCATIONS!A435="","",IF(ALLOCATIONS!D435="",0,ALLOCATIONS!D435))</f>
        <v/>
      </c>
      <c r="G441" s="6">
        <f>IF(ALLOCATIONS!A435="","",SUMIFS(RAW_004!$I$2:$I$10001,RAW_004!$D$2:$D$10001,ALLOCATIONS!A435,RAW_004!$H$2:$H$10001,ALLOCATIONS!B435,RAW_004!$N$2:$N$10001,ALLOCATIONS!C435))</f>
        <v/>
      </c>
      <c r="H441" s="6">
        <f>IF(A441="","",G441-F441)</f>
        <v/>
      </c>
    </row>
    <row r="442">
      <c r="A442" s="6">
        <f>IF(ALLOCATIONS!A436="","",IFERROR(VLOOKUP(ALLOCATIONS!A436,MAPPING!$A$3:$C$302,2,FALSE),"UNMAPPED"))</f>
        <v/>
      </c>
      <c r="B442" s="6">
        <f>IF(ALLOCATIONS!A436="","",IFERROR(VLOOKUP(ALLOCATIONS!A436,MAPPING!$A$3:$C$302,3,FALSE),ALLOCATIONS!A436))</f>
        <v/>
      </c>
      <c r="C442" s="6">
        <f>IF(ALLOCATIONS!A436="","",IFERROR(VLOOKUP(ALLOCATIONS!B436,MAPPING!$E$3:$G$302,2,FALSE),"UNMAPPED"))</f>
        <v/>
      </c>
      <c r="D442" s="6">
        <f>IF(ALLOCATIONS!A436="","",IFERROR(IF(VLOOKUP(ALLOCATIONS!B436,MAPPING!$E$3:$G$302,3,FALSE)="","",VLOOKUP(ALLOCATIONS!B436,MAPPING!$E$3:$G$302,3,FALSE)),""))</f>
        <v/>
      </c>
      <c r="E442" s="6">
        <f>IF(ALLOCATIONS!A436="","",ALLOCATIONS!C436)</f>
        <v/>
      </c>
      <c r="F442" s="6">
        <f>IF(ALLOCATIONS!A436="","",IF(ALLOCATIONS!D436="",0,ALLOCATIONS!D436))</f>
        <v/>
      </c>
      <c r="G442" s="6">
        <f>IF(ALLOCATIONS!A436="","",SUMIFS(RAW_004!$I$2:$I$10001,RAW_004!$D$2:$D$10001,ALLOCATIONS!A436,RAW_004!$H$2:$H$10001,ALLOCATIONS!B436,RAW_004!$N$2:$N$10001,ALLOCATIONS!C436))</f>
        <v/>
      </c>
      <c r="H442" s="6">
        <f>IF(A442="","",G442-F442)</f>
        <v/>
      </c>
    </row>
    <row r="443">
      <c r="A443" s="6">
        <f>IF(ALLOCATIONS!A437="","",IFERROR(VLOOKUP(ALLOCATIONS!A437,MAPPING!$A$3:$C$302,2,FALSE),"UNMAPPED"))</f>
        <v/>
      </c>
      <c r="B443" s="6">
        <f>IF(ALLOCATIONS!A437="","",IFERROR(VLOOKUP(ALLOCATIONS!A437,MAPPING!$A$3:$C$302,3,FALSE),ALLOCATIONS!A437))</f>
        <v/>
      </c>
      <c r="C443" s="6">
        <f>IF(ALLOCATIONS!A437="","",IFERROR(VLOOKUP(ALLOCATIONS!B437,MAPPING!$E$3:$G$302,2,FALSE),"UNMAPPED"))</f>
        <v/>
      </c>
      <c r="D443" s="6">
        <f>IF(ALLOCATIONS!A437="","",IFERROR(IF(VLOOKUP(ALLOCATIONS!B437,MAPPING!$E$3:$G$302,3,FALSE)="","",VLOOKUP(ALLOCATIONS!B437,MAPPING!$E$3:$G$302,3,FALSE)),""))</f>
        <v/>
      </c>
      <c r="E443" s="6">
        <f>IF(ALLOCATIONS!A437="","",ALLOCATIONS!C437)</f>
        <v/>
      </c>
      <c r="F443" s="6">
        <f>IF(ALLOCATIONS!A437="","",IF(ALLOCATIONS!D437="",0,ALLOCATIONS!D437))</f>
        <v/>
      </c>
      <c r="G443" s="6">
        <f>IF(ALLOCATIONS!A437="","",SUMIFS(RAW_004!$I$2:$I$10001,RAW_004!$D$2:$D$10001,ALLOCATIONS!A437,RAW_004!$H$2:$H$10001,ALLOCATIONS!B437,RAW_004!$N$2:$N$10001,ALLOCATIONS!C437))</f>
        <v/>
      </c>
      <c r="H443" s="6">
        <f>IF(A443="","",G443-F443)</f>
        <v/>
      </c>
    </row>
    <row r="444">
      <c r="A444" s="6">
        <f>IF(ALLOCATIONS!A438="","",IFERROR(VLOOKUP(ALLOCATIONS!A438,MAPPING!$A$3:$C$302,2,FALSE),"UNMAPPED"))</f>
        <v/>
      </c>
      <c r="B444" s="6">
        <f>IF(ALLOCATIONS!A438="","",IFERROR(VLOOKUP(ALLOCATIONS!A438,MAPPING!$A$3:$C$302,3,FALSE),ALLOCATIONS!A438))</f>
        <v/>
      </c>
      <c r="C444" s="6">
        <f>IF(ALLOCATIONS!A438="","",IFERROR(VLOOKUP(ALLOCATIONS!B438,MAPPING!$E$3:$G$302,2,FALSE),"UNMAPPED"))</f>
        <v/>
      </c>
      <c r="D444" s="6">
        <f>IF(ALLOCATIONS!A438="","",IFERROR(IF(VLOOKUP(ALLOCATIONS!B438,MAPPING!$E$3:$G$302,3,FALSE)="","",VLOOKUP(ALLOCATIONS!B438,MAPPING!$E$3:$G$302,3,FALSE)),""))</f>
        <v/>
      </c>
      <c r="E444" s="6">
        <f>IF(ALLOCATIONS!A438="","",ALLOCATIONS!C438)</f>
        <v/>
      </c>
      <c r="F444" s="6">
        <f>IF(ALLOCATIONS!A438="","",IF(ALLOCATIONS!D438="",0,ALLOCATIONS!D438))</f>
        <v/>
      </c>
      <c r="G444" s="6">
        <f>IF(ALLOCATIONS!A438="","",SUMIFS(RAW_004!$I$2:$I$10001,RAW_004!$D$2:$D$10001,ALLOCATIONS!A438,RAW_004!$H$2:$H$10001,ALLOCATIONS!B438,RAW_004!$N$2:$N$10001,ALLOCATIONS!C438))</f>
        <v/>
      </c>
      <c r="H444" s="6">
        <f>IF(A444="","",G444-F444)</f>
        <v/>
      </c>
    </row>
    <row r="445">
      <c r="A445" s="6">
        <f>IF(ALLOCATIONS!A439="","",IFERROR(VLOOKUP(ALLOCATIONS!A439,MAPPING!$A$3:$C$302,2,FALSE),"UNMAPPED"))</f>
        <v/>
      </c>
      <c r="B445" s="6">
        <f>IF(ALLOCATIONS!A439="","",IFERROR(VLOOKUP(ALLOCATIONS!A439,MAPPING!$A$3:$C$302,3,FALSE),ALLOCATIONS!A439))</f>
        <v/>
      </c>
      <c r="C445" s="6">
        <f>IF(ALLOCATIONS!A439="","",IFERROR(VLOOKUP(ALLOCATIONS!B439,MAPPING!$E$3:$G$302,2,FALSE),"UNMAPPED"))</f>
        <v/>
      </c>
      <c r="D445" s="6">
        <f>IF(ALLOCATIONS!A439="","",IFERROR(IF(VLOOKUP(ALLOCATIONS!B439,MAPPING!$E$3:$G$302,3,FALSE)="","",VLOOKUP(ALLOCATIONS!B439,MAPPING!$E$3:$G$302,3,FALSE)),""))</f>
        <v/>
      </c>
      <c r="E445" s="6">
        <f>IF(ALLOCATIONS!A439="","",ALLOCATIONS!C439)</f>
        <v/>
      </c>
      <c r="F445" s="6">
        <f>IF(ALLOCATIONS!A439="","",IF(ALLOCATIONS!D439="",0,ALLOCATIONS!D439))</f>
        <v/>
      </c>
      <c r="G445" s="6">
        <f>IF(ALLOCATIONS!A439="","",SUMIFS(RAW_004!$I$2:$I$10001,RAW_004!$D$2:$D$10001,ALLOCATIONS!A439,RAW_004!$H$2:$H$10001,ALLOCATIONS!B439,RAW_004!$N$2:$N$10001,ALLOCATIONS!C439))</f>
        <v/>
      </c>
      <c r="H445" s="6">
        <f>IF(A445="","",G445-F445)</f>
        <v/>
      </c>
    </row>
    <row r="446">
      <c r="A446" s="6">
        <f>IF(ALLOCATIONS!A440="","",IFERROR(VLOOKUP(ALLOCATIONS!A440,MAPPING!$A$3:$C$302,2,FALSE),"UNMAPPED"))</f>
        <v/>
      </c>
      <c r="B446" s="6">
        <f>IF(ALLOCATIONS!A440="","",IFERROR(VLOOKUP(ALLOCATIONS!A440,MAPPING!$A$3:$C$302,3,FALSE),ALLOCATIONS!A440))</f>
        <v/>
      </c>
      <c r="C446" s="6">
        <f>IF(ALLOCATIONS!A440="","",IFERROR(VLOOKUP(ALLOCATIONS!B440,MAPPING!$E$3:$G$302,2,FALSE),"UNMAPPED"))</f>
        <v/>
      </c>
      <c r="D446" s="6">
        <f>IF(ALLOCATIONS!A440="","",IFERROR(IF(VLOOKUP(ALLOCATIONS!B440,MAPPING!$E$3:$G$302,3,FALSE)="","",VLOOKUP(ALLOCATIONS!B440,MAPPING!$E$3:$G$302,3,FALSE)),""))</f>
        <v/>
      </c>
      <c r="E446" s="6">
        <f>IF(ALLOCATIONS!A440="","",ALLOCATIONS!C440)</f>
        <v/>
      </c>
      <c r="F446" s="6">
        <f>IF(ALLOCATIONS!A440="","",IF(ALLOCATIONS!D440="",0,ALLOCATIONS!D440))</f>
        <v/>
      </c>
      <c r="G446" s="6">
        <f>IF(ALLOCATIONS!A440="","",SUMIFS(RAW_004!$I$2:$I$10001,RAW_004!$D$2:$D$10001,ALLOCATIONS!A440,RAW_004!$H$2:$H$10001,ALLOCATIONS!B440,RAW_004!$N$2:$N$10001,ALLOCATIONS!C440))</f>
        <v/>
      </c>
      <c r="H446" s="6">
        <f>IF(A446="","",G446-F446)</f>
        <v/>
      </c>
    </row>
    <row r="447">
      <c r="A447" s="6">
        <f>IF(ALLOCATIONS!A441="","",IFERROR(VLOOKUP(ALLOCATIONS!A441,MAPPING!$A$3:$C$302,2,FALSE),"UNMAPPED"))</f>
        <v/>
      </c>
      <c r="B447" s="6">
        <f>IF(ALLOCATIONS!A441="","",IFERROR(VLOOKUP(ALLOCATIONS!A441,MAPPING!$A$3:$C$302,3,FALSE),ALLOCATIONS!A441))</f>
        <v/>
      </c>
      <c r="C447" s="6">
        <f>IF(ALLOCATIONS!A441="","",IFERROR(VLOOKUP(ALLOCATIONS!B441,MAPPING!$E$3:$G$302,2,FALSE),"UNMAPPED"))</f>
        <v/>
      </c>
      <c r="D447" s="6">
        <f>IF(ALLOCATIONS!A441="","",IFERROR(IF(VLOOKUP(ALLOCATIONS!B441,MAPPING!$E$3:$G$302,3,FALSE)="","",VLOOKUP(ALLOCATIONS!B441,MAPPING!$E$3:$G$302,3,FALSE)),""))</f>
        <v/>
      </c>
      <c r="E447" s="6">
        <f>IF(ALLOCATIONS!A441="","",ALLOCATIONS!C441)</f>
        <v/>
      </c>
      <c r="F447" s="6">
        <f>IF(ALLOCATIONS!A441="","",IF(ALLOCATIONS!D441="",0,ALLOCATIONS!D441))</f>
        <v/>
      </c>
      <c r="G447" s="6">
        <f>IF(ALLOCATIONS!A441="","",SUMIFS(RAW_004!$I$2:$I$10001,RAW_004!$D$2:$D$10001,ALLOCATIONS!A441,RAW_004!$H$2:$H$10001,ALLOCATIONS!B441,RAW_004!$N$2:$N$10001,ALLOCATIONS!C441))</f>
        <v/>
      </c>
      <c r="H447" s="6">
        <f>IF(A447="","",G447-F447)</f>
        <v/>
      </c>
    </row>
    <row r="448">
      <c r="A448" s="6">
        <f>IF(ALLOCATIONS!A442="","",IFERROR(VLOOKUP(ALLOCATIONS!A442,MAPPING!$A$3:$C$302,2,FALSE),"UNMAPPED"))</f>
        <v/>
      </c>
      <c r="B448" s="6">
        <f>IF(ALLOCATIONS!A442="","",IFERROR(VLOOKUP(ALLOCATIONS!A442,MAPPING!$A$3:$C$302,3,FALSE),ALLOCATIONS!A442))</f>
        <v/>
      </c>
      <c r="C448" s="6">
        <f>IF(ALLOCATIONS!A442="","",IFERROR(VLOOKUP(ALLOCATIONS!B442,MAPPING!$E$3:$G$302,2,FALSE),"UNMAPPED"))</f>
        <v/>
      </c>
      <c r="D448" s="6">
        <f>IF(ALLOCATIONS!A442="","",IFERROR(IF(VLOOKUP(ALLOCATIONS!B442,MAPPING!$E$3:$G$302,3,FALSE)="","",VLOOKUP(ALLOCATIONS!B442,MAPPING!$E$3:$G$302,3,FALSE)),""))</f>
        <v/>
      </c>
      <c r="E448" s="6">
        <f>IF(ALLOCATIONS!A442="","",ALLOCATIONS!C442)</f>
        <v/>
      </c>
      <c r="F448" s="6">
        <f>IF(ALLOCATIONS!A442="","",IF(ALLOCATIONS!D442="",0,ALLOCATIONS!D442))</f>
        <v/>
      </c>
      <c r="G448" s="6">
        <f>IF(ALLOCATIONS!A442="","",SUMIFS(RAW_004!$I$2:$I$10001,RAW_004!$D$2:$D$10001,ALLOCATIONS!A442,RAW_004!$H$2:$H$10001,ALLOCATIONS!B442,RAW_004!$N$2:$N$10001,ALLOCATIONS!C442))</f>
        <v/>
      </c>
      <c r="H448" s="6">
        <f>IF(A448="","",G448-F448)</f>
        <v/>
      </c>
    </row>
    <row r="449">
      <c r="A449" s="6">
        <f>IF(ALLOCATIONS!A443="","",IFERROR(VLOOKUP(ALLOCATIONS!A443,MAPPING!$A$3:$C$302,2,FALSE),"UNMAPPED"))</f>
        <v/>
      </c>
      <c r="B449" s="6">
        <f>IF(ALLOCATIONS!A443="","",IFERROR(VLOOKUP(ALLOCATIONS!A443,MAPPING!$A$3:$C$302,3,FALSE),ALLOCATIONS!A443))</f>
        <v/>
      </c>
      <c r="C449" s="6">
        <f>IF(ALLOCATIONS!A443="","",IFERROR(VLOOKUP(ALLOCATIONS!B443,MAPPING!$E$3:$G$302,2,FALSE),"UNMAPPED"))</f>
        <v/>
      </c>
      <c r="D449" s="6">
        <f>IF(ALLOCATIONS!A443="","",IFERROR(IF(VLOOKUP(ALLOCATIONS!B443,MAPPING!$E$3:$G$302,3,FALSE)="","",VLOOKUP(ALLOCATIONS!B443,MAPPING!$E$3:$G$302,3,FALSE)),""))</f>
        <v/>
      </c>
      <c r="E449" s="6">
        <f>IF(ALLOCATIONS!A443="","",ALLOCATIONS!C443)</f>
        <v/>
      </c>
      <c r="F449" s="6">
        <f>IF(ALLOCATIONS!A443="","",IF(ALLOCATIONS!D443="",0,ALLOCATIONS!D443))</f>
        <v/>
      </c>
      <c r="G449" s="6">
        <f>IF(ALLOCATIONS!A443="","",SUMIFS(RAW_004!$I$2:$I$10001,RAW_004!$D$2:$D$10001,ALLOCATIONS!A443,RAW_004!$H$2:$H$10001,ALLOCATIONS!B443,RAW_004!$N$2:$N$10001,ALLOCATIONS!C443))</f>
        <v/>
      </c>
      <c r="H449" s="6">
        <f>IF(A449="","",G449-F449)</f>
        <v/>
      </c>
    </row>
    <row r="450">
      <c r="A450" s="6">
        <f>IF(ALLOCATIONS!A444="","",IFERROR(VLOOKUP(ALLOCATIONS!A444,MAPPING!$A$3:$C$302,2,FALSE),"UNMAPPED"))</f>
        <v/>
      </c>
      <c r="B450" s="6">
        <f>IF(ALLOCATIONS!A444="","",IFERROR(VLOOKUP(ALLOCATIONS!A444,MAPPING!$A$3:$C$302,3,FALSE),ALLOCATIONS!A444))</f>
        <v/>
      </c>
      <c r="C450" s="6">
        <f>IF(ALLOCATIONS!A444="","",IFERROR(VLOOKUP(ALLOCATIONS!B444,MAPPING!$E$3:$G$302,2,FALSE),"UNMAPPED"))</f>
        <v/>
      </c>
      <c r="D450" s="6">
        <f>IF(ALLOCATIONS!A444="","",IFERROR(IF(VLOOKUP(ALLOCATIONS!B444,MAPPING!$E$3:$G$302,3,FALSE)="","",VLOOKUP(ALLOCATIONS!B444,MAPPING!$E$3:$G$302,3,FALSE)),""))</f>
        <v/>
      </c>
      <c r="E450" s="6">
        <f>IF(ALLOCATIONS!A444="","",ALLOCATIONS!C444)</f>
        <v/>
      </c>
      <c r="F450" s="6">
        <f>IF(ALLOCATIONS!A444="","",IF(ALLOCATIONS!D444="",0,ALLOCATIONS!D444))</f>
        <v/>
      </c>
      <c r="G450" s="6">
        <f>IF(ALLOCATIONS!A444="","",SUMIFS(RAW_004!$I$2:$I$10001,RAW_004!$D$2:$D$10001,ALLOCATIONS!A444,RAW_004!$H$2:$H$10001,ALLOCATIONS!B444,RAW_004!$N$2:$N$10001,ALLOCATIONS!C444))</f>
        <v/>
      </c>
      <c r="H450" s="6">
        <f>IF(A450="","",G450-F450)</f>
        <v/>
      </c>
    </row>
    <row r="451">
      <c r="A451" s="6">
        <f>IF(ALLOCATIONS!A445="","",IFERROR(VLOOKUP(ALLOCATIONS!A445,MAPPING!$A$3:$C$302,2,FALSE),"UNMAPPED"))</f>
        <v/>
      </c>
      <c r="B451" s="6">
        <f>IF(ALLOCATIONS!A445="","",IFERROR(VLOOKUP(ALLOCATIONS!A445,MAPPING!$A$3:$C$302,3,FALSE),ALLOCATIONS!A445))</f>
        <v/>
      </c>
      <c r="C451" s="6">
        <f>IF(ALLOCATIONS!A445="","",IFERROR(VLOOKUP(ALLOCATIONS!B445,MAPPING!$E$3:$G$302,2,FALSE),"UNMAPPED"))</f>
        <v/>
      </c>
      <c r="D451" s="6">
        <f>IF(ALLOCATIONS!A445="","",IFERROR(IF(VLOOKUP(ALLOCATIONS!B445,MAPPING!$E$3:$G$302,3,FALSE)="","",VLOOKUP(ALLOCATIONS!B445,MAPPING!$E$3:$G$302,3,FALSE)),""))</f>
        <v/>
      </c>
      <c r="E451" s="6">
        <f>IF(ALLOCATIONS!A445="","",ALLOCATIONS!C445)</f>
        <v/>
      </c>
      <c r="F451" s="6">
        <f>IF(ALLOCATIONS!A445="","",IF(ALLOCATIONS!D445="",0,ALLOCATIONS!D445))</f>
        <v/>
      </c>
      <c r="G451" s="6">
        <f>IF(ALLOCATIONS!A445="","",SUMIFS(RAW_004!$I$2:$I$10001,RAW_004!$D$2:$D$10001,ALLOCATIONS!A445,RAW_004!$H$2:$H$10001,ALLOCATIONS!B445,RAW_004!$N$2:$N$10001,ALLOCATIONS!C445))</f>
        <v/>
      </c>
      <c r="H451" s="6">
        <f>IF(A451="","",G451-F451)</f>
        <v/>
      </c>
    </row>
    <row r="452">
      <c r="A452" s="6">
        <f>IF(ALLOCATIONS!A446="","",IFERROR(VLOOKUP(ALLOCATIONS!A446,MAPPING!$A$3:$C$302,2,FALSE),"UNMAPPED"))</f>
        <v/>
      </c>
      <c r="B452" s="6">
        <f>IF(ALLOCATIONS!A446="","",IFERROR(VLOOKUP(ALLOCATIONS!A446,MAPPING!$A$3:$C$302,3,FALSE),ALLOCATIONS!A446))</f>
        <v/>
      </c>
      <c r="C452" s="6">
        <f>IF(ALLOCATIONS!A446="","",IFERROR(VLOOKUP(ALLOCATIONS!B446,MAPPING!$E$3:$G$302,2,FALSE),"UNMAPPED"))</f>
        <v/>
      </c>
      <c r="D452" s="6">
        <f>IF(ALLOCATIONS!A446="","",IFERROR(IF(VLOOKUP(ALLOCATIONS!B446,MAPPING!$E$3:$G$302,3,FALSE)="","",VLOOKUP(ALLOCATIONS!B446,MAPPING!$E$3:$G$302,3,FALSE)),""))</f>
        <v/>
      </c>
      <c r="E452" s="6">
        <f>IF(ALLOCATIONS!A446="","",ALLOCATIONS!C446)</f>
        <v/>
      </c>
      <c r="F452" s="6">
        <f>IF(ALLOCATIONS!A446="","",IF(ALLOCATIONS!D446="",0,ALLOCATIONS!D446))</f>
        <v/>
      </c>
      <c r="G452" s="6">
        <f>IF(ALLOCATIONS!A446="","",SUMIFS(RAW_004!$I$2:$I$10001,RAW_004!$D$2:$D$10001,ALLOCATIONS!A446,RAW_004!$H$2:$H$10001,ALLOCATIONS!B446,RAW_004!$N$2:$N$10001,ALLOCATIONS!C446))</f>
        <v/>
      </c>
      <c r="H452" s="6">
        <f>IF(A452="","",G452-F452)</f>
        <v/>
      </c>
    </row>
    <row r="453">
      <c r="A453" s="6">
        <f>IF(ALLOCATIONS!A447="","",IFERROR(VLOOKUP(ALLOCATIONS!A447,MAPPING!$A$3:$C$302,2,FALSE),"UNMAPPED"))</f>
        <v/>
      </c>
      <c r="B453" s="6">
        <f>IF(ALLOCATIONS!A447="","",IFERROR(VLOOKUP(ALLOCATIONS!A447,MAPPING!$A$3:$C$302,3,FALSE),ALLOCATIONS!A447))</f>
        <v/>
      </c>
      <c r="C453" s="6">
        <f>IF(ALLOCATIONS!A447="","",IFERROR(VLOOKUP(ALLOCATIONS!B447,MAPPING!$E$3:$G$302,2,FALSE),"UNMAPPED"))</f>
        <v/>
      </c>
      <c r="D453" s="6">
        <f>IF(ALLOCATIONS!A447="","",IFERROR(IF(VLOOKUP(ALLOCATIONS!B447,MAPPING!$E$3:$G$302,3,FALSE)="","",VLOOKUP(ALLOCATIONS!B447,MAPPING!$E$3:$G$302,3,FALSE)),""))</f>
        <v/>
      </c>
      <c r="E453" s="6">
        <f>IF(ALLOCATIONS!A447="","",ALLOCATIONS!C447)</f>
        <v/>
      </c>
      <c r="F453" s="6">
        <f>IF(ALLOCATIONS!A447="","",IF(ALLOCATIONS!D447="",0,ALLOCATIONS!D447))</f>
        <v/>
      </c>
      <c r="G453" s="6">
        <f>IF(ALLOCATIONS!A447="","",SUMIFS(RAW_004!$I$2:$I$10001,RAW_004!$D$2:$D$10001,ALLOCATIONS!A447,RAW_004!$H$2:$H$10001,ALLOCATIONS!B447,RAW_004!$N$2:$N$10001,ALLOCATIONS!C447))</f>
        <v/>
      </c>
      <c r="H453" s="6">
        <f>IF(A453="","",G453-F453)</f>
        <v/>
      </c>
    </row>
    <row r="454">
      <c r="A454" s="6">
        <f>IF(ALLOCATIONS!A448="","",IFERROR(VLOOKUP(ALLOCATIONS!A448,MAPPING!$A$3:$C$302,2,FALSE),"UNMAPPED"))</f>
        <v/>
      </c>
      <c r="B454" s="6">
        <f>IF(ALLOCATIONS!A448="","",IFERROR(VLOOKUP(ALLOCATIONS!A448,MAPPING!$A$3:$C$302,3,FALSE),ALLOCATIONS!A448))</f>
        <v/>
      </c>
      <c r="C454" s="6">
        <f>IF(ALLOCATIONS!A448="","",IFERROR(VLOOKUP(ALLOCATIONS!B448,MAPPING!$E$3:$G$302,2,FALSE),"UNMAPPED"))</f>
        <v/>
      </c>
      <c r="D454" s="6">
        <f>IF(ALLOCATIONS!A448="","",IFERROR(IF(VLOOKUP(ALLOCATIONS!B448,MAPPING!$E$3:$G$302,3,FALSE)="","",VLOOKUP(ALLOCATIONS!B448,MAPPING!$E$3:$G$302,3,FALSE)),""))</f>
        <v/>
      </c>
      <c r="E454" s="6">
        <f>IF(ALLOCATIONS!A448="","",ALLOCATIONS!C448)</f>
        <v/>
      </c>
      <c r="F454" s="6">
        <f>IF(ALLOCATIONS!A448="","",IF(ALLOCATIONS!D448="",0,ALLOCATIONS!D448))</f>
        <v/>
      </c>
      <c r="G454" s="6">
        <f>IF(ALLOCATIONS!A448="","",SUMIFS(RAW_004!$I$2:$I$10001,RAW_004!$D$2:$D$10001,ALLOCATIONS!A448,RAW_004!$H$2:$H$10001,ALLOCATIONS!B448,RAW_004!$N$2:$N$10001,ALLOCATIONS!C448))</f>
        <v/>
      </c>
      <c r="H454" s="6">
        <f>IF(A454="","",G454-F454)</f>
        <v/>
      </c>
    </row>
    <row r="455">
      <c r="A455" s="6">
        <f>IF(ALLOCATIONS!A449="","",IFERROR(VLOOKUP(ALLOCATIONS!A449,MAPPING!$A$3:$C$302,2,FALSE),"UNMAPPED"))</f>
        <v/>
      </c>
      <c r="B455" s="6">
        <f>IF(ALLOCATIONS!A449="","",IFERROR(VLOOKUP(ALLOCATIONS!A449,MAPPING!$A$3:$C$302,3,FALSE),ALLOCATIONS!A449))</f>
        <v/>
      </c>
      <c r="C455" s="6">
        <f>IF(ALLOCATIONS!A449="","",IFERROR(VLOOKUP(ALLOCATIONS!B449,MAPPING!$E$3:$G$302,2,FALSE),"UNMAPPED"))</f>
        <v/>
      </c>
      <c r="D455" s="6">
        <f>IF(ALLOCATIONS!A449="","",IFERROR(IF(VLOOKUP(ALLOCATIONS!B449,MAPPING!$E$3:$G$302,3,FALSE)="","",VLOOKUP(ALLOCATIONS!B449,MAPPING!$E$3:$G$302,3,FALSE)),""))</f>
        <v/>
      </c>
      <c r="E455" s="6">
        <f>IF(ALLOCATIONS!A449="","",ALLOCATIONS!C449)</f>
        <v/>
      </c>
      <c r="F455" s="6">
        <f>IF(ALLOCATIONS!A449="","",IF(ALLOCATIONS!D449="",0,ALLOCATIONS!D449))</f>
        <v/>
      </c>
      <c r="G455" s="6">
        <f>IF(ALLOCATIONS!A449="","",SUMIFS(RAW_004!$I$2:$I$10001,RAW_004!$D$2:$D$10001,ALLOCATIONS!A449,RAW_004!$H$2:$H$10001,ALLOCATIONS!B449,RAW_004!$N$2:$N$10001,ALLOCATIONS!C449))</f>
        <v/>
      </c>
      <c r="H455" s="6">
        <f>IF(A455="","",G455-F455)</f>
        <v/>
      </c>
    </row>
    <row r="456">
      <c r="A456" s="6">
        <f>IF(ALLOCATIONS!A450="","",IFERROR(VLOOKUP(ALLOCATIONS!A450,MAPPING!$A$3:$C$302,2,FALSE),"UNMAPPED"))</f>
        <v/>
      </c>
      <c r="B456" s="6">
        <f>IF(ALLOCATIONS!A450="","",IFERROR(VLOOKUP(ALLOCATIONS!A450,MAPPING!$A$3:$C$302,3,FALSE),ALLOCATIONS!A450))</f>
        <v/>
      </c>
      <c r="C456" s="6">
        <f>IF(ALLOCATIONS!A450="","",IFERROR(VLOOKUP(ALLOCATIONS!B450,MAPPING!$E$3:$G$302,2,FALSE),"UNMAPPED"))</f>
        <v/>
      </c>
      <c r="D456" s="6">
        <f>IF(ALLOCATIONS!A450="","",IFERROR(IF(VLOOKUP(ALLOCATIONS!B450,MAPPING!$E$3:$G$302,3,FALSE)="","",VLOOKUP(ALLOCATIONS!B450,MAPPING!$E$3:$G$302,3,FALSE)),""))</f>
        <v/>
      </c>
      <c r="E456" s="6">
        <f>IF(ALLOCATIONS!A450="","",ALLOCATIONS!C450)</f>
        <v/>
      </c>
      <c r="F456" s="6">
        <f>IF(ALLOCATIONS!A450="","",IF(ALLOCATIONS!D450="",0,ALLOCATIONS!D450))</f>
        <v/>
      </c>
      <c r="G456" s="6">
        <f>IF(ALLOCATIONS!A450="","",SUMIFS(RAW_004!$I$2:$I$10001,RAW_004!$D$2:$D$10001,ALLOCATIONS!A450,RAW_004!$H$2:$H$10001,ALLOCATIONS!B450,RAW_004!$N$2:$N$10001,ALLOCATIONS!C450))</f>
        <v/>
      </c>
      <c r="H456" s="6">
        <f>IF(A456="","",G456-F456)</f>
        <v/>
      </c>
    </row>
    <row r="457">
      <c r="A457" s="6">
        <f>IF(ALLOCATIONS!A451="","",IFERROR(VLOOKUP(ALLOCATIONS!A451,MAPPING!$A$3:$C$302,2,FALSE),"UNMAPPED"))</f>
        <v/>
      </c>
      <c r="B457" s="6">
        <f>IF(ALLOCATIONS!A451="","",IFERROR(VLOOKUP(ALLOCATIONS!A451,MAPPING!$A$3:$C$302,3,FALSE),ALLOCATIONS!A451))</f>
        <v/>
      </c>
      <c r="C457" s="6">
        <f>IF(ALLOCATIONS!A451="","",IFERROR(VLOOKUP(ALLOCATIONS!B451,MAPPING!$E$3:$G$302,2,FALSE),"UNMAPPED"))</f>
        <v/>
      </c>
      <c r="D457" s="6">
        <f>IF(ALLOCATIONS!A451="","",IFERROR(IF(VLOOKUP(ALLOCATIONS!B451,MAPPING!$E$3:$G$302,3,FALSE)="","",VLOOKUP(ALLOCATIONS!B451,MAPPING!$E$3:$G$302,3,FALSE)),""))</f>
        <v/>
      </c>
      <c r="E457" s="6">
        <f>IF(ALLOCATIONS!A451="","",ALLOCATIONS!C451)</f>
        <v/>
      </c>
      <c r="F457" s="6">
        <f>IF(ALLOCATIONS!A451="","",IF(ALLOCATIONS!D451="",0,ALLOCATIONS!D451))</f>
        <v/>
      </c>
      <c r="G457" s="6">
        <f>IF(ALLOCATIONS!A451="","",SUMIFS(RAW_004!$I$2:$I$10001,RAW_004!$D$2:$D$10001,ALLOCATIONS!A451,RAW_004!$H$2:$H$10001,ALLOCATIONS!B451,RAW_004!$N$2:$N$10001,ALLOCATIONS!C451))</f>
        <v/>
      </c>
      <c r="H457" s="6">
        <f>IF(A457="","",G457-F457)</f>
        <v/>
      </c>
    </row>
    <row r="458">
      <c r="A458" s="6">
        <f>IF(ALLOCATIONS!A452="","",IFERROR(VLOOKUP(ALLOCATIONS!A452,MAPPING!$A$3:$C$302,2,FALSE),"UNMAPPED"))</f>
        <v/>
      </c>
      <c r="B458" s="6">
        <f>IF(ALLOCATIONS!A452="","",IFERROR(VLOOKUP(ALLOCATIONS!A452,MAPPING!$A$3:$C$302,3,FALSE),ALLOCATIONS!A452))</f>
        <v/>
      </c>
      <c r="C458" s="6">
        <f>IF(ALLOCATIONS!A452="","",IFERROR(VLOOKUP(ALLOCATIONS!B452,MAPPING!$E$3:$G$302,2,FALSE),"UNMAPPED"))</f>
        <v/>
      </c>
      <c r="D458" s="6">
        <f>IF(ALLOCATIONS!A452="","",IFERROR(IF(VLOOKUP(ALLOCATIONS!B452,MAPPING!$E$3:$G$302,3,FALSE)="","",VLOOKUP(ALLOCATIONS!B452,MAPPING!$E$3:$G$302,3,FALSE)),""))</f>
        <v/>
      </c>
      <c r="E458" s="6">
        <f>IF(ALLOCATIONS!A452="","",ALLOCATIONS!C452)</f>
        <v/>
      </c>
      <c r="F458" s="6">
        <f>IF(ALLOCATIONS!A452="","",IF(ALLOCATIONS!D452="",0,ALLOCATIONS!D452))</f>
        <v/>
      </c>
      <c r="G458" s="6">
        <f>IF(ALLOCATIONS!A452="","",SUMIFS(RAW_004!$I$2:$I$10001,RAW_004!$D$2:$D$10001,ALLOCATIONS!A452,RAW_004!$H$2:$H$10001,ALLOCATIONS!B452,RAW_004!$N$2:$N$10001,ALLOCATIONS!C452))</f>
        <v/>
      </c>
      <c r="H458" s="6">
        <f>IF(A458="","",G458-F458)</f>
        <v/>
      </c>
    </row>
    <row r="459">
      <c r="A459" s="6">
        <f>IF(ALLOCATIONS!A453="","",IFERROR(VLOOKUP(ALLOCATIONS!A453,MAPPING!$A$3:$C$302,2,FALSE),"UNMAPPED"))</f>
        <v/>
      </c>
      <c r="B459" s="6">
        <f>IF(ALLOCATIONS!A453="","",IFERROR(VLOOKUP(ALLOCATIONS!A453,MAPPING!$A$3:$C$302,3,FALSE),ALLOCATIONS!A453))</f>
        <v/>
      </c>
      <c r="C459" s="6">
        <f>IF(ALLOCATIONS!A453="","",IFERROR(VLOOKUP(ALLOCATIONS!B453,MAPPING!$E$3:$G$302,2,FALSE),"UNMAPPED"))</f>
        <v/>
      </c>
      <c r="D459" s="6">
        <f>IF(ALLOCATIONS!A453="","",IFERROR(IF(VLOOKUP(ALLOCATIONS!B453,MAPPING!$E$3:$G$302,3,FALSE)="","",VLOOKUP(ALLOCATIONS!B453,MAPPING!$E$3:$G$302,3,FALSE)),""))</f>
        <v/>
      </c>
      <c r="E459" s="6">
        <f>IF(ALLOCATIONS!A453="","",ALLOCATIONS!C453)</f>
        <v/>
      </c>
      <c r="F459" s="6">
        <f>IF(ALLOCATIONS!A453="","",IF(ALLOCATIONS!D453="",0,ALLOCATIONS!D453))</f>
        <v/>
      </c>
      <c r="G459" s="6">
        <f>IF(ALLOCATIONS!A453="","",SUMIFS(RAW_004!$I$2:$I$10001,RAW_004!$D$2:$D$10001,ALLOCATIONS!A453,RAW_004!$H$2:$H$10001,ALLOCATIONS!B453,RAW_004!$N$2:$N$10001,ALLOCATIONS!C453))</f>
        <v/>
      </c>
      <c r="H459" s="6">
        <f>IF(A459="","",G459-F459)</f>
        <v/>
      </c>
    </row>
    <row r="460">
      <c r="A460" s="6">
        <f>IF(ALLOCATIONS!A454="","",IFERROR(VLOOKUP(ALLOCATIONS!A454,MAPPING!$A$3:$C$302,2,FALSE),"UNMAPPED"))</f>
        <v/>
      </c>
      <c r="B460" s="6">
        <f>IF(ALLOCATIONS!A454="","",IFERROR(VLOOKUP(ALLOCATIONS!A454,MAPPING!$A$3:$C$302,3,FALSE),ALLOCATIONS!A454))</f>
        <v/>
      </c>
      <c r="C460" s="6">
        <f>IF(ALLOCATIONS!A454="","",IFERROR(VLOOKUP(ALLOCATIONS!B454,MAPPING!$E$3:$G$302,2,FALSE),"UNMAPPED"))</f>
        <v/>
      </c>
      <c r="D460" s="6">
        <f>IF(ALLOCATIONS!A454="","",IFERROR(IF(VLOOKUP(ALLOCATIONS!B454,MAPPING!$E$3:$G$302,3,FALSE)="","",VLOOKUP(ALLOCATIONS!B454,MAPPING!$E$3:$G$302,3,FALSE)),""))</f>
        <v/>
      </c>
      <c r="E460" s="6">
        <f>IF(ALLOCATIONS!A454="","",ALLOCATIONS!C454)</f>
        <v/>
      </c>
      <c r="F460" s="6">
        <f>IF(ALLOCATIONS!A454="","",IF(ALLOCATIONS!D454="",0,ALLOCATIONS!D454))</f>
        <v/>
      </c>
      <c r="G460" s="6">
        <f>IF(ALLOCATIONS!A454="","",SUMIFS(RAW_004!$I$2:$I$10001,RAW_004!$D$2:$D$10001,ALLOCATIONS!A454,RAW_004!$H$2:$H$10001,ALLOCATIONS!B454,RAW_004!$N$2:$N$10001,ALLOCATIONS!C454))</f>
        <v/>
      </c>
      <c r="H460" s="6">
        <f>IF(A460="","",G460-F460)</f>
        <v/>
      </c>
    </row>
    <row r="461">
      <c r="A461" s="6">
        <f>IF(ALLOCATIONS!A455="","",IFERROR(VLOOKUP(ALLOCATIONS!A455,MAPPING!$A$3:$C$302,2,FALSE),"UNMAPPED"))</f>
        <v/>
      </c>
      <c r="B461" s="6">
        <f>IF(ALLOCATIONS!A455="","",IFERROR(VLOOKUP(ALLOCATIONS!A455,MAPPING!$A$3:$C$302,3,FALSE),ALLOCATIONS!A455))</f>
        <v/>
      </c>
      <c r="C461" s="6">
        <f>IF(ALLOCATIONS!A455="","",IFERROR(VLOOKUP(ALLOCATIONS!B455,MAPPING!$E$3:$G$302,2,FALSE),"UNMAPPED"))</f>
        <v/>
      </c>
      <c r="D461" s="6">
        <f>IF(ALLOCATIONS!A455="","",IFERROR(IF(VLOOKUP(ALLOCATIONS!B455,MAPPING!$E$3:$G$302,3,FALSE)="","",VLOOKUP(ALLOCATIONS!B455,MAPPING!$E$3:$G$302,3,FALSE)),""))</f>
        <v/>
      </c>
      <c r="E461" s="6">
        <f>IF(ALLOCATIONS!A455="","",ALLOCATIONS!C455)</f>
        <v/>
      </c>
      <c r="F461" s="6">
        <f>IF(ALLOCATIONS!A455="","",IF(ALLOCATIONS!D455="",0,ALLOCATIONS!D455))</f>
        <v/>
      </c>
      <c r="G461" s="6">
        <f>IF(ALLOCATIONS!A455="","",SUMIFS(RAW_004!$I$2:$I$10001,RAW_004!$D$2:$D$10001,ALLOCATIONS!A455,RAW_004!$H$2:$H$10001,ALLOCATIONS!B455,RAW_004!$N$2:$N$10001,ALLOCATIONS!C455))</f>
        <v/>
      </c>
      <c r="H461" s="6">
        <f>IF(A461="","",G461-F461)</f>
        <v/>
      </c>
    </row>
    <row r="462">
      <c r="A462" s="6">
        <f>IF(ALLOCATIONS!A456="","",IFERROR(VLOOKUP(ALLOCATIONS!A456,MAPPING!$A$3:$C$302,2,FALSE),"UNMAPPED"))</f>
        <v/>
      </c>
      <c r="B462" s="6">
        <f>IF(ALLOCATIONS!A456="","",IFERROR(VLOOKUP(ALLOCATIONS!A456,MAPPING!$A$3:$C$302,3,FALSE),ALLOCATIONS!A456))</f>
        <v/>
      </c>
      <c r="C462" s="6">
        <f>IF(ALLOCATIONS!A456="","",IFERROR(VLOOKUP(ALLOCATIONS!B456,MAPPING!$E$3:$G$302,2,FALSE),"UNMAPPED"))</f>
        <v/>
      </c>
      <c r="D462" s="6">
        <f>IF(ALLOCATIONS!A456="","",IFERROR(IF(VLOOKUP(ALLOCATIONS!B456,MAPPING!$E$3:$G$302,3,FALSE)="","",VLOOKUP(ALLOCATIONS!B456,MAPPING!$E$3:$G$302,3,FALSE)),""))</f>
        <v/>
      </c>
      <c r="E462" s="6">
        <f>IF(ALLOCATIONS!A456="","",ALLOCATIONS!C456)</f>
        <v/>
      </c>
      <c r="F462" s="6">
        <f>IF(ALLOCATIONS!A456="","",IF(ALLOCATIONS!D456="",0,ALLOCATIONS!D456))</f>
        <v/>
      </c>
      <c r="G462" s="6">
        <f>IF(ALLOCATIONS!A456="","",SUMIFS(RAW_004!$I$2:$I$10001,RAW_004!$D$2:$D$10001,ALLOCATIONS!A456,RAW_004!$H$2:$H$10001,ALLOCATIONS!B456,RAW_004!$N$2:$N$10001,ALLOCATIONS!C456))</f>
        <v/>
      </c>
      <c r="H462" s="6">
        <f>IF(A462="","",G462-F462)</f>
        <v/>
      </c>
    </row>
    <row r="463">
      <c r="A463" s="6">
        <f>IF(ALLOCATIONS!A457="","",IFERROR(VLOOKUP(ALLOCATIONS!A457,MAPPING!$A$3:$C$302,2,FALSE),"UNMAPPED"))</f>
        <v/>
      </c>
      <c r="B463" s="6">
        <f>IF(ALLOCATIONS!A457="","",IFERROR(VLOOKUP(ALLOCATIONS!A457,MAPPING!$A$3:$C$302,3,FALSE),ALLOCATIONS!A457))</f>
        <v/>
      </c>
      <c r="C463" s="6">
        <f>IF(ALLOCATIONS!A457="","",IFERROR(VLOOKUP(ALLOCATIONS!B457,MAPPING!$E$3:$G$302,2,FALSE),"UNMAPPED"))</f>
        <v/>
      </c>
      <c r="D463" s="6">
        <f>IF(ALLOCATIONS!A457="","",IFERROR(IF(VLOOKUP(ALLOCATIONS!B457,MAPPING!$E$3:$G$302,3,FALSE)="","",VLOOKUP(ALLOCATIONS!B457,MAPPING!$E$3:$G$302,3,FALSE)),""))</f>
        <v/>
      </c>
      <c r="E463" s="6">
        <f>IF(ALLOCATIONS!A457="","",ALLOCATIONS!C457)</f>
        <v/>
      </c>
      <c r="F463" s="6">
        <f>IF(ALLOCATIONS!A457="","",IF(ALLOCATIONS!D457="",0,ALLOCATIONS!D457))</f>
        <v/>
      </c>
      <c r="G463" s="6">
        <f>IF(ALLOCATIONS!A457="","",SUMIFS(RAW_004!$I$2:$I$10001,RAW_004!$D$2:$D$10001,ALLOCATIONS!A457,RAW_004!$H$2:$H$10001,ALLOCATIONS!B457,RAW_004!$N$2:$N$10001,ALLOCATIONS!C457))</f>
        <v/>
      </c>
      <c r="H463" s="6">
        <f>IF(A463="","",G463-F463)</f>
        <v/>
      </c>
    </row>
    <row r="464">
      <c r="A464" s="6">
        <f>IF(ALLOCATIONS!A458="","",IFERROR(VLOOKUP(ALLOCATIONS!A458,MAPPING!$A$3:$C$302,2,FALSE),"UNMAPPED"))</f>
        <v/>
      </c>
      <c r="B464" s="6">
        <f>IF(ALLOCATIONS!A458="","",IFERROR(VLOOKUP(ALLOCATIONS!A458,MAPPING!$A$3:$C$302,3,FALSE),ALLOCATIONS!A458))</f>
        <v/>
      </c>
      <c r="C464" s="6">
        <f>IF(ALLOCATIONS!A458="","",IFERROR(VLOOKUP(ALLOCATIONS!B458,MAPPING!$E$3:$G$302,2,FALSE),"UNMAPPED"))</f>
        <v/>
      </c>
      <c r="D464" s="6">
        <f>IF(ALLOCATIONS!A458="","",IFERROR(IF(VLOOKUP(ALLOCATIONS!B458,MAPPING!$E$3:$G$302,3,FALSE)="","",VLOOKUP(ALLOCATIONS!B458,MAPPING!$E$3:$G$302,3,FALSE)),""))</f>
        <v/>
      </c>
      <c r="E464" s="6">
        <f>IF(ALLOCATIONS!A458="","",ALLOCATIONS!C458)</f>
        <v/>
      </c>
      <c r="F464" s="6">
        <f>IF(ALLOCATIONS!A458="","",IF(ALLOCATIONS!D458="",0,ALLOCATIONS!D458))</f>
        <v/>
      </c>
      <c r="G464" s="6">
        <f>IF(ALLOCATIONS!A458="","",SUMIFS(RAW_004!$I$2:$I$10001,RAW_004!$D$2:$D$10001,ALLOCATIONS!A458,RAW_004!$H$2:$H$10001,ALLOCATIONS!B458,RAW_004!$N$2:$N$10001,ALLOCATIONS!C458))</f>
        <v/>
      </c>
      <c r="H464" s="6">
        <f>IF(A464="","",G464-F464)</f>
        <v/>
      </c>
    </row>
    <row r="465">
      <c r="A465" s="6">
        <f>IF(ALLOCATIONS!A459="","",IFERROR(VLOOKUP(ALLOCATIONS!A459,MAPPING!$A$3:$C$302,2,FALSE),"UNMAPPED"))</f>
        <v/>
      </c>
      <c r="B465" s="6">
        <f>IF(ALLOCATIONS!A459="","",IFERROR(VLOOKUP(ALLOCATIONS!A459,MAPPING!$A$3:$C$302,3,FALSE),ALLOCATIONS!A459))</f>
        <v/>
      </c>
      <c r="C465" s="6">
        <f>IF(ALLOCATIONS!A459="","",IFERROR(VLOOKUP(ALLOCATIONS!B459,MAPPING!$E$3:$G$302,2,FALSE),"UNMAPPED"))</f>
        <v/>
      </c>
      <c r="D465" s="6">
        <f>IF(ALLOCATIONS!A459="","",IFERROR(IF(VLOOKUP(ALLOCATIONS!B459,MAPPING!$E$3:$G$302,3,FALSE)="","",VLOOKUP(ALLOCATIONS!B459,MAPPING!$E$3:$G$302,3,FALSE)),""))</f>
        <v/>
      </c>
      <c r="E465" s="6">
        <f>IF(ALLOCATIONS!A459="","",ALLOCATIONS!C459)</f>
        <v/>
      </c>
      <c r="F465" s="6">
        <f>IF(ALLOCATIONS!A459="","",IF(ALLOCATIONS!D459="",0,ALLOCATIONS!D459))</f>
        <v/>
      </c>
      <c r="G465" s="6">
        <f>IF(ALLOCATIONS!A459="","",SUMIFS(RAW_004!$I$2:$I$10001,RAW_004!$D$2:$D$10001,ALLOCATIONS!A459,RAW_004!$H$2:$H$10001,ALLOCATIONS!B459,RAW_004!$N$2:$N$10001,ALLOCATIONS!C459))</f>
        <v/>
      </c>
      <c r="H465" s="6">
        <f>IF(A465="","",G465-F465)</f>
        <v/>
      </c>
    </row>
    <row r="466">
      <c r="A466" s="6">
        <f>IF(ALLOCATIONS!A460="","",IFERROR(VLOOKUP(ALLOCATIONS!A460,MAPPING!$A$3:$C$302,2,FALSE),"UNMAPPED"))</f>
        <v/>
      </c>
      <c r="B466" s="6">
        <f>IF(ALLOCATIONS!A460="","",IFERROR(VLOOKUP(ALLOCATIONS!A460,MAPPING!$A$3:$C$302,3,FALSE),ALLOCATIONS!A460))</f>
        <v/>
      </c>
      <c r="C466" s="6">
        <f>IF(ALLOCATIONS!A460="","",IFERROR(VLOOKUP(ALLOCATIONS!B460,MAPPING!$E$3:$G$302,2,FALSE),"UNMAPPED"))</f>
        <v/>
      </c>
      <c r="D466" s="6">
        <f>IF(ALLOCATIONS!A460="","",IFERROR(IF(VLOOKUP(ALLOCATIONS!B460,MAPPING!$E$3:$G$302,3,FALSE)="","",VLOOKUP(ALLOCATIONS!B460,MAPPING!$E$3:$G$302,3,FALSE)),""))</f>
        <v/>
      </c>
      <c r="E466" s="6">
        <f>IF(ALLOCATIONS!A460="","",ALLOCATIONS!C460)</f>
        <v/>
      </c>
      <c r="F466" s="6">
        <f>IF(ALLOCATIONS!A460="","",IF(ALLOCATIONS!D460="",0,ALLOCATIONS!D460))</f>
        <v/>
      </c>
      <c r="G466" s="6">
        <f>IF(ALLOCATIONS!A460="","",SUMIFS(RAW_004!$I$2:$I$10001,RAW_004!$D$2:$D$10001,ALLOCATIONS!A460,RAW_004!$H$2:$H$10001,ALLOCATIONS!B460,RAW_004!$N$2:$N$10001,ALLOCATIONS!C460))</f>
        <v/>
      </c>
      <c r="H466" s="6">
        <f>IF(A466="","",G466-F466)</f>
        <v/>
      </c>
    </row>
    <row r="467">
      <c r="A467" s="6">
        <f>IF(ALLOCATIONS!A461="","",IFERROR(VLOOKUP(ALLOCATIONS!A461,MAPPING!$A$3:$C$302,2,FALSE),"UNMAPPED"))</f>
        <v/>
      </c>
      <c r="B467" s="6">
        <f>IF(ALLOCATIONS!A461="","",IFERROR(VLOOKUP(ALLOCATIONS!A461,MAPPING!$A$3:$C$302,3,FALSE),ALLOCATIONS!A461))</f>
        <v/>
      </c>
      <c r="C467" s="6">
        <f>IF(ALLOCATIONS!A461="","",IFERROR(VLOOKUP(ALLOCATIONS!B461,MAPPING!$E$3:$G$302,2,FALSE),"UNMAPPED"))</f>
        <v/>
      </c>
      <c r="D467" s="6">
        <f>IF(ALLOCATIONS!A461="","",IFERROR(IF(VLOOKUP(ALLOCATIONS!B461,MAPPING!$E$3:$G$302,3,FALSE)="","",VLOOKUP(ALLOCATIONS!B461,MAPPING!$E$3:$G$302,3,FALSE)),""))</f>
        <v/>
      </c>
      <c r="E467" s="6">
        <f>IF(ALLOCATIONS!A461="","",ALLOCATIONS!C461)</f>
        <v/>
      </c>
      <c r="F467" s="6">
        <f>IF(ALLOCATIONS!A461="","",IF(ALLOCATIONS!D461="",0,ALLOCATIONS!D461))</f>
        <v/>
      </c>
      <c r="G467" s="6">
        <f>IF(ALLOCATIONS!A461="","",SUMIFS(RAW_004!$I$2:$I$10001,RAW_004!$D$2:$D$10001,ALLOCATIONS!A461,RAW_004!$H$2:$H$10001,ALLOCATIONS!B461,RAW_004!$N$2:$N$10001,ALLOCATIONS!C461))</f>
        <v/>
      </c>
      <c r="H467" s="6">
        <f>IF(A467="","",G467-F467)</f>
        <v/>
      </c>
    </row>
    <row r="468">
      <c r="A468" s="6">
        <f>IF(ALLOCATIONS!A462="","",IFERROR(VLOOKUP(ALLOCATIONS!A462,MAPPING!$A$3:$C$302,2,FALSE),"UNMAPPED"))</f>
        <v/>
      </c>
      <c r="B468" s="6">
        <f>IF(ALLOCATIONS!A462="","",IFERROR(VLOOKUP(ALLOCATIONS!A462,MAPPING!$A$3:$C$302,3,FALSE),ALLOCATIONS!A462))</f>
        <v/>
      </c>
      <c r="C468" s="6">
        <f>IF(ALLOCATIONS!A462="","",IFERROR(VLOOKUP(ALLOCATIONS!B462,MAPPING!$E$3:$G$302,2,FALSE),"UNMAPPED"))</f>
        <v/>
      </c>
      <c r="D468" s="6">
        <f>IF(ALLOCATIONS!A462="","",IFERROR(IF(VLOOKUP(ALLOCATIONS!B462,MAPPING!$E$3:$G$302,3,FALSE)="","",VLOOKUP(ALLOCATIONS!B462,MAPPING!$E$3:$G$302,3,FALSE)),""))</f>
        <v/>
      </c>
      <c r="E468" s="6">
        <f>IF(ALLOCATIONS!A462="","",ALLOCATIONS!C462)</f>
        <v/>
      </c>
      <c r="F468" s="6">
        <f>IF(ALLOCATIONS!A462="","",IF(ALLOCATIONS!D462="",0,ALLOCATIONS!D462))</f>
        <v/>
      </c>
      <c r="G468" s="6">
        <f>IF(ALLOCATIONS!A462="","",SUMIFS(RAW_004!$I$2:$I$10001,RAW_004!$D$2:$D$10001,ALLOCATIONS!A462,RAW_004!$H$2:$H$10001,ALLOCATIONS!B462,RAW_004!$N$2:$N$10001,ALLOCATIONS!C462))</f>
        <v/>
      </c>
      <c r="H468" s="6">
        <f>IF(A468="","",G468-F468)</f>
        <v/>
      </c>
    </row>
    <row r="469">
      <c r="A469" s="6">
        <f>IF(ALLOCATIONS!A463="","",IFERROR(VLOOKUP(ALLOCATIONS!A463,MAPPING!$A$3:$C$302,2,FALSE),"UNMAPPED"))</f>
        <v/>
      </c>
      <c r="B469" s="6">
        <f>IF(ALLOCATIONS!A463="","",IFERROR(VLOOKUP(ALLOCATIONS!A463,MAPPING!$A$3:$C$302,3,FALSE),ALLOCATIONS!A463))</f>
        <v/>
      </c>
      <c r="C469" s="6">
        <f>IF(ALLOCATIONS!A463="","",IFERROR(VLOOKUP(ALLOCATIONS!B463,MAPPING!$E$3:$G$302,2,FALSE),"UNMAPPED"))</f>
        <v/>
      </c>
      <c r="D469" s="6">
        <f>IF(ALLOCATIONS!A463="","",IFERROR(IF(VLOOKUP(ALLOCATIONS!B463,MAPPING!$E$3:$G$302,3,FALSE)="","",VLOOKUP(ALLOCATIONS!B463,MAPPING!$E$3:$G$302,3,FALSE)),""))</f>
        <v/>
      </c>
      <c r="E469" s="6">
        <f>IF(ALLOCATIONS!A463="","",ALLOCATIONS!C463)</f>
        <v/>
      </c>
      <c r="F469" s="6">
        <f>IF(ALLOCATIONS!A463="","",IF(ALLOCATIONS!D463="",0,ALLOCATIONS!D463))</f>
        <v/>
      </c>
      <c r="G469" s="6">
        <f>IF(ALLOCATIONS!A463="","",SUMIFS(RAW_004!$I$2:$I$10001,RAW_004!$D$2:$D$10001,ALLOCATIONS!A463,RAW_004!$H$2:$H$10001,ALLOCATIONS!B463,RAW_004!$N$2:$N$10001,ALLOCATIONS!C463))</f>
        <v/>
      </c>
      <c r="H469" s="6">
        <f>IF(A469="","",G469-F469)</f>
        <v/>
      </c>
    </row>
    <row r="470">
      <c r="A470" s="6">
        <f>IF(ALLOCATIONS!A464="","",IFERROR(VLOOKUP(ALLOCATIONS!A464,MAPPING!$A$3:$C$302,2,FALSE),"UNMAPPED"))</f>
        <v/>
      </c>
      <c r="B470" s="6">
        <f>IF(ALLOCATIONS!A464="","",IFERROR(VLOOKUP(ALLOCATIONS!A464,MAPPING!$A$3:$C$302,3,FALSE),ALLOCATIONS!A464))</f>
        <v/>
      </c>
      <c r="C470" s="6">
        <f>IF(ALLOCATIONS!A464="","",IFERROR(VLOOKUP(ALLOCATIONS!B464,MAPPING!$E$3:$G$302,2,FALSE),"UNMAPPED"))</f>
        <v/>
      </c>
      <c r="D470" s="6">
        <f>IF(ALLOCATIONS!A464="","",IFERROR(IF(VLOOKUP(ALLOCATIONS!B464,MAPPING!$E$3:$G$302,3,FALSE)="","",VLOOKUP(ALLOCATIONS!B464,MAPPING!$E$3:$G$302,3,FALSE)),""))</f>
        <v/>
      </c>
      <c r="E470" s="6">
        <f>IF(ALLOCATIONS!A464="","",ALLOCATIONS!C464)</f>
        <v/>
      </c>
      <c r="F470" s="6">
        <f>IF(ALLOCATIONS!A464="","",IF(ALLOCATIONS!D464="",0,ALLOCATIONS!D464))</f>
        <v/>
      </c>
      <c r="G470" s="6">
        <f>IF(ALLOCATIONS!A464="","",SUMIFS(RAW_004!$I$2:$I$10001,RAW_004!$D$2:$D$10001,ALLOCATIONS!A464,RAW_004!$H$2:$H$10001,ALLOCATIONS!B464,RAW_004!$N$2:$N$10001,ALLOCATIONS!C464))</f>
        <v/>
      </c>
      <c r="H470" s="6">
        <f>IF(A470="","",G470-F470)</f>
        <v/>
      </c>
    </row>
    <row r="471">
      <c r="A471" s="6">
        <f>IF(ALLOCATIONS!A465="","",IFERROR(VLOOKUP(ALLOCATIONS!A465,MAPPING!$A$3:$C$302,2,FALSE),"UNMAPPED"))</f>
        <v/>
      </c>
      <c r="B471" s="6">
        <f>IF(ALLOCATIONS!A465="","",IFERROR(VLOOKUP(ALLOCATIONS!A465,MAPPING!$A$3:$C$302,3,FALSE),ALLOCATIONS!A465))</f>
        <v/>
      </c>
      <c r="C471" s="6">
        <f>IF(ALLOCATIONS!A465="","",IFERROR(VLOOKUP(ALLOCATIONS!B465,MAPPING!$E$3:$G$302,2,FALSE),"UNMAPPED"))</f>
        <v/>
      </c>
      <c r="D471" s="6">
        <f>IF(ALLOCATIONS!A465="","",IFERROR(IF(VLOOKUP(ALLOCATIONS!B465,MAPPING!$E$3:$G$302,3,FALSE)="","",VLOOKUP(ALLOCATIONS!B465,MAPPING!$E$3:$G$302,3,FALSE)),""))</f>
        <v/>
      </c>
      <c r="E471" s="6">
        <f>IF(ALLOCATIONS!A465="","",ALLOCATIONS!C465)</f>
        <v/>
      </c>
      <c r="F471" s="6">
        <f>IF(ALLOCATIONS!A465="","",IF(ALLOCATIONS!D465="",0,ALLOCATIONS!D465))</f>
        <v/>
      </c>
      <c r="G471" s="6">
        <f>IF(ALLOCATIONS!A465="","",SUMIFS(RAW_004!$I$2:$I$10001,RAW_004!$D$2:$D$10001,ALLOCATIONS!A465,RAW_004!$H$2:$H$10001,ALLOCATIONS!B465,RAW_004!$N$2:$N$10001,ALLOCATIONS!C465))</f>
        <v/>
      </c>
      <c r="H471" s="6">
        <f>IF(A471="","",G471-F471)</f>
        <v/>
      </c>
    </row>
    <row r="472">
      <c r="A472" s="6">
        <f>IF(ALLOCATIONS!A466="","",IFERROR(VLOOKUP(ALLOCATIONS!A466,MAPPING!$A$3:$C$302,2,FALSE),"UNMAPPED"))</f>
        <v/>
      </c>
      <c r="B472" s="6">
        <f>IF(ALLOCATIONS!A466="","",IFERROR(VLOOKUP(ALLOCATIONS!A466,MAPPING!$A$3:$C$302,3,FALSE),ALLOCATIONS!A466))</f>
        <v/>
      </c>
      <c r="C472" s="6">
        <f>IF(ALLOCATIONS!A466="","",IFERROR(VLOOKUP(ALLOCATIONS!B466,MAPPING!$E$3:$G$302,2,FALSE),"UNMAPPED"))</f>
        <v/>
      </c>
      <c r="D472" s="6">
        <f>IF(ALLOCATIONS!A466="","",IFERROR(IF(VLOOKUP(ALLOCATIONS!B466,MAPPING!$E$3:$G$302,3,FALSE)="","",VLOOKUP(ALLOCATIONS!B466,MAPPING!$E$3:$G$302,3,FALSE)),""))</f>
        <v/>
      </c>
      <c r="E472" s="6">
        <f>IF(ALLOCATIONS!A466="","",ALLOCATIONS!C466)</f>
        <v/>
      </c>
      <c r="F472" s="6">
        <f>IF(ALLOCATIONS!A466="","",IF(ALLOCATIONS!D466="",0,ALLOCATIONS!D466))</f>
        <v/>
      </c>
      <c r="G472" s="6">
        <f>IF(ALLOCATIONS!A466="","",SUMIFS(RAW_004!$I$2:$I$10001,RAW_004!$D$2:$D$10001,ALLOCATIONS!A466,RAW_004!$H$2:$H$10001,ALLOCATIONS!B466,RAW_004!$N$2:$N$10001,ALLOCATIONS!C466))</f>
        <v/>
      </c>
      <c r="H472" s="6">
        <f>IF(A472="","",G472-F472)</f>
        <v/>
      </c>
    </row>
    <row r="473">
      <c r="A473" s="6">
        <f>IF(ALLOCATIONS!A467="","",IFERROR(VLOOKUP(ALLOCATIONS!A467,MAPPING!$A$3:$C$302,2,FALSE),"UNMAPPED"))</f>
        <v/>
      </c>
      <c r="B473" s="6">
        <f>IF(ALLOCATIONS!A467="","",IFERROR(VLOOKUP(ALLOCATIONS!A467,MAPPING!$A$3:$C$302,3,FALSE),ALLOCATIONS!A467))</f>
        <v/>
      </c>
      <c r="C473" s="6">
        <f>IF(ALLOCATIONS!A467="","",IFERROR(VLOOKUP(ALLOCATIONS!B467,MAPPING!$E$3:$G$302,2,FALSE),"UNMAPPED"))</f>
        <v/>
      </c>
      <c r="D473" s="6">
        <f>IF(ALLOCATIONS!A467="","",IFERROR(IF(VLOOKUP(ALLOCATIONS!B467,MAPPING!$E$3:$G$302,3,FALSE)="","",VLOOKUP(ALLOCATIONS!B467,MAPPING!$E$3:$G$302,3,FALSE)),""))</f>
        <v/>
      </c>
      <c r="E473" s="6">
        <f>IF(ALLOCATIONS!A467="","",ALLOCATIONS!C467)</f>
        <v/>
      </c>
      <c r="F473" s="6">
        <f>IF(ALLOCATIONS!A467="","",IF(ALLOCATIONS!D467="",0,ALLOCATIONS!D467))</f>
        <v/>
      </c>
      <c r="G473" s="6">
        <f>IF(ALLOCATIONS!A467="","",SUMIFS(RAW_004!$I$2:$I$10001,RAW_004!$D$2:$D$10001,ALLOCATIONS!A467,RAW_004!$H$2:$H$10001,ALLOCATIONS!B467,RAW_004!$N$2:$N$10001,ALLOCATIONS!C467))</f>
        <v/>
      </c>
      <c r="H473" s="6">
        <f>IF(A473="","",G473-F473)</f>
        <v/>
      </c>
    </row>
    <row r="474">
      <c r="A474" s="6">
        <f>IF(ALLOCATIONS!A468="","",IFERROR(VLOOKUP(ALLOCATIONS!A468,MAPPING!$A$3:$C$302,2,FALSE),"UNMAPPED"))</f>
        <v/>
      </c>
      <c r="B474" s="6">
        <f>IF(ALLOCATIONS!A468="","",IFERROR(VLOOKUP(ALLOCATIONS!A468,MAPPING!$A$3:$C$302,3,FALSE),ALLOCATIONS!A468))</f>
        <v/>
      </c>
      <c r="C474" s="6">
        <f>IF(ALLOCATIONS!A468="","",IFERROR(VLOOKUP(ALLOCATIONS!B468,MAPPING!$E$3:$G$302,2,FALSE),"UNMAPPED"))</f>
        <v/>
      </c>
      <c r="D474" s="6">
        <f>IF(ALLOCATIONS!A468="","",IFERROR(IF(VLOOKUP(ALLOCATIONS!B468,MAPPING!$E$3:$G$302,3,FALSE)="","",VLOOKUP(ALLOCATIONS!B468,MAPPING!$E$3:$G$302,3,FALSE)),""))</f>
        <v/>
      </c>
      <c r="E474" s="6">
        <f>IF(ALLOCATIONS!A468="","",ALLOCATIONS!C468)</f>
        <v/>
      </c>
      <c r="F474" s="6">
        <f>IF(ALLOCATIONS!A468="","",IF(ALLOCATIONS!D468="",0,ALLOCATIONS!D468))</f>
        <v/>
      </c>
      <c r="G474" s="6">
        <f>IF(ALLOCATIONS!A468="","",SUMIFS(RAW_004!$I$2:$I$10001,RAW_004!$D$2:$D$10001,ALLOCATIONS!A468,RAW_004!$H$2:$H$10001,ALLOCATIONS!B468,RAW_004!$N$2:$N$10001,ALLOCATIONS!C468))</f>
        <v/>
      </c>
      <c r="H474" s="6">
        <f>IF(A474="","",G474-F474)</f>
        <v/>
      </c>
    </row>
    <row r="475">
      <c r="A475" s="6">
        <f>IF(ALLOCATIONS!A469="","",IFERROR(VLOOKUP(ALLOCATIONS!A469,MAPPING!$A$3:$C$302,2,FALSE),"UNMAPPED"))</f>
        <v/>
      </c>
      <c r="B475" s="6">
        <f>IF(ALLOCATIONS!A469="","",IFERROR(VLOOKUP(ALLOCATIONS!A469,MAPPING!$A$3:$C$302,3,FALSE),ALLOCATIONS!A469))</f>
        <v/>
      </c>
      <c r="C475" s="6">
        <f>IF(ALLOCATIONS!A469="","",IFERROR(VLOOKUP(ALLOCATIONS!B469,MAPPING!$E$3:$G$302,2,FALSE),"UNMAPPED"))</f>
        <v/>
      </c>
      <c r="D475" s="6">
        <f>IF(ALLOCATIONS!A469="","",IFERROR(IF(VLOOKUP(ALLOCATIONS!B469,MAPPING!$E$3:$G$302,3,FALSE)="","",VLOOKUP(ALLOCATIONS!B469,MAPPING!$E$3:$G$302,3,FALSE)),""))</f>
        <v/>
      </c>
      <c r="E475" s="6">
        <f>IF(ALLOCATIONS!A469="","",ALLOCATIONS!C469)</f>
        <v/>
      </c>
      <c r="F475" s="6">
        <f>IF(ALLOCATIONS!A469="","",IF(ALLOCATIONS!D469="",0,ALLOCATIONS!D469))</f>
        <v/>
      </c>
      <c r="G475" s="6">
        <f>IF(ALLOCATIONS!A469="","",SUMIFS(RAW_004!$I$2:$I$10001,RAW_004!$D$2:$D$10001,ALLOCATIONS!A469,RAW_004!$H$2:$H$10001,ALLOCATIONS!B469,RAW_004!$N$2:$N$10001,ALLOCATIONS!C469))</f>
        <v/>
      </c>
      <c r="H475" s="6">
        <f>IF(A475="","",G475-F475)</f>
        <v/>
      </c>
    </row>
    <row r="476">
      <c r="A476" s="6">
        <f>IF(ALLOCATIONS!A470="","",IFERROR(VLOOKUP(ALLOCATIONS!A470,MAPPING!$A$3:$C$302,2,FALSE),"UNMAPPED"))</f>
        <v/>
      </c>
      <c r="B476" s="6">
        <f>IF(ALLOCATIONS!A470="","",IFERROR(VLOOKUP(ALLOCATIONS!A470,MAPPING!$A$3:$C$302,3,FALSE),ALLOCATIONS!A470))</f>
        <v/>
      </c>
      <c r="C476" s="6">
        <f>IF(ALLOCATIONS!A470="","",IFERROR(VLOOKUP(ALLOCATIONS!B470,MAPPING!$E$3:$G$302,2,FALSE),"UNMAPPED"))</f>
        <v/>
      </c>
      <c r="D476" s="6">
        <f>IF(ALLOCATIONS!A470="","",IFERROR(IF(VLOOKUP(ALLOCATIONS!B470,MAPPING!$E$3:$G$302,3,FALSE)="","",VLOOKUP(ALLOCATIONS!B470,MAPPING!$E$3:$G$302,3,FALSE)),""))</f>
        <v/>
      </c>
      <c r="E476" s="6">
        <f>IF(ALLOCATIONS!A470="","",ALLOCATIONS!C470)</f>
        <v/>
      </c>
      <c r="F476" s="6">
        <f>IF(ALLOCATIONS!A470="","",IF(ALLOCATIONS!D470="",0,ALLOCATIONS!D470))</f>
        <v/>
      </c>
      <c r="G476" s="6">
        <f>IF(ALLOCATIONS!A470="","",SUMIFS(RAW_004!$I$2:$I$10001,RAW_004!$D$2:$D$10001,ALLOCATIONS!A470,RAW_004!$H$2:$H$10001,ALLOCATIONS!B470,RAW_004!$N$2:$N$10001,ALLOCATIONS!C470))</f>
        <v/>
      </c>
      <c r="H476" s="6">
        <f>IF(A476="","",G476-F476)</f>
        <v/>
      </c>
    </row>
    <row r="477">
      <c r="A477" s="6">
        <f>IF(ALLOCATIONS!A471="","",IFERROR(VLOOKUP(ALLOCATIONS!A471,MAPPING!$A$3:$C$302,2,FALSE),"UNMAPPED"))</f>
        <v/>
      </c>
      <c r="B477" s="6">
        <f>IF(ALLOCATIONS!A471="","",IFERROR(VLOOKUP(ALLOCATIONS!A471,MAPPING!$A$3:$C$302,3,FALSE),ALLOCATIONS!A471))</f>
        <v/>
      </c>
      <c r="C477" s="6">
        <f>IF(ALLOCATIONS!A471="","",IFERROR(VLOOKUP(ALLOCATIONS!B471,MAPPING!$E$3:$G$302,2,FALSE),"UNMAPPED"))</f>
        <v/>
      </c>
      <c r="D477" s="6">
        <f>IF(ALLOCATIONS!A471="","",IFERROR(IF(VLOOKUP(ALLOCATIONS!B471,MAPPING!$E$3:$G$302,3,FALSE)="","",VLOOKUP(ALLOCATIONS!B471,MAPPING!$E$3:$G$302,3,FALSE)),""))</f>
        <v/>
      </c>
      <c r="E477" s="6">
        <f>IF(ALLOCATIONS!A471="","",ALLOCATIONS!C471)</f>
        <v/>
      </c>
      <c r="F477" s="6">
        <f>IF(ALLOCATIONS!A471="","",IF(ALLOCATIONS!D471="",0,ALLOCATIONS!D471))</f>
        <v/>
      </c>
      <c r="G477" s="6">
        <f>IF(ALLOCATIONS!A471="","",SUMIFS(RAW_004!$I$2:$I$10001,RAW_004!$D$2:$D$10001,ALLOCATIONS!A471,RAW_004!$H$2:$H$10001,ALLOCATIONS!B471,RAW_004!$N$2:$N$10001,ALLOCATIONS!C471))</f>
        <v/>
      </c>
      <c r="H477" s="6">
        <f>IF(A477="","",G477-F477)</f>
        <v/>
      </c>
    </row>
    <row r="478">
      <c r="A478" s="6">
        <f>IF(ALLOCATIONS!A472="","",IFERROR(VLOOKUP(ALLOCATIONS!A472,MAPPING!$A$3:$C$302,2,FALSE),"UNMAPPED"))</f>
        <v/>
      </c>
      <c r="B478" s="6">
        <f>IF(ALLOCATIONS!A472="","",IFERROR(VLOOKUP(ALLOCATIONS!A472,MAPPING!$A$3:$C$302,3,FALSE),ALLOCATIONS!A472))</f>
        <v/>
      </c>
      <c r="C478" s="6">
        <f>IF(ALLOCATIONS!A472="","",IFERROR(VLOOKUP(ALLOCATIONS!B472,MAPPING!$E$3:$G$302,2,FALSE),"UNMAPPED"))</f>
        <v/>
      </c>
      <c r="D478" s="6">
        <f>IF(ALLOCATIONS!A472="","",IFERROR(IF(VLOOKUP(ALLOCATIONS!B472,MAPPING!$E$3:$G$302,3,FALSE)="","",VLOOKUP(ALLOCATIONS!B472,MAPPING!$E$3:$G$302,3,FALSE)),""))</f>
        <v/>
      </c>
      <c r="E478" s="6">
        <f>IF(ALLOCATIONS!A472="","",ALLOCATIONS!C472)</f>
        <v/>
      </c>
      <c r="F478" s="6">
        <f>IF(ALLOCATIONS!A472="","",IF(ALLOCATIONS!D472="",0,ALLOCATIONS!D472))</f>
        <v/>
      </c>
      <c r="G478" s="6">
        <f>IF(ALLOCATIONS!A472="","",SUMIFS(RAW_004!$I$2:$I$10001,RAW_004!$D$2:$D$10001,ALLOCATIONS!A472,RAW_004!$H$2:$H$10001,ALLOCATIONS!B472,RAW_004!$N$2:$N$10001,ALLOCATIONS!C472))</f>
        <v/>
      </c>
      <c r="H478" s="6">
        <f>IF(A478="","",G478-F478)</f>
        <v/>
      </c>
    </row>
    <row r="479">
      <c r="A479" s="6">
        <f>IF(ALLOCATIONS!A473="","",IFERROR(VLOOKUP(ALLOCATIONS!A473,MAPPING!$A$3:$C$302,2,FALSE),"UNMAPPED"))</f>
        <v/>
      </c>
      <c r="B479" s="6">
        <f>IF(ALLOCATIONS!A473="","",IFERROR(VLOOKUP(ALLOCATIONS!A473,MAPPING!$A$3:$C$302,3,FALSE),ALLOCATIONS!A473))</f>
        <v/>
      </c>
      <c r="C479" s="6">
        <f>IF(ALLOCATIONS!A473="","",IFERROR(VLOOKUP(ALLOCATIONS!B473,MAPPING!$E$3:$G$302,2,FALSE),"UNMAPPED"))</f>
        <v/>
      </c>
      <c r="D479" s="6">
        <f>IF(ALLOCATIONS!A473="","",IFERROR(IF(VLOOKUP(ALLOCATIONS!B473,MAPPING!$E$3:$G$302,3,FALSE)="","",VLOOKUP(ALLOCATIONS!B473,MAPPING!$E$3:$G$302,3,FALSE)),""))</f>
        <v/>
      </c>
      <c r="E479" s="6">
        <f>IF(ALLOCATIONS!A473="","",ALLOCATIONS!C473)</f>
        <v/>
      </c>
      <c r="F479" s="6">
        <f>IF(ALLOCATIONS!A473="","",IF(ALLOCATIONS!D473="",0,ALLOCATIONS!D473))</f>
        <v/>
      </c>
      <c r="G479" s="6">
        <f>IF(ALLOCATIONS!A473="","",SUMIFS(RAW_004!$I$2:$I$10001,RAW_004!$D$2:$D$10001,ALLOCATIONS!A473,RAW_004!$H$2:$H$10001,ALLOCATIONS!B473,RAW_004!$N$2:$N$10001,ALLOCATIONS!C473))</f>
        <v/>
      </c>
      <c r="H479" s="6">
        <f>IF(A479="","",G479-F479)</f>
        <v/>
      </c>
    </row>
    <row r="480">
      <c r="A480" s="6">
        <f>IF(ALLOCATIONS!A474="","",IFERROR(VLOOKUP(ALLOCATIONS!A474,MAPPING!$A$3:$C$302,2,FALSE),"UNMAPPED"))</f>
        <v/>
      </c>
      <c r="B480" s="6">
        <f>IF(ALLOCATIONS!A474="","",IFERROR(VLOOKUP(ALLOCATIONS!A474,MAPPING!$A$3:$C$302,3,FALSE),ALLOCATIONS!A474))</f>
        <v/>
      </c>
      <c r="C480" s="6">
        <f>IF(ALLOCATIONS!A474="","",IFERROR(VLOOKUP(ALLOCATIONS!B474,MAPPING!$E$3:$G$302,2,FALSE),"UNMAPPED"))</f>
        <v/>
      </c>
      <c r="D480" s="6">
        <f>IF(ALLOCATIONS!A474="","",IFERROR(IF(VLOOKUP(ALLOCATIONS!B474,MAPPING!$E$3:$G$302,3,FALSE)="","",VLOOKUP(ALLOCATIONS!B474,MAPPING!$E$3:$G$302,3,FALSE)),""))</f>
        <v/>
      </c>
      <c r="E480" s="6">
        <f>IF(ALLOCATIONS!A474="","",ALLOCATIONS!C474)</f>
        <v/>
      </c>
      <c r="F480" s="6">
        <f>IF(ALLOCATIONS!A474="","",IF(ALLOCATIONS!D474="",0,ALLOCATIONS!D474))</f>
        <v/>
      </c>
      <c r="G480" s="6">
        <f>IF(ALLOCATIONS!A474="","",SUMIFS(RAW_004!$I$2:$I$10001,RAW_004!$D$2:$D$10001,ALLOCATIONS!A474,RAW_004!$H$2:$H$10001,ALLOCATIONS!B474,RAW_004!$N$2:$N$10001,ALLOCATIONS!C474))</f>
        <v/>
      </c>
      <c r="H480" s="6">
        <f>IF(A480="","",G480-F480)</f>
        <v/>
      </c>
    </row>
    <row r="481">
      <c r="A481" s="6">
        <f>IF(ALLOCATIONS!A475="","",IFERROR(VLOOKUP(ALLOCATIONS!A475,MAPPING!$A$3:$C$302,2,FALSE),"UNMAPPED"))</f>
        <v/>
      </c>
      <c r="B481" s="6">
        <f>IF(ALLOCATIONS!A475="","",IFERROR(VLOOKUP(ALLOCATIONS!A475,MAPPING!$A$3:$C$302,3,FALSE),ALLOCATIONS!A475))</f>
        <v/>
      </c>
      <c r="C481" s="6">
        <f>IF(ALLOCATIONS!A475="","",IFERROR(VLOOKUP(ALLOCATIONS!B475,MAPPING!$E$3:$G$302,2,FALSE),"UNMAPPED"))</f>
        <v/>
      </c>
      <c r="D481" s="6">
        <f>IF(ALLOCATIONS!A475="","",IFERROR(IF(VLOOKUP(ALLOCATIONS!B475,MAPPING!$E$3:$G$302,3,FALSE)="","",VLOOKUP(ALLOCATIONS!B475,MAPPING!$E$3:$G$302,3,FALSE)),""))</f>
        <v/>
      </c>
      <c r="E481" s="6">
        <f>IF(ALLOCATIONS!A475="","",ALLOCATIONS!C475)</f>
        <v/>
      </c>
      <c r="F481" s="6">
        <f>IF(ALLOCATIONS!A475="","",IF(ALLOCATIONS!D475="",0,ALLOCATIONS!D475))</f>
        <v/>
      </c>
      <c r="G481" s="6">
        <f>IF(ALLOCATIONS!A475="","",SUMIFS(RAW_004!$I$2:$I$10001,RAW_004!$D$2:$D$10001,ALLOCATIONS!A475,RAW_004!$H$2:$H$10001,ALLOCATIONS!B475,RAW_004!$N$2:$N$10001,ALLOCATIONS!C475))</f>
        <v/>
      </c>
      <c r="H481" s="6">
        <f>IF(A481="","",G481-F481)</f>
        <v/>
      </c>
    </row>
    <row r="482">
      <c r="A482" s="6">
        <f>IF(ALLOCATIONS!A476="","",IFERROR(VLOOKUP(ALLOCATIONS!A476,MAPPING!$A$3:$C$302,2,FALSE),"UNMAPPED"))</f>
        <v/>
      </c>
      <c r="B482" s="6">
        <f>IF(ALLOCATIONS!A476="","",IFERROR(VLOOKUP(ALLOCATIONS!A476,MAPPING!$A$3:$C$302,3,FALSE),ALLOCATIONS!A476))</f>
        <v/>
      </c>
      <c r="C482" s="6">
        <f>IF(ALLOCATIONS!A476="","",IFERROR(VLOOKUP(ALLOCATIONS!B476,MAPPING!$E$3:$G$302,2,FALSE),"UNMAPPED"))</f>
        <v/>
      </c>
      <c r="D482" s="6">
        <f>IF(ALLOCATIONS!A476="","",IFERROR(IF(VLOOKUP(ALLOCATIONS!B476,MAPPING!$E$3:$G$302,3,FALSE)="","",VLOOKUP(ALLOCATIONS!B476,MAPPING!$E$3:$G$302,3,FALSE)),""))</f>
        <v/>
      </c>
      <c r="E482" s="6">
        <f>IF(ALLOCATIONS!A476="","",ALLOCATIONS!C476)</f>
        <v/>
      </c>
      <c r="F482" s="6">
        <f>IF(ALLOCATIONS!A476="","",IF(ALLOCATIONS!D476="",0,ALLOCATIONS!D476))</f>
        <v/>
      </c>
      <c r="G482" s="6">
        <f>IF(ALLOCATIONS!A476="","",SUMIFS(RAW_004!$I$2:$I$10001,RAW_004!$D$2:$D$10001,ALLOCATIONS!A476,RAW_004!$H$2:$H$10001,ALLOCATIONS!B476,RAW_004!$N$2:$N$10001,ALLOCATIONS!C476))</f>
        <v/>
      </c>
      <c r="H482" s="6">
        <f>IF(A482="","",G482-F482)</f>
        <v/>
      </c>
    </row>
    <row r="483">
      <c r="A483" s="6">
        <f>IF(ALLOCATIONS!A477="","",IFERROR(VLOOKUP(ALLOCATIONS!A477,MAPPING!$A$3:$C$302,2,FALSE),"UNMAPPED"))</f>
        <v/>
      </c>
      <c r="B483" s="6">
        <f>IF(ALLOCATIONS!A477="","",IFERROR(VLOOKUP(ALLOCATIONS!A477,MAPPING!$A$3:$C$302,3,FALSE),ALLOCATIONS!A477))</f>
        <v/>
      </c>
      <c r="C483" s="6">
        <f>IF(ALLOCATIONS!A477="","",IFERROR(VLOOKUP(ALLOCATIONS!B477,MAPPING!$E$3:$G$302,2,FALSE),"UNMAPPED"))</f>
        <v/>
      </c>
      <c r="D483" s="6">
        <f>IF(ALLOCATIONS!A477="","",IFERROR(IF(VLOOKUP(ALLOCATIONS!B477,MAPPING!$E$3:$G$302,3,FALSE)="","",VLOOKUP(ALLOCATIONS!B477,MAPPING!$E$3:$G$302,3,FALSE)),""))</f>
        <v/>
      </c>
      <c r="E483" s="6">
        <f>IF(ALLOCATIONS!A477="","",ALLOCATIONS!C477)</f>
        <v/>
      </c>
      <c r="F483" s="6">
        <f>IF(ALLOCATIONS!A477="","",IF(ALLOCATIONS!D477="",0,ALLOCATIONS!D477))</f>
        <v/>
      </c>
      <c r="G483" s="6">
        <f>IF(ALLOCATIONS!A477="","",SUMIFS(RAW_004!$I$2:$I$10001,RAW_004!$D$2:$D$10001,ALLOCATIONS!A477,RAW_004!$H$2:$H$10001,ALLOCATIONS!B477,RAW_004!$N$2:$N$10001,ALLOCATIONS!C477))</f>
        <v/>
      </c>
      <c r="H483" s="6">
        <f>IF(A483="","",G483-F483)</f>
        <v/>
      </c>
    </row>
    <row r="484">
      <c r="A484" s="6">
        <f>IF(ALLOCATIONS!A478="","",IFERROR(VLOOKUP(ALLOCATIONS!A478,MAPPING!$A$3:$C$302,2,FALSE),"UNMAPPED"))</f>
        <v/>
      </c>
      <c r="B484" s="6">
        <f>IF(ALLOCATIONS!A478="","",IFERROR(VLOOKUP(ALLOCATIONS!A478,MAPPING!$A$3:$C$302,3,FALSE),ALLOCATIONS!A478))</f>
        <v/>
      </c>
      <c r="C484" s="6">
        <f>IF(ALLOCATIONS!A478="","",IFERROR(VLOOKUP(ALLOCATIONS!B478,MAPPING!$E$3:$G$302,2,FALSE),"UNMAPPED"))</f>
        <v/>
      </c>
      <c r="D484" s="6">
        <f>IF(ALLOCATIONS!A478="","",IFERROR(IF(VLOOKUP(ALLOCATIONS!B478,MAPPING!$E$3:$G$302,3,FALSE)="","",VLOOKUP(ALLOCATIONS!B478,MAPPING!$E$3:$G$302,3,FALSE)),""))</f>
        <v/>
      </c>
      <c r="E484" s="6">
        <f>IF(ALLOCATIONS!A478="","",ALLOCATIONS!C478)</f>
        <v/>
      </c>
      <c r="F484" s="6">
        <f>IF(ALLOCATIONS!A478="","",IF(ALLOCATIONS!D478="",0,ALLOCATIONS!D478))</f>
        <v/>
      </c>
      <c r="G484" s="6">
        <f>IF(ALLOCATIONS!A478="","",SUMIFS(RAW_004!$I$2:$I$10001,RAW_004!$D$2:$D$10001,ALLOCATIONS!A478,RAW_004!$H$2:$H$10001,ALLOCATIONS!B478,RAW_004!$N$2:$N$10001,ALLOCATIONS!C478))</f>
        <v/>
      </c>
      <c r="H484" s="6">
        <f>IF(A484="","",G484-F484)</f>
        <v/>
      </c>
    </row>
    <row r="485">
      <c r="A485" s="6">
        <f>IF(ALLOCATIONS!A479="","",IFERROR(VLOOKUP(ALLOCATIONS!A479,MAPPING!$A$3:$C$302,2,FALSE),"UNMAPPED"))</f>
        <v/>
      </c>
      <c r="B485" s="6">
        <f>IF(ALLOCATIONS!A479="","",IFERROR(VLOOKUP(ALLOCATIONS!A479,MAPPING!$A$3:$C$302,3,FALSE),ALLOCATIONS!A479))</f>
        <v/>
      </c>
      <c r="C485" s="6">
        <f>IF(ALLOCATIONS!A479="","",IFERROR(VLOOKUP(ALLOCATIONS!B479,MAPPING!$E$3:$G$302,2,FALSE),"UNMAPPED"))</f>
        <v/>
      </c>
      <c r="D485" s="6">
        <f>IF(ALLOCATIONS!A479="","",IFERROR(IF(VLOOKUP(ALLOCATIONS!B479,MAPPING!$E$3:$G$302,3,FALSE)="","",VLOOKUP(ALLOCATIONS!B479,MAPPING!$E$3:$G$302,3,FALSE)),""))</f>
        <v/>
      </c>
      <c r="E485" s="6">
        <f>IF(ALLOCATIONS!A479="","",ALLOCATIONS!C479)</f>
        <v/>
      </c>
      <c r="F485" s="6">
        <f>IF(ALLOCATIONS!A479="","",IF(ALLOCATIONS!D479="",0,ALLOCATIONS!D479))</f>
        <v/>
      </c>
      <c r="G485" s="6">
        <f>IF(ALLOCATIONS!A479="","",SUMIFS(RAW_004!$I$2:$I$10001,RAW_004!$D$2:$D$10001,ALLOCATIONS!A479,RAW_004!$H$2:$H$10001,ALLOCATIONS!B479,RAW_004!$N$2:$N$10001,ALLOCATIONS!C479))</f>
        <v/>
      </c>
      <c r="H485" s="6">
        <f>IF(A485="","",G485-F485)</f>
        <v/>
      </c>
    </row>
    <row r="486">
      <c r="A486" s="6">
        <f>IF(ALLOCATIONS!A480="","",IFERROR(VLOOKUP(ALLOCATIONS!A480,MAPPING!$A$3:$C$302,2,FALSE),"UNMAPPED"))</f>
        <v/>
      </c>
      <c r="B486" s="6">
        <f>IF(ALLOCATIONS!A480="","",IFERROR(VLOOKUP(ALLOCATIONS!A480,MAPPING!$A$3:$C$302,3,FALSE),ALLOCATIONS!A480))</f>
        <v/>
      </c>
      <c r="C486" s="6">
        <f>IF(ALLOCATIONS!A480="","",IFERROR(VLOOKUP(ALLOCATIONS!B480,MAPPING!$E$3:$G$302,2,FALSE),"UNMAPPED"))</f>
        <v/>
      </c>
      <c r="D486" s="6">
        <f>IF(ALLOCATIONS!A480="","",IFERROR(IF(VLOOKUP(ALLOCATIONS!B480,MAPPING!$E$3:$G$302,3,FALSE)="","",VLOOKUP(ALLOCATIONS!B480,MAPPING!$E$3:$G$302,3,FALSE)),""))</f>
        <v/>
      </c>
      <c r="E486" s="6">
        <f>IF(ALLOCATIONS!A480="","",ALLOCATIONS!C480)</f>
        <v/>
      </c>
      <c r="F486" s="6">
        <f>IF(ALLOCATIONS!A480="","",IF(ALLOCATIONS!D480="",0,ALLOCATIONS!D480))</f>
        <v/>
      </c>
      <c r="G486" s="6">
        <f>IF(ALLOCATIONS!A480="","",SUMIFS(RAW_004!$I$2:$I$10001,RAW_004!$D$2:$D$10001,ALLOCATIONS!A480,RAW_004!$H$2:$H$10001,ALLOCATIONS!B480,RAW_004!$N$2:$N$10001,ALLOCATIONS!C480))</f>
        <v/>
      </c>
      <c r="H486" s="6">
        <f>IF(A486="","",G486-F486)</f>
        <v/>
      </c>
    </row>
    <row r="487">
      <c r="A487" s="6">
        <f>IF(ALLOCATIONS!A481="","",IFERROR(VLOOKUP(ALLOCATIONS!A481,MAPPING!$A$3:$C$302,2,FALSE),"UNMAPPED"))</f>
        <v/>
      </c>
      <c r="B487" s="6">
        <f>IF(ALLOCATIONS!A481="","",IFERROR(VLOOKUP(ALLOCATIONS!A481,MAPPING!$A$3:$C$302,3,FALSE),ALLOCATIONS!A481))</f>
        <v/>
      </c>
      <c r="C487" s="6">
        <f>IF(ALLOCATIONS!A481="","",IFERROR(VLOOKUP(ALLOCATIONS!B481,MAPPING!$E$3:$G$302,2,FALSE),"UNMAPPED"))</f>
        <v/>
      </c>
      <c r="D487" s="6">
        <f>IF(ALLOCATIONS!A481="","",IFERROR(IF(VLOOKUP(ALLOCATIONS!B481,MAPPING!$E$3:$G$302,3,FALSE)="","",VLOOKUP(ALLOCATIONS!B481,MAPPING!$E$3:$G$302,3,FALSE)),""))</f>
        <v/>
      </c>
      <c r="E487" s="6">
        <f>IF(ALLOCATIONS!A481="","",ALLOCATIONS!C481)</f>
        <v/>
      </c>
      <c r="F487" s="6">
        <f>IF(ALLOCATIONS!A481="","",IF(ALLOCATIONS!D481="",0,ALLOCATIONS!D481))</f>
        <v/>
      </c>
      <c r="G487" s="6">
        <f>IF(ALLOCATIONS!A481="","",SUMIFS(RAW_004!$I$2:$I$10001,RAW_004!$D$2:$D$10001,ALLOCATIONS!A481,RAW_004!$H$2:$H$10001,ALLOCATIONS!B481,RAW_004!$N$2:$N$10001,ALLOCATIONS!C481))</f>
        <v/>
      </c>
      <c r="H487" s="6">
        <f>IF(A487="","",G487-F487)</f>
        <v/>
      </c>
    </row>
    <row r="488">
      <c r="A488" s="6">
        <f>IF(ALLOCATIONS!A482="","",IFERROR(VLOOKUP(ALLOCATIONS!A482,MAPPING!$A$3:$C$302,2,FALSE),"UNMAPPED"))</f>
        <v/>
      </c>
      <c r="B488" s="6">
        <f>IF(ALLOCATIONS!A482="","",IFERROR(VLOOKUP(ALLOCATIONS!A482,MAPPING!$A$3:$C$302,3,FALSE),ALLOCATIONS!A482))</f>
        <v/>
      </c>
      <c r="C488" s="6">
        <f>IF(ALLOCATIONS!A482="","",IFERROR(VLOOKUP(ALLOCATIONS!B482,MAPPING!$E$3:$G$302,2,FALSE),"UNMAPPED"))</f>
        <v/>
      </c>
      <c r="D488" s="6">
        <f>IF(ALLOCATIONS!A482="","",IFERROR(IF(VLOOKUP(ALLOCATIONS!B482,MAPPING!$E$3:$G$302,3,FALSE)="","",VLOOKUP(ALLOCATIONS!B482,MAPPING!$E$3:$G$302,3,FALSE)),""))</f>
        <v/>
      </c>
      <c r="E488" s="6">
        <f>IF(ALLOCATIONS!A482="","",ALLOCATIONS!C482)</f>
        <v/>
      </c>
      <c r="F488" s="6">
        <f>IF(ALLOCATIONS!A482="","",IF(ALLOCATIONS!D482="",0,ALLOCATIONS!D482))</f>
        <v/>
      </c>
      <c r="G488" s="6">
        <f>IF(ALLOCATIONS!A482="","",SUMIFS(RAW_004!$I$2:$I$10001,RAW_004!$D$2:$D$10001,ALLOCATIONS!A482,RAW_004!$H$2:$H$10001,ALLOCATIONS!B482,RAW_004!$N$2:$N$10001,ALLOCATIONS!C482))</f>
        <v/>
      </c>
      <c r="H488" s="6">
        <f>IF(A488="","",G488-F488)</f>
        <v/>
      </c>
    </row>
    <row r="489">
      <c r="A489" s="6">
        <f>IF(ALLOCATIONS!A483="","",IFERROR(VLOOKUP(ALLOCATIONS!A483,MAPPING!$A$3:$C$302,2,FALSE),"UNMAPPED"))</f>
        <v/>
      </c>
      <c r="B489" s="6">
        <f>IF(ALLOCATIONS!A483="","",IFERROR(VLOOKUP(ALLOCATIONS!A483,MAPPING!$A$3:$C$302,3,FALSE),ALLOCATIONS!A483))</f>
        <v/>
      </c>
      <c r="C489" s="6">
        <f>IF(ALLOCATIONS!A483="","",IFERROR(VLOOKUP(ALLOCATIONS!B483,MAPPING!$E$3:$G$302,2,FALSE),"UNMAPPED"))</f>
        <v/>
      </c>
      <c r="D489" s="6">
        <f>IF(ALLOCATIONS!A483="","",IFERROR(IF(VLOOKUP(ALLOCATIONS!B483,MAPPING!$E$3:$G$302,3,FALSE)="","",VLOOKUP(ALLOCATIONS!B483,MAPPING!$E$3:$G$302,3,FALSE)),""))</f>
        <v/>
      </c>
      <c r="E489" s="6">
        <f>IF(ALLOCATIONS!A483="","",ALLOCATIONS!C483)</f>
        <v/>
      </c>
      <c r="F489" s="6">
        <f>IF(ALLOCATIONS!A483="","",IF(ALLOCATIONS!D483="",0,ALLOCATIONS!D483))</f>
        <v/>
      </c>
      <c r="G489" s="6">
        <f>IF(ALLOCATIONS!A483="","",SUMIFS(RAW_004!$I$2:$I$10001,RAW_004!$D$2:$D$10001,ALLOCATIONS!A483,RAW_004!$H$2:$H$10001,ALLOCATIONS!B483,RAW_004!$N$2:$N$10001,ALLOCATIONS!C483))</f>
        <v/>
      </c>
      <c r="H489" s="6">
        <f>IF(A489="","",G489-F489)</f>
        <v/>
      </c>
    </row>
    <row r="490">
      <c r="A490" s="6">
        <f>IF(ALLOCATIONS!A484="","",IFERROR(VLOOKUP(ALLOCATIONS!A484,MAPPING!$A$3:$C$302,2,FALSE),"UNMAPPED"))</f>
        <v/>
      </c>
      <c r="B490" s="6">
        <f>IF(ALLOCATIONS!A484="","",IFERROR(VLOOKUP(ALLOCATIONS!A484,MAPPING!$A$3:$C$302,3,FALSE),ALLOCATIONS!A484))</f>
        <v/>
      </c>
      <c r="C490" s="6">
        <f>IF(ALLOCATIONS!A484="","",IFERROR(VLOOKUP(ALLOCATIONS!B484,MAPPING!$E$3:$G$302,2,FALSE),"UNMAPPED"))</f>
        <v/>
      </c>
      <c r="D490" s="6">
        <f>IF(ALLOCATIONS!A484="","",IFERROR(IF(VLOOKUP(ALLOCATIONS!B484,MAPPING!$E$3:$G$302,3,FALSE)="","",VLOOKUP(ALLOCATIONS!B484,MAPPING!$E$3:$G$302,3,FALSE)),""))</f>
        <v/>
      </c>
      <c r="E490" s="6">
        <f>IF(ALLOCATIONS!A484="","",ALLOCATIONS!C484)</f>
        <v/>
      </c>
      <c r="F490" s="6">
        <f>IF(ALLOCATIONS!A484="","",IF(ALLOCATIONS!D484="",0,ALLOCATIONS!D484))</f>
        <v/>
      </c>
      <c r="G490" s="6">
        <f>IF(ALLOCATIONS!A484="","",SUMIFS(RAW_004!$I$2:$I$10001,RAW_004!$D$2:$D$10001,ALLOCATIONS!A484,RAW_004!$H$2:$H$10001,ALLOCATIONS!B484,RAW_004!$N$2:$N$10001,ALLOCATIONS!C484))</f>
        <v/>
      </c>
      <c r="H490" s="6">
        <f>IF(A490="","",G490-F490)</f>
        <v/>
      </c>
    </row>
    <row r="491">
      <c r="A491" s="6">
        <f>IF(ALLOCATIONS!A485="","",IFERROR(VLOOKUP(ALLOCATIONS!A485,MAPPING!$A$3:$C$302,2,FALSE),"UNMAPPED"))</f>
        <v/>
      </c>
      <c r="B491" s="6">
        <f>IF(ALLOCATIONS!A485="","",IFERROR(VLOOKUP(ALLOCATIONS!A485,MAPPING!$A$3:$C$302,3,FALSE),ALLOCATIONS!A485))</f>
        <v/>
      </c>
      <c r="C491" s="6">
        <f>IF(ALLOCATIONS!A485="","",IFERROR(VLOOKUP(ALLOCATIONS!B485,MAPPING!$E$3:$G$302,2,FALSE),"UNMAPPED"))</f>
        <v/>
      </c>
      <c r="D491" s="6">
        <f>IF(ALLOCATIONS!A485="","",IFERROR(IF(VLOOKUP(ALLOCATIONS!B485,MAPPING!$E$3:$G$302,3,FALSE)="","",VLOOKUP(ALLOCATIONS!B485,MAPPING!$E$3:$G$302,3,FALSE)),""))</f>
        <v/>
      </c>
      <c r="E491" s="6">
        <f>IF(ALLOCATIONS!A485="","",ALLOCATIONS!C485)</f>
        <v/>
      </c>
      <c r="F491" s="6">
        <f>IF(ALLOCATIONS!A485="","",IF(ALLOCATIONS!D485="",0,ALLOCATIONS!D485))</f>
        <v/>
      </c>
      <c r="G491" s="6">
        <f>IF(ALLOCATIONS!A485="","",SUMIFS(RAW_004!$I$2:$I$10001,RAW_004!$D$2:$D$10001,ALLOCATIONS!A485,RAW_004!$H$2:$H$10001,ALLOCATIONS!B485,RAW_004!$N$2:$N$10001,ALLOCATIONS!C485))</f>
        <v/>
      </c>
      <c r="H491" s="6">
        <f>IF(A491="","",G491-F491)</f>
        <v/>
      </c>
    </row>
    <row r="492">
      <c r="A492" s="6">
        <f>IF(ALLOCATIONS!A486="","",IFERROR(VLOOKUP(ALLOCATIONS!A486,MAPPING!$A$3:$C$302,2,FALSE),"UNMAPPED"))</f>
        <v/>
      </c>
      <c r="B492" s="6">
        <f>IF(ALLOCATIONS!A486="","",IFERROR(VLOOKUP(ALLOCATIONS!A486,MAPPING!$A$3:$C$302,3,FALSE),ALLOCATIONS!A486))</f>
        <v/>
      </c>
      <c r="C492" s="6">
        <f>IF(ALLOCATIONS!A486="","",IFERROR(VLOOKUP(ALLOCATIONS!B486,MAPPING!$E$3:$G$302,2,FALSE),"UNMAPPED"))</f>
        <v/>
      </c>
      <c r="D492" s="6">
        <f>IF(ALLOCATIONS!A486="","",IFERROR(IF(VLOOKUP(ALLOCATIONS!B486,MAPPING!$E$3:$G$302,3,FALSE)="","",VLOOKUP(ALLOCATIONS!B486,MAPPING!$E$3:$G$302,3,FALSE)),""))</f>
        <v/>
      </c>
      <c r="E492" s="6">
        <f>IF(ALLOCATIONS!A486="","",ALLOCATIONS!C486)</f>
        <v/>
      </c>
      <c r="F492" s="6">
        <f>IF(ALLOCATIONS!A486="","",IF(ALLOCATIONS!D486="",0,ALLOCATIONS!D486))</f>
        <v/>
      </c>
      <c r="G492" s="6">
        <f>IF(ALLOCATIONS!A486="","",SUMIFS(RAW_004!$I$2:$I$10001,RAW_004!$D$2:$D$10001,ALLOCATIONS!A486,RAW_004!$H$2:$H$10001,ALLOCATIONS!B486,RAW_004!$N$2:$N$10001,ALLOCATIONS!C486))</f>
        <v/>
      </c>
      <c r="H492" s="6">
        <f>IF(A492="","",G492-F492)</f>
        <v/>
      </c>
    </row>
    <row r="493">
      <c r="A493" s="6">
        <f>IF(ALLOCATIONS!A487="","",IFERROR(VLOOKUP(ALLOCATIONS!A487,MAPPING!$A$3:$C$302,2,FALSE),"UNMAPPED"))</f>
        <v/>
      </c>
      <c r="B493" s="6">
        <f>IF(ALLOCATIONS!A487="","",IFERROR(VLOOKUP(ALLOCATIONS!A487,MAPPING!$A$3:$C$302,3,FALSE),ALLOCATIONS!A487))</f>
        <v/>
      </c>
      <c r="C493" s="6">
        <f>IF(ALLOCATIONS!A487="","",IFERROR(VLOOKUP(ALLOCATIONS!B487,MAPPING!$E$3:$G$302,2,FALSE),"UNMAPPED"))</f>
        <v/>
      </c>
      <c r="D493" s="6">
        <f>IF(ALLOCATIONS!A487="","",IFERROR(IF(VLOOKUP(ALLOCATIONS!B487,MAPPING!$E$3:$G$302,3,FALSE)="","",VLOOKUP(ALLOCATIONS!B487,MAPPING!$E$3:$G$302,3,FALSE)),""))</f>
        <v/>
      </c>
      <c r="E493" s="6">
        <f>IF(ALLOCATIONS!A487="","",ALLOCATIONS!C487)</f>
        <v/>
      </c>
      <c r="F493" s="6">
        <f>IF(ALLOCATIONS!A487="","",IF(ALLOCATIONS!D487="",0,ALLOCATIONS!D487))</f>
        <v/>
      </c>
      <c r="G493" s="6">
        <f>IF(ALLOCATIONS!A487="","",SUMIFS(RAW_004!$I$2:$I$10001,RAW_004!$D$2:$D$10001,ALLOCATIONS!A487,RAW_004!$H$2:$H$10001,ALLOCATIONS!B487,RAW_004!$N$2:$N$10001,ALLOCATIONS!C487))</f>
        <v/>
      </c>
      <c r="H493" s="6">
        <f>IF(A493="","",G493-F493)</f>
        <v/>
      </c>
    </row>
    <row r="494">
      <c r="A494" s="6">
        <f>IF(ALLOCATIONS!A488="","",IFERROR(VLOOKUP(ALLOCATIONS!A488,MAPPING!$A$3:$C$302,2,FALSE),"UNMAPPED"))</f>
        <v/>
      </c>
      <c r="B494" s="6">
        <f>IF(ALLOCATIONS!A488="","",IFERROR(VLOOKUP(ALLOCATIONS!A488,MAPPING!$A$3:$C$302,3,FALSE),ALLOCATIONS!A488))</f>
        <v/>
      </c>
      <c r="C494" s="6">
        <f>IF(ALLOCATIONS!A488="","",IFERROR(VLOOKUP(ALLOCATIONS!B488,MAPPING!$E$3:$G$302,2,FALSE),"UNMAPPED"))</f>
        <v/>
      </c>
      <c r="D494" s="6">
        <f>IF(ALLOCATIONS!A488="","",IFERROR(IF(VLOOKUP(ALLOCATIONS!B488,MAPPING!$E$3:$G$302,3,FALSE)="","",VLOOKUP(ALLOCATIONS!B488,MAPPING!$E$3:$G$302,3,FALSE)),""))</f>
        <v/>
      </c>
      <c r="E494" s="6">
        <f>IF(ALLOCATIONS!A488="","",ALLOCATIONS!C488)</f>
        <v/>
      </c>
      <c r="F494" s="6">
        <f>IF(ALLOCATIONS!A488="","",IF(ALLOCATIONS!D488="",0,ALLOCATIONS!D488))</f>
        <v/>
      </c>
      <c r="G494" s="6">
        <f>IF(ALLOCATIONS!A488="","",SUMIFS(RAW_004!$I$2:$I$10001,RAW_004!$D$2:$D$10001,ALLOCATIONS!A488,RAW_004!$H$2:$H$10001,ALLOCATIONS!B488,RAW_004!$N$2:$N$10001,ALLOCATIONS!C488))</f>
        <v/>
      </c>
      <c r="H494" s="6">
        <f>IF(A494="","",G494-F494)</f>
        <v/>
      </c>
    </row>
    <row r="495">
      <c r="A495" s="6">
        <f>IF(ALLOCATIONS!A489="","",IFERROR(VLOOKUP(ALLOCATIONS!A489,MAPPING!$A$3:$C$302,2,FALSE),"UNMAPPED"))</f>
        <v/>
      </c>
      <c r="B495" s="6">
        <f>IF(ALLOCATIONS!A489="","",IFERROR(VLOOKUP(ALLOCATIONS!A489,MAPPING!$A$3:$C$302,3,FALSE),ALLOCATIONS!A489))</f>
        <v/>
      </c>
      <c r="C495" s="6">
        <f>IF(ALLOCATIONS!A489="","",IFERROR(VLOOKUP(ALLOCATIONS!B489,MAPPING!$E$3:$G$302,2,FALSE),"UNMAPPED"))</f>
        <v/>
      </c>
      <c r="D495" s="6">
        <f>IF(ALLOCATIONS!A489="","",IFERROR(IF(VLOOKUP(ALLOCATIONS!B489,MAPPING!$E$3:$G$302,3,FALSE)="","",VLOOKUP(ALLOCATIONS!B489,MAPPING!$E$3:$G$302,3,FALSE)),""))</f>
        <v/>
      </c>
      <c r="E495" s="6">
        <f>IF(ALLOCATIONS!A489="","",ALLOCATIONS!C489)</f>
        <v/>
      </c>
      <c r="F495" s="6">
        <f>IF(ALLOCATIONS!A489="","",IF(ALLOCATIONS!D489="",0,ALLOCATIONS!D489))</f>
        <v/>
      </c>
      <c r="G495" s="6">
        <f>IF(ALLOCATIONS!A489="","",SUMIFS(RAW_004!$I$2:$I$10001,RAW_004!$D$2:$D$10001,ALLOCATIONS!A489,RAW_004!$H$2:$H$10001,ALLOCATIONS!B489,RAW_004!$N$2:$N$10001,ALLOCATIONS!C489))</f>
        <v/>
      </c>
      <c r="H495" s="6">
        <f>IF(A495="","",G495-F495)</f>
        <v/>
      </c>
    </row>
    <row r="496">
      <c r="A496" s="6">
        <f>IF(ALLOCATIONS!A490="","",IFERROR(VLOOKUP(ALLOCATIONS!A490,MAPPING!$A$3:$C$302,2,FALSE),"UNMAPPED"))</f>
        <v/>
      </c>
      <c r="B496" s="6">
        <f>IF(ALLOCATIONS!A490="","",IFERROR(VLOOKUP(ALLOCATIONS!A490,MAPPING!$A$3:$C$302,3,FALSE),ALLOCATIONS!A490))</f>
        <v/>
      </c>
      <c r="C496" s="6">
        <f>IF(ALLOCATIONS!A490="","",IFERROR(VLOOKUP(ALLOCATIONS!B490,MAPPING!$E$3:$G$302,2,FALSE),"UNMAPPED"))</f>
        <v/>
      </c>
      <c r="D496" s="6">
        <f>IF(ALLOCATIONS!A490="","",IFERROR(IF(VLOOKUP(ALLOCATIONS!B490,MAPPING!$E$3:$G$302,3,FALSE)="","",VLOOKUP(ALLOCATIONS!B490,MAPPING!$E$3:$G$302,3,FALSE)),""))</f>
        <v/>
      </c>
      <c r="E496" s="6">
        <f>IF(ALLOCATIONS!A490="","",ALLOCATIONS!C490)</f>
        <v/>
      </c>
      <c r="F496" s="6">
        <f>IF(ALLOCATIONS!A490="","",IF(ALLOCATIONS!D490="",0,ALLOCATIONS!D490))</f>
        <v/>
      </c>
      <c r="G496" s="6">
        <f>IF(ALLOCATIONS!A490="","",SUMIFS(RAW_004!$I$2:$I$10001,RAW_004!$D$2:$D$10001,ALLOCATIONS!A490,RAW_004!$H$2:$H$10001,ALLOCATIONS!B490,RAW_004!$N$2:$N$10001,ALLOCATIONS!C490))</f>
        <v/>
      </c>
      <c r="H496" s="6">
        <f>IF(A496="","",G496-F496)</f>
        <v/>
      </c>
    </row>
    <row r="497">
      <c r="A497" s="6">
        <f>IF(ALLOCATIONS!A491="","",IFERROR(VLOOKUP(ALLOCATIONS!A491,MAPPING!$A$3:$C$302,2,FALSE),"UNMAPPED"))</f>
        <v/>
      </c>
      <c r="B497" s="6">
        <f>IF(ALLOCATIONS!A491="","",IFERROR(VLOOKUP(ALLOCATIONS!A491,MAPPING!$A$3:$C$302,3,FALSE),ALLOCATIONS!A491))</f>
        <v/>
      </c>
      <c r="C497" s="6">
        <f>IF(ALLOCATIONS!A491="","",IFERROR(VLOOKUP(ALLOCATIONS!B491,MAPPING!$E$3:$G$302,2,FALSE),"UNMAPPED"))</f>
        <v/>
      </c>
      <c r="D497" s="6">
        <f>IF(ALLOCATIONS!A491="","",IFERROR(IF(VLOOKUP(ALLOCATIONS!B491,MAPPING!$E$3:$G$302,3,FALSE)="","",VLOOKUP(ALLOCATIONS!B491,MAPPING!$E$3:$G$302,3,FALSE)),""))</f>
        <v/>
      </c>
      <c r="E497" s="6">
        <f>IF(ALLOCATIONS!A491="","",ALLOCATIONS!C491)</f>
        <v/>
      </c>
      <c r="F497" s="6">
        <f>IF(ALLOCATIONS!A491="","",IF(ALLOCATIONS!D491="",0,ALLOCATIONS!D491))</f>
        <v/>
      </c>
      <c r="G497" s="6">
        <f>IF(ALLOCATIONS!A491="","",SUMIFS(RAW_004!$I$2:$I$10001,RAW_004!$D$2:$D$10001,ALLOCATIONS!A491,RAW_004!$H$2:$H$10001,ALLOCATIONS!B491,RAW_004!$N$2:$N$10001,ALLOCATIONS!C491))</f>
        <v/>
      </c>
      <c r="H497" s="6">
        <f>IF(A497="","",G497-F497)</f>
        <v/>
      </c>
    </row>
    <row r="498">
      <c r="A498" s="6">
        <f>IF(ALLOCATIONS!A492="","",IFERROR(VLOOKUP(ALLOCATIONS!A492,MAPPING!$A$3:$C$302,2,FALSE),"UNMAPPED"))</f>
        <v/>
      </c>
      <c r="B498" s="6">
        <f>IF(ALLOCATIONS!A492="","",IFERROR(VLOOKUP(ALLOCATIONS!A492,MAPPING!$A$3:$C$302,3,FALSE),ALLOCATIONS!A492))</f>
        <v/>
      </c>
      <c r="C498" s="6">
        <f>IF(ALLOCATIONS!A492="","",IFERROR(VLOOKUP(ALLOCATIONS!B492,MAPPING!$E$3:$G$302,2,FALSE),"UNMAPPED"))</f>
        <v/>
      </c>
      <c r="D498" s="6">
        <f>IF(ALLOCATIONS!A492="","",IFERROR(IF(VLOOKUP(ALLOCATIONS!B492,MAPPING!$E$3:$G$302,3,FALSE)="","",VLOOKUP(ALLOCATIONS!B492,MAPPING!$E$3:$G$302,3,FALSE)),""))</f>
        <v/>
      </c>
      <c r="E498" s="6">
        <f>IF(ALLOCATIONS!A492="","",ALLOCATIONS!C492)</f>
        <v/>
      </c>
      <c r="F498" s="6">
        <f>IF(ALLOCATIONS!A492="","",IF(ALLOCATIONS!D492="",0,ALLOCATIONS!D492))</f>
        <v/>
      </c>
      <c r="G498" s="6">
        <f>IF(ALLOCATIONS!A492="","",SUMIFS(RAW_004!$I$2:$I$10001,RAW_004!$D$2:$D$10001,ALLOCATIONS!A492,RAW_004!$H$2:$H$10001,ALLOCATIONS!B492,RAW_004!$N$2:$N$10001,ALLOCATIONS!C492))</f>
        <v/>
      </c>
      <c r="H498" s="6">
        <f>IF(A498="","",G498-F498)</f>
        <v/>
      </c>
    </row>
    <row r="499">
      <c r="A499" s="6">
        <f>IF(ALLOCATIONS!A493="","",IFERROR(VLOOKUP(ALLOCATIONS!A493,MAPPING!$A$3:$C$302,2,FALSE),"UNMAPPED"))</f>
        <v/>
      </c>
      <c r="B499" s="6">
        <f>IF(ALLOCATIONS!A493="","",IFERROR(VLOOKUP(ALLOCATIONS!A493,MAPPING!$A$3:$C$302,3,FALSE),ALLOCATIONS!A493))</f>
        <v/>
      </c>
      <c r="C499" s="6">
        <f>IF(ALLOCATIONS!A493="","",IFERROR(VLOOKUP(ALLOCATIONS!B493,MAPPING!$E$3:$G$302,2,FALSE),"UNMAPPED"))</f>
        <v/>
      </c>
      <c r="D499" s="6">
        <f>IF(ALLOCATIONS!A493="","",IFERROR(IF(VLOOKUP(ALLOCATIONS!B493,MAPPING!$E$3:$G$302,3,FALSE)="","",VLOOKUP(ALLOCATIONS!B493,MAPPING!$E$3:$G$302,3,FALSE)),""))</f>
        <v/>
      </c>
      <c r="E499" s="6">
        <f>IF(ALLOCATIONS!A493="","",ALLOCATIONS!C493)</f>
        <v/>
      </c>
      <c r="F499" s="6">
        <f>IF(ALLOCATIONS!A493="","",IF(ALLOCATIONS!D493="",0,ALLOCATIONS!D493))</f>
        <v/>
      </c>
      <c r="G499" s="6">
        <f>IF(ALLOCATIONS!A493="","",SUMIFS(RAW_004!$I$2:$I$10001,RAW_004!$D$2:$D$10001,ALLOCATIONS!A493,RAW_004!$H$2:$H$10001,ALLOCATIONS!B493,RAW_004!$N$2:$N$10001,ALLOCATIONS!C493))</f>
        <v/>
      </c>
      <c r="H499" s="6">
        <f>IF(A499="","",G499-F499)</f>
        <v/>
      </c>
    </row>
    <row r="500">
      <c r="A500" s="6">
        <f>IF(ALLOCATIONS!A494="","",IFERROR(VLOOKUP(ALLOCATIONS!A494,MAPPING!$A$3:$C$302,2,FALSE),"UNMAPPED"))</f>
        <v/>
      </c>
      <c r="B500" s="6">
        <f>IF(ALLOCATIONS!A494="","",IFERROR(VLOOKUP(ALLOCATIONS!A494,MAPPING!$A$3:$C$302,3,FALSE),ALLOCATIONS!A494))</f>
        <v/>
      </c>
      <c r="C500" s="6">
        <f>IF(ALLOCATIONS!A494="","",IFERROR(VLOOKUP(ALLOCATIONS!B494,MAPPING!$E$3:$G$302,2,FALSE),"UNMAPPED"))</f>
        <v/>
      </c>
      <c r="D500" s="6">
        <f>IF(ALLOCATIONS!A494="","",IFERROR(IF(VLOOKUP(ALLOCATIONS!B494,MAPPING!$E$3:$G$302,3,FALSE)="","",VLOOKUP(ALLOCATIONS!B494,MAPPING!$E$3:$G$302,3,FALSE)),""))</f>
        <v/>
      </c>
      <c r="E500" s="6">
        <f>IF(ALLOCATIONS!A494="","",ALLOCATIONS!C494)</f>
        <v/>
      </c>
      <c r="F500" s="6">
        <f>IF(ALLOCATIONS!A494="","",IF(ALLOCATIONS!D494="",0,ALLOCATIONS!D494))</f>
        <v/>
      </c>
      <c r="G500" s="6">
        <f>IF(ALLOCATIONS!A494="","",SUMIFS(RAW_004!$I$2:$I$10001,RAW_004!$D$2:$D$10001,ALLOCATIONS!A494,RAW_004!$H$2:$H$10001,ALLOCATIONS!B494,RAW_004!$N$2:$N$10001,ALLOCATIONS!C494))</f>
        <v/>
      </c>
      <c r="H500" s="6">
        <f>IF(A500="","",G500-F500)</f>
        <v/>
      </c>
    </row>
    <row r="501">
      <c r="A501" s="6">
        <f>IF(ALLOCATIONS!A495="","",IFERROR(VLOOKUP(ALLOCATIONS!A495,MAPPING!$A$3:$C$302,2,FALSE),"UNMAPPED"))</f>
        <v/>
      </c>
      <c r="B501" s="6">
        <f>IF(ALLOCATIONS!A495="","",IFERROR(VLOOKUP(ALLOCATIONS!A495,MAPPING!$A$3:$C$302,3,FALSE),ALLOCATIONS!A495))</f>
        <v/>
      </c>
      <c r="C501" s="6">
        <f>IF(ALLOCATIONS!A495="","",IFERROR(VLOOKUP(ALLOCATIONS!B495,MAPPING!$E$3:$G$302,2,FALSE),"UNMAPPED"))</f>
        <v/>
      </c>
      <c r="D501" s="6">
        <f>IF(ALLOCATIONS!A495="","",IFERROR(IF(VLOOKUP(ALLOCATIONS!B495,MAPPING!$E$3:$G$302,3,FALSE)="","",VLOOKUP(ALLOCATIONS!B495,MAPPING!$E$3:$G$302,3,FALSE)),""))</f>
        <v/>
      </c>
      <c r="E501" s="6">
        <f>IF(ALLOCATIONS!A495="","",ALLOCATIONS!C495)</f>
        <v/>
      </c>
      <c r="F501" s="6">
        <f>IF(ALLOCATIONS!A495="","",IF(ALLOCATIONS!D495="",0,ALLOCATIONS!D495))</f>
        <v/>
      </c>
      <c r="G501" s="6">
        <f>IF(ALLOCATIONS!A495="","",SUMIFS(RAW_004!$I$2:$I$10001,RAW_004!$D$2:$D$10001,ALLOCATIONS!A495,RAW_004!$H$2:$H$10001,ALLOCATIONS!B495,RAW_004!$N$2:$N$10001,ALLOCATIONS!C495))</f>
        <v/>
      </c>
      <c r="H501" s="6">
        <f>IF(A501="","",G501-F501)</f>
        <v/>
      </c>
    </row>
    <row r="502">
      <c r="A502" s="6">
        <f>IF(ALLOCATIONS!A496="","",IFERROR(VLOOKUP(ALLOCATIONS!A496,MAPPING!$A$3:$C$302,2,FALSE),"UNMAPPED"))</f>
        <v/>
      </c>
      <c r="B502" s="6">
        <f>IF(ALLOCATIONS!A496="","",IFERROR(VLOOKUP(ALLOCATIONS!A496,MAPPING!$A$3:$C$302,3,FALSE),ALLOCATIONS!A496))</f>
        <v/>
      </c>
      <c r="C502" s="6">
        <f>IF(ALLOCATIONS!A496="","",IFERROR(VLOOKUP(ALLOCATIONS!B496,MAPPING!$E$3:$G$302,2,FALSE),"UNMAPPED"))</f>
        <v/>
      </c>
      <c r="D502" s="6">
        <f>IF(ALLOCATIONS!A496="","",IFERROR(IF(VLOOKUP(ALLOCATIONS!B496,MAPPING!$E$3:$G$302,3,FALSE)="","",VLOOKUP(ALLOCATIONS!B496,MAPPING!$E$3:$G$302,3,FALSE)),""))</f>
        <v/>
      </c>
      <c r="E502" s="6">
        <f>IF(ALLOCATIONS!A496="","",ALLOCATIONS!C496)</f>
        <v/>
      </c>
      <c r="F502" s="6">
        <f>IF(ALLOCATIONS!A496="","",IF(ALLOCATIONS!D496="",0,ALLOCATIONS!D496))</f>
        <v/>
      </c>
      <c r="G502" s="6">
        <f>IF(ALLOCATIONS!A496="","",SUMIFS(RAW_004!$I$2:$I$10001,RAW_004!$D$2:$D$10001,ALLOCATIONS!A496,RAW_004!$H$2:$H$10001,ALLOCATIONS!B496,RAW_004!$N$2:$N$10001,ALLOCATIONS!C496))</f>
        <v/>
      </c>
      <c r="H502" s="6">
        <f>IF(A502="","",G502-F502)</f>
        <v/>
      </c>
    </row>
    <row r="503">
      <c r="A503" s="6">
        <f>IF(ALLOCATIONS!A497="","",IFERROR(VLOOKUP(ALLOCATIONS!A497,MAPPING!$A$3:$C$302,2,FALSE),"UNMAPPED"))</f>
        <v/>
      </c>
      <c r="B503" s="6">
        <f>IF(ALLOCATIONS!A497="","",IFERROR(VLOOKUP(ALLOCATIONS!A497,MAPPING!$A$3:$C$302,3,FALSE),ALLOCATIONS!A497))</f>
        <v/>
      </c>
      <c r="C503" s="6">
        <f>IF(ALLOCATIONS!A497="","",IFERROR(VLOOKUP(ALLOCATIONS!B497,MAPPING!$E$3:$G$302,2,FALSE),"UNMAPPED"))</f>
        <v/>
      </c>
      <c r="D503" s="6">
        <f>IF(ALLOCATIONS!A497="","",IFERROR(IF(VLOOKUP(ALLOCATIONS!B497,MAPPING!$E$3:$G$302,3,FALSE)="","",VLOOKUP(ALLOCATIONS!B497,MAPPING!$E$3:$G$302,3,FALSE)),""))</f>
        <v/>
      </c>
      <c r="E503" s="6">
        <f>IF(ALLOCATIONS!A497="","",ALLOCATIONS!C497)</f>
        <v/>
      </c>
      <c r="F503" s="6">
        <f>IF(ALLOCATIONS!A497="","",IF(ALLOCATIONS!D497="",0,ALLOCATIONS!D497))</f>
        <v/>
      </c>
      <c r="G503" s="6">
        <f>IF(ALLOCATIONS!A497="","",SUMIFS(RAW_004!$I$2:$I$10001,RAW_004!$D$2:$D$10001,ALLOCATIONS!A497,RAW_004!$H$2:$H$10001,ALLOCATIONS!B497,RAW_004!$N$2:$N$10001,ALLOCATIONS!C497))</f>
        <v/>
      </c>
      <c r="H503" s="6">
        <f>IF(A503="","",G503-F503)</f>
        <v/>
      </c>
    </row>
    <row r="504">
      <c r="A504" s="6">
        <f>IF(ALLOCATIONS!A498="","",IFERROR(VLOOKUP(ALLOCATIONS!A498,MAPPING!$A$3:$C$302,2,FALSE),"UNMAPPED"))</f>
        <v/>
      </c>
      <c r="B504" s="6">
        <f>IF(ALLOCATIONS!A498="","",IFERROR(VLOOKUP(ALLOCATIONS!A498,MAPPING!$A$3:$C$302,3,FALSE),ALLOCATIONS!A498))</f>
        <v/>
      </c>
      <c r="C504" s="6">
        <f>IF(ALLOCATIONS!A498="","",IFERROR(VLOOKUP(ALLOCATIONS!B498,MAPPING!$E$3:$G$302,2,FALSE),"UNMAPPED"))</f>
        <v/>
      </c>
      <c r="D504" s="6">
        <f>IF(ALLOCATIONS!A498="","",IFERROR(IF(VLOOKUP(ALLOCATIONS!B498,MAPPING!$E$3:$G$302,3,FALSE)="","",VLOOKUP(ALLOCATIONS!B498,MAPPING!$E$3:$G$302,3,FALSE)),""))</f>
        <v/>
      </c>
      <c r="E504" s="6">
        <f>IF(ALLOCATIONS!A498="","",ALLOCATIONS!C498)</f>
        <v/>
      </c>
      <c r="F504" s="6">
        <f>IF(ALLOCATIONS!A498="","",IF(ALLOCATIONS!D498="",0,ALLOCATIONS!D498))</f>
        <v/>
      </c>
      <c r="G504" s="6">
        <f>IF(ALLOCATIONS!A498="","",SUMIFS(RAW_004!$I$2:$I$10001,RAW_004!$D$2:$D$10001,ALLOCATIONS!A498,RAW_004!$H$2:$H$10001,ALLOCATIONS!B498,RAW_004!$N$2:$N$10001,ALLOCATIONS!C498))</f>
        <v/>
      </c>
      <c r="H504" s="6">
        <f>IF(A504="","",G504-F504)</f>
        <v/>
      </c>
    </row>
    <row r="505">
      <c r="A505" s="6">
        <f>IF(ALLOCATIONS!A499="","",IFERROR(VLOOKUP(ALLOCATIONS!A499,MAPPING!$A$3:$C$302,2,FALSE),"UNMAPPED"))</f>
        <v/>
      </c>
      <c r="B505" s="6">
        <f>IF(ALLOCATIONS!A499="","",IFERROR(VLOOKUP(ALLOCATIONS!A499,MAPPING!$A$3:$C$302,3,FALSE),ALLOCATIONS!A499))</f>
        <v/>
      </c>
      <c r="C505" s="6">
        <f>IF(ALLOCATIONS!A499="","",IFERROR(VLOOKUP(ALLOCATIONS!B499,MAPPING!$E$3:$G$302,2,FALSE),"UNMAPPED"))</f>
        <v/>
      </c>
      <c r="D505" s="6">
        <f>IF(ALLOCATIONS!A499="","",IFERROR(IF(VLOOKUP(ALLOCATIONS!B499,MAPPING!$E$3:$G$302,3,FALSE)="","",VLOOKUP(ALLOCATIONS!B499,MAPPING!$E$3:$G$302,3,FALSE)),""))</f>
        <v/>
      </c>
      <c r="E505" s="6">
        <f>IF(ALLOCATIONS!A499="","",ALLOCATIONS!C499)</f>
        <v/>
      </c>
      <c r="F505" s="6">
        <f>IF(ALLOCATIONS!A499="","",IF(ALLOCATIONS!D499="",0,ALLOCATIONS!D499))</f>
        <v/>
      </c>
      <c r="G505" s="6">
        <f>IF(ALLOCATIONS!A499="","",SUMIFS(RAW_004!$I$2:$I$10001,RAW_004!$D$2:$D$10001,ALLOCATIONS!A499,RAW_004!$H$2:$H$10001,ALLOCATIONS!B499,RAW_004!$N$2:$N$10001,ALLOCATIONS!C499))</f>
        <v/>
      </c>
      <c r="H505" s="6">
        <f>IF(A505="","",G505-F505)</f>
        <v/>
      </c>
    </row>
    <row r="506">
      <c r="A506" s="6">
        <f>IF(ALLOCATIONS!A500="","",IFERROR(VLOOKUP(ALLOCATIONS!A500,MAPPING!$A$3:$C$302,2,FALSE),"UNMAPPED"))</f>
        <v/>
      </c>
      <c r="B506" s="6">
        <f>IF(ALLOCATIONS!A500="","",IFERROR(VLOOKUP(ALLOCATIONS!A500,MAPPING!$A$3:$C$302,3,FALSE),ALLOCATIONS!A500))</f>
        <v/>
      </c>
      <c r="C506" s="6">
        <f>IF(ALLOCATIONS!A500="","",IFERROR(VLOOKUP(ALLOCATIONS!B500,MAPPING!$E$3:$G$302,2,FALSE),"UNMAPPED"))</f>
        <v/>
      </c>
      <c r="D506" s="6">
        <f>IF(ALLOCATIONS!A500="","",IFERROR(IF(VLOOKUP(ALLOCATIONS!B500,MAPPING!$E$3:$G$302,3,FALSE)="","",VLOOKUP(ALLOCATIONS!B500,MAPPING!$E$3:$G$302,3,FALSE)),""))</f>
        <v/>
      </c>
      <c r="E506" s="6">
        <f>IF(ALLOCATIONS!A500="","",ALLOCATIONS!C500)</f>
        <v/>
      </c>
      <c r="F506" s="6">
        <f>IF(ALLOCATIONS!A500="","",IF(ALLOCATIONS!D500="",0,ALLOCATIONS!D500))</f>
        <v/>
      </c>
      <c r="G506" s="6">
        <f>IF(ALLOCATIONS!A500="","",SUMIFS(RAW_004!$I$2:$I$10001,RAW_004!$D$2:$D$10001,ALLOCATIONS!A500,RAW_004!$H$2:$H$10001,ALLOCATIONS!B500,RAW_004!$N$2:$N$10001,ALLOCATIONS!C500))</f>
        <v/>
      </c>
      <c r="H506" s="6">
        <f>IF(A506="","",G506-F506)</f>
        <v/>
      </c>
    </row>
    <row r="507">
      <c r="A507" s="6">
        <f>IF(ALLOCATIONS!A501="","",IFERROR(VLOOKUP(ALLOCATIONS!A501,MAPPING!$A$3:$C$302,2,FALSE),"UNMAPPED"))</f>
        <v/>
      </c>
      <c r="B507" s="6">
        <f>IF(ALLOCATIONS!A501="","",IFERROR(VLOOKUP(ALLOCATIONS!A501,MAPPING!$A$3:$C$302,3,FALSE),ALLOCATIONS!A501))</f>
        <v/>
      </c>
      <c r="C507" s="6">
        <f>IF(ALLOCATIONS!A501="","",IFERROR(VLOOKUP(ALLOCATIONS!B501,MAPPING!$E$3:$G$302,2,FALSE),"UNMAPPED"))</f>
        <v/>
      </c>
      <c r="D507" s="6">
        <f>IF(ALLOCATIONS!A501="","",IFERROR(IF(VLOOKUP(ALLOCATIONS!B501,MAPPING!$E$3:$G$302,3,FALSE)="","",VLOOKUP(ALLOCATIONS!B501,MAPPING!$E$3:$G$302,3,FALSE)),""))</f>
        <v/>
      </c>
      <c r="E507" s="6">
        <f>IF(ALLOCATIONS!A501="","",ALLOCATIONS!C501)</f>
        <v/>
      </c>
      <c r="F507" s="6">
        <f>IF(ALLOCATIONS!A501="","",IF(ALLOCATIONS!D501="",0,ALLOCATIONS!D501))</f>
        <v/>
      </c>
      <c r="G507" s="6">
        <f>IF(ALLOCATIONS!A501="","",SUMIFS(RAW_004!$I$2:$I$10001,RAW_004!$D$2:$D$10001,ALLOCATIONS!A501,RAW_004!$H$2:$H$10001,ALLOCATIONS!B501,RAW_004!$N$2:$N$10001,ALLOCATIONS!C501))</f>
        <v/>
      </c>
      <c r="H507" s="6">
        <f>IF(A507="","",G507-F507)</f>
        <v/>
      </c>
    </row>
    <row r="508">
      <c r="A508" s="6">
        <f>IF(ALLOCATIONS!A502="","",IFERROR(VLOOKUP(ALLOCATIONS!A502,MAPPING!$A$3:$C$302,2,FALSE),"UNMAPPED"))</f>
        <v/>
      </c>
      <c r="B508" s="6">
        <f>IF(ALLOCATIONS!A502="","",IFERROR(VLOOKUP(ALLOCATIONS!A502,MAPPING!$A$3:$C$302,3,FALSE),ALLOCATIONS!A502))</f>
        <v/>
      </c>
      <c r="C508" s="6">
        <f>IF(ALLOCATIONS!A502="","",IFERROR(VLOOKUP(ALLOCATIONS!B502,MAPPING!$E$3:$G$302,2,FALSE),"UNMAPPED"))</f>
        <v/>
      </c>
      <c r="D508" s="6">
        <f>IF(ALLOCATIONS!A502="","",IFERROR(IF(VLOOKUP(ALLOCATIONS!B502,MAPPING!$E$3:$G$302,3,FALSE)="","",VLOOKUP(ALLOCATIONS!B502,MAPPING!$E$3:$G$302,3,FALSE)),""))</f>
        <v/>
      </c>
      <c r="E508" s="6">
        <f>IF(ALLOCATIONS!A502="","",ALLOCATIONS!C502)</f>
        <v/>
      </c>
      <c r="F508" s="6">
        <f>IF(ALLOCATIONS!A502="","",IF(ALLOCATIONS!D502="",0,ALLOCATIONS!D502))</f>
        <v/>
      </c>
      <c r="G508" s="6">
        <f>IF(ALLOCATIONS!A502="","",SUMIFS(RAW_004!$I$2:$I$10001,RAW_004!$D$2:$D$10001,ALLOCATIONS!A502,RAW_004!$H$2:$H$10001,ALLOCATIONS!B502,RAW_004!$N$2:$N$10001,ALLOCATIONS!C502))</f>
        <v/>
      </c>
      <c r="H508" s="6">
        <f>IF(A508="","",G508-F508)</f>
        <v/>
      </c>
    </row>
    <row r="509">
      <c r="A509" s="6">
        <f>IF(ALLOCATIONS!A503="","",IFERROR(VLOOKUP(ALLOCATIONS!A503,MAPPING!$A$3:$C$302,2,FALSE),"UNMAPPED"))</f>
        <v/>
      </c>
      <c r="B509" s="6">
        <f>IF(ALLOCATIONS!A503="","",IFERROR(VLOOKUP(ALLOCATIONS!A503,MAPPING!$A$3:$C$302,3,FALSE),ALLOCATIONS!A503))</f>
        <v/>
      </c>
      <c r="C509" s="6">
        <f>IF(ALLOCATIONS!A503="","",IFERROR(VLOOKUP(ALLOCATIONS!B503,MAPPING!$E$3:$G$302,2,FALSE),"UNMAPPED"))</f>
        <v/>
      </c>
      <c r="D509" s="6">
        <f>IF(ALLOCATIONS!A503="","",IFERROR(IF(VLOOKUP(ALLOCATIONS!B503,MAPPING!$E$3:$G$302,3,FALSE)="","",VLOOKUP(ALLOCATIONS!B503,MAPPING!$E$3:$G$302,3,FALSE)),""))</f>
        <v/>
      </c>
      <c r="E509" s="6">
        <f>IF(ALLOCATIONS!A503="","",ALLOCATIONS!C503)</f>
        <v/>
      </c>
      <c r="F509" s="6">
        <f>IF(ALLOCATIONS!A503="","",IF(ALLOCATIONS!D503="",0,ALLOCATIONS!D503))</f>
        <v/>
      </c>
      <c r="G509" s="6">
        <f>IF(ALLOCATIONS!A503="","",SUMIFS(RAW_004!$I$2:$I$10001,RAW_004!$D$2:$D$10001,ALLOCATIONS!A503,RAW_004!$H$2:$H$10001,ALLOCATIONS!B503,RAW_004!$N$2:$N$10001,ALLOCATIONS!C503))</f>
        <v/>
      </c>
      <c r="H509" s="6">
        <f>IF(A509="","",G509-F509)</f>
        <v/>
      </c>
    </row>
    <row r="510">
      <c r="A510" s="6">
        <f>IF(ALLOCATIONS!A504="","",IFERROR(VLOOKUP(ALLOCATIONS!A504,MAPPING!$A$3:$C$302,2,FALSE),"UNMAPPED"))</f>
        <v/>
      </c>
      <c r="B510" s="6">
        <f>IF(ALLOCATIONS!A504="","",IFERROR(VLOOKUP(ALLOCATIONS!A504,MAPPING!$A$3:$C$302,3,FALSE),ALLOCATIONS!A504))</f>
        <v/>
      </c>
      <c r="C510" s="6">
        <f>IF(ALLOCATIONS!A504="","",IFERROR(VLOOKUP(ALLOCATIONS!B504,MAPPING!$E$3:$G$302,2,FALSE),"UNMAPPED"))</f>
        <v/>
      </c>
      <c r="D510" s="6">
        <f>IF(ALLOCATIONS!A504="","",IFERROR(IF(VLOOKUP(ALLOCATIONS!B504,MAPPING!$E$3:$G$302,3,FALSE)="","",VLOOKUP(ALLOCATIONS!B504,MAPPING!$E$3:$G$302,3,FALSE)),""))</f>
        <v/>
      </c>
      <c r="E510" s="6">
        <f>IF(ALLOCATIONS!A504="","",ALLOCATIONS!C504)</f>
        <v/>
      </c>
      <c r="F510" s="6">
        <f>IF(ALLOCATIONS!A504="","",IF(ALLOCATIONS!D504="",0,ALLOCATIONS!D504))</f>
        <v/>
      </c>
      <c r="G510" s="6">
        <f>IF(ALLOCATIONS!A504="","",SUMIFS(RAW_004!$I$2:$I$10001,RAW_004!$D$2:$D$10001,ALLOCATIONS!A504,RAW_004!$H$2:$H$10001,ALLOCATIONS!B504,RAW_004!$N$2:$N$10001,ALLOCATIONS!C504))</f>
        <v/>
      </c>
      <c r="H510" s="6">
        <f>IF(A510="","",G510-F510)</f>
        <v/>
      </c>
    </row>
    <row r="511">
      <c r="A511" s="6">
        <f>IF(ALLOCATIONS!A505="","",IFERROR(VLOOKUP(ALLOCATIONS!A505,MAPPING!$A$3:$C$302,2,FALSE),"UNMAPPED"))</f>
        <v/>
      </c>
      <c r="B511" s="6">
        <f>IF(ALLOCATIONS!A505="","",IFERROR(VLOOKUP(ALLOCATIONS!A505,MAPPING!$A$3:$C$302,3,FALSE),ALLOCATIONS!A505))</f>
        <v/>
      </c>
      <c r="C511" s="6">
        <f>IF(ALLOCATIONS!A505="","",IFERROR(VLOOKUP(ALLOCATIONS!B505,MAPPING!$E$3:$G$302,2,FALSE),"UNMAPPED"))</f>
        <v/>
      </c>
      <c r="D511" s="6">
        <f>IF(ALLOCATIONS!A505="","",IFERROR(IF(VLOOKUP(ALLOCATIONS!B505,MAPPING!$E$3:$G$302,3,FALSE)="","",VLOOKUP(ALLOCATIONS!B505,MAPPING!$E$3:$G$302,3,FALSE)),""))</f>
        <v/>
      </c>
      <c r="E511" s="6">
        <f>IF(ALLOCATIONS!A505="","",ALLOCATIONS!C505)</f>
        <v/>
      </c>
      <c r="F511" s="6">
        <f>IF(ALLOCATIONS!A505="","",IF(ALLOCATIONS!D505="",0,ALLOCATIONS!D505))</f>
        <v/>
      </c>
      <c r="G511" s="6">
        <f>IF(ALLOCATIONS!A505="","",SUMIFS(RAW_004!$I$2:$I$10001,RAW_004!$D$2:$D$10001,ALLOCATIONS!A505,RAW_004!$H$2:$H$10001,ALLOCATIONS!B505,RAW_004!$N$2:$N$10001,ALLOCATIONS!C505))</f>
        <v/>
      </c>
      <c r="H511" s="6">
        <f>IF(A511="","",G511-F511)</f>
        <v/>
      </c>
    </row>
    <row r="512">
      <c r="A512" s="6">
        <f>IF(ALLOCATIONS!A506="","",IFERROR(VLOOKUP(ALLOCATIONS!A506,MAPPING!$A$3:$C$302,2,FALSE),"UNMAPPED"))</f>
        <v/>
      </c>
      <c r="B512" s="6">
        <f>IF(ALLOCATIONS!A506="","",IFERROR(VLOOKUP(ALLOCATIONS!A506,MAPPING!$A$3:$C$302,3,FALSE),ALLOCATIONS!A506))</f>
        <v/>
      </c>
      <c r="C512" s="6">
        <f>IF(ALLOCATIONS!A506="","",IFERROR(VLOOKUP(ALLOCATIONS!B506,MAPPING!$E$3:$G$302,2,FALSE),"UNMAPPED"))</f>
        <v/>
      </c>
      <c r="D512" s="6">
        <f>IF(ALLOCATIONS!A506="","",IFERROR(IF(VLOOKUP(ALLOCATIONS!B506,MAPPING!$E$3:$G$302,3,FALSE)="","",VLOOKUP(ALLOCATIONS!B506,MAPPING!$E$3:$G$302,3,FALSE)),""))</f>
        <v/>
      </c>
      <c r="E512" s="6">
        <f>IF(ALLOCATIONS!A506="","",ALLOCATIONS!C506)</f>
        <v/>
      </c>
      <c r="F512" s="6">
        <f>IF(ALLOCATIONS!A506="","",IF(ALLOCATIONS!D506="",0,ALLOCATIONS!D506))</f>
        <v/>
      </c>
      <c r="G512" s="6">
        <f>IF(ALLOCATIONS!A506="","",SUMIFS(RAW_004!$I$2:$I$10001,RAW_004!$D$2:$D$10001,ALLOCATIONS!A506,RAW_004!$H$2:$H$10001,ALLOCATIONS!B506,RAW_004!$N$2:$N$10001,ALLOCATIONS!C506))</f>
        <v/>
      </c>
      <c r="H512" s="6">
        <f>IF(A512="","",G512-F512)</f>
        <v/>
      </c>
    </row>
    <row r="513">
      <c r="A513" s="6">
        <f>IF(ALLOCATIONS!A507="","",IFERROR(VLOOKUP(ALLOCATIONS!A507,MAPPING!$A$3:$C$302,2,FALSE),"UNMAPPED"))</f>
        <v/>
      </c>
      <c r="B513" s="6">
        <f>IF(ALLOCATIONS!A507="","",IFERROR(VLOOKUP(ALLOCATIONS!A507,MAPPING!$A$3:$C$302,3,FALSE),ALLOCATIONS!A507))</f>
        <v/>
      </c>
      <c r="C513" s="6">
        <f>IF(ALLOCATIONS!A507="","",IFERROR(VLOOKUP(ALLOCATIONS!B507,MAPPING!$E$3:$G$302,2,FALSE),"UNMAPPED"))</f>
        <v/>
      </c>
      <c r="D513" s="6">
        <f>IF(ALLOCATIONS!A507="","",IFERROR(IF(VLOOKUP(ALLOCATIONS!B507,MAPPING!$E$3:$G$302,3,FALSE)="","",VLOOKUP(ALLOCATIONS!B507,MAPPING!$E$3:$G$302,3,FALSE)),""))</f>
        <v/>
      </c>
      <c r="E513" s="6">
        <f>IF(ALLOCATIONS!A507="","",ALLOCATIONS!C507)</f>
        <v/>
      </c>
      <c r="F513" s="6">
        <f>IF(ALLOCATIONS!A507="","",IF(ALLOCATIONS!D507="",0,ALLOCATIONS!D507))</f>
        <v/>
      </c>
      <c r="G513" s="6">
        <f>IF(ALLOCATIONS!A507="","",SUMIFS(RAW_004!$I$2:$I$10001,RAW_004!$D$2:$D$10001,ALLOCATIONS!A507,RAW_004!$H$2:$H$10001,ALLOCATIONS!B507,RAW_004!$N$2:$N$10001,ALLOCATIONS!C507))</f>
        <v/>
      </c>
      <c r="H513" s="6">
        <f>IF(A513="","",G513-F513)</f>
        <v/>
      </c>
    </row>
    <row r="514">
      <c r="A514" s="6">
        <f>IF(ALLOCATIONS!A508="","",IFERROR(VLOOKUP(ALLOCATIONS!A508,MAPPING!$A$3:$C$302,2,FALSE),"UNMAPPED"))</f>
        <v/>
      </c>
      <c r="B514" s="6">
        <f>IF(ALLOCATIONS!A508="","",IFERROR(VLOOKUP(ALLOCATIONS!A508,MAPPING!$A$3:$C$302,3,FALSE),ALLOCATIONS!A508))</f>
        <v/>
      </c>
      <c r="C514" s="6">
        <f>IF(ALLOCATIONS!A508="","",IFERROR(VLOOKUP(ALLOCATIONS!B508,MAPPING!$E$3:$G$302,2,FALSE),"UNMAPPED"))</f>
        <v/>
      </c>
      <c r="D514" s="6">
        <f>IF(ALLOCATIONS!A508="","",IFERROR(IF(VLOOKUP(ALLOCATIONS!B508,MAPPING!$E$3:$G$302,3,FALSE)="","",VLOOKUP(ALLOCATIONS!B508,MAPPING!$E$3:$G$302,3,FALSE)),""))</f>
        <v/>
      </c>
      <c r="E514" s="6">
        <f>IF(ALLOCATIONS!A508="","",ALLOCATIONS!C508)</f>
        <v/>
      </c>
      <c r="F514" s="6">
        <f>IF(ALLOCATIONS!A508="","",IF(ALLOCATIONS!D508="",0,ALLOCATIONS!D508))</f>
        <v/>
      </c>
      <c r="G514" s="6">
        <f>IF(ALLOCATIONS!A508="","",SUMIFS(RAW_004!$I$2:$I$10001,RAW_004!$D$2:$D$10001,ALLOCATIONS!A508,RAW_004!$H$2:$H$10001,ALLOCATIONS!B508,RAW_004!$N$2:$N$10001,ALLOCATIONS!C508))</f>
        <v/>
      </c>
      <c r="H514" s="6">
        <f>IF(A514="","",G514-F514)</f>
        <v/>
      </c>
    </row>
    <row r="515">
      <c r="A515" s="6">
        <f>IF(ALLOCATIONS!A509="","",IFERROR(VLOOKUP(ALLOCATIONS!A509,MAPPING!$A$3:$C$302,2,FALSE),"UNMAPPED"))</f>
        <v/>
      </c>
      <c r="B515" s="6">
        <f>IF(ALLOCATIONS!A509="","",IFERROR(VLOOKUP(ALLOCATIONS!A509,MAPPING!$A$3:$C$302,3,FALSE),ALLOCATIONS!A509))</f>
        <v/>
      </c>
      <c r="C515" s="6">
        <f>IF(ALLOCATIONS!A509="","",IFERROR(VLOOKUP(ALLOCATIONS!B509,MAPPING!$E$3:$G$302,2,FALSE),"UNMAPPED"))</f>
        <v/>
      </c>
      <c r="D515" s="6">
        <f>IF(ALLOCATIONS!A509="","",IFERROR(IF(VLOOKUP(ALLOCATIONS!B509,MAPPING!$E$3:$G$302,3,FALSE)="","",VLOOKUP(ALLOCATIONS!B509,MAPPING!$E$3:$G$302,3,FALSE)),""))</f>
        <v/>
      </c>
      <c r="E515" s="6">
        <f>IF(ALLOCATIONS!A509="","",ALLOCATIONS!C509)</f>
        <v/>
      </c>
      <c r="F515" s="6">
        <f>IF(ALLOCATIONS!A509="","",IF(ALLOCATIONS!D509="",0,ALLOCATIONS!D509))</f>
        <v/>
      </c>
      <c r="G515" s="6">
        <f>IF(ALLOCATIONS!A509="","",SUMIFS(RAW_004!$I$2:$I$10001,RAW_004!$D$2:$D$10001,ALLOCATIONS!A509,RAW_004!$H$2:$H$10001,ALLOCATIONS!B509,RAW_004!$N$2:$N$10001,ALLOCATIONS!C509))</f>
        <v/>
      </c>
      <c r="H515" s="6">
        <f>IF(A515="","",G515-F515)</f>
        <v/>
      </c>
    </row>
    <row r="516">
      <c r="A516" s="6">
        <f>IF(ALLOCATIONS!A510="","",IFERROR(VLOOKUP(ALLOCATIONS!A510,MAPPING!$A$3:$C$302,2,FALSE),"UNMAPPED"))</f>
        <v/>
      </c>
      <c r="B516" s="6">
        <f>IF(ALLOCATIONS!A510="","",IFERROR(VLOOKUP(ALLOCATIONS!A510,MAPPING!$A$3:$C$302,3,FALSE),ALLOCATIONS!A510))</f>
        <v/>
      </c>
      <c r="C516" s="6">
        <f>IF(ALLOCATIONS!A510="","",IFERROR(VLOOKUP(ALLOCATIONS!B510,MAPPING!$E$3:$G$302,2,FALSE),"UNMAPPED"))</f>
        <v/>
      </c>
      <c r="D516" s="6">
        <f>IF(ALLOCATIONS!A510="","",IFERROR(IF(VLOOKUP(ALLOCATIONS!B510,MAPPING!$E$3:$G$302,3,FALSE)="","",VLOOKUP(ALLOCATIONS!B510,MAPPING!$E$3:$G$302,3,FALSE)),""))</f>
        <v/>
      </c>
      <c r="E516" s="6">
        <f>IF(ALLOCATIONS!A510="","",ALLOCATIONS!C510)</f>
        <v/>
      </c>
      <c r="F516" s="6">
        <f>IF(ALLOCATIONS!A510="","",IF(ALLOCATIONS!D510="",0,ALLOCATIONS!D510))</f>
        <v/>
      </c>
      <c r="G516" s="6">
        <f>IF(ALLOCATIONS!A510="","",SUMIFS(RAW_004!$I$2:$I$10001,RAW_004!$D$2:$D$10001,ALLOCATIONS!A510,RAW_004!$H$2:$H$10001,ALLOCATIONS!B510,RAW_004!$N$2:$N$10001,ALLOCATIONS!C510))</f>
        <v/>
      </c>
      <c r="H516" s="6">
        <f>IF(A516="","",G516-F516)</f>
        <v/>
      </c>
    </row>
    <row r="517">
      <c r="A517" s="6">
        <f>IF(ALLOCATIONS!A511="","",IFERROR(VLOOKUP(ALLOCATIONS!A511,MAPPING!$A$3:$C$302,2,FALSE),"UNMAPPED"))</f>
        <v/>
      </c>
      <c r="B517" s="6">
        <f>IF(ALLOCATIONS!A511="","",IFERROR(VLOOKUP(ALLOCATIONS!A511,MAPPING!$A$3:$C$302,3,FALSE),ALLOCATIONS!A511))</f>
        <v/>
      </c>
      <c r="C517" s="6">
        <f>IF(ALLOCATIONS!A511="","",IFERROR(VLOOKUP(ALLOCATIONS!B511,MAPPING!$E$3:$G$302,2,FALSE),"UNMAPPED"))</f>
        <v/>
      </c>
      <c r="D517" s="6">
        <f>IF(ALLOCATIONS!A511="","",IFERROR(IF(VLOOKUP(ALLOCATIONS!B511,MAPPING!$E$3:$G$302,3,FALSE)="","",VLOOKUP(ALLOCATIONS!B511,MAPPING!$E$3:$G$302,3,FALSE)),""))</f>
        <v/>
      </c>
      <c r="E517" s="6">
        <f>IF(ALLOCATIONS!A511="","",ALLOCATIONS!C511)</f>
        <v/>
      </c>
      <c r="F517" s="6">
        <f>IF(ALLOCATIONS!A511="","",IF(ALLOCATIONS!D511="",0,ALLOCATIONS!D511))</f>
        <v/>
      </c>
      <c r="G517" s="6">
        <f>IF(ALLOCATIONS!A511="","",SUMIFS(RAW_004!$I$2:$I$10001,RAW_004!$D$2:$D$10001,ALLOCATIONS!A511,RAW_004!$H$2:$H$10001,ALLOCATIONS!B511,RAW_004!$N$2:$N$10001,ALLOCATIONS!C511))</f>
        <v/>
      </c>
      <c r="H517" s="6">
        <f>IF(A517="","",G517-F517)</f>
        <v/>
      </c>
    </row>
    <row r="518">
      <c r="A518" s="6">
        <f>IF(ALLOCATIONS!A512="","",IFERROR(VLOOKUP(ALLOCATIONS!A512,MAPPING!$A$3:$C$302,2,FALSE),"UNMAPPED"))</f>
        <v/>
      </c>
      <c r="B518" s="6">
        <f>IF(ALLOCATIONS!A512="","",IFERROR(VLOOKUP(ALLOCATIONS!A512,MAPPING!$A$3:$C$302,3,FALSE),ALLOCATIONS!A512))</f>
        <v/>
      </c>
      <c r="C518" s="6">
        <f>IF(ALLOCATIONS!A512="","",IFERROR(VLOOKUP(ALLOCATIONS!B512,MAPPING!$E$3:$G$302,2,FALSE),"UNMAPPED"))</f>
        <v/>
      </c>
      <c r="D518" s="6">
        <f>IF(ALLOCATIONS!A512="","",IFERROR(IF(VLOOKUP(ALLOCATIONS!B512,MAPPING!$E$3:$G$302,3,FALSE)="","",VLOOKUP(ALLOCATIONS!B512,MAPPING!$E$3:$G$302,3,FALSE)),""))</f>
        <v/>
      </c>
      <c r="E518" s="6">
        <f>IF(ALLOCATIONS!A512="","",ALLOCATIONS!C512)</f>
        <v/>
      </c>
      <c r="F518" s="6">
        <f>IF(ALLOCATIONS!A512="","",IF(ALLOCATIONS!D512="",0,ALLOCATIONS!D512))</f>
        <v/>
      </c>
      <c r="G518" s="6">
        <f>IF(ALLOCATIONS!A512="","",SUMIFS(RAW_004!$I$2:$I$10001,RAW_004!$D$2:$D$10001,ALLOCATIONS!A512,RAW_004!$H$2:$H$10001,ALLOCATIONS!B512,RAW_004!$N$2:$N$10001,ALLOCATIONS!C512))</f>
        <v/>
      </c>
      <c r="H518" s="6">
        <f>IF(A518="","",G518-F518)</f>
        <v/>
      </c>
    </row>
    <row r="519">
      <c r="A519" s="6">
        <f>IF(ALLOCATIONS!A513="","",IFERROR(VLOOKUP(ALLOCATIONS!A513,MAPPING!$A$3:$C$302,2,FALSE),"UNMAPPED"))</f>
        <v/>
      </c>
      <c r="B519" s="6">
        <f>IF(ALLOCATIONS!A513="","",IFERROR(VLOOKUP(ALLOCATIONS!A513,MAPPING!$A$3:$C$302,3,FALSE),ALLOCATIONS!A513))</f>
        <v/>
      </c>
      <c r="C519" s="6">
        <f>IF(ALLOCATIONS!A513="","",IFERROR(VLOOKUP(ALLOCATIONS!B513,MAPPING!$E$3:$G$302,2,FALSE),"UNMAPPED"))</f>
        <v/>
      </c>
      <c r="D519" s="6">
        <f>IF(ALLOCATIONS!A513="","",IFERROR(IF(VLOOKUP(ALLOCATIONS!B513,MAPPING!$E$3:$G$302,3,FALSE)="","",VLOOKUP(ALLOCATIONS!B513,MAPPING!$E$3:$G$302,3,FALSE)),""))</f>
        <v/>
      </c>
      <c r="E519" s="6">
        <f>IF(ALLOCATIONS!A513="","",ALLOCATIONS!C513)</f>
        <v/>
      </c>
      <c r="F519" s="6">
        <f>IF(ALLOCATIONS!A513="","",IF(ALLOCATIONS!D513="",0,ALLOCATIONS!D513))</f>
        <v/>
      </c>
      <c r="G519" s="6">
        <f>IF(ALLOCATIONS!A513="","",SUMIFS(RAW_004!$I$2:$I$10001,RAW_004!$D$2:$D$10001,ALLOCATIONS!A513,RAW_004!$H$2:$H$10001,ALLOCATIONS!B513,RAW_004!$N$2:$N$10001,ALLOCATIONS!C513))</f>
        <v/>
      </c>
      <c r="H519" s="6">
        <f>IF(A519="","",G519-F519)</f>
        <v/>
      </c>
    </row>
    <row r="520">
      <c r="A520" s="6">
        <f>IF(ALLOCATIONS!A514="","",IFERROR(VLOOKUP(ALLOCATIONS!A514,MAPPING!$A$3:$C$302,2,FALSE),"UNMAPPED"))</f>
        <v/>
      </c>
      <c r="B520" s="6">
        <f>IF(ALLOCATIONS!A514="","",IFERROR(VLOOKUP(ALLOCATIONS!A514,MAPPING!$A$3:$C$302,3,FALSE),ALLOCATIONS!A514))</f>
        <v/>
      </c>
      <c r="C520" s="6">
        <f>IF(ALLOCATIONS!A514="","",IFERROR(VLOOKUP(ALLOCATIONS!B514,MAPPING!$E$3:$G$302,2,FALSE),"UNMAPPED"))</f>
        <v/>
      </c>
      <c r="D520" s="6">
        <f>IF(ALLOCATIONS!A514="","",IFERROR(IF(VLOOKUP(ALLOCATIONS!B514,MAPPING!$E$3:$G$302,3,FALSE)="","",VLOOKUP(ALLOCATIONS!B514,MAPPING!$E$3:$G$302,3,FALSE)),""))</f>
        <v/>
      </c>
      <c r="E520" s="6">
        <f>IF(ALLOCATIONS!A514="","",ALLOCATIONS!C514)</f>
        <v/>
      </c>
      <c r="F520" s="6">
        <f>IF(ALLOCATIONS!A514="","",IF(ALLOCATIONS!D514="",0,ALLOCATIONS!D514))</f>
        <v/>
      </c>
      <c r="G520" s="6">
        <f>IF(ALLOCATIONS!A514="","",SUMIFS(RAW_004!$I$2:$I$10001,RAW_004!$D$2:$D$10001,ALLOCATIONS!A514,RAW_004!$H$2:$H$10001,ALLOCATIONS!B514,RAW_004!$N$2:$N$10001,ALLOCATIONS!C514))</f>
        <v/>
      </c>
      <c r="H520" s="6">
        <f>IF(A520="","",G520-F520)</f>
        <v/>
      </c>
    </row>
    <row r="521">
      <c r="A521" s="6">
        <f>IF(ALLOCATIONS!A515="","",IFERROR(VLOOKUP(ALLOCATIONS!A515,MAPPING!$A$3:$C$302,2,FALSE),"UNMAPPED"))</f>
        <v/>
      </c>
      <c r="B521" s="6">
        <f>IF(ALLOCATIONS!A515="","",IFERROR(VLOOKUP(ALLOCATIONS!A515,MAPPING!$A$3:$C$302,3,FALSE),ALLOCATIONS!A515))</f>
        <v/>
      </c>
      <c r="C521" s="6">
        <f>IF(ALLOCATIONS!A515="","",IFERROR(VLOOKUP(ALLOCATIONS!B515,MAPPING!$E$3:$G$302,2,FALSE),"UNMAPPED"))</f>
        <v/>
      </c>
      <c r="D521" s="6">
        <f>IF(ALLOCATIONS!A515="","",IFERROR(IF(VLOOKUP(ALLOCATIONS!B515,MAPPING!$E$3:$G$302,3,FALSE)="","",VLOOKUP(ALLOCATIONS!B515,MAPPING!$E$3:$G$302,3,FALSE)),""))</f>
        <v/>
      </c>
      <c r="E521" s="6">
        <f>IF(ALLOCATIONS!A515="","",ALLOCATIONS!C515)</f>
        <v/>
      </c>
      <c r="F521" s="6">
        <f>IF(ALLOCATIONS!A515="","",IF(ALLOCATIONS!D515="",0,ALLOCATIONS!D515))</f>
        <v/>
      </c>
      <c r="G521" s="6">
        <f>IF(ALLOCATIONS!A515="","",SUMIFS(RAW_004!$I$2:$I$10001,RAW_004!$D$2:$D$10001,ALLOCATIONS!A515,RAW_004!$H$2:$H$10001,ALLOCATIONS!B515,RAW_004!$N$2:$N$10001,ALLOCATIONS!C515))</f>
        <v/>
      </c>
      <c r="H521" s="6">
        <f>IF(A521="","",G521-F521)</f>
        <v/>
      </c>
    </row>
    <row r="522">
      <c r="A522" s="6">
        <f>IF(ALLOCATIONS!A516="","",IFERROR(VLOOKUP(ALLOCATIONS!A516,MAPPING!$A$3:$C$302,2,FALSE),"UNMAPPED"))</f>
        <v/>
      </c>
      <c r="B522" s="6">
        <f>IF(ALLOCATIONS!A516="","",IFERROR(VLOOKUP(ALLOCATIONS!A516,MAPPING!$A$3:$C$302,3,FALSE),ALLOCATIONS!A516))</f>
        <v/>
      </c>
      <c r="C522" s="6">
        <f>IF(ALLOCATIONS!A516="","",IFERROR(VLOOKUP(ALLOCATIONS!B516,MAPPING!$E$3:$G$302,2,FALSE),"UNMAPPED"))</f>
        <v/>
      </c>
      <c r="D522" s="6">
        <f>IF(ALLOCATIONS!A516="","",IFERROR(IF(VLOOKUP(ALLOCATIONS!B516,MAPPING!$E$3:$G$302,3,FALSE)="","",VLOOKUP(ALLOCATIONS!B516,MAPPING!$E$3:$G$302,3,FALSE)),""))</f>
        <v/>
      </c>
      <c r="E522" s="6">
        <f>IF(ALLOCATIONS!A516="","",ALLOCATIONS!C516)</f>
        <v/>
      </c>
      <c r="F522" s="6">
        <f>IF(ALLOCATIONS!A516="","",IF(ALLOCATIONS!D516="",0,ALLOCATIONS!D516))</f>
        <v/>
      </c>
      <c r="G522" s="6">
        <f>IF(ALLOCATIONS!A516="","",SUMIFS(RAW_004!$I$2:$I$10001,RAW_004!$D$2:$D$10001,ALLOCATIONS!A516,RAW_004!$H$2:$H$10001,ALLOCATIONS!B516,RAW_004!$N$2:$N$10001,ALLOCATIONS!C516))</f>
        <v/>
      </c>
      <c r="H522" s="6">
        <f>IF(A522="","",G522-F522)</f>
        <v/>
      </c>
    </row>
    <row r="523">
      <c r="A523" s="6">
        <f>IF(ALLOCATIONS!A517="","",IFERROR(VLOOKUP(ALLOCATIONS!A517,MAPPING!$A$3:$C$302,2,FALSE),"UNMAPPED"))</f>
        <v/>
      </c>
      <c r="B523" s="6">
        <f>IF(ALLOCATIONS!A517="","",IFERROR(VLOOKUP(ALLOCATIONS!A517,MAPPING!$A$3:$C$302,3,FALSE),ALLOCATIONS!A517))</f>
        <v/>
      </c>
      <c r="C523" s="6">
        <f>IF(ALLOCATIONS!A517="","",IFERROR(VLOOKUP(ALLOCATIONS!B517,MAPPING!$E$3:$G$302,2,FALSE),"UNMAPPED"))</f>
        <v/>
      </c>
      <c r="D523" s="6">
        <f>IF(ALLOCATIONS!A517="","",IFERROR(IF(VLOOKUP(ALLOCATIONS!B517,MAPPING!$E$3:$G$302,3,FALSE)="","",VLOOKUP(ALLOCATIONS!B517,MAPPING!$E$3:$G$302,3,FALSE)),""))</f>
        <v/>
      </c>
      <c r="E523" s="6">
        <f>IF(ALLOCATIONS!A517="","",ALLOCATIONS!C517)</f>
        <v/>
      </c>
      <c r="F523" s="6">
        <f>IF(ALLOCATIONS!A517="","",IF(ALLOCATIONS!D517="",0,ALLOCATIONS!D517))</f>
        <v/>
      </c>
      <c r="G523" s="6">
        <f>IF(ALLOCATIONS!A517="","",SUMIFS(RAW_004!$I$2:$I$10001,RAW_004!$D$2:$D$10001,ALLOCATIONS!A517,RAW_004!$H$2:$H$10001,ALLOCATIONS!B517,RAW_004!$N$2:$N$10001,ALLOCATIONS!C517))</f>
        <v/>
      </c>
      <c r="H523" s="6">
        <f>IF(A523="","",G523-F523)</f>
        <v/>
      </c>
    </row>
    <row r="524">
      <c r="A524" s="6">
        <f>IF(ALLOCATIONS!A518="","",IFERROR(VLOOKUP(ALLOCATIONS!A518,MAPPING!$A$3:$C$302,2,FALSE),"UNMAPPED"))</f>
        <v/>
      </c>
      <c r="B524" s="6">
        <f>IF(ALLOCATIONS!A518="","",IFERROR(VLOOKUP(ALLOCATIONS!A518,MAPPING!$A$3:$C$302,3,FALSE),ALLOCATIONS!A518))</f>
        <v/>
      </c>
      <c r="C524" s="6">
        <f>IF(ALLOCATIONS!A518="","",IFERROR(VLOOKUP(ALLOCATIONS!B518,MAPPING!$E$3:$G$302,2,FALSE),"UNMAPPED"))</f>
        <v/>
      </c>
      <c r="D524" s="6">
        <f>IF(ALLOCATIONS!A518="","",IFERROR(IF(VLOOKUP(ALLOCATIONS!B518,MAPPING!$E$3:$G$302,3,FALSE)="","",VLOOKUP(ALLOCATIONS!B518,MAPPING!$E$3:$G$302,3,FALSE)),""))</f>
        <v/>
      </c>
      <c r="E524" s="6">
        <f>IF(ALLOCATIONS!A518="","",ALLOCATIONS!C518)</f>
        <v/>
      </c>
      <c r="F524" s="6">
        <f>IF(ALLOCATIONS!A518="","",IF(ALLOCATIONS!D518="",0,ALLOCATIONS!D518))</f>
        <v/>
      </c>
      <c r="G524" s="6">
        <f>IF(ALLOCATIONS!A518="","",SUMIFS(RAW_004!$I$2:$I$10001,RAW_004!$D$2:$D$10001,ALLOCATIONS!A518,RAW_004!$H$2:$H$10001,ALLOCATIONS!B518,RAW_004!$N$2:$N$10001,ALLOCATIONS!C518))</f>
        <v/>
      </c>
      <c r="H524" s="6">
        <f>IF(A524="","",G524-F524)</f>
        <v/>
      </c>
    </row>
    <row r="525">
      <c r="A525" s="6">
        <f>IF(ALLOCATIONS!A519="","",IFERROR(VLOOKUP(ALLOCATIONS!A519,MAPPING!$A$3:$C$302,2,FALSE),"UNMAPPED"))</f>
        <v/>
      </c>
      <c r="B525" s="6">
        <f>IF(ALLOCATIONS!A519="","",IFERROR(VLOOKUP(ALLOCATIONS!A519,MAPPING!$A$3:$C$302,3,FALSE),ALLOCATIONS!A519))</f>
        <v/>
      </c>
      <c r="C525" s="6">
        <f>IF(ALLOCATIONS!A519="","",IFERROR(VLOOKUP(ALLOCATIONS!B519,MAPPING!$E$3:$G$302,2,FALSE),"UNMAPPED"))</f>
        <v/>
      </c>
      <c r="D525" s="6">
        <f>IF(ALLOCATIONS!A519="","",IFERROR(IF(VLOOKUP(ALLOCATIONS!B519,MAPPING!$E$3:$G$302,3,FALSE)="","",VLOOKUP(ALLOCATIONS!B519,MAPPING!$E$3:$G$302,3,FALSE)),""))</f>
        <v/>
      </c>
      <c r="E525" s="6">
        <f>IF(ALLOCATIONS!A519="","",ALLOCATIONS!C519)</f>
        <v/>
      </c>
      <c r="F525" s="6">
        <f>IF(ALLOCATIONS!A519="","",IF(ALLOCATIONS!D519="",0,ALLOCATIONS!D519))</f>
        <v/>
      </c>
      <c r="G525" s="6">
        <f>IF(ALLOCATIONS!A519="","",SUMIFS(RAW_004!$I$2:$I$10001,RAW_004!$D$2:$D$10001,ALLOCATIONS!A519,RAW_004!$H$2:$H$10001,ALLOCATIONS!B519,RAW_004!$N$2:$N$10001,ALLOCATIONS!C519))</f>
        <v/>
      </c>
      <c r="H525" s="6">
        <f>IF(A525="","",G525-F525)</f>
        <v/>
      </c>
    </row>
    <row r="526">
      <c r="A526" s="6">
        <f>IF(ALLOCATIONS!A520="","",IFERROR(VLOOKUP(ALLOCATIONS!A520,MAPPING!$A$3:$C$302,2,FALSE),"UNMAPPED"))</f>
        <v/>
      </c>
      <c r="B526" s="6">
        <f>IF(ALLOCATIONS!A520="","",IFERROR(VLOOKUP(ALLOCATIONS!A520,MAPPING!$A$3:$C$302,3,FALSE),ALLOCATIONS!A520))</f>
        <v/>
      </c>
      <c r="C526" s="6">
        <f>IF(ALLOCATIONS!A520="","",IFERROR(VLOOKUP(ALLOCATIONS!B520,MAPPING!$E$3:$G$302,2,FALSE),"UNMAPPED"))</f>
        <v/>
      </c>
      <c r="D526" s="6">
        <f>IF(ALLOCATIONS!A520="","",IFERROR(IF(VLOOKUP(ALLOCATIONS!B520,MAPPING!$E$3:$G$302,3,FALSE)="","",VLOOKUP(ALLOCATIONS!B520,MAPPING!$E$3:$G$302,3,FALSE)),""))</f>
        <v/>
      </c>
      <c r="E526" s="6">
        <f>IF(ALLOCATIONS!A520="","",ALLOCATIONS!C520)</f>
        <v/>
      </c>
      <c r="F526" s="6">
        <f>IF(ALLOCATIONS!A520="","",IF(ALLOCATIONS!D520="",0,ALLOCATIONS!D520))</f>
        <v/>
      </c>
      <c r="G526" s="6">
        <f>IF(ALLOCATIONS!A520="","",SUMIFS(RAW_004!$I$2:$I$10001,RAW_004!$D$2:$D$10001,ALLOCATIONS!A520,RAW_004!$H$2:$H$10001,ALLOCATIONS!B520,RAW_004!$N$2:$N$10001,ALLOCATIONS!C520))</f>
        <v/>
      </c>
      <c r="H526" s="6">
        <f>IF(A526="","",G526-F526)</f>
        <v/>
      </c>
    </row>
    <row r="527">
      <c r="A527" s="6">
        <f>IF(ALLOCATIONS!A521="","",IFERROR(VLOOKUP(ALLOCATIONS!A521,MAPPING!$A$3:$C$302,2,FALSE),"UNMAPPED"))</f>
        <v/>
      </c>
      <c r="B527" s="6">
        <f>IF(ALLOCATIONS!A521="","",IFERROR(VLOOKUP(ALLOCATIONS!A521,MAPPING!$A$3:$C$302,3,FALSE),ALLOCATIONS!A521))</f>
        <v/>
      </c>
      <c r="C527" s="6">
        <f>IF(ALLOCATIONS!A521="","",IFERROR(VLOOKUP(ALLOCATIONS!B521,MAPPING!$E$3:$G$302,2,FALSE),"UNMAPPED"))</f>
        <v/>
      </c>
      <c r="D527" s="6">
        <f>IF(ALLOCATIONS!A521="","",IFERROR(IF(VLOOKUP(ALLOCATIONS!B521,MAPPING!$E$3:$G$302,3,FALSE)="","",VLOOKUP(ALLOCATIONS!B521,MAPPING!$E$3:$G$302,3,FALSE)),""))</f>
        <v/>
      </c>
      <c r="E527" s="6">
        <f>IF(ALLOCATIONS!A521="","",ALLOCATIONS!C521)</f>
        <v/>
      </c>
      <c r="F527" s="6">
        <f>IF(ALLOCATIONS!A521="","",IF(ALLOCATIONS!D521="",0,ALLOCATIONS!D521))</f>
        <v/>
      </c>
      <c r="G527" s="6">
        <f>IF(ALLOCATIONS!A521="","",SUMIFS(RAW_004!$I$2:$I$10001,RAW_004!$D$2:$D$10001,ALLOCATIONS!A521,RAW_004!$H$2:$H$10001,ALLOCATIONS!B521,RAW_004!$N$2:$N$10001,ALLOCATIONS!C521))</f>
        <v/>
      </c>
      <c r="H527" s="6">
        <f>IF(A527="","",G527-F527)</f>
        <v/>
      </c>
    </row>
    <row r="528">
      <c r="A528" s="6">
        <f>IF(ALLOCATIONS!A522="","",IFERROR(VLOOKUP(ALLOCATIONS!A522,MAPPING!$A$3:$C$302,2,FALSE),"UNMAPPED"))</f>
        <v/>
      </c>
      <c r="B528" s="6">
        <f>IF(ALLOCATIONS!A522="","",IFERROR(VLOOKUP(ALLOCATIONS!A522,MAPPING!$A$3:$C$302,3,FALSE),ALLOCATIONS!A522))</f>
        <v/>
      </c>
      <c r="C528" s="6">
        <f>IF(ALLOCATIONS!A522="","",IFERROR(VLOOKUP(ALLOCATIONS!B522,MAPPING!$E$3:$G$302,2,FALSE),"UNMAPPED"))</f>
        <v/>
      </c>
      <c r="D528" s="6">
        <f>IF(ALLOCATIONS!A522="","",IFERROR(IF(VLOOKUP(ALLOCATIONS!B522,MAPPING!$E$3:$G$302,3,FALSE)="","",VLOOKUP(ALLOCATIONS!B522,MAPPING!$E$3:$G$302,3,FALSE)),""))</f>
        <v/>
      </c>
      <c r="E528" s="6">
        <f>IF(ALLOCATIONS!A522="","",ALLOCATIONS!C522)</f>
        <v/>
      </c>
      <c r="F528" s="6">
        <f>IF(ALLOCATIONS!A522="","",IF(ALLOCATIONS!D522="",0,ALLOCATIONS!D522))</f>
        <v/>
      </c>
      <c r="G528" s="6">
        <f>IF(ALLOCATIONS!A522="","",SUMIFS(RAW_004!$I$2:$I$10001,RAW_004!$D$2:$D$10001,ALLOCATIONS!A522,RAW_004!$H$2:$H$10001,ALLOCATIONS!B522,RAW_004!$N$2:$N$10001,ALLOCATIONS!C522))</f>
        <v/>
      </c>
      <c r="H528" s="6">
        <f>IF(A528="","",G528-F528)</f>
        <v/>
      </c>
    </row>
    <row r="529">
      <c r="A529" s="6">
        <f>IF(ALLOCATIONS!A523="","",IFERROR(VLOOKUP(ALLOCATIONS!A523,MAPPING!$A$3:$C$302,2,FALSE),"UNMAPPED"))</f>
        <v/>
      </c>
      <c r="B529" s="6">
        <f>IF(ALLOCATIONS!A523="","",IFERROR(VLOOKUP(ALLOCATIONS!A523,MAPPING!$A$3:$C$302,3,FALSE),ALLOCATIONS!A523))</f>
        <v/>
      </c>
      <c r="C529" s="6">
        <f>IF(ALLOCATIONS!A523="","",IFERROR(VLOOKUP(ALLOCATIONS!B523,MAPPING!$E$3:$G$302,2,FALSE),"UNMAPPED"))</f>
        <v/>
      </c>
      <c r="D529" s="6">
        <f>IF(ALLOCATIONS!A523="","",IFERROR(IF(VLOOKUP(ALLOCATIONS!B523,MAPPING!$E$3:$G$302,3,FALSE)="","",VLOOKUP(ALLOCATIONS!B523,MAPPING!$E$3:$G$302,3,FALSE)),""))</f>
        <v/>
      </c>
      <c r="E529" s="6">
        <f>IF(ALLOCATIONS!A523="","",ALLOCATIONS!C523)</f>
        <v/>
      </c>
      <c r="F529" s="6">
        <f>IF(ALLOCATIONS!A523="","",IF(ALLOCATIONS!D523="",0,ALLOCATIONS!D523))</f>
        <v/>
      </c>
      <c r="G529" s="6">
        <f>IF(ALLOCATIONS!A523="","",SUMIFS(RAW_004!$I$2:$I$10001,RAW_004!$D$2:$D$10001,ALLOCATIONS!A523,RAW_004!$H$2:$H$10001,ALLOCATIONS!B523,RAW_004!$N$2:$N$10001,ALLOCATIONS!C523))</f>
        <v/>
      </c>
      <c r="H529" s="6">
        <f>IF(A529="","",G529-F529)</f>
        <v/>
      </c>
    </row>
    <row r="530">
      <c r="A530" s="6">
        <f>IF(ALLOCATIONS!A524="","",IFERROR(VLOOKUP(ALLOCATIONS!A524,MAPPING!$A$3:$C$302,2,FALSE),"UNMAPPED"))</f>
        <v/>
      </c>
      <c r="B530" s="6">
        <f>IF(ALLOCATIONS!A524="","",IFERROR(VLOOKUP(ALLOCATIONS!A524,MAPPING!$A$3:$C$302,3,FALSE),ALLOCATIONS!A524))</f>
        <v/>
      </c>
      <c r="C530" s="6">
        <f>IF(ALLOCATIONS!A524="","",IFERROR(VLOOKUP(ALLOCATIONS!B524,MAPPING!$E$3:$G$302,2,FALSE),"UNMAPPED"))</f>
        <v/>
      </c>
      <c r="D530" s="6">
        <f>IF(ALLOCATIONS!A524="","",IFERROR(IF(VLOOKUP(ALLOCATIONS!B524,MAPPING!$E$3:$G$302,3,FALSE)="","",VLOOKUP(ALLOCATIONS!B524,MAPPING!$E$3:$G$302,3,FALSE)),""))</f>
        <v/>
      </c>
      <c r="E530" s="6">
        <f>IF(ALLOCATIONS!A524="","",ALLOCATIONS!C524)</f>
        <v/>
      </c>
      <c r="F530" s="6">
        <f>IF(ALLOCATIONS!A524="","",IF(ALLOCATIONS!D524="",0,ALLOCATIONS!D524))</f>
        <v/>
      </c>
      <c r="G530" s="6">
        <f>IF(ALLOCATIONS!A524="","",SUMIFS(RAW_004!$I$2:$I$10001,RAW_004!$D$2:$D$10001,ALLOCATIONS!A524,RAW_004!$H$2:$H$10001,ALLOCATIONS!B524,RAW_004!$N$2:$N$10001,ALLOCATIONS!C524))</f>
        <v/>
      </c>
      <c r="H530" s="6">
        <f>IF(A530="","",G530-F530)</f>
        <v/>
      </c>
    </row>
    <row r="531">
      <c r="A531" s="6">
        <f>IF(ALLOCATIONS!A525="","",IFERROR(VLOOKUP(ALLOCATIONS!A525,MAPPING!$A$3:$C$302,2,FALSE),"UNMAPPED"))</f>
        <v/>
      </c>
      <c r="B531" s="6">
        <f>IF(ALLOCATIONS!A525="","",IFERROR(VLOOKUP(ALLOCATIONS!A525,MAPPING!$A$3:$C$302,3,FALSE),ALLOCATIONS!A525))</f>
        <v/>
      </c>
      <c r="C531" s="6">
        <f>IF(ALLOCATIONS!A525="","",IFERROR(VLOOKUP(ALLOCATIONS!B525,MAPPING!$E$3:$G$302,2,FALSE),"UNMAPPED"))</f>
        <v/>
      </c>
      <c r="D531" s="6">
        <f>IF(ALLOCATIONS!A525="","",IFERROR(IF(VLOOKUP(ALLOCATIONS!B525,MAPPING!$E$3:$G$302,3,FALSE)="","",VLOOKUP(ALLOCATIONS!B525,MAPPING!$E$3:$G$302,3,FALSE)),""))</f>
        <v/>
      </c>
      <c r="E531" s="6">
        <f>IF(ALLOCATIONS!A525="","",ALLOCATIONS!C525)</f>
        <v/>
      </c>
      <c r="F531" s="6">
        <f>IF(ALLOCATIONS!A525="","",IF(ALLOCATIONS!D525="",0,ALLOCATIONS!D525))</f>
        <v/>
      </c>
      <c r="G531" s="6">
        <f>IF(ALLOCATIONS!A525="","",SUMIFS(RAW_004!$I$2:$I$10001,RAW_004!$D$2:$D$10001,ALLOCATIONS!A525,RAW_004!$H$2:$H$10001,ALLOCATIONS!B525,RAW_004!$N$2:$N$10001,ALLOCATIONS!C525))</f>
        <v/>
      </c>
      <c r="H531" s="6">
        <f>IF(A531="","",G531-F531)</f>
        <v/>
      </c>
    </row>
    <row r="532">
      <c r="A532" s="6">
        <f>IF(ALLOCATIONS!A526="","",IFERROR(VLOOKUP(ALLOCATIONS!A526,MAPPING!$A$3:$C$302,2,FALSE),"UNMAPPED"))</f>
        <v/>
      </c>
      <c r="B532" s="6">
        <f>IF(ALLOCATIONS!A526="","",IFERROR(VLOOKUP(ALLOCATIONS!A526,MAPPING!$A$3:$C$302,3,FALSE),ALLOCATIONS!A526))</f>
        <v/>
      </c>
      <c r="C532" s="6">
        <f>IF(ALLOCATIONS!A526="","",IFERROR(VLOOKUP(ALLOCATIONS!B526,MAPPING!$E$3:$G$302,2,FALSE),"UNMAPPED"))</f>
        <v/>
      </c>
      <c r="D532" s="6">
        <f>IF(ALLOCATIONS!A526="","",IFERROR(IF(VLOOKUP(ALLOCATIONS!B526,MAPPING!$E$3:$G$302,3,FALSE)="","",VLOOKUP(ALLOCATIONS!B526,MAPPING!$E$3:$G$302,3,FALSE)),""))</f>
        <v/>
      </c>
      <c r="E532" s="6">
        <f>IF(ALLOCATIONS!A526="","",ALLOCATIONS!C526)</f>
        <v/>
      </c>
      <c r="F532" s="6">
        <f>IF(ALLOCATIONS!A526="","",IF(ALLOCATIONS!D526="",0,ALLOCATIONS!D526))</f>
        <v/>
      </c>
      <c r="G532" s="6">
        <f>IF(ALLOCATIONS!A526="","",SUMIFS(RAW_004!$I$2:$I$10001,RAW_004!$D$2:$D$10001,ALLOCATIONS!A526,RAW_004!$H$2:$H$10001,ALLOCATIONS!B526,RAW_004!$N$2:$N$10001,ALLOCATIONS!C526))</f>
        <v/>
      </c>
      <c r="H532" s="6">
        <f>IF(A532="","",G532-F532)</f>
        <v/>
      </c>
    </row>
    <row r="533">
      <c r="A533" s="6">
        <f>IF(ALLOCATIONS!A527="","",IFERROR(VLOOKUP(ALLOCATIONS!A527,MAPPING!$A$3:$C$302,2,FALSE),"UNMAPPED"))</f>
        <v/>
      </c>
      <c r="B533" s="6">
        <f>IF(ALLOCATIONS!A527="","",IFERROR(VLOOKUP(ALLOCATIONS!A527,MAPPING!$A$3:$C$302,3,FALSE),ALLOCATIONS!A527))</f>
        <v/>
      </c>
      <c r="C533" s="6">
        <f>IF(ALLOCATIONS!A527="","",IFERROR(VLOOKUP(ALLOCATIONS!B527,MAPPING!$E$3:$G$302,2,FALSE),"UNMAPPED"))</f>
        <v/>
      </c>
      <c r="D533" s="6">
        <f>IF(ALLOCATIONS!A527="","",IFERROR(IF(VLOOKUP(ALLOCATIONS!B527,MAPPING!$E$3:$G$302,3,FALSE)="","",VLOOKUP(ALLOCATIONS!B527,MAPPING!$E$3:$G$302,3,FALSE)),""))</f>
        <v/>
      </c>
      <c r="E533" s="6">
        <f>IF(ALLOCATIONS!A527="","",ALLOCATIONS!C527)</f>
        <v/>
      </c>
      <c r="F533" s="6">
        <f>IF(ALLOCATIONS!A527="","",IF(ALLOCATIONS!D527="",0,ALLOCATIONS!D527))</f>
        <v/>
      </c>
      <c r="G533" s="6">
        <f>IF(ALLOCATIONS!A527="","",SUMIFS(RAW_004!$I$2:$I$10001,RAW_004!$D$2:$D$10001,ALLOCATIONS!A527,RAW_004!$H$2:$H$10001,ALLOCATIONS!B527,RAW_004!$N$2:$N$10001,ALLOCATIONS!C527))</f>
        <v/>
      </c>
      <c r="H533" s="6">
        <f>IF(A533="","",G533-F533)</f>
        <v/>
      </c>
    </row>
    <row r="534">
      <c r="A534" s="6">
        <f>IF(ALLOCATIONS!A528="","",IFERROR(VLOOKUP(ALLOCATIONS!A528,MAPPING!$A$3:$C$302,2,FALSE),"UNMAPPED"))</f>
        <v/>
      </c>
      <c r="B534" s="6">
        <f>IF(ALLOCATIONS!A528="","",IFERROR(VLOOKUP(ALLOCATIONS!A528,MAPPING!$A$3:$C$302,3,FALSE),ALLOCATIONS!A528))</f>
        <v/>
      </c>
      <c r="C534" s="6">
        <f>IF(ALLOCATIONS!A528="","",IFERROR(VLOOKUP(ALLOCATIONS!B528,MAPPING!$E$3:$G$302,2,FALSE),"UNMAPPED"))</f>
        <v/>
      </c>
      <c r="D534" s="6">
        <f>IF(ALLOCATIONS!A528="","",IFERROR(IF(VLOOKUP(ALLOCATIONS!B528,MAPPING!$E$3:$G$302,3,FALSE)="","",VLOOKUP(ALLOCATIONS!B528,MAPPING!$E$3:$G$302,3,FALSE)),""))</f>
        <v/>
      </c>
      <c r="E534" s="6">
        <f>IF(ALLOCATIONS!A528="","",ALLOCATIONS!C528)</f>
        <v/>
      </c>
      <c r="F534" s="6">
        <f>IF(ALLOCATIONS!A528="","",IF(ALLOCATIONS!D528="",0,ALLOCATIONS!D528))</f>
        <v/>
      </c>
      <c r="G534" s="6">
        <f>IF(ALLOCATIONS!A528="","",SUMIFS(RAW_004!$I$2:$I$10001,RAW_004!$D$2:$D$10001,ALLOCATIONS!A528,RAW_004!$H$2:$H$10001,ALLOCATIONS!B528,RAW_004!$N$2:$N$10001,ALLOCATIONS!C528))</f>
        <v/>
      </c>
      <c r="H534" s="6">
        <f>IF(A534="","",G534-F534)</f>
        <v/>
      </c>
    </row>
    <row r="535">
      <c r="A535" s="6">
        <f>IF(ALLOCATIONS!A529="","",IFERROR(VLOOKUP(ALLOCATIONS!A529,MAPPING!$A$3:$C$302,2,FALSE),"UNMAPPED"))</f>
        <v/>
      </c>
      <c r="B535" s="6">
        <f>IF(ALLOCATIONS!A529="","",IFERROR(VLOOKUP(ALLOCATIONS!A529,MAPPING!$A$3:$C$302,3,FALSE),ALLOCATIONS!A529))</f>
        <v/>
      </c>
      <c r="C535" s="6">
        <f>IF(ALLOCATIONS!A529="","",IFERROR(VLOOKUP(ALLOCATIONS!B529,MAPPING!$E$3:$G$302,2,FALSE),"UNMAPPED"))</f>
        <v/>
      </c>
      <c r="D535" s="6">
        <f>IF(ALLOCATIONS!A529="","",IFERROR(IF(VLOOKUP(ALLOCATIONS!B529,MAPPING!$E$3:$G$302,3,FALSE)="","",VLOOKUP(ALLOCATIONS!B529,MAPPING!$E$3:$G$302,3,FALSE)),""))</f>
        <v/>
      </c>
      <c r="E535" s="6">
        <f>IF(ALLOCATIONS!A529="","",ALLOCATIONS!C529)</f>
        <v/>
      </c>
      <c r="F535" s="6">
        <f>IF(ALLOCATIONS!A529="","",IF(ALLOCATIONS!D529="",0,ALLOCATIONS!D529))</f>
        <v/>
      </c>
      <c r="G535" s="6">
        <f>IF(ALLOCATIONS!A529="","",SUMIFS(RAW_004!$I$2:$I$10001,RAW_004!$D$2:$D$10001,ALLOCATIONS!A529,RAW_004!$H$2:$H$10001,ALLOCATIONS!B529,RAW_004!$N$2:$N$10001,ALLOCATIONS!C529))</f>
        <v/>
      </c>
      <c r="H535" s="6">
        <f>IF(A535="","",G535-F535)</f>
        <v/>
      </c>
    </row>
    <row r="536">
      <c r="A536" s="6">
        <f>IF(ALLOCATIONS!A530="","",IFERROR(VLOOKUP(ALLOCATIONS!A530,MAPPING!$A$3:$C$302,2,FALSE),"UNMAPPED"))</f>
        <v/>
      </c>
      <c r="B536" s="6">
        <f>IF(ALLOCATIONS!A530="","",IFERROR(VLOOKUP(ALLOCATIONS!A530,MAPPING!$A$3:$C$302,3,FALSE),ALLOCATIONS!A530))</f>
        <v/>
      </c>
      <c r="C536" s="6">
        <f>IF(ALLOCATIONS!A530="","",IFERROR(VLOOKUP(ALLOCATIONS!B530,MAPPING!$E$3:$G$302,2,FALSE),"UNMAPPED"))</f>
        <v/>
      </c>
      <c r="D536" s="6">
        <f>IF(ALLOCATIONS!A530="","",IFERROR(IF(VLOOKUP(ALLOCATIONS!B530,MAPPING!$E$3:$G$302,3,FALSE)="","",VLOOKUP(ALLOCATIONS!B530,MAPPING!$E$3:$G$302,3,FALSE)),""))</f>
        <v/>
      </c>
      <c r="E536" s="6">
        <f>IF(ALLOCATIONS!A530="","",ALLOCATIONS!C530)</f>
        <v/>
      </c>
      <c r="F536" s="6">
        <f>IF(ALLOCATIONS!A530="","",IF(ALLOCATIONS!D530="",0,ALLOCATIONS!D530))</f>
        <v/>
      </c>
      <c r="G536" s="6">
        <f>IF(ALLOCATIONS!A530="","",SUMIFS(RAW_004!$I$2:$I$10001,RAW_004!$D$2:$D$10001,ALLOCATIONS!A530,RAW_004!$H$2:$H$10001,ALLOCATIONS!B530,RAW_004!$N$2:$N$10001,ALLOCATIONS!C530))</f>
        <v/>
      </c>
      <c r="H536" s="6">
        <f>IF(A536="","",G536-F536)</f>
        <v/>
      </c>
    </row>
    <row r="537">
      <c r="A537" s="6">
        <f>IF(ALLOCATIONS!A531="","",IFERROR(VLOOKUP(ALLOCATIONS!A531,MAPPING!$A$3:$C$302,2,FALSE),"UNMAPPED"))</f>
        <v/>
      </c>
      <c r="B537" s="6">
        <f>IF(ALLOCATIONS!A531="","",IFERROR(VLOOKUP(ALLOCATIONS!A531,MAPPING!$A$3:$C$302,3,FALSE),ALLOCATIONS!A531))</f>
        <v/>
      </c>
      <c r="C537" s="6">
        <f>IF(ALLOCATIONS!A531="","",IFERROR(VLOOKUP(ALLOCATIONS!B531,MAPPING!$E$3:$G$302,2,FALSE),"UNMAPPED"))</f>
        <v/>
      </c>
      <c r="D537" s="6">
        <f>IF(ALLOCATIONS!A531="","",IFERROR(IF(VLOOKUP(ALLOCATIONS!B531,MAPPING!$E$3:$G$302,3,FALSE)="","",VLOOKUP(ALLOCATIONS!B531,MAPPING!$E$3:$G$302,3,FALSE)),""))</f>
        <v/>
      </c>
      <c r="E537" s="6">
        <f>IF(ALLOCATIONS!A531="","",ALLOCATIONS!C531)</f>
        <v/>
      </c>
      <c r="F537" s="6">
        <f>IF(ALLOCATIONS!A531="","",IF(ALLOCATIONS!D531="",0,ALLOCATIONS!D531))</f>
        <v/>
      </c>
      <c r="G537" s="6">
        <f>IF(ALLOCATIONS!A531="","",SUMIFS(RAW_004!$I$2:$I$10001,RAW_004!$D$2:$D$10001,ALLOCATIONS!A531,RAW_004!$H$2:$H$10001,ALLOCATIONS!B531,RAW_004!$N$2:$N$10001,ALLOCATIONS!C531))</f>
        <v/>
      </c>
      <c r="H537" s="6">
        <f>IF(A537="","",G537-F537)</f>
        <v/>
      </c>
    </row>
    <row r="538">
      <c r="A538" s="6">
        <f>IF(ALLOCATIONS!A532="","",IFERROR(VLOOKUP(ALLOCATIONS!A532,MAPPING!$A$3:$C$302,2,FALSE),"UNMAPPED"))</f>
        <v/>
      </c>
      <c r="B538" s="6">
        <f>IF(ALLOCATIONS!A532="","",IFERROR(VLOOKUP(ALLOCATIONS!A532,MAPPING!$A$3:$C$302,3,FALSE),ALLOCATIONS!A532))</f>
        <v/>
      </c>
      <c r="C538" s="6">
        <f>IF(ALLOCATIONS!A532="","",IFERROR(VLOOKUP(ALLOCATIONS!B532,MAPPING!$E$3:$G$302,2,FALSE),"UNMAPPED"))</f>
        <v/>
      </c>
      <c r="D538" s="6">
        <f>IF(ALLOCATIONS!A532="","",IFERROR(IF(VLOOKUP(ALLOCATIONS!B532,MAPPING!$E$3:$G$302,3,FALSE)="","",VLOOKUP(ALLOCATIONS!B532,MAPPING!$E$3:$G$302,3,FALSE)),""))</f>
        <v/>
      </c>
      <c r="E538" s="6">
        <f>IF(ALLOCATIONS!A532="","",ALLOCATIONS!C532)</f>
        <v/>
      </c>
      <c r="F538" s="6">
        <f>IF(ALLOCATIONS!A532="","",IF(ALLOCATIONS!D532="",0,ALLOCATIONS!D532))</f>
        <v/>
      </c>
      <c r="G538" s="6">
        <f>IF(ALLOCATIONS!A532="","",SUMIFS(RAW_004!$I$2:$I$10001,RAW_004!$D$2:$D$10001,ALLOCATIONS!A532,RAW_004!$H$2:$H$10001,ALLOCATIONS!B532,RAW_004!$N$2:$N$10001,ALLOCATIONS!C532))</f>
        <v/>
      </c>
      <c r="H538" s="6">
        <f>IF(A538="","",G538-F538)</f>
        <v/>
      </c>
    </row>
    <row r="539">
      <c r="A539" s="6">
        <f>IF(ALLOCATIONS!A533="","",IFERROR(VLOOKUP(ALLOCATIONS!A533,MAPPING!$A$3:$C$302,2,FALSE),"UNMAPPED"))</f>
        <v/>
      </c>
      <c r="B539" s="6">
        <f>IF(ALLOCATIONS!A533="","",IFERROR(VLOOKUP(ALLOCATIONS!A533,MAPPING!$A$3:$C$302,3,FALSE),ALLOCATIONS!A533))</f>
        <v/>
      </c>
      <c r="C539" s="6">
        <f>IF(ALLOCATIONS!A533="","",IFERROR(VLOOKUP(ALLOCATIONS!B533,MAPPING!$E$3:$G$302,2,FALSE),"UNMAPPED"))</f>
        <v/>
      </c>
      <c r="D539" s="6">
        <f>IF(ALLOCATIONS!A533="","",IFERROR(IF(VLOOKUP(ALLOCATIONS!B533,MAPPING!$E$3:$G$302,3,FALSE)="","",VLOOKUP(ALLOCATIONS!B533,MAPPING!$E$3:$G$302,3,FALSE)),""))</f>
        <v/>
      </c>
      <c r="E539" s="6">
        <f>IF(ALLOCATIONS!A533="","",ALLOCATIONS!C533)</f>
        <v/>
      </c>
      <c r="F539" s="6">
        <f>IF(ALLOCATIONS!A533="","",IF(ALLOCATIONS!D533="",0,ALLOCATIONS!D533))</f>
        <v/>
      </c>
      <c r="G539" s="6">
        <f>IF(ALLOCATIONS!A533="","",SUMIFS(RAW_004!$I$2:$I$10001,RAW_004!$D$2:$D$10001,ALLOCATIONS!A533,RAW_004!$H$2:$H$10001,ALLOCATIONS!B533,RAW_004!$N$2:$N$10001,ALLOCATIONS!C533))</f>
        <v/>
      </c>
      <c r="H539" s="6">
        <f>IF(A539="","",G539-F539)</f>
        <v/>
      </c>
    </row>
    <row r="540">
      <c r="A540" s="6">
        <f>IF(ALLOCATIONS!A534="","",IFERROR(VLOOKUP(ALLOCATIONS!A534,MAPPING!$A$3:$C$302,2,FALSE),"UNMAPPED"))</f>
        <v/>
      </c>
      <c r="B540" s="6">
        <f>IF(ALLOCATIONS!A534="","",IFERROR(VLOOKUP(ALLOCATIONS!A534,MAPPING!$A$3:$C$302,3,FALSE),ALLOCATIONS!A534))</f>
        <v/>
      </c>
      <c r="C540" s="6">
        <f>IF(ALLOCATIONS!A534="","",IFERROR(VLOOKUP(ALLOCATIONS!B534,MAPPING!$E$3:$G$302,2,FALSE),"UNMAPPED"))</f>
        <v/>
      </c>
      <c r="D540" s="6">
        <f>IF(ALLOCATIONS!A534="","",IFERROR(IF(VLOOKUP(ALLOCATIONS!B534,MAPPING!$E$3:$G$302,3,FALSE)="","",VLOOKUP(ALLOCATIONS!B534,MAPPING!$E$3:$G$302,3,FALSE)),""))</f>
        <v/>
      </c>
      <c r="E540" s="6">
        <f>IF(ALLOCATIONS!A534="","",ALLOCATIONS!C534)</f>
        <v/>
      </c>
      <c r="F540" s="6">
        <f>IF(ALLOCATIONS!A534="","",IF(ALLOCATIONS!D534="",0,ALLOCATIONS!D534))</f>
        <v/>
      </c>
      <c r="G540" s="6">
        <f>IF(ALLOCATIONS!A534="","",SUMIFS(RAW_004!$I$2:$I$10001,RAW_004!$D$2:$D$10001,ALLOCATIONS!A534,RAW_004!$H$2:$H$10001,ALLOCATIONS!B534,RAW_004!$N$2:$N$10001,ALLOCATIONS!C534))</f>
        <v/>
      </c>
      <c r="H540" s="6">
        <f>IF(A540="","",G540-F540)</f>
        <v/>
      </c>
    </row>
    <row r="541">
      <c r="A541" s="6">
        <f>IF(ALLOCATIONS!A535="","",IFERROR(VLOOKUP(ALLOCATIONS!A535,MAPPING!$A$3:$C$302,2,FALSE),"UNMAPPED"))</f>
        <v/>
      </c>
      <c r="B541" s="6">
        <f>IF(ALLOCATIONS!A535="","",IFERROR(VLOOKUP(ALLOCATIONS!A535,MAPPING!$A$3:$C$302,3,FALSE),ALLOCATIONS!A535))</f>
        <v/>
      </c>
      <c r="C541" s="6">
        <f>IF(ALLOCATIONS!A535="","",IFERROR(VLOOKUP(ALLOCATIONS!B535,MAPPING!$E$3:$G$302,2,FALSE),"UNMAPPED"))</f>
        <v/>
      </c>
      <c r="D541" s="6">
        <f>IF(ALLOCATIONS!A535="","",IFERROR(IF(VLOOKUP(ALLOCATIONS!B535,MAPPING!$E$3:$G$302,3,FALSE)="","",VLOOKUP(ALLOCATIONS!B535,MAPPING!$E$3:$G$302,3,FALSE)),""))</f>
        <v/>
      </c>
      <c r="E541" s="6">
        <f>IF(ALLOCATIONS!A535="","",ALLOCATIONS!C535)</f>
        <v/>
      </c>
      <c r="F541" s="6">
        <f>IF(ALLOCATIONS!A535="","",IF(ALLOCATIONS!D535="",0,ALLOCATIONS!D535))</f>
        <v/>
      </c>
      <c r="G541" s="6">
        <f>IF(ALLOCATIONS!A535="","",SUMIFS(RAW_004!$I$2:$I$10001,RAW_004!$D$2:$D$10001,ALLOCATIONS!A535,RAW_004!$H$2:$H$10001,ALLOCATIONS!B535,RAW_004!$N$2:$N$10001,ALLOCATIONS!C535))</f>
        <v/>
      </c>
      <c r="H541" s="6">
        <f>IF(A541="","",G541-F541)</f>
        <v/>
      </c>
    </row>
    <row r="542">
      <c r="A542" s="6">
        <f>IF(ALLOCATIONS!A536="","",IFERROR(VLOOKUP(ALLOCATIONS!A536,MAPPING!$A$3:$C$302,2,FALSE),"UNMAPPED"))</f>
        <v/>
      </c>
      <c r="B542" s="6">
        <f>IF(ALLOCATIONS!A536="","",IFERROR(VLOOKUP(ALLOCATIONS!A536,MAPPING!$A$3:$C$302,3,FALSE),ALLOCATIONS!A536))</f>
        <v/>
      </c>
      <c r="C542" s="6">
        <f>IF(ALLOCATIONS!A536="","",IFERROR(VLOOKUP(ALLOCATIONS!B536,MAPPING!$E$3:$G$302,2,FALSE),"UNMAPPED"))</f>
        <v/>
      </c>
      <c r="D542" s="6">
        <f>IF(ALLOCATIONS!A536="","",IFERROR(IF(VLOOKUP(ALLOCATIONS!B536,MAPPING!$E$3:$G$302,3,FALSE)="","",VLOOKUP(ALLOCATIONS!B536,MAPPING!$E$3:$G$302,3,FALSE)),""))</f>
        <v/>
      </c>
      <c r="E542" s="6">
        <f>IF(ALLOCATIONS!A536="","",ALLOCATIONS!C536)</f>
        <v/>
      </c>
      <c r="F542" s="6">
        <f>IF(ALLOCATIONS!A536="","",IF(ALLOCATIONS!D536="",0,ALLOCATIONS!D536))</f>
        <v/>
      </c>
      <c r="G542" s="6">
        <f>IF(ALLOCATIONS!A536="","",SUMIFS(RAW_004!$I$2:$I$10001,RAW_004!$D$2:$D$10001,ALLOCATIONS!A536,RAW_004!$H$2:$H$10001,ALLOCATIONS!B536,RAW_004!$N$2:$N$10001,ALLOCATIONS!C536))</f>
        <v/>
      </c>
      <c r="H542" s="6">
        <f>IF(A542="","",G542-F542)</f>
        <v/>
      </c>
    </row>
    <row r="543">
      <c r="A543" s="6">
        <f>IF(ALLOCATIONS!A537="","",IFERROR(VLOOKUP(ALLOCATIONS!A537,MAPPING!$A$3:$C$302,2,FALSE),"UNMAPPED"))</f>
        <v/>
      </c>
      <c r="B543" s="6">
        <f>IF(ALLOCATIONS!A537="","",IFERROR(VLOOKUP(ALLOCATIONS!A537,MAPPING!$A$3:$C$302,3,FALSE),ALLOCATIONS!A537))</f>
        <v/>
      </c>
      <c r="C543" s="6">
        <f>IF(ALLOCATIONS!A537="","",IFERROR(VLOOKUP(ALLOCATIONS!B537,MAPPING!$E$3:$G$302,2,FALSE),"UNMAPPED"))</f>
        <v/>
      </c>
      <c r="D543" s="6">
        <f>IF(ALLOCATIONS!A537="","",IFERROR(IF(VLOOKUP(ALLOCATIONS!B537,MAPPING!$E$3:$G$302,3,FALSE)="","",VLOOKUP(ALLOCATIONS!B537,MAPPING!$E$3:$G$302,3,FALSE)),""))</f>
        <v/>
      </c>
      <c r="E543" s="6">
        <f>IF(ALLOCATIONS!A537="","",ALLOCATIONS!C537)</f>
        <v/>
      </c>
      <c r="F543" s="6">
        <f>IF(ALLOCATIONS!A537="","",IF(ALLOCATIONS!D537="",0,ALLOCATIONS!D537))</f>
        <v/>
      </c>
      <c r="G543" s="6">
        <f>IF(ALLOCATIONS!A537="","",SUMIFS(RAW_004!$I$2:$I$10001,RAW_004!$D$2:$D$10001,ALLOCATIONS!A537,RAW_004!$H$2:$H$10001,ALLOCATIONS!B537,RAW_004!$N$2:$N$10001,ALLOCATIONS!C537))</f>
        <v/>
      </c>
      <c r="H543" s="6">
        <f>IF(A543="","",G543-F543)</f>
        <v/>
      </c>
    </row>
    <row r="544">
      <c r="A544" s="6">
        <f>IF(ALLOCATIONS!A538="","",IFERROR(VLOOKUP(ALLOCATIONS!A538,MAPPING!$A$3:$C$302,2,FALSE),"UNMAPPED"))</f>
        <v/>
      </c>
      <c r="B544" s="6">
        <f>IF(ALLOCATIONS!A538="","",IFERROR(VLOOKUP(ALLOCATIONS!A538,MAPPING!$A$3:$C$302,3,FALSE),ALLOCATIONS!A538))</f>
        <v/>
      </c>
      <c r="C544" s="6">
        <f>IF(ALLOCATIONS!A538="","",IFERROR(VLOOKUP(ALLOCATIONS!B538,MAPPING!$E$3:$G$302,2,FALSE),"UNMAPPED"))</f>
        <v/>
      </c>
      <c r="D544" s="6">
        <f>IF(ALLOCATIONS!A538="","",IFERROR(IF(VLOOKUP(ALLOCATIONS!B538,MAPPING!$E$3:$G$302,3,FALSE)="","",VLOOKUP(ALLOCATIONS!B538,MAPPING!$E$3:$G$302,3,FALSE)),""))</f>
        <v/>
      </c>
      <c r="E544" s="6">
        <f>IF(ALLOCATIONS!A538="","",ALLOCATIONS!C538)</f>
        <v/>
      </c>
      <c r="F544" s="6">
        <f>IF(ALLOCATIONS!A538="","",IF(ALLOCATIONS!D538="",0,ALLOCATIONS!D538))</f>
        <v/>
      </c>
      <c r="G544" s="6">
        <f>IF(ALLOCATIONS!A538="","",SUMIFS(RAW_004!$I$2:$I$10001,RAW_004!$D$2:$D$10001,ALLOCATIONS!A538,RAW_004!$H$2:$H$10001,ALLOCATIONS!B538,RAW_004!$N$2:$N$10001,ALLOCATIONS!C538))</f>
        <v/>
      </c>
      <c r="H544" s="6">
        <f>IF(A544="","",G544-F544)</f>
        <v/>
      </c>
    </row>
    <row r="545">
      <c r="A545" s="6">
        <f>IF(ALLOCATIONS!A539="","",IFERROR(VLOOKUP(ALLOCATIONS!A539,MAPPING!$A$3:$C$302,2,FALSE),"UNMAPPED"))</f>
        <v/>
      </c>
      <c r="B545" s="6">
        <f>IF(ALLOCATIONS!A539="","",IFERROR(VLOOKUP(ALLOCATIONS!A539,MAPPING!$A$3:$C$302,3,FALSE),ALLOCATIONS!A539))</f>
        <v/>
      </c>
      <c r="C545" s="6">
        <f>IF(ALLOCATIONS!A539="","",IFERROR(VLOOKUP(ALLOCATIONS!B539,MAPPING!$E$3:$G$302,2,FALSE),"UNMAPPED"))</f>
        <v/>
      </c>
      <c r="D545" s="6">
        <f>IF(ALLOCATIONS!A539="","",IFERROR(IF(VLOOKUP(ALLOCATIONS!B539,MAPPING!$E$3:$G$302,3,FALSE)="","",VLOOKUP(ALLOCATIONS!B539,MAPPING!$E$3:$G$302,3,FALSE)),""))</f>
        <v/>
      </c>
      <c r="E545" s="6">
        <f>IF(ALLOCATIONS!A539="","",ALLOCATIONS!C539)</f>
        <v/>
      </c>
      <c r="F545" s="6">
        <f>IF(ALLOCATIONS!A539="","",IF(ALLOCATIONS!D539="",0,ALLOCATIONS!D539))</f>
        <v/>
      </c>
      <c r="G545" s="6">
        <f>IF(ALLOCATIONS!A539="","",SUMIFS(RAW_004!$I$2:$I$10001,RAW_004!$D$2:$D$10001,ALLOCATIONS!A539,RAW_004!$H$2:$H$10001,ALLOCATIONS!B539,RAW_004!$N$2:$N$10001,ALLOCATIONS!C539))</f>
        <v/>
      </c>
      <c r="H545" s="6">
        <f>IF(A545="","",G545-F545)</f>
        <v/>
      </c>
    </row>
    <row r="546">
      <c r="A546" s="6">
        <f>IF(ALLOCATIONS!A540="","",IFERROR(VLOOKUP(ALLOCATIONS!A540,MAPPING!$A$3:$C$302,2,FALSE),"UNMAPPED"))</f>
        <v/>
      </c>
      <c r="B546" s="6">
        <f>IF(ALLOCATIONS!A540="","",IFERROR(VLOOKUP(ALLOCATIONS!A540,MAPPING!$A$3:$C$302,3,FALSE),ALLOCATIONS!A540))</f>
        <v/>
      </c>
      <c r="C546" s="6">
        <f>IF(ALLOCATIONS!A540="","",IFERROR(VLOOKUP(ALLOCATIONS!B540,MAPPING!$E$3:$G$302,2,FALSE),"UNMAPPED"))</f>
        <v/>
      </c>
      <c r="D546" s="6">
        <f>IF(ALLOCATIONS!A540="","",IFERROR(IF(VLOOKUP(ALLOCATIONS!B540,MAPPING!$E$3:$G$302,3,FALSE)="","",VLOOKUP(ALLOCATIONS!B540,MAPPING!$E$3:$G$302,3,FALSE)),""))</f>
        <v/>
      </c>
      <c r="E546" s="6">
        <f>IF(ALLOCATIONS!A540="","",ALLOCATIONS!C540)</f>
        <v/>
      </c>
      <c r="F546" s="6">
        <f>IF(ALLOCATIONS!A540="","",IF(ALLOCATIONS!D540="",0,ALLOCATIONS!D540))</f>
        <v/>
      </c>
      <c r="G546" s="6">
        <f>IF(ALLOCATIONS!A540="","",SUMIFS(RAW_004!$I$2:$I$10001,RAW_004!$D$2:$D$10001,ALLOCATIONS!A540,RAW_004!$H$2:$H$10001,ALLOCATIONS!B540,RAW_004!$N$2:$N$10001,ALLOCATIONS!C540))</f>
        <v/>
      </c>
      <c r="H546" s="6">
        <f>IF(A546="","",G546-F546)</f>
        <v/>
      </c>
    </row>
    <row r="547">
      <c r="A547" s="6">
        <f>IF(ALLOCATIONS!A541="","",IFERROR(VLOOKUP(ALLOCATIONS!A541,MAPPING!$A$3:$C$302,2,FALSE),"UNMAPPED"))</f>
        <v/>
      </c>
      <c r="B547" s="6">
        <f>IF(ALLOCATIONS!A541="","",IFERROR(VLOOKUP(ALLOCATIONS!A541,MAPPING!$A$3:$C$302,3,FALSE),ALLOCATIONS!A541))</f>
        <v/>
      </c>
      <c r="C547" s="6">
        <f>IF(ALLOCATIONS!A541="","",IFERROR(VLOOKUP(ALLOCATIONS!B541,MAPPING!$E$3:$G$302,2,FALSE),"UNMAPPED"))</f>
        <v/>
      </c>
      <c r="D547" s="6">
        <f>IF(ALLOCATIONS!A541="","",IFERROR(IF(VLOOKUP(ALLOCATIONS!B541,MAPPING!$E$3:$G$302,3,FALSE)="","",VLOOKUP(ALLOCATIONS!B541,MAPPING!$E$3:$G$302,3,FALSE)),""))</f>
        <v/>
      </c>
      <c r="E547" s="6">
        <f>IF(ALLOCATIONS!A541="","",ALLOCATIONS!C541)</f>
        <v/>
      </c>
      <c r="F547" s="6">
        <f>IF(ALLOCATIONS!A541="","",IF(ALLOCATIONS!D541="",0,ALLOCATIONS!D541))</f>
        <v/>
      </c>
      <c r="G547" s="6">
        <f>IF(ALLOCATIONS!A541="","",SUMIFS(RAW_004!$I$2:$I$10001,RAW_004!$D$2:$D$10001,ALLOCATIONS!A541,RAW_004!$H$2:$H$10001,ALLOCATIONS!B541,RAW_004!$N$2:$N$10001,ALLOCATIONS!C541))</f>
        <v/>
      </c>
      <c r="H547" s="6">
        <f>IF(A547="","",G547-F547)</f>
        <v/>
      </c>
    </row>
    <row r="548">
      <c r="A548" s="6">
        <f>IF(ALLOCATIONS!A542="","",IFERROR(VLOOKUP(ALLOCATIONS!A542,MAPPING!$A$3:$C$302,2,FALSE),"UNMAPPED"))</f>
        <v/>
      </c>
      <c r="B548" s="6">
        <f>IF(ALLOCATIONS!A542="","",IFERROR(VLOOKUP(ALLOCATIONS!A542,MAPPING!$A$3:$C$302,3,FALSE),ALLOCATIONS!A542))</f>
        <v/>
      </c>
      <c r="C548" s="6">
        <f>IF(ALLOCATIONS!A542="","",IFERROR(VLOOKUP(ALLOCATIONS!B542,MAPPING!$E$3:$G$302,2,FALSE),"UNMAPPED"))</f>
        <v/>
      </c>
      <c r="D548" s="6">
        <f>IF(ALLOCATIONS!A542="","",IFERROR(IF(VLOOKUP(ALLOCATIONS!B542,MAPPING!$E$3:$G$302,3,FALSE)="","",VLOOKUP(ALLOCATIONS!B542,MAPPING!$E$3:$G$302,3,FALSE)),""))</f>
        <v/>
      </c>
      <c r="E548" s="6">
        <f>IF(ALLOCATIONS!A542="","",ALLOCATIONS!C542)</f>
        <v/>
      </c>
      <c r="F548" s="6">
        <f>IF(ALLOCATIONS!A542="","",IF(ALLOCATIONS!D542="",0,ALLOCATIONS!D542))</f>
        <v/>
      </c>
      <c r="G548" s="6">
        <f>IF(ALLOCATIONS!A542="","",SUMIFS(RAW_004!$I$2:$I$10001,RAW_004!$D$2:$D$10001,ALLOCATIONS!A542,RAW_004!$H$2:$H$10001,ALLOCATIONS!B542,RAW_004!$N$2:$N$10001,ALLOCATIONS!C542))</f>
        <v/>
      </c>
      <c r="H548" s="6">
        <f>IF(A548="","",G548-F548)</f>
        <v/>
      </c>
    </row>
    <row r="549">
      <c r="A549" s="6">
        <f>IF(ALLOCATIONS!A543="","",IFERROR(VLOOKUP(ALLOCATIONS!A543,MAPPING!$A$3:$C$302,2,FALSE),"UNMAPPED"))</f>
        <v/>
      </c>
      <c r="B549" s="6">
        <f>IF(ALLOCATIONS!A543="","",IFERROR(VLOOKUP(ALLOCATIONS!A543,MAPPING!$A$3:$C$302,3,FALSE),ALLOCATIONS!A543))</f>
        <v/>
      </c>
      <c r="C549" s="6">
        <f>IF(ALLOCATIONS!A543="","",IFERROR(VLOOKUP(ALLOCATIONS!B543,MAPPING!$E$3:$G$302,2,FALSE),"UNMAPPED"))</f>
        <v/>
      </c>
      <c r="D549" s="6">
        <f>IF(ALLOCATIONS!A543="","",IFERROR(IF(VLOOKUP(ALLOCATIONS!B543,MAPPING!$E$3:$G$302,3,FALSE)="","",VLOOKUP(ALLOCATIONS!B543,MAPPING!$E$3:$G$302,3,FALSE)),""))</f>
        <v/>
      </c>
      <c r="E549" s="6">
        <f>IF(ALLOCATIONS!A543="","",ALLOCATIONS!C543)</f>
        <v/>
      </c>
      <c r="F549" s="6">
        <f>IF(ALLOCATIONS!A543="","",IF(ALLOCATIONS!D543="",0,ALLOCATIONS!D543))</f>
        <v/>
      </c>
      <c r="G549" s="6">
        <f>IF(ALLOCATIONS!A543="","",SUMIFS(RAW_004!$I$2:$I$10001,RAW_004!$D$2:$D$10001,ALLOCATIONS!A543,RAW_004!$H$2:$H$10001,ALLOCATIONS!B543,RAW_004!$N$2:$N$10001,ALLOCATIONS!C543))</f>
        <v/>
      </c>
      <c r="H549" s="6">
        <f>IF(A549="","",G549-F549)</f>
        <v/>
      </c>
    </row>
    <row r="550">
      <c r="A550" s="6">
        <f>IF(ALLOCATIONS!A544="","",IFERROR(VLOOKUP(ALLOCATIONS!A544,MAPPING!$A$3:$C$302,2,FALSE),"UNMAPPED"))</f>
        <v/>
      </c>
      <c r="B550" s="6">
        <f>IF(ALLOCATIONS!A544="","",IFERROR(VLOOKUP(ALLOCATIONS!A544,MAPPING!$A$3:$C$302,3,FALSE),ALLOCATIONS!A544))</f>
        <v/>
      </c>
      <c r="C550" s="6">
        <f>IF(ALLOCATIONS!A544="","",IFERROR(VLOOKUP(ALLOCATIONS!B544,MAPPING!$E$3:$G$302,2,FALSE),"UNMAPPED"))</f>
        <v/>
      </c>
      <c r="D550" s="6">
        <f>IF(ALLOCATIONS!A544="","",IFERROR(IF(VLOOKUP(ALLOCATIONS!B544,MAPPING!$E$3:$G$302,3,FALSE)="","",VLOOKUP(ALLOCATIONS!B544,MAPPING!$E$3:$G$302,3,FALSE)),""))</f>
        <v/>
      </c>
      <c r="E550" s="6">
        <f>IF(ALLOCATIONS!A544="","",ALLOCATIONS!C544)</f>
        <v/>
      </c>
      <c r="F550" s="6">
        <f>IF(ALLOCATIONS!A544="","",IF(ALLOCATIONS!D544="",0,ALLOCATIONS!D544))</f>
        <v/>
      </c>
      <c r="G550" s="6">
        <f>IF(ALLOCATIONS!A544="","",SUMIFS(RAW_004!$I$2:$I$10001,RAW_004!$D$2:$D$10001,ALLOCATIONS!A544,RAW_004!$H$2:$H$10001,ALLOCATIONS!B544,RAW_004!$N$2:$N$10001,ALLOCATIONS!C544))</f>
        <v/>
      </c>
      <c r="H550" s="6">
        <f>IF(A550="","",G550-F550)</f>
        <v/>
      </c>
    </row>
    <row r="551">
      <c r="A551" s="6">
        <f>IF(ALLOCATIONS!A545="","",IFERROR(VLOOKUP(ALLOCATIONS!A545,MAPPING!$A$3:$C$302,2,FALSE),"UNMAPPED"))</f>
        <v/>
      </c>
      <c r="B551" s="6">
        <f>IF(ALLOCATIONS!A545="","",IFERROR(VLOOKUP(ALLOCATIONS!A545,MAPPING!$A$3:$C$302,3,FALSE),ALLOCATIONS!A545))</f>
        <v/>
      </c>
      <c r="C551" s="6">
        <f>IF(ALLOCATIONS!A545="","",IFERROR(VLOOKUP(ALLOCATIONS!B545,MAPPING!$E$3:$G$302,2,FALSE),"UNMAPPED"))</f>
        <v/>
      </c>
      <c r="D551" s="6">
        <f>IF(ALLOCATIONS!A545="","",IFERROR(IF(VLOOKUP(ALLOCATIONS!B545,MAPPING!$E$3:$G$302,3,FALSE)="","",VLOOKUP(ALLOCATIONS!B545,MAPPING!$E$3:$G$302,3,FALSE)),""))</f>
        <v/>
      </c>
      <c r="E551" s="6">
        <f>IF(ALLOCATIONS!A545="","",ALLOCATIONS!C545)</f>
        <v/>
      </c>
      <c r="F551" s="6">
        <f>IF(ALLOCATIONS!A545="","",IF(ALLOCATIONS!D545="",0,ALLOCATIONS!D545))</f>
        <v/>
      </c>
      <c r="G551" s="6">
        <f>IF(ALLOCATIONS!A545="","",SUMIFS(RAW_004!$I$2:$I$10001,RAW_004!$D$2:$D$10001,ALLOCATIONS!A545,RAW_004!$H$2:$H$10001,ALLOCATIONS!B545,RAW_004!$N$2:$N$10001,ALLOCATIONS!C545))</f>
        <v/>
      </c>
      <c r="H551" s="6">
        <f>IF(A551="","",G551-F551)</f>
        <v/>
      </c>
    </row>
    <row r="552">
      <c r="A552" s="6">
        <f>IF(ALLOCATIONS!A546="","",IFERROR(VLOOKUP(ALLOCATIONS!A546,MAPPING!$A$3:$C$302,2,FALSE),"UNMAPPED"))</f>
        <v/>
      </c>
      <c r="B552" s="6">
        <f>IF(ALLOCATIONS!A546="","",IFERROR(VLOOKUP(ALLOCATIONS!A546,MAPPING!$A$3:$C$302,3,FALSE),ALLOCATIONS!A546))</f>
        <v/>
      </c>
      <c r="C552" s="6">
        <f>IF(ALLOCATIONS!A546="","",IFERROR(VLOOKUP(ALLOCATIONS!B546,MAPPING!$E$3:$G$302,2,FALSE),"UNMAPPED"))</f>
        <v/>
      </c>
      <c r="D552" s="6">
        <f>IF(ALLOCATIONS!A546="","",IFERROR(IF(VLOOKUP(ALLOCATIONS!B546,MAPPING!$E$3:$G$302,3,FALSE)="","",VLOOKUP(ALLOCATIONS!B546,MAPPING!$E$3:$G$302,3,FALSE)),""))</f>
        <v/>
      </c>
      <c r="E552" s="6">
        <f>IF(ALLOCATIONS!A546="","",ALLOCATIONS!C546)</f>
        <v/>
      </c>
      <c r="F552" s="6">
        <f>IF(ALLOCATIONS!A546="","",IF(ALLOCATIONS!D546="",0,ALLOCATIONS!D546))</f>
        <v/>
      </c>
      <c r="G552" s="6">
        <f>IF(ALLOCATIONS!A546="","",SUMIFS(RAW_004!$I$2:$I$10001,RAW_004!$D$2:$D$10001,ALLOCATIONS!A546,RAW_004!$H$2:$H$10001,ALLOCATIONS!B546,RAW_004!$N$2:$N$10001,ALLOCATIONS!C546))</f>
        <v/>
      </c>
      <c r="H552" s="6">
        <f>IF(A552="","",G552-F552)</f>
        <v/>
      </c>
    </row>
    <row r="553">
      <c r="A553" s="6">
        <f>IF(ALLOCATIONS!A547="","",IFERROR(VLOOKUP(ALLOCATIONS!A547,MAPPING!$A$3:$C$302,2,FALSE),"UNMAPPED"))</f>
        <v/>
      </c>
      <c r="B553" s="6">
        <f>IF(ALLOCATIONS!A547="","",IFERROR(VLOOKUP(ALLOCATIONS!A547,MAPPING!$A$3:$C$302,3,FALSE),ALLOCATIONS!A547))</f>
        <v/>
      </c>
      <c r="C553" s="6">
        <f>IF(ALLOCATIONS!A547="","",IFERROR(VLOOKUP(ALLOCATIONS!B547,MAPPING!$E$3:$G$302,2,FALSE),"UNMAPPED"))</f>
        <v/>
      </c>
      <c r="D553" s="6">
        <f>IF(ALLOCATIONS!A547="","",IFERROR(IF(VLOOKUP(ALLOCATIONS!B547,MAPPING!$E$3:$G$302,3,FALSE)="","",VLOOKUP(ALLOCATIONS!B547,MAPPING!$E$3:$G$302,3,FALSE)),""))</f>
        <v/>
      </c>
      <c r="E553" s="6">
        <f>IF(ALLOCATIONS!A547="","",ALLOCATIONS!C547)</f>
        <v/>
      </c>
      <c r="F553" s="6">
        <f>IF(ALLOCATIONS!A547="","",IF(ALLOCATIONS!D547="",0,ALLOCATIONS!D547))</f>
        <v/>
      </c>
      <c r="G553" s="6">
        <f>IF(ALLOCATIONS!A547="","",SUMIFS(RAW_004!$I$2:$I$10001,RAW_004!$D$2:$D$10001,ALLOCATIONS!A547,RAW_004!$H$2:$H$10001,ALLOCATIONS!B547,RAW_004!$N$2:$N$10001,ALLOCATIONS!C547))</f>
        <v/>
      </c>
      <c r="H553" s="6">
        <f>IF(A553="","",G553-F553)</f>
        <v/>
      </c>
    </row>
    <row r="554">
      <c r="A554" s="6">
        <f>IF(ALLOCATIONS!A548="","",IFERROR(VLOOKUP(ALLOCATIONS!A548,MAPPING!$A$3:$C$302,2,FALSE),"UNMAPPED"))</f>
        <v/>
      </c>
      <c r="B554" s="6">
        <f>IF(ALLOCATIONS!A548="","",IFERROR(VLOOKUP(ALLOCATIONS!A548,MAPPING!$A$3:$C$302,3,FALSE),ALLOCATIONS!A548))</f>
        <v/>
      </c>
      <c r="C554" s="6">
        <f>IF(ALLOCATIONS!A548="","",IFERROR(VLOOKUP(ALLOCATIONS!B548,MAPPING!$E$3:$G$302,2,FALSE),"UNMAPPED"))</f>
        <v/>
      </c>
      <c r="D554" s="6">
        <f>IF(ALLOCATIONS!A548="","",IFERROR(IF(VLOOKUP(ALLOCATIONS!B548,MAPPING!$E$3:$G$302,3,FALSE)="","",VLOOKUP(ALLOCATIONS!B548,MAPPING!$E$3:$G$302,3,FALSE)),""))</f>
        <v/>
      </c>
      <c r="E554" s="6">
        <f>IF(ALLOCATIONS!A548="","",ALLOCATIONS!C548)</f>
        <v/>
      </c>
      <c r="F554" s="6">
        <f>IF(ALLOCATIONS!A548="","",IF(ALLOCATIONS!D548="",0,ALLOCATIONS!D548))</f>
        <v/>
      </c>
      <c r="G554" s="6">
        <f>IF(ALLOCATIONS!A548="","",SUMIFS(RAW_004!$I$2:$I$10001,RAW_004!$D$2:$D$10001,ALLOCATIONS!A548,RAW_004!$H$2:$H$10001,ALLOCATIONS!B548,RAW_004!$N$2:$N$10001,ALLOCATIONS!C548))</f>
        <v/>
      </c>
      <c r="H554" s="6">
        <f>IF(A554="","",G554-F554)</f>
        <v/>
      </c>
    </row>
    <row r="555">
      <c r="A555" s="6">
        <f>IF(ALLOCATIONS!A549="","",IFERROR(VLOOKUP(ALLOCATIONS!A549,MAPPING!$A$3:$C$302,2,FALSE),"UNMAPPED"))</f>
        <v/>
      </c>
      <c r="B555" s="6">
        <f>IF(ALLOCATIONS!A549="","",IFERROR(VLOOKUP(ALLOCATIONS!A549,MAPPING!$A$3:$C$302,3,FALSE),ALLOCATIONS!A549))</f>
        <v/>
      </c>
      <c r="C555" s="6">
        <f>IF(ALLOCATIONS!A549="","",IFERROR(VLOOKUP(ALLOCATIONS!B549,MAPPING!$E$3:$G$302,2,FALSE),"UNMAPPED"))</f>
        <v/>
      </c>
      <c r="D555" s="6">
        <f>IF(ALLOCATIONS!A549="","",IFERROR(IF(VLOOKUP(ALLOCATIONS!B549,MAPPING!$E$3:$G$302,3,FALSE)="","",VLOOKUP(ALLOCATIONS!B549,MAPPING!$E$3:$G$302,3,FALSE)),""))</f>
        <v/>
      </c>
      <c r="E555" s="6">
        <f>IF(ALLOCATIONS!A549="","",ALLOCATIONS!C549)</f>
        <v/>
      </c>
      <c r="F555" s="6">
        <f>IF(ALLOCATIONS!A549="","",IF(ALLOCATIONS!D549="",0,ALLOCATIONS!D549))</f>
        <v/>
      </c>
      <c r="G555" s="6">
        <f>IF(ALLOCATIONS!A549="","",SUMIFS(RAW_004!$I$2:$I$10001,RAW_004!$D$2:$D$10001,ALLOCATIONS!A549,RAW_004!$H$2:$H$10001,ALLOCATIONS!B549,RAW_004!$N$2:$N$10001,ALLOCATIONS!C549))</f>
        <v/>
      </c>
      <c r="H555" s="6">
        <f>IF(A555="","",G555-F555)</f>
        <v/>
      </c>
    </row>
    <row r="556">
      <c r="A556" s="6">
        <f>IF(ALLOCATIONS!A550="","",IFERROR(VLOOKUP(ALLOCATIONS!A550,MAPPING!$A$3:$C$302,2,FALSE),"UNMAPPED"))</f>
        <v/>
      </c>
      <c r="B556" s="6">
        <f>IF(ALLOCATIONS!A550="","",IFERROR(VLOOKUP(ALLOCATIONS!A550,MAPPING!$A$3:$C$302,3,FALSE),ALLOCATIONS!A550))</f>
        <v/>
      </c>
      <c r="C556" s="6">
        <f>IF(ALLOCATIONS!A550="","",IFERROR(VLOOKUP(ALLOCATIONS!B550,MAPPING!$E$3:$G$302,2,FALSE),"UNMAPPED"))</f>
        <v/>
      </c>
      <c r="D556" s="6">
        <f>IF(ALLOCATIONS!A550="","",IFERROR(IF(VLOOKUP(ALLOCATIONS!B550,MAPPING!$E$3:$G$302,3,FALSE)="","",VLOOKUP(ALLOCATIONS!B550,MAPPING!$E$3:$G$302,3,FALSE)),""))</f>
        <v/>
      </c>
      <c r="E556" s="6">
        <f>IF(ALLOCATIONS!A550="","",ALLOCATIONS!C550)</f>
        <v/>
      </c>
      <c r="F556" s="6">
        <f>IF(ALLOCATIONS!A550="","",IF(ALLOCATIONS!D550="",0,ALLOCATIONS!D550))</f>
        <v/>
      </c>
      <c r="G556" s="6">
        <f>IF(ALLOCATIONS!A550="","",SUMIFS(RAW_004!$I$2:$I$10001,RAW_004!$D$2:$D$10001,ALLOCATIONS!A550,RAW_004!$H$2:$H$10001,ALLOCATIONS!B550,RAW_004!$N$2:$N$10001,ALLOCATIONS!C550))</f>
        <v/>
      </c>
      <c r="H556" s="6">
        <f>IF(A556="","",G556-F556)</f>
        <v/>
      </c>
    </row>
    <row r="557">
      <c r="A557" s="6">
        <f>IF(ALLOCATIONS!A551="","",IFERROR(VLOOKUP(ALLOCATIONS!A551,MAPPING!$A$3:$C$302,2,FALSE),"UNMAPPED"))</f>
        <v/>
      </c>
      <c r="B557" s="6">
        <f>IF(ALLOCATIONS!A551="","",IFERROR(VLOOKUP(ALLOCATIONS!A551,MAPPING!$A$3:$C$302,3,FALSE),ALLOCATIONS!A551))</f>
        <v/>
      </c>
      <c r="C557" s="6">
        <f>IF(ALLOCATIONS!A551="","",IFERROR(VLOOKUP(ALLOCATIONS!B551,MAPPING!$E$3:$G$302,2,FALSE),"UNMAPPED"))</f>
        <v/>
      </c>
      <c r="D557" s="6">
        <f>IF(ALLOCATIONS!A551="","",IFERROR(IF(VLOOKUP(ALLOCATIONS!B551,MAPPING!$E$3:$G$302,3,FALSE)="","",VLOOKUP(ALLOCATIONS!B551,MAPPING!$E$3:$G$302,3,FALSE)),""))</f>
        <v/>
      </c>
      <c r="E557" s="6">
        <f>IF(ALLOCATIONS!A551="","",ALLOCATIONS!C551)</f>
        <v/>
      </c>
      <c r="F557" s="6">
        <f>IF(ALLOCATIONS!A551="","",IF(ALLOCATIONS!D551="",0,ALLOCATIONS!D551))</f>
        <v/>
      </c>
      <c r="G557" s="6">
        <f>IF(ALLOCATIONS!A551="","",SUMIFS(RAW_004!$I$2:$I$10001,RAW_004!$D$2:$D$10001,ALLOCATIONS!A551,RAW_004!$H$2:$H$10001,ALLOCATIONS!B551,RAW_004!$N$2:$N$10001,ALLOCATIONS!C551))</f>
        <v/>
      </c>
      <c r="H557" s="6">
        <f>IF(A557="","",G557-F557)</f>
        <v/>
      </c>
    </row>
    <row r="558">
      <c r="A558" s="6">
        <f>IF(ALLOCATIONS!A552="","",IFERROR(VLOOKUP(ALLOCATIONS!A552,MAPPING!$A$3:$C$302,2,FALSE),"UNMAPPED"))</f>
        <v/>
      </c>
      <c r="B558" s="6">
        <f>IF(ALLOCATIONS!A552="","",IFERROR(VLOOKUP(ALLOCATIONS!A552,MAPPING!$A$3:$C$302,3,FALSE),ALLOCATIONS!A552))</f>
        <v/>
      </c>
      <c r="C558" s="6">
        <f>IF(ALLOCATIONS!A552="","",IFERROR(VLOOKUP(ALLOCATIONS!B552,MAPPING!$E$3:$G$302,2,FALSE),"UNMAPPED"))</f>
        <v/>
      </c>
      <c r="D558" s="6">
        <f>IF(ALLOCATIONS!A552="","",IFERROR(IF(VLOOKUP(ALLOCATIONS!B552,MAPPING!$E$3:$G$302,3,FALSE)="","",VLOOKUP(ALLOCATIONS!B552,MAPPING!$E$3:$G$302,3,FALSE)),""))</f>
        <v/>
      </c>
      <c r="E558" s="6">
        <f>IF(ALLOCATIONS!A552="","",ALLOCATIONS!C552)</f>
        <v/>
      </c>
      <c r="F558" s="6">
        <f>IF(ALLOCATIONS!A552="","",IF(ALLOCATIONS!D552="",0,ALLOCATIONS!D552))</f>
        <v/>
      </c>
      <c r="G558" s="6">
        <f>IF(ALLOCATIONS!A552="","",SUMIFS(RAW_004!$I$2:$I$10001,RAW_004!$D$2:$D$10001,ALLOCATIONS!A552,RAW_004!$H$2:$H$10001,ALLOCATIONS!B552,RAW_004!$N$2:$N$10001,ALLOCATIONS!C552))</f>
        <v/>
      </c>
      <c r="H558" s="6">
        <f>IF(A558="","",G558-F558)</f>
        <v/>
      </c>
    </row>
    <row r="559">
      <c r="A559" s="6">
        <f>IF(ALLOCATIONS!A553="","",IFERROR(VLOOKUP(ALLOCATIONS!A553,MAPPING!$A$3:$C$302,2,FALSE),"UNMAPPED"))</f>
        <v/>
      </c>
      <c r="B559" s="6">
        <f>IF(ALLOCATIONS!A553="","",IFERROR(VLOOKUP(ALLOCATIONS!A553,MAPPING!$A$3:$C$302,3,FALSE),ALLOCATIONS!A553))</f>
        <v/>
      </c>
      <c r="C559" s="6">
        <f>IF(ALLOCATIONS!A553="","",IFERROR(VLOOKUP(ALLOCATIONS!B553,MAPPING!$E$3:$G$302,2,FALSE),"UNMAPPED"))</f>
        <v/>
      </c>
      <c r="D559" s="6">
        <f>IF(ALLOCATIONS!A553="","",IFERROR(IF(VLOOKUP(ALLOCATIONS!B553,MAPPING!$E$3:$G$302,3,FALSE)="","",VLOOKUP(ALLOCATIONS!B553,MAPPING!$E$3:$G$302,3,FALSE)),""))</f>
        <v/>
      </c>
      <c r="E559" s="6">
        <f>IF(ALLOCATIONS!A553="","",ALLOCATIONS!C553)</f>
        <v/>
      </c>
      <c r="F559" s="6">
        <f>IF(ALLOCATIONS!A553="","",IF(ALLOCATIONS!D553="",0,ALLOCATIONS!D553))</f>
        <v/>
      </c>
      <c r="G559" s="6">
        <f>IF(ALLOCATIONS!A553="","",SUMIFS(RAW_004!$I$2:$I$10001,RAW_004!$D$2:$D$10001,ALLOCATIONS!A553,RAW_004!$H$2:$H$10001,ALLOCATIONS!B553,RAW_004!$N$2:$N$10001,ALLOCATIONS!C553))</f>
        <v/>
      </c>
      <c r="H559" s="6">
        <f>IF(A559="","",G559-F559)</f>
        <v/>
      </c>
    </row>
    <row r="560">
      <c r="A560" s="6">
        <f>IF(ALLOCATIONS!A554="","",IFERROR(VLOOKUP(ALLOCATIONS!A554,MAPPING!$A$3:$C$302,2,FALSE),"UNMAPPED"))</f>
        <v/>
      </c>
      <c r="B560" s="6">
        <f>IF(ALLOCATIONS!A554="","",IFERROR(VLOOKUP(ALLOCATIONS!A554,MAPPING!$A$3:$C$302,3,FALSE),ALLOCATIONS!A554))</f>
        <v/>
      </c>
      <c r="C560" s="6">
        <f>IF(ALLOCATIONS!A554="","",IFERROR(VLOOKUP(ALLOCATIONS!B554,MAPPING!$E$3:$G$302,2,FALSE),"UNMAPPED"))</f>
        <v/>
      </c>
      <c r="D560" s="6">
        <f>IF(ALLOCATIONS!A554="","",IFERROR(IF(VLOOKUP(ALLOCATIONS!B554,MAPPING!$E$3:$G$302,3,FALSE)="","",VLOOKUP(ALLOCATIONS!B554,MAPPING!$E$3:$G$302,3,FALSE)),""))</f>
        <v/>
      </c>
      <c r="E560" s="6">
        <f>IF(ALLOCATIONS!A554="","",ALLOCATIONS!C554)</f>
        <v/>
      </c>
      <c r="F560" s="6">
        <f>IF(ALLOCATIONS!A554="","",IF(ALLOCATIONS!D554="",0,ALLOCATIONS!D554))</f>
        <v/>
      </c>
      <c r="G560" s="6">
        <f>IF(ALLOCATIONS!A554="","",SUMIFS(RAW_004!$I$2:$I$10001,RAW_004!$D$2:$D$10001,ALLOCATIONS!A554,RAW_004!$H$2:$H$10001,ALLOCATIONS!B554,RAW_004!$N$2:$N$10001,ALLOCATIONS!C554))</f>
        <v/>
      </c>
      <c r="H560" s="6">
        <f>IF(A560="","",G560-F560)</f>
        <v/>
      </c>
    </row>
    <row r="561">
      <c r="A561" s="6">
        <f>IF(ALLOCATIONS!A555="","",IFERROR(VLOOKUP(ALLOCATIONS!A555,MAPPING!$A$3:$C$302,2,FALSE),"UNMAPPED"))</f>
        <v/>
      </c>
      <c r="B561" s="6">
        <f>IF(ALLOCATIONS!A555="","",IFERROR(VLOOKUP(ALLOCATIONS!A555,MAPPING!$A$3:$C$302,3,FALSE),ALLOCATIONS!A555))</f>
        <v/>
      </c>
      <c r="C561" s="6">
        <f>IF(ALLOCATIONS!A555="","",IFERROR(VLOOKUP(ALLOCATIONS!B555,MAPPING!$E$3:$G$302,2,FALSE),"UNMAPPED"))</f>
        <v/>
      </c>
      <c r="D561" s="6">
        <f>IF(ALLOCATIONS!A555="","",IFERROR(IF(VLOOKUP(ALLOCATIONS!B555,MAPPING!$E$3:$G$302,3,FALSE)="","",VLOOKUP(ALLOCATIONS!B555,MAPPING!$E$3:$G$302,3,FALSE)),""))</f>
        <v/>
      </c>
      <c r="E561" s="6">
        <f>IF(ALLOCATIONS!A555="","",ALLOCATIONS!C555)</f>
        <v/>
      </c>
      <c r="F561" s="6">
        <f>IF(ALLOCATIONS!A555="","",IF(ALLOCATIONS!D555="",0,ALLOCATIONS!D555))</f>
        <v/>
      </c>
      <c r="G561" s="6">
        <f>IF(ALLOCATIONS!A555="","",SUMIFS(RAW_004!$I$2:$I$10001,RAW_004!$D$2:$D$10001,ALLOCATIONS!A555,RAW_004!$H$2:$H$10001,ALLOCATIONS!B555,RAW_004!$N$2:$N$10001,ALLOCATIONS!C555))</f>
        <v/>
      </c>
      <c r="H561" s="6">
        <f>IF(A561="","",G561-F561)</f>
        <v/>
      </c>
    </row>
    <row r="562">
      <c r="A562" s="6">
        <f>IF(ALLOCATIONS!A556="","",IFERROR(VLOOKUP(ALLOCATIONS!A556,MAPPING!$A$3:$C$302,2,FALSE),"UNMAPPED"))</f>
        <v/>
      </c>
      <c r="B562" s="6">
        <f>IF(ALLOCATIONS!A556="","",IFERROR(VLOOKUP(ALLOCATIONS!A556,MAPPING!$A$3:$C$302,3,FALSE),ALLOCATIONS!A556))</f>
        <v/>
      </c>
      <c r="C562" s="6">
        <f>IF(ALLOCATIONS!A556="","",IFERROR(VLOOKUP(ALLOCATIONS!B556,MAPPING!$E$3:$G$302,2,FALSE),"UNMAPPED"))</f>
        <v/>
      </c>
      <c r="D562" s="6">
        <f>IF(ALLOCATIONS!A556="","",IFERROR(IF(VLOOKUP(ALLOCATIONS!B556,MAPPING!$E$3:$G$302,3,FALSE)="","",VLOOKUP(ALLOCATIONS!B556,MAPPING!$E$3:$G$302,3,FALSE)),""))</f>
        <v/>
      </c>
      <c r="E562" s="6">
        <f>IF(ALLOCATIONS!A556="","",ALLOCATIONS!C556)</f>
        <v/>
      </c>
      <c r="F562" s="6">
        <f>IF(ALLOCATIONS!A556="","",IF(ALLOCATIONS!D556="",0,ALLOCATIONS!D556))</f>
        <v/>
      </c>
      <c r="G562" s="6">
        <f>IF(ALLOCATIONS!A556="","",SUMIFS(RAW_004!$I$2:$I$10001,RAW_004!$D$2:$D$10001,ALLOCATIONS!A556,RAW_004!$H$2:$H$10001,ALLOCATIONS!B556,RAW_004!$N$2:$N$10001,ALLOCATIONS!C556))</f>
        <v/>
      </c>
      <c r="H562" s="6">
        <f>IF(A562="","",G562-F562)</f>
        <v/>
      </c>
    </row>
    <row r="563">
      <c r="A563" s="6">
        <f>IF(ALLOCATIONS!A557="","",IFERROR(VLOOKUP(ALLOCATIONS!A557,MAPPING!$A$3:$C$302,2,FALSE),"UNMAPPED"))</f>
        <v/>
      </c>
      <c r="B563" s="6">
        <f>IF(ALLOCATIONS!A557="","",IFERROR(VLOOKUP(ALLOCATIONS!A557,MAPPING!$A$3:$C$302,3,FALSE),ALLOCATIONS!A557))</f>
        <v/>
      </c>
      <c r="C563" s="6">
        <f>IF(ALLOCATIONS!A557="","",IFERROR(VLOOKUP(ALLOCATIONS!B557,MAPPING!$E$3:$G$302,2,FALSE),"UNMAPPED"))</f>
        <v/>
      </c>
      <c r="D563" s="6">
        <f>IF(ALLOCATIONS!A557="","",IFERROR(IF(VLOOKUP(ALLOCATIONS!B557,MAPPING!$E$3:$G$302,3,FALSE)="","",VLOOKUP(ALLOCATIONS!B557,MAPPING!$E$3:$G$302,3,FALSE)),""))</f>
        <v/>
      </c>
      <c r="E563" s="6">
        <f>IF(ALLOCATIONS!A557="","",ALLOCATIONS!C557)</f>
        <v/>
      </c>
      <c r="F563" s="6">
        <f>IF(ALLOCATIONS!A557="","",IF(ALLOCATIONS!D557="",0,ALLOCATIONS!D557))</f>
        <v/>
      </c>
      <c r="G563" s="6">
        <f>IF(ALLOCATIONS!A557="","",SUMIFS(RAW_004!$I$2:$I$10001,RAW_004!$D$2:$D$10001,ALLOCATIONS!A557,RAW_004!$H$2:$H$10001,ALLOCATIONS!B557,RAW_004!$N$2:$N$10001,ALLOCATIONS!C557))</f>
        <v/>
      </c>
      <c r="H563" s="6">
        <f>IF(A563="","",G563-F563)</f>
        <v/>
      </c>
    </row>
    <row r="564">
      <c r="A564" s="6">
        <f>IF(ALLOCATIONS!A558="","",IFERROR(VLOOKUP(ALLOCATIONS!A558,MAPPING!$A$3:$C$302,2,FALSE),"UNMAPPED"))</f>
        <v/>
      </c>
      <c r="B564" s="6">
        <f>IF(ALLOCATIONS!A558="","",IFERROR(VLOOKUP(ALLOCATIONS!A558,MAPPING!$A$3:$C$302,3,FALSE),ALLOCATIONS!A558))</f>
        <v/>
      </c>
      <c r="C564" s="6">
        <f>IF(ALLOCATIONS!A558="","",IFERROR(VLOOKUP(ALLOCATIONS!B558,MAPPING!$E$3:$G$302,2,FALSE),"UNMAPPED"))</f>
        <v/>
      </c>
      <c r="D564" s="6">
        <f>IF(ALLOCATIONS!A558="","",IFERROR(IF(VLOOKUP(ALLOCATIONS!B558,MAPPING!$E$3:$G$302,3,FALSE)="","",VLOOKUP(ALLOCATIONS!B558,MAPPING!$E$3:$G$302,3,FALSE)),""))</f>
        <v/>
      </c>
      <c r="E564" s="6">
        <f>IF(ALLOCATIONS!A558="","",ALLOCATIONS!C558)</f>
        <v/>
      </c>
      <c r="F564" s="6">
        <f>IF(ALLOCATIONS!A558="","",IF(ALLOCATIONS!D558="",0,ALLOCATIONS!D558))</f>
        <v/>
      </c>
      <c r="G564" s="6">
        <f>IF(ALLOCATIONS!A558="","",SUMIFS(RAW_004!$I$2:$I$10001,RAW_004!$D$2:$D$10001,ALLOCATIONS!A558,RAW_004!$H$2:$H$10001,ALLOCATIONS!B558,RAW_004!$N$2:$N$10001,ALLOCATIONS!C558))</f>
        <v/>
      </c>
      <c r="H564" s="6">
        <f>IF(A564="","",G564-F564)</f>
        <v/>
      </c>
    </row>
    <row r="565">
      <c r="A565" s="6">
        <f>IF(ALLOCATIONS!A559="","",IFERROR(VLOOKUP(ALLOCATIONS!A559,MAPPING!$A$3:$C$302,2,FALSE),"UNMAPPED"))</f>
        <v/>
      </c>
      <c r="B565" s="6">
        <f>IF(ALLOCATIONS!A559="","",IFERROR(VLOOKUP(ALLOCATIONS!A559,MAPPING!$A$3:$C$302,3,FALSE),ALLOCATIONS!A559))</f>
        <v/>
      </c>
      <c r="C565" s="6">
        <f>IF(ALLOCATIONS!A559="","",IFERROR(VLOOKUP(ALLOCATIONS!B559,MAPPING!$E$3:$G$302,2,FALSE),"UNMAPPED"))</f>
        <v/>
      </c>
      <c r="D565" s="6">
        <f>IF(ALLOCATIONS!A559="","",IFERROR(IF(VLOOKUP(ALLOCATIONS!B559,MAPPING!$E$3:$G$302,3,FALSE)="","",VLOOKUP(ALLOCATIONS!B559,MAPPING!$E$3:$G$302,3,FALSE)),""))</f>
        <v/>
      </c>
      <c r="E565" s="6">
        <f>IF(ALLOCATIONS!A559="","",ALLOCATIONS!C559)</f>
        <v/>
      </c>
      <c r="F565" s="6">
        <f>IF(ALLOCATIONS!A559="","",IF(ALLOCATIONS!D559="",0,ALLOCATIONS!D559))</f>
        <v/>
      </c>
      <c r="G565" s="6">
        <f>IF(ALLOCATIONS!A559="","",SUMIFS(RAW_004!$I$2:$I$10001,RAW_004!$D$2:$D$10001,ALLOCATIONS!A559,RAW_004!$H$2:$H$10001,ALLOCATIONS!B559,RAW_004!$N$2:$N$10001,ALLOCATIONS!C559))</f>
        <v/>
      </c>
      <c r="H565" s="6">
        <f>IF(A565="","",G565-F565)</f>
        <v/>
      </c>
    </row>
    <row r="566">
      <c r="A566" s="6">
        <f>IF(ALLOCATIONS!A560="","",IFERROR(VLOOKUP(ALLOCATIONS!A560,MAPPING!$A$3:$C$302,2,FALSE),"UNMAPPED"))</f>
        <v/>
      </c>
      <c r="B566" s="6">
        <f>IF(ALLOCATIONS!A560="","",IFERROR(VLOOKUP(ALLOCATIONS!A560,MAPPING!$A$3:$C$302,3,FALSE),ALLOCATIONS!A560))</f>
        <v/>
      </c>
      <c r="C566" s="6">
        <f>IF(ALLOCATIONS!A560="","",IFERROR(VLOOKUP(ALLOCATIONS!B560,MAPPING!$E$3:$G$302,2,FALSE),"UNMAPPED"))</f>
        <v/>
      </c>
      <c r="D566" s="6">
        <f>IF(ALLOCATIONS!A560="","",IFERROR(IF(VLOOKUP(ALLOCATIONS!B560,MAPPING!$E$3:$G$302,3,FALSE)="","",VLOOKUP(ALLOCATIONS!B560,MAPPING!$E$3:$G$302,3,FALSE)),""))</f>
        <v/>
      </c>
      <c r="E566" s="6">
        <f>IF(ALLOCATIONS!A560="","",ALLOCATIONS!C560)</f>
        <v/>
      </c>
      <c r="F566" s="6">
        <f>IF(ALLOCATIONS!A560="","",IF(ALLOCATIONS!D560="",0,ALLOCATIONS!D560))</f>
        <v/>
      </c>
      <c r="G566" s="6">
        <f>IF(ALLOCATIONS!A560="","",SUMIFS(RAW_004!$I$2:$I$10001,RAW_004!$D$2:$D$10001,ALLOCATIONS!A560,RAW_004!$H$2:$H$10001,ALLOCATIONS!B560,RAW_004!$N$2:$N$10001,ALLOCATIONS!C560))</f>
        <v/>
      </c>
      <c r="H566" s="6">
        <f>IF(A566="","",G566-F566)</f>
        <v/>
      </c>
    </row>
    <row r="567">
      <c r="A567" s="6">
        <f>IF(ALLOCATIONS!A561="","",IFERROR(VLOOKUP(ALLOCATIONS!A561,MAPPING!$A$3:$C$302,2,FALSE),"UNMAPPED"))</f>
        <v/>
      </c>
      <c r="B567" s="6">
        <f>IF(ALLOCATIONS!A561="","",IFERROR(VLOOKUP(ALLOCATIONS!A561,MAPPING!$A$3:$C$302,3,FALSE),ALLOCATIONS!A561))</f>
        <v/>
      </c>
      <c r="C567" s="6">
        <f>IF(ALLOCATIONS!A561="","",IFERROR(VLOOKUP(ALLOCATIONS!B561,MAPPING!$E$3:$G$302,2,FALSE),"UNMAPPED"))</f>
        <v/>
      </c>
      <c r="D567" s="6">
        <f>IF(ALLOCATIONS!A561="","",IFERROR(IF(VLOOKUP(ALLOCATIONS!B561,MAPPING!$E$3:$G$302,3,FALSE)="","",VLOOKUP(ALLOCATIONS!B561,MAPPING!$E$3:$G$302,3,FALSE)),""))</f>
        <v/>
      </c>
      <c r="E567" s="6">
        <f>IF(ALLOCATIONS!A561="","",ALLOCATIONS!C561)</f>
        <v/>
      </c>
      <c r="F567" s="6">
        <f>IF(ALLOCATIONS!A561="","",IF(ALLOCATIONS!D561="",0,ALLOCATIONS!D561))</f>
        <v/>
      </c>
      <c r="G567" s="6">
        <f>IF(ALLOCATIONS!A561="","",SUMIFS(RAW_004!$I$2:$I$10001,RAW_004!$D$2:$D$10001,ALLOCATIONS!A561,RAW_004!$H$2:$H$10001,ALLOCATIONS!B561,RAW_004!$N$2:$N$10001,ALLOCATIONS!C561))</f>
        <v/>
      </c>
      <c r="H567" s="6">
        <f>IF(A567="","",G567-F567)</f>
        <v/>
      </c>
    </row>
    <row r="568">
      <c r="A568" s="6">
        <f>IF(ALLOCATIONS!A562="","",IFERROR(VLOOKUP(ALLOCATIONS!A562,MAPPING!$A$3:$C$302,2,FALSE),"UNMAPPED"))</f>
        <v/>
      </c>
      <c r="B568" s="6">
        <f>IF(ALLOCATIONS!A562="","",IFERROR(VLOOKUP(ALLOCATIONS!A562,MAPPING!$A$3:$C$302,3,FALSE),ALLOCATIONS!A562))</f>
        <v/>
      </c>
      <c r="C568" s="6">
        <f>IF(ALLOCATIONS!A562="","",IFERROR(VLOOKUP(ALLOCATIONS!B562,MAPPING!$E$3:$G$302,2,FALSE),"UNMAPPED"))</f>
        <v/>
      </c>
      <c r="D568" s="6">
        <f>IF(ALLOCATIONS!A562="","",IFERROR(IF(VLOOKUP(ALLOCATIONS!B562,MAPPING!$E$3:$G$302,3,FALSE)="","",VLOOKUP(ALLOCATIONS!B562,MAPPING!$E$3:$G$302,3,FALSE)),""))</f>
        <v/>
      </c>
      <c r="E568" s="6">
        <f>IF(ALLOCATIONS!A562="","",ALLOCATIONS!C562)</f>
        <v/>
      </c>
      <c r="F568" s="6">
        <f>IF(ALLOCATIONS!A562="","",IF(ALLOCATIONS!D562="",0,ALLOCATIONS!D562))</f>
        <v/>
      </c>
      <c r="G568" s="6">
        <f>IF(ALLOCATIONS!A562="","",SUMIFS(RAW_004!$I$2:$I$10001,RAW_004!$D$2:$D$10001,ALLOCATIONS!A562,RAW_004!$H$2:$H$10001,ALLOCATIONS!B562,RAW_004!$N$2:$N$10001,ALLOCATIONS!C562))</f>
        <v/>
      </c>
      <c r="H568" s="6">
        <f>IF(A568="","",G568-F568)</f>
        <v/>
      </c>
    </row>
    <row r="569">
      <c r="A569" s="6">
        <f>IF(ALLOCATIONS!A563="","",IFERROR(VLOOKUP(ALLOCATIONS!A563,MAPPING!$A$3:$C$302,2,FALSE),"UNMAPPED"))</f>
        <v/>
      </c>
      <c r="B569" s="6">
        <f>IF(ALLOCATIONS!A563="","",IFERROR(VLOOKUP(ALLOCATIONS!A563,MAPPING!$A$3:$C$302,3,FALSE),ALLOCATIONS!A563))</f>
        <v/>
      </c>
      <c r="C569" s="6">
        <f>IF(ALLOCATIONS!A563="","",IFERROR(VLOOKUP(ALLOCATIONS!B563,MAPPING!$E$3:$G$302,2,FALSE),"UNMAPPED"))</f>
        <v/>
      </c>
      <c r="D569" s="6">
        <f>IF(ALLOCATIONS!A563="","",IFERROR(IF(VLOOKUP(ALLOCATIONS!B563,MAPPING!$E$3:$G$302,3,FALSE)="","",VLOOKUP(ALLOCATIONS!B563,MAPPING!$E$3:$G$302,3,FALSE)),""))</f>
        <v/>
      </c>
      <c r="E569" s="6">
        <f>IF(ALLOCATIONS!A563="","",ALLOCATIONS!C563)</f>
        <v/>
      </c>
      <c r="F569" s="6">
        <f>IF(ALLOCATIONS!A563="","",IF(ALLOCATIONS!D563="",0,ALLOCATIONS!D563))</f>
        <v/>
      </c>
      <c r="G569" s="6">
        <f>IF(ALLOCATIONS!A563="","",SUMIFS(RAW_004!$I$2:$I$10001,RAW_004!$D$2:$D$10001,ALLOCATIONS!A563,RAW_004!$H$2:$H$10001,ALLOCATIONS!B563,RAW_004!$N$2:$N$10001,ALLOCATIONS!C563))</f>
        <v/>
      </c>
      <c r="H569" s="6">
        <f>IF(A569="","",G569-F569)</f>
        <v/>
      </c>
    </row>
    <row r="570">
      <c r="A570" s="6">
        <f>IF(ALLOCATIONS!A564="","",IFERROR(VLOOKUP(ALLOCATIONS!A564,MAPPING!$A$3:$C$302,2,FALSE),"UNMAPPED"))</f>
        <v/>
      </c>
      <c r="B570" s="6">
        <f>IF(ALLOCATIONS!A564="","",IFERROR(VLOOKUP(ALLOCATIONS!A564,MAPPING!$A$3:$C$302,3,FALSE),ALLOCATIONS!A564))</f>
        <v/>
      </c>
      <c r="C570" s="6">
        <f>IF(ALLOCATIONS!A564="","",IFERROR(VLOOKUP(ALLOCATIONS!B564,MAPPING!$E$3:$G$302,2,FALSE),"UNMAPPED"))</f>
        <v/>
      </c>
      <c r="D570" s="6">
        <f>IF(ALLOCATIONS!A564="","",IFERROR(IF(VLOOKUP(ALLOCATIONS!B564,MAPPING!$E$3:$G$302,3,FALSE)="","",VLOOKUP(ALLOCATIONS!B564,MAPPING!$E$3:$G$302,3,FALSE)),""))</f>
        <v/>
      </c>
      <c r="E570" s="6">
        <f>IF(ALLOCATIONS!A564="","",ALLOCATIONS!C564)</f>
        <v/>
      </c>
      <c r="F570" s="6">
        <f>IF(ALLOCATIONS!A564="","",IF(ALLOCATIONS!D564="",0,ALLOCATIONS!D564))</f>
        <v/>
      </c>
      <c r="G570" s="6">
        <f>IF(ALLOCATIONS!A564="","",SUMIFS(RAW_004!$I$2:$I$10001,RAW_004!$D$2:$D$10001,ALLOCATIONS!A564,RAW_004!$H$2:$H$10001,ALLOCATIONS!B564,RAW_004!$N$2:$N$10001,ALLOCATIONS!C564))</f>
        <v/>
      </c>
      <c r="H570" s="6">
        <f>IF(A570="","",G570-F570)</f>
        <v/>
      </c>
    </row>
    <row r="571">
      <c r="A571" s="6">
        <f>IF(ALLOCATIONS!A565="","",IFERROR(VLOOKUP(ALLOCATIONS!A565,MAPPING!$A$3:$C$302,2,FALSE),"UNMAPPED"))</f>
        <v/>
      </c>
      <c r="B571" s="6">
        <f>IF(ALLOCATIONS!A565="","",IFERROR(VLOOKUP(ALLOCATIONS!A565,MAPPING!$A$3:$C$302,3,FALSE),ALLOCATIONS!A565))</f>
        <v/>
      </c>
      <c r="C571" s="6">
        <f>IF(ALLOCATIONS!A565="","",IFERROR(VLOOKUP(ALLOCATIONS!B565,MAPPING!$E$3:$G$302,2,FALSE),"UNMAPPED"))</f>
        <v/>
      </c>
      <c r="D571" s="6">
        <f>IF(ALLOCATIONS!A565="","",IFERROR(IF(VLOOKUP(ALLOCATIONS!B565,MAPPING!$E$3:$G$302,3,FALSE)="","",VLOOKUP(ALLOCATIONS!B565,MAPPING!$E$3:$G$302,3,FALSE)),""))</f>
        <v/>
      </c>
      <c r="E571" s="6">
        <f>IF(ALLOCATIONS!A565="","",ALLOCATIONS!C565)</f>
        <v/>
      </c>
      <c r="F571" s="6">
        <f>IF(ALLOCATIONS!A565="","",IF(ALLOCATIONS!D565="",0,ALLOCATIONS!D565))</f>
        <v/>
      </c>
      <c r="G571" s="6">
        <f>IF(ALLOCATIONS!A565="","",SUMIFS(RAW_004!$I$2:$I$10001,RAW_004!$D$2:$D$10001,ALLOCATIONS!A565,RAW_004!$H$2:$H$10001,ALLOCATIONS!B565,RAW_004!$N$2:$N$10001,ALLOCATIONS!C565))</f>
        <v/>
      </c>
      <c r="H571" s="6">
        <f>IF(A571="","",G571-F571)</f>
        <v/>
      </c>
    </row>
    <row r="572">
      <c r="A572" s="6">
        <f>IF(ALLOCATIONS!A566="","",IFERROR(VLOOKUP(ALLOCATIONS!A566,MAPPING!$A$3:$C$302,2,FALSE),"UNMAPPED"))</f>
        <v/>
      </c>
      <c r="B572" s="6">
        <f>IF(ALLOCATIONS!A566="","",IFERROR(VLOOKUP(ALLOCATIONS!A566,MAPPING!$A$3:$C$302,3,FALSE),ALLOCATIONS!A566))</f>
        <v/>
      </c>
      <c r="C572" s="6">
        <f>IF(ALLOCATIONS!A566="","",IFERROR(VLOOKUP(ALLOCATIONS!B566,MAPPING!$E$3:$G$302,2,FALSE),"UNMAPPED"))</f>
        <v/>
      </c>
      <c r="D572" s="6">
        <f>IF(ALLOCATIONS!A566="","",IFERROR(IF(VLOOKUP(ALLOCATIONS!B566,MAPPING!$E$3:$G$302,3,FALSE)="","",VLOOKUP(ALLOCATIONS!B566,MAPPING!$E$3:$G$302,3,FALSE)),""))</f>
        <v/>
      </c>
      <c r="E572" s="6">
        <f>IF(ALLOCATIONS!A566="","",ALLOCATIONS!C566)</f>
        <v/>
      </c>
      <c r="F572" s="6">
        <f>IF(ALLOCATIONS!A566="","",IF(ALLOCATIONS!D566="",0,ALLOCATIONS!D566))</f>
        <v/>
      </c>
      <c r="G572" s="6">
        <f>IF(ALLOCATIONS!A566="","",SUMIFS(RAW_004!$I$2:$I$10001,RAW_004!$D$2:$D$10001,ALLOCATIONS!A566,RAW_004!$H$2:$H$10001,ALLOCATIONS!B566,RAW_004!$N$2:$N$10001,ALLOCATIONS!C566))</f>
        <v/>
      </c>
      <c r="H572" s="6">
        <f>IF(A572="","",G572-F572)</f>
        <v/>
      </c>
    </row>
    <row r="573">
      <c r="A573" s="6">
        <f>IF(ALLOCATIONS!A567="","",IFERROR(VLOOKUP(ALLOCATIONS!A567,MAPPING!$A$3:$C$302,2,FALSE),"UNMAPPED"))</f>
        <v/>
      </c>
      <c r="B573" s="6">
        <f>IF(ALLOCATIONS!A567="","",IFERROR(VLOOKUP(ALLOCATIONS!A567,MAPPING!$A$3:$C$302,3,FALSE),ALLOCATIONS!A567))</f>
        <v/>
      </c>
      <c r="C573" s="6">
        <f>IF(ALLOCATIONS!A567="","",IFERROR(VLOOKUP(ALLOCATIONS!B567,MAPPING!$E$3:$G$302,2,FALSE),"UNMAPPED"))</f>
        <v/>
      </c>
      <c r="D573" s="6">
        <f>IF(ALLOCATIONS!A567="","",IFERROR(IF(VLOOKUP(ALLOCATIONS!B567,MAPPING!$E$3:$G$302,3,FALSE)="","",VLOOKUP(ALLOCATIONS!B567,MAPPING!$E$3:$G$302,3,FALSE)),""))</f>
        <v/>
      </c>
      <c r="E573" s="6">
        <f>IF(ALLOCATIONS!A567="","",ALLOCATIONS!C567)</f>
        <v/>
      </c>
      <c r="F573" s="6">
        <f>IF(ALLOCATIONS!A567="","",IF(ALLOCATIONS!D567="",0,ALLOCATIONS!D567))</f>
        <v/>
      </c>
      <c r="G573" s="6">
        <f>IF(ALLOCATIONS!A567="","",SUMIFS(RAW_004!$I$2:$I$10001,RAW_004!$D$2:$D$10001,ALLOCATIONS!A567,RAW_004!$H$2:$H$10001,ALLOCATIONS!B567,RAW_004!$N$2:$N$10001,ALLOCATIONS!C567))</f>
        <v/>
      </c>
      <c r="H573" s="6">
        <f>IF(A573="","",G573-F573)</f>
        <v/>
      </c>
    </row>
    <row r="574">
      <c r="A574" s="6">
        <f>IF(ALLOCATIONS!A568="","",IFERROR(VLOOKUP(ALLOCATIONS!A568,MAPPING!$A$3:$C$302,2,FALSE),"UNMAPPED"))</f>
        <v/>
      </c>
      <c r="B574" s="6">
        <f>IF(ALLOCATIONS!A568="","",IFERROR(VLOOKUP(ALLOCATIONS!A568,MAPPING!$A$3:$C$302,3,FALSE),ALLOCATIONS!A568))</f>
        <v/>
      </c>
      <c r="C574" s="6">
        <f>IF(ALLOCATIONS!A568="","",IFERROR(VLOOKUP(ALLOCATIONS!B568,MAPPING!$E$3:$G$302,2,FALSE),"UNMAPPED"))</f>
        <v/>
      </c>
      <c r="D574" s="6">
        <f>IF(ALLOCATIONS!A568="","",IFERROR(IF(VLOOKUP(ALLOCATIONS!B568,MAPPING!$E$3:$G$302,3,FALSE)="","",VLOOKUP(ALLOCATIONS!B568,MAPPING!$E$3:$G$302,3,FALSE)),""))</f>
        <v/>
      </c>
      <c r="E574" s="6">
        <f>IF(ALLOCATIONS!A568="","",ALLOCATIONS!C568)</f>
        <v/>
      </c>
      <c r="F574" s="6">
        <f>IF(ALLOCATIONS!A568="","",IF(ALLOCATIONS!D568="",0,ALLOCATIONS!D568))</f>
        <v/>
      </c>
      <c r="G574" s="6">
        <f>IF(ALLOCATIONS!A568="","",SUMIFS(RAW_004!$I$2:$I$10001,RAW_004!$D$2:$D$10001,ALLOCATIONS!A568,RAW_004!$H$2:$H$10001,ALLOCATIONS!B568,RAW_004!$N$2:$N$10001,ALLOCATIONS!C568))</f>
        <v/>
      </c>
      <c r="H574" s="6">
        <f>IF(A574="","",G574-F574)</f>
        <v/>
      </c>
    </row>
    <row r="575">
      <c r="A575" s="6">
        <f>IF(ALLOCATIONS!A569="","",IFERROR(VLOOKUP(ALLOCATIONS!A569,MAPPING!$A$3:$C$302,2,FALSE),"UNMAPPED"))</f>
        <v/>
      </c>
      <c r="B575" s="6">
        <f>IF(ALLOCATIONS!A569="","",IFERROR(VLOOKUP(ALLOCATIONS!A569,MAPPING!$A$3:$C$302,3,FALSE),ALLOCATIONS!A569))</f>
        <v/>
      </c>
      <c r="C575" s="6">
        <f>IF(ALLOCATIONS!A569="","",IFERROR(VLOOKUP(ALLOCATIONS!B569,MAPPING!$E$3:$G$302,2,FALSE),"UNMAPPED"))</f>
        <v/>
      </c>
      <c r="D575" s="6">
        <f>IF(ALLOCATIONS!A569="","",IFERROR(IF(VLOOKUP(ALLOCATIONS!B569,MAPPING!$E$3:$G$302,3,FALSE)="","",VLOOKUP(ALLOCATIONS!B569,MAPPING!$E$3:$G$302,3,FALSE)),""))</f>
        <v/>
      </c>
      <c r="E575" s="6">
        <f>IF(ALLOCATIONS!A569="","",ALLOCATIONS!C569)</f>
        <v/>
      </c>
      <c r="F575" s="6">
        <f>IF(ALLOCATIONS!A569="","",IF(ALLOCATIONS!D569="",0,ALLOCATIONS!D569))</f>
        <v/>
      </c>
      <c r="G575" s="6">
        <f>IF(ALLOCATIONS!A569="","",SUMIFS(RAW_004!$I$2:$I$10001,RAW_004!$D$2:$D$10001,ALLOCATIONS!A569,RAW_004!$H$2:$H$10001,ALLOCATIONS!B569,RAW_004!$N$2:$N$10001,ALLOCATIONS!C569))</f>
        <v/>
      </c>
      <c r="H575" s="6">
        <f>IF(A575="","",G575-F575)</f>
        <v/>
      </c>
    </row>
    <row r="576">
      <c r="A576" s="6">
        <f>IF(ALLOCATIONS!A570="","",IFERROR(VLOOKUP(ALLOCATIONS!A570,MAPPING!$A$3:$C$302,2,FALSE),"UNMAPPED"))</f>
        <v/>
      </c>
      <c r="B576" s="6">
        <f>IF(ALLOCATIONS!A570="","",IFERROR(VLOOKUP(ALLOCATIONS!A570,MAPPING!$A$3:$C$302,3,FALSE),ALLOCATIONS!A570))</f>
        <v/>
      </c>
      <c r="C576" s="6">
        <f>IF(ALLOCATIONS!A570="","",IFERROR(VLOOKUP(ALLOCATIONS!B570,MAPPING!$E$3:$G$302,2,FALSE),"UNMAPPED"))</f>
        <v/>
      </c>
      <c r="D576" s="6">
        <f>IF(ALLOCATIONS!A570="","",IFERROR(IF(VLOOKUP(ALLOCATIONS!B570,MAPPING!$E$3:$G$302,3,FALSE)="","",VLOOKUP(ALLOCATIONS!B570,MAPPING!$E$3:$G$302,3,FALSE)),""))</f>
        <v/>
      </c>
      <c r="E576" s="6">
        <f>IF(ALLOCATIONS!A570="","",ALLOCATIONS!C570)</f>
        <v/>
      </c>
      <c r="F576" s="6">
        <f>IF(ALLOCATIONS!A570="","",IF(ALLOCATIONS!D570="",0,ALLOCATIONS!D570))</f>
        <v/>
      </c>
      <c r="G576" s="6">
        <f>IF(ALLOCATIONS!A570="","",SUMIFS(RAW_004!$I$2:$I$10001,RAW_004!$D$2:$D$10001,ALLOCATIONS!A570,RAW_004!$H$2:$H$10001,ALLOCATIONS!B570,RAW_004!$N$2:$N$10001,ALLOCATIONS!C570))</f>
        <v/>
      </c>
      <c r="H576" s="6">
        <f>IF(A576="","",G576-F576)</f>
        <v/>
      </c>
    </row>
    <row r="577">
      <c r="A577" s="6">
        <f>IF(ALLOCATIONS!A571="","",IFERROR(VLOOKUP(ALLOCATIONS!A571,MAPPING!$A$3:$C$302,2,FALSE),"UNMAPPED"))</f>
        <v/>
      </c>
      <c r="B577" s="6">
        <f>IF(ALLOCATIONS!A571="","",IFERROR(VLOOKUP(ALLOCATIONS!A571,MAPPING!$A$3:$C$302,3,FALSE),ALLOCATIONS!A571))</f>
        <v/>
      </c>
      <c r="C577" s="6">
        <f>IF(ALLOCATIONS!A571="","",IFERROR(VLOOKUP(ALLOCATIONS!B571,MAPPING!$E$3:$G$302,2,FALSE),"UNMAPPED"))</f>
        <v/>
      </c>
      <c r="D577" s="6">
        <f>IF(ALLOCATIONS!A571="","",IFERROR(IF(VLOOKUP(ALLOCATIONS!B571,MAPPING!$E$3:$G$302,3,FALSE)="","",VLOOKUP(ALLOCATIONS!B571,MAPPING!$E$3:$G$302,3,FALSE)),""))</f>
        <v/>
      </c>
      <c r="E577" s="6">
        <f>IF(ALLOCATIONS!A571="","",ALLOCATIONS!C571)</f>
        <v/>
      </c>
      <c r="F577" s="6">
        <f>IF(ALLOCATIONS!A571="","",IF(ALLOCATIONS!D571="",0,ALLOCATIONS!D571))</f>
        <v/>
      </c>
      <c r="G577" s="6">
        <f>IF(ALLOCATIONS!A571="","",SUMIFS(RAW_004!$I$2:$I$10001,RAW_004!$D$2:$D$10001,ALLOCATIONS!A571,RAW_004!$H$2:$H$10001,ALLOCATIONS!B571,RAW_004!$N$2:$N$10001,ALLOCATIONS!C571))</f>
        <v/>
      </c>
      <c r="H577" s="6">
        <f>IF(A577="","",G577-F577)</f>
        <v/>
      </c>
    </row>
    <row r="578">
      <c r="A578" s="6">
        <f>IF(ALLOCATIONS!A572="","",IFERROR(VLOOKUP(ALLOCATIONS!A572,MAPPING!$A$3:$C$302,2,FALSE),"UNMAPPED"))</f>
        <v/>
      </c>
      <c r="B578" s="6">
        <f>IF(ALLOCATIONS!A572="","",IFERROR(VLOOKUP(ALLOCATIONS!A572,MAPPING!$A$3:$C$302,3,FALSE),ALLOCATIONS!A572))</f>
        <v/>
      </c>
      <c r="C578" s="6">
        <f>IF(ALLOCATIONS!A572="","",IFERROR(VLOOKUP(ALLOCATIONS!B572,MAPPING!$E$3:$G$302,2,FALSE),"UNMAPPED"))</f>
        <v/>
      </c>
      <c r="D578" s="6">
        <f>IF(ALLOCATIONS!A572="","",IFERROR(IF(VLOOKUP(ALLOCATIONS!B572,MAPPING!$E$3:$G$302,3,FALSE)="","",VLOOKUP(ALLOCATIONS!B572,MAPPING!$E$3:$G$302,3,FALSE)),""))</f>
        <v/>
      </c>
      <c r="E578" s="6">
        <f>IF(ALLOCATIONS!A572="","",ALLOCATIONS!C572)</f>
        <v/>
      </c>
      <c r="F578" s="6">
        <f>IF(ALLOCATIONS!A572="","",IF(ALLOCATIONS!D572="",0,ALLOCATIONS!D572))</f>
        <v/>
      </c>
      <c r="G578" s="6">
        <f>IF(ALLOCATIONS!A572="","",SUMIFS(RAW_004!$I$2:$I$10001,RAW_004!$D$2:$D$10001,ALLOCATIONS!A572,RAW_004!$H$2:$H$10001,ALLOCATIONS!B572,RAW_004!$N$2:$N$10001,ALLOCATIONS!C572))</f>
        <v/>
      </c>
      <c r="H578" s="6">
        <f>IF(A578="","",G578-F578)</f>
        <v/>
      </c>
    </row>
    <row r="579">
      <c r="A579" s="6">
        <f>IF(ALLOCATIONS!A573="","",IFERROR(VLOOKUP(ALLOCATIONS!A573,MAPPING!$A$3:$C$302,2,FALSE),"UNMAPPED"))</f>
        <v/>
      </c>
      <c r="B579" s="6">
        <f>IF(ALLOCATIONS!A573="","",IFERROR(VLOOKUP(ALLOCATIONS!A573,MAPPING!$A$3:$C$302,3,FALSE),ALLOCATIONS!A573))</f>
        <v/>
      </c>
      <c r="C579" s="6">
        <f>IF(ALLOCATIONS!A573="","",IFERROR(VLOOKUP(ALLOCATIONS!B573,MAPPING!$E$3:$G$302,2,FALSE),"UNMAPPED"))</f>
        <v/>
      </c>
      <c r="D579" s="6">
        <f>IF(ALLOCATIONS!A573="","",IFERROR(IF(VLOOKUP(ALLOCATIONS!B573,MAPPING!$E$3:$G$302,3,FALSE)="","",VLOOKUP(ALLOCATIONS!B573,MAPPING!$E$3:$G$302,3,FALSE)),""))</f>
        <v/>
      </c>
      <c r="E579" s="6">
        <f>IF(ALLOCATIONS!A573="","",ALLOCATIONS!C573)</f>
        <v/>
      </c>
      <c r="F579" s="6">
        <f>IF(ALLOCATIONS!A573="","",IF(ALLOCATIONS!D573="",0,ALLOCATIONS!D573))</f>
        <v/>
      </c>
      <c r="G579" s="6">
        <f>IF(ALLOCATIONS!A573="","",SUMIFS(RAW_004!$I$2:$I$10001,RAW_004!$D$2:$D$10001,ALLOCATIONS!A573,RAW_004!$H$2:$H$10001,ALLOCATIONS!B573,RAW_004!$N$2:$N$10001,ALLOCATIONS!C573))</f>
        <v/>
      </c>
      <c r="H579" s="6">
        <f>IF(A579="","",G579-F579)</f>
        <v/>
      </c>
    </row>
    <row r="580">
      <c r="A580" s="6">
        <f>IF(ALLOCATIONS!A574="","",IFERROR(VLOOKUP(ALLOCATIONS!A574,MAPPING!$A$3:$C$302,2,FALSE),"UNMAPPED"))</f>
        <v/>
      </c>
      <c r="B580" s="6">
        <f>IF(ALLOCATIONS!A574="","",IFERROR(VLOOKUP(ALLOCATIONS!A574,MAPPING!$A$3:$C$302,3,FALSE),ALLOCATIONS!A574))</f>
        <v/>
      </c>
      <c r="C580" s="6">
        <f>IF(ALLOCATIONS!A574="","",IFERROR(VLOOKUP(ALLOCATIONS!B574,MAPPING!$E$3:$G$302,2,FALSE),"UNMAPPED"))</f>
        <v/>
      </c>
      <c r="D580" s="6">
        <f>IF(ALLOCATIONS!A574="","",IFERROR(IF(VLOOKUP(ALLOCATIONS!B574,MAPPING!$E$3:$G$302,3,FALSE)="","",VLOOKUP(ALLOCATIONS!B574,MAPPING!$E$3:$G$302,3,FALSE)),""))</f>
        <v/>
      </c>
      <c r="E580" s="6">
        <f>IF(ALLOCATIONS!A574="","",ALLOCATIONS!C574)</f>
        <v/>
      </c>
      <c r="F580" s="6">
        <f>IF(ALLOCATIONS!A574="","",IF(ALLOCATIONS!D574="",0,ALLOCATIONS!D574))</f>
        <v/>
      </c>
      <c r="G580" s="6">
        <f>IF(ALLOCATIONS!A574="","",SUMIFS(RAW_004!$I$2:$I$10001,RAW_004!$D$2:$D$10001,ALLOCATIONS!A574,RAW_004!$H$2:$H$10001,ALLOCATIONS!B574,RAW_004!$N$2:$N$10001,ALLOCATIONS!C574))</f>
        <v/>
      </c>
      <c r="H580" s="6">
        <f>IF(A580="","",G580-F580)</f>
        <v/>
      </c>
    </row>
    <row r="581">
      <c r="A581" s="6">
        <f>IF(ALLOCATIONS!A575="","",IFERROR(VLOOKUP(ALLOCATIONS!A575,MAPPING!$A$3:$C$302,2,FALSE),"UNMAPPED"))</f>
        <v/>
      </c>
      <c r="B581" s="6">
        <f>IF(ALLOCATIONS!A575="","",IFERROR(VLOOKUP(ALLOCATIONS!A575,MAPPING!$A$3:$C$302,3,FALSE),ALLOCATIONS!A575))</f>
        <v/>
      </c>
      <c r="C581" s="6">
        <f>IF(ALLOCATIONS!A575="","",IFERROR(VLOOKUP(ALLOCATIONS!B575,MAPPING!$E$3:$G$302,2,FALSE),"UNMAPPED"))</f>
        <v/>
      </c>
      <c r="D581" s="6">
        <f>IF(ALLOCATIONS!A575="","",IFERROR(IF(VLOOKUP(ALLOCATIONS!B575,MAPPING!$E$3:$G$302,3,FALSE)="","",VLOOKUP(ALLOCATIONS!B575,MAPPING!$E$3:$G$302,3,FALSE)),""))</f>
        <v/>
      </c>
      <c r="E581" s="6">
        <f>IF(ALLOCATIONS!A575="","",ALLOCATIONS!C575)</f>
        <v/>
      </c>
      <c r="F581" s="6">
        <f>IF(ALLOCATIONS!A575="","",IF(ALLOCATIONS!D575="",0,ALLOCATIONS!D575))</f>
        <v/>
      </c>
      <c r="G581" s="6">
        <f>IF(ALLOCATIONS!A575="","",SUMIFS(RAW_004!$I$2:$I$10001,RAW_004!$D$2:$D$10001,ALLOCATIONS!A575,RAW_004!$H$2:$H$10001,ALLOCATIONS!B575,RAW_004!$N$2:$N$10001,ALLOCATIONS!C575))</f>
        <v/>
      </c>
      <c r="H581" s="6">
        <f>IF(A581="","",G581-F581)</f>
        <v/>
      </c>
    </row>
    <row r="582">
      <c r="A582" s="6">
        <f>IF(ALLOCATIONS!A576="","",IFERROR(VLOOKUP(ALLOCATIONS!A576,MAPPING!$A$3:$C$302,2,FALSE),"UNMAPPED"))</f>
        <v/>
      </c>
      <c r="B582" s="6">
        <f>IF(ALLOCATIONS!A576="","",IFERROR(VLOOKUP(ALLOCATIONS!A576,MAPPING!$A$3:$C$302,3,FALSE),ALLOCATIONS!A576))</f>
        <v/>
      </c>
      <c r="C582" s="6">
        <f>IF(ALLOCATIONS!A576="","",IFERROR(VLOOKUP(ALLOCATIONS!B576,MAPPING!$E$3:$G$302,2,FALSE),"UNMAPPED"))</f>
        <v/>
      </c>
      <c r="D582" s="6">
        <f>IF(ALLOCATIONS!A576="","",IFERROR(IF(VLOOKUP(ALLOCATIONS!B576,MAPPING!$E$3:$G$302,3,FALSE)="","",VLOOKUP(ALLOCATIONS!B576,MAPPING!$E$3:$G$302,3,FALSE)),""))</f>
        <v/>
      </c>
      <c r="E582" s="6">
        <f>IF(ALLOCATIONS!A576="","",ALLOCATIONS!C576)</f>
        <v/>
      </c>
      <c r="F582" s="6">
        <f>IF(ALLOCATIONS!A576="","",IF(ALLOCATIONS!D576="",0,ALLOCATIONS!D576))</f>
        <v/>
      </c>
      <c r="G582" s="6">
        <f>IF(ALLOCATIONS!A576="","",SUMIFS(RAW_004!$I$2:$I$10001,RAW_004!$D$2:$D$10001,ALLOCATIONS!A576,RAW_004!$H$2:$H$10001,ALLOCATIONS!B576,RAW_004!$N$2:$N$10001,ALLOCATIONS!C576))</f>
        <v/>
      </c>
      <c r="H582" s="6">
        <f>IF(A582="","",G582-F582)</f>
        <v/>
      </c>
    </row>
    <row r="583">
      <c r="A583" s="6">
        <f>IF(ALLOCATIONS!A577="","",IFERROR(VLOOKUP(ALLOCATIONS!A577,MAPPING!$A$3:$C$302,2,FALSE),"UNMAPPED"))</f>
        <v/>
      </c>
      <c r="B583" s="6">
        <f>IF(ALLOCATIONS!A577="","",IFERROR(VLOOKUP(ALLOCATIONS!A577,MAPPING!$A$3:$C$302,3,FALSE),ALLOCATIONS!A577))</f>
        <v/>
      </c>
      <c r="C583" s="6">
        <f>IF(ALLOCATIONS!A577="","",IFERROR(VLOOKUP(ALLOCATIONS!B577,MAPPING!$E$3:$G$302,2,FALSE),"UNMAPPED"))</f>
        <v/>
      </c>
      <c r="D583" s="6">
        <f>IF(ALLOCATIONS!A577="","",IFERROR(IF(VLOOKUP(ALLOCATIONS!B577,MAPPING!$E$3:$G$302,3,FALSE)="","",VLOOKUP(ALLOCATIONS!B577,MAPPING!$E$3:$G$302,3,FALSE)),""))</f>
        <v/>
      </c>
      <c r="E583" s="6">
        <f>IF(ALLOCATIONS!A577="","",ALLOCATIONS!C577)</f>
        <v/>
      </c>
      <c r="F583" s="6">
        <f>IF(ALLOCATIONS!A577="","",IF(ALLOCATIONS!D577="",0,ALLOCATIONS!D577))</f>
        <v/>
      </c>
      <c r="G583" s="6">
        <f>IF(ALLOCATIONS!A577="","",SUMIFS(RAW_004!$I$2:$I$10001,RAW_004!$D$2:$D$10001,ALLOCATIONS!A577,RAW_004!$H$2:$H$10001,ALLOCATIONS!B577,RAW_004!$N$2:$N$10001,ALLOCATIONS!C577))</f>
        <v/>
      </c>
      <c r="H583" s="6">
        <f>IF(A583="","",G583-F583)</f>
        <v/>
      </c>
    </row>
    <row r="584">
      <c r="A584" s="6">
        <f>IF(ALLOCATIONS!A578="","",IFERROR(VLOOKUP(ALLOCATIONS!A578,MAPPING!$A$3:$C$302,2,FALSE),"UNMAPPED"))</f>
        <v/>
      </c>
      <c r="B584" s="6">
        <f>IF(ALLOCATIONS!A578="","",IFERROR(VLOOKUP(ALLOCATIONS!A578,MAPPING!$A$3:$C$302,3,FALSE),ALLOCATIONS!A578))</f>
        <v/>
      </c>
      <c r="C584" s="6">
        <f>IF(ALLOCATIONS!A578="","",IFERROR(VLOOKUP(ALLOCATIONS!B578,MAPPING!$E$3:$G$302,2,FALSE),"UNMAPPED"))</f>
        <v/>
      </c>
      <c r="D584" s="6">
        <f>IF(ALLOCATIONS!A578="","",IFERROR(IF(VLOOKUP(ALLOCATIONS!B578,MAPPING!$E$3:$G$302,3,FALSE)="","",VLOOKUP(ALLOCATIONS!B578,MAPPING!$E$3:$G$302,3,FALSE)),""))</f>
        <v/>
      </c>
      <c r="E584" s="6">
        <f>IF(ALLOCATIONS!A578="","",ALLOCATIONS!C578)</f>
        <v/>
      </c>
      <c r="F584" s="6">
        <f>IF(ALLOCATIONS!A578="","",IF(ALLOCATIONS!D578="",0,ALLOCATIONS!D578))</f>
        <v/>
      </c>
      <c r="G584" s="6">
        <f>IF(ALLOCATIONS!A578="","",SUMIFS(RAW_004!$I$2:$I$10001,RAW_004!$D$2:$D$10001,ALLOCATIONS!A578,RAW_004!$H$2:$H$10001,ALLOCATIONS!B578,RAW_004!$N$2:$N$10001,ALLOCATIONS!C578))</f>
        <v/>
      </c>
      <c r="H584" s="6">
        <f>IF(A584="","",G584-F584)</f>
        <v/>
      </c>
    </row>
    <row r="585">
      <c r="A585" s="6">
        <f>IF(ALLOCATIONS!A579="","",IFERROR(VLOOKUP(ALLOCATIONS!A579,MAPPING!$A$3:$C$302,2,FALSE),"UNMAPPED"))</f>
        <v/>
      </c>
      <c r="B585" s="6">
        <f>IF(ALLOCATIONS!A579="","",IFERROR(VLOOKUP(ALLOCATIONS!A579,MAPPING!$A$3:$C$302,3,FALSE),ALLOCATIONS!A579))</f>
        <v/>
      </c>
      <c r="C585" s="6">
        <f>IF(ALLOCATIONS!A579="","",IFERROR(VLOOKUP(ALLOCATIONS!B579,MAPPING!$E$3:$G$302,2,FALSE),"UNMAPPED"))</f>
        <v/>
      </c>
      <c r="D585" s="6">
        <f>IF(ALLOCATIONS!A579="","",IFERROR(IF(VLOOKUP(ALLOCATIONS!B579,MAPPING!$E$3:$G$302,3,FALSE)="","",VLOOKUP(ALLOCATIONS!B579,MAPPING!$E$3:$G$302,3,FALSE)),""))</f>
        <v/>
      </c>
      <c r="E585" s="6">
        <f>IF(ALLOCATIONS!A579="","",ALLOCATIONS!C579)</f>
        <v/>
      </c>
      <c r="F585" s="6">
        <f>IF(ALLOCATIONS!A579="","",IF(ALLOCATIONS!D579="",0,ALLOCATIONS!D579))</f>
        <v/>
      </c>
      <c r="G585" s="6">
        <f>IF(ALLOCATIONS!A579="","",SUMIFS(RAW_004!$I$2:$I$10001,RAW_004!$D$2:$D$10001,ALLOCATIONS!A579,RAW_004!$H$2:$H$10001,ALLOCATIONS!B579,RAW_004!$N$2:$N$10001,ALLOCATIONS!C579))</f>
        <v/>
      </c>
      <c r="H585" s="6">
        <f>IF(A585="","",G585-F585)</f>
        <v/>
      </c>
    </row>
    <row r="586">
      <c r="A586" s="6">
        <f>IF(ALLOCATIONS!A580="","",IFERROR(VLOOKUP(ALLOCATIONS!A580,MAPPING!$A$3:$C$302,2,FALSE),"UNMAPPED"))</f>
        <v/>
      </c>
      <c r="B586" s="6">
        <f>IF(ALLOCATIONS!A580="","",IFERROR(VLOOKUP(ALLOCATIONS!A580,MAPPING!$A$3:$C$302,3,FALSE),ALLOCATIONS!A580))</f>
        <v/>
      </c>
      <c r="C586" s="6">
        <f>IF(ALLOCATIONS!A580="","",IFERROR(VLOOKUP(ALLOCATIONS!B580,MAPPING!$E$3:$G$302,2,FALSE),"UNMAPPED"))</f>
        <v/>
      </c>
      <c r="D586" s="6">
        <f>IF(ALLOCATIONS!A580="","",IFERROR(IF(VLOOKUP(ALLOCATIONS!B580,MAPPING!$E$3:$G$302,3,FALSE)="","",VLOOKUP(ALLOCATIONS!B580,MAPPING!$E$3:$G$302,3,FALSE)),""))</f>
        <v/>
      </c>
      <c r="E586" s="6">
        <f>IF(ALLOCATIONS!A580="","",ALLOCATIONS!C580)</f>
        <v/>
      </c>
      <c r="F586" s="6">
        <f>IF(ALLOCATIONS!A580="","",IF(ALLOCATIONS!D580="",0,ALLOCATIONS!D580))</f>
        <v/>
      </c>
      <c r="G586" s="6">
        <f>IF(ALLOCATIONS!A580="","",SUMIFS(RAW_004!$I$2:$I$10001,RAW_004!$D$2:$D$10001,ALLOCATIONS!A580,RAW_004!$H$2:$H$10001,ALLOCATIONS!B580,RAW_004!$N$2:$N$10001,ALLOCATIONS!C580))</f>
        <v/>
      </c>
      <c r="H586" s="6">
        <f>IF(A586="","",G586-F586)</f>
        <v/>
      </c>
    </row>
    <row r="587">
      <c r="A587" s="6">
        <f>IF(ALLOCATIONS!A581="","",IFERROR(VLOOKUP(ALLOCATIONS!A581,MAPPING!$A$3:$C$302,2,FALSE),"UNMAPPED"))</f>
        <v/>
      </c>
      <c r="B587" s="6">
        <f>IF(ALLOCATIONS!A581="","",IFERROR(VLOOKUP(ALLOCATIONS!A581,MAPPING!$A$3:$C$302,3,FALSE),ALLOCATIONS!A581))</f>
        <v/>
      </c>
      <c r="C587" s="6">
        <f>IF(ALLOCATIONS!A581="","",IFERROR(VLOOKUP(ALLOCATIONS!B581,MAPPING!$E$3:$G$302,2,FALSE),"UNMAPPED"))</f>
        <v/>
      </c>
      <c r="D587" s="6">
        <f>IF(ALLOCATIONS!A581="","",IFERROR(IF(VLOOKUP(ALLOCATIONS!B581,MAPPING!$E$3:$G$302,3,FALSE)="","",VLOOKUP(ALLOCATIONS!B581,MAPPING!$E$3:$G$302,3,FALSE)),""))</f>
        <v/>
      </c>
      <c r="E587" s="6">
        <f>IF(ALLOCATIONS!A581="","",ALLOCATIONS!C581)</f>
        <v/>
      </c>
      <c r="F587" s="6">
        <f>IF(ALLOCATIONS!A581="","",IF(ALLOCATIONS!D581="",0,ALLOCATIONS!D581))</f>
        <v/>
      </c>
      <c r="G587" s="6">
        <f>IF(ALLOCATIONS!A581="","",SUMIFS(RAW_004!$I$2:$I$10001,RAW_004!$D$2:$D$10001,ALLOCATIONS!A581,RAW_004!$H$2:$H$10001,ALLOCATIONS!B581,RAW_004!$N$2:$N$10001,ALLOCATIONS!C581))</f>
        <v/>
      </c>
      <c r="H587" s="6">
        <f>IF(A587="","",G587-F587)</f>
        <v/>
      </c>
    </row>
    <row r="588">
      <c r="A588" s="6">
        <f>IF(ALLOCATIONS!A582="","",IFERROR(VLOOKUP(ALLOCATIONS!A582,MAPPING!$A$3:$C$302,2,FALSE),"UNMAPPED"))</f>
        <v/>
      </c>
      <c r="B588" s="6">
        <f>IF(ALLOCATIONS!A582="","",IFERROR(VLOOKUP(ALLOCATIONS!A582,MAPPING!$A$3:$C$302,3,FALSE),ALLOCATIONS!A582))</f>
        <v/>
      </c>
      <c r="C588" s="6">
        <f>IF(ALLOCATIONS!A582="","",IFERROR(VLOOKUP(ALLOCATIONS!B582,MAPPING!$E$3:$G$302,2,FALSE),"UNMAPPED"))</f>
        <v/>
      </c>
      <c r="D588" s="6">
        <f>IF(ALLOCATIONS!A582="","",IFERROR(IF(VLOOKUP(ALLOCATIONS!B582,MAPPING!$E$3:$G$302,3,FALSE)="","",VLOOKUP(ALLOCATIONS!B582,MAPPING!$E$3:$G$302,3,FALSE)),""))</f>
        <v/>
      </c>
      <c r="E588" s="6">
        <f>IF(ALLOCATIONS!A582="","",ALLOCATIONS!C582)</f>
        <v/>
      </c>
      <c r="F588" s="6">
        <f>IF(ALLOCATIONS!A582="","",IF(ALLOCATIONS!D582="",0,ALLOCATIONS!D582))</f>
        <v/>
      </c>
      <c r="G588" s="6">
        <f>IF(ALLOCATIONS!A582="","",SUMIFS(RAW_004!$I$2:$I$10001,RAW_004!$D$2:$D$10001,ALLOCATIONS!A582,RAW_004!$H$2:$H$10001,ALLOCATIONS!B582,RAW_004!$N$2:$N$10001,ALLOCATIONS!C582))</f>
        <v/>
      </c>
      <c r="H588" s="6">
        <f>IF(A588="","",G588-F588)</f>
        <v/>
      </c>
    </row>
    <row r="589">
      <c r="A589" s="6">
        <f>IF(ALLOCATIONS!A583="","",IFERROR(VLOOKUP(ALLOCATIONS!A583,MAPPING!$A$3:$C$302,2,FALSE),"UNMAPPED"))</f>
        <v/>
      </c>
      <c r="B589" s="6">
        <f>IF(ALLOCATIONS!A583="","",IFERROR(VLOOKUP(ALLOCATIONS!A583,MAPPING!$A$3:$C$302,3,FALSE),ALLOCATIONS!A583))</f>
        <v/>
      </c>
      <c r="C589" s="6">
        <f>IF(ALLOCATIONS!A583="","",IFERROR(VLOOKUP(ALLOCATIONS!B583,MAPPING!$E$3:$G$302,2,FALSE),"UNMAPPED"))</f>
        <v/>
      </c>
      <c r="D589" s="6">
        <f>IF(ALLOCATIONS!A583="","",IFERROR(IF(VLOOKUP(ALLOCATIONS!B583,MAPPING!$E$3:$G$302,3,FALSE)="","",VLOOKUP(ALLOCATIONS!B583,MAPPING!$E$3:$G$302,3,FALSE)),""))</f>
        <v/>
      </c>
      <c r="E589" s="6">
        <f>IF(ALLOCATIONS!A583="","",ALLOCATIONS!C583)</f>
        <v/>
      </c>
      <c r="F589" s="6">
        <f>IF(ALLOCATIONS!A583="","",IF(ALLOCATIONS!D583="",0,ALLOCATIONS!D583))</f>
        <v/>
      </c>
      <c r="G589" s="6">
        <f>IF(ALLOCATIONS!A583="","",SUMIFS(RAW_004!$I$2:$I$10001,RAW_004!$D$2:$D$10001,ALLOCATIONS!A583,RAW_004!$H$2:$H$10001,ALLOCATIONS!B583,RAW_004!$N$2:$N$10001,ALLOCATIONS!C583))</f>
        <v/>
      </c>
      <c r="H589" s="6">
        <f>IF(A589="","",G589-F589)</f>
        <v/>
      </c>
    </row>
    <row r="590">
      <c r="A590" s="6">
        <f>IF(ALLOCATIONS!A584="","",IFERROR(VLOOKUP(ALLOCATIONS!A584,MAPPING!$A$3:$C$302,2,FALSE),"UNMAPPED"))</f>
        <v/>
      </c>
      <c r="B590" s="6">
        <f>IF(ALLOCATIONS!A584="","",IFERROR(VLOOKUP(ALLOCATIONS!A584,MAPPING!$A$3:$C$302,3,FALSE),ALLOCATIONS!A584))</f>
        <v/>
      </c>
      <c r="C590" s="6">
        <f>IF(ALLOCATIONS!A584="","",IFERROR(VLOOKUP(ALLOCATIONS!B584,MAPPING!$E$3:$G$302,2,FALSE),"UNMAPPED"))</f>
        <v/>
      </c>
      <c r="D590" s="6">
        <f>IF(ALLOCATIONS!A584="","",IFERROR(IF(VLOOKUP(ALLOCATIONS!B584,MAPPING!$E$3:$G$302,3,FALSE)="","",VLOOKUP(ALLOCATIONS!B584,MAPPING!$E$3:$G$302,3,FALSE)),""))</f>
        <v/>
      </c>
      <c r="E590" s="6">
        <f>IF(ALLOCATIONS!A584="","",ALLOCATIONS!C584)</f>
        <v/>
      </c>
      <c r="F590" s="6">
        <f>IF(ALLOCATIONS!A584="","",IF(ALLOCATIONS!D584="",0,ALLOCATIONS!D584))</f>
        <v/>
      </c>
      <c r="G590" s="6">
        <f>IF(ALLOCATIONS!A584="","",SUMIFS(RAW_004!$I$2:$I$10001,RAW_004!$D$2:$D$10001,ALLOCATIONS!A584,RAW_004!$H$2:$H$10001,ALLOCATIONS!B584,RAW_004!$N$2:$N$10001,ALLOCATIONS!C584))</f>
        <v/>
      </c>
      <c r="H590" s="6">
        <f>IF(A590="","",G590-F590)</f>
        <v/>
      </c>
    </row>
    <row r="591">
      <c r="A591" s="6">
        <f>IF(ALLOCATIONS!A585="","",IFERROR(VLOOKUP(ALLOCATIONS!A585,MAPPING!$A$3:$C$302,2,FALSE),"UNMAPPED"))</f>
        <v/>
      </c>
      <c r="B591" s="6">
        <f>IF(ALLOCATIONS!A585="","",IFERROR(VLOOKUP(ALLOCATIONS!A585,MAPPING!$A$3:$C$302,3,FALSE),ALLOCATIONS!A585))</f>
        <v/>
      </c>
      <c r="C591" s="6">
        <f>IF(ALLOCATIONS!A585="","",IFERROR(VLOOKUP(ALLOCATIONS!B585,MAPPING!$E$3:$G$302,2,FALSE),"UNMAPPED"))</f>
        <v/>
      </c>
      <c r="D591" s="6">
        <f>IF(ALLOCATIONS!A585="","",IFERROR(IF(VLOOKUP(ALLOCATIONS!B585,MAPPING!$E$3:$G$302,3,FALSE)="","",VLOOKUP(ALLOCATIONS!B585,MAPPING!$E$3:$G$302,3,FALSE)),""))</f>
        <v/>
      </c>
      <c r="E591" s="6">
        <f>IF(ALLOCATIONS!A585="","",ALLOCATIONS!C585)</f>
        <v/>
      </c>
      <c r="F591" s="6">
        <f>IF(ALLOCATIONS!A585="","",IF(ALLOCATIONS!D585="",0,ALLOCATIONS!D585))</f>
        <v/>
      </c>
      <c r="G591" s="6">
        <f>IF(ALLOCATIONS!A585="","",SUMIFS(RAW_004!$I$2:$I$10001,RAW_004!$D$2:$D$10001,ALLOCATIONS!A585,RAW_004!$H$2:$H$10001,ALLOCATIONS!B585,RAW_004!$N$2:$N$10001,ALLOCATIONS!C585))</f>
        <v/>
      </c>
      <c r="H591" s="6">
        <f>IF(A591="","",G591-F591)</f>
        <v/>
      </c>
    </row>
    <row r="592">
      <c r="A592" s="6">
        <f>IF(ALLOCATIONS!A586="","",IFERROR(VLOOKUP(ALLOCATIONS!A586,MAPPING!$A$3:$C$302,2,FALSE),"UNMAPPED"))</f>
        <v/>
      </c>
      <c r="B592" s="6">
        <f>IF(ALLOCATIONS!A586="","",IFERROR(VLOOKUP(ALLOCATIONS!A586,MAPPING!$A$3:$C$302,3,FALSE),ALLOCATIONS!A586))</f>
        <v/>
      </c>
      <c r="C592" s="6">
        <f>IF(ALLOCATIONS!A586="","",IFERROR(VLOOKUP(ALLOCATIONS!B586,MAPPING!$E$3:$G$302,2,FALSE),"UNMAPPED"))</f>
        <v/>
      </c>
      <c r="D592" s="6">
        <f>IF(ALLOCATIONS!A586="","",IFERROR(IF(VLOOKUP(ALLOCATIONS!B586,MAPPING!$E$3:$G$302,3,FALSE)="","",VLOOKUP(ALLOCATIONS!B586,MAPPING!$E$3:$G$302,3,FALSE)),""))</f>
        <v/>
      </c>
      <c r="E592" s="6">
        <f>IF(ALLOCATIONS!A586="","",ALLOCATIONS!C586)</f>
        <v/>
      </c>
      <c r="F592" s="6">
        <f>IF(ALLOCATIONS!A586="","",IF(ALLOCATIONS!D586="",0,ALLOCATIONS!D586))</f>
        <v/>
      </c>
      <c r="G592" s="6">
        <f>IF(ALLOCATIONS!A586="","",SUMIFS(RAW_004!$I$2:$I$10001,RAW_004!$D$2:$D$10001,ALLOCATIONS!A586,RAW_004!$H$2:$H$10001,ALLOCATIONS!B586,RAW_004!$N$2:$N$10001,ALLOCATIONS!C586))</f>
        <v/>
      </c>
      <c r="H592" s="6">
        <f>IF(A592="","",G592-F592)</f>
        <v/>
      </c>
    </row>
    <row r="593">
      <c r="A593" s="6">
        <f>IF(ALLOCATIONS!A587="","",IFERROR(VLOOKUP(ALLOCATIONS!A587,MAPPING!$A$3:$C$302,2,FALSE),"UNMAPPED"))</f>
        <v/>
      </c>
      <c r="B593" s="6">
        <f>IF(ALLOCATIONS!A587="","",IFERROR(VLOOKUP(ALLOCATIONS!A587,MAPPING!$A$3:$C$302,3,FALSE),ALLOCATIONS!A587))</f>
        <v/>
      </c>
      <c r="C593" s="6">
        <f>IF(ALLOCATIONS!A587="","",IFERROR(VLOOKUP(ALLOCATIONS!B587,MAPPING!$E$3:$G$302,2,FALSE),"UNMAPPED"))</f>
        <v/>
      </c>
      <c r="D593" s="6">
        <f>IF(ALLOCATIONS!A587="","",IFERROR(IF(VLOOKUP(ALLOCATIONS!B587,MAPPING!$E$3:$G$302,3,FALSE)="","",VLOOKUP(ALLOCATIONS!B587,MAPPING!$E$3:$G$302,3,FALSE)),""))</f>
        <v/>
      </c>
      <c r="E593" s="6">
        <f>IF(ALLOCATIONS!A587="","",ALLOCATIONS!C587)</f>
        <v/>
      </c>
      <c r="F593" s="6">
        <f>IF(ALLOCATIONS!A587="","",IF(ALLOCATIONS!D587="",0,ALLOCATIONS!D587))</f>
        <v/>
      </c>
      <c r="G593" s="6">
        <f>IF(ALLOCATIONS!A587="","",SUMIFS(RAW_004!$I$2:$I$10001,RAW_004!$D$2:$D$10001,ALLOCATIONS!A587,RAW_004!$H$2:$H$10001,ALLOCATIONS!B587,RAW_004!$N$2:$N$10001,ALLOCATIONS!C587))</f>
        <v/>
      </c>
      <c r="H593" s="6">
        <f>IF(A593="","",G593-F593)</f>
        <v/>
      </c>
    </row>
    <row r="594">
      <c r="A594" s="6">
        <f>IF(ALLOCATIONS!A588="","",IFERROR(VLOOKUP(ALLOCATIONS!A588,MAPPING!$A$3:$C$302,2,FALSE),"UNMAPPED"))</f>
        <v/>
      </c>
      <c r="B594" s="6">
        <f>IF(ALLOCATIONS!A588="","",IFERROR(VLOOKUP(ALLOCATIONS!A588,MAPPING!$A$3:$C$302,3,FALSE),ALLOCATIONS!A588))</f>
        <v/>
      </c>
      <c r="C594" s="6">
        <f>IF(ALLOCATIONS!A588="","",IFERROR(VLOOKUP(ALLOCATIONS!B588,MAPPING!$E$3:$G$302,2,FALSE),"UNMAPPED"))</f>
        <v/>
      </c>
      <c r="D594" s="6">
        <f>IF(ALLOCATIONS!A588="","",IFERROR(IF(VLOOKUP(ALLOCATIONS!B588,MAPPING!$E$3:$G$302,3,FALSE)="","",VLOOKUP(ALLOCATIONS!B588,MAPPING!$E$3:$G$302,3,FALSE)),""))</f>
        <v/>
      </c>
      <c r="E594" s="6">
        <f>IF(ALLOCATIONS!A588="","",ALLOCATIONS!C588)</f>
        <v/>
      </c>
      <c r="F594" s="6">
        <f>IF(ALLOCATIONS!A588="","",IF(ALLOCATIONS!D588="",0,ALLOCATIONS!D588))</f>
        <v/>
      </c>
      <c r="G594" s="6">
        <f>IF(ALLOCATIONS!A588="","",SUMIFS(RAW_004!$I$2:$I$10001,RAW_004!$D$2:$D$10001,ALLOCATIONS!A588,RAW_004!$H$2:$H$10001,ALLOCATIONS!B588,RAW_004!$N$2:$N$10001,ALLOCATIONS!C588))</f>
        <v/>
      </c>
      <c r="H594" s="6">
        <f>IF(A594="","",G594-F594)</f>
        <v/>
      </c>
    </row>
    <row r="595">
      <c r="A595" s="6">
        <f>IF(ALLOCATIONS!A589="","",IFERROR(VLOOKUP(ALLOCATIONS!A589,MAPPING!$A$3:$C$302,2,FALSE),"UNMAPPED"))</f>
        <v/>
      </c>
      <c r="B595" s="6">
        <f>IF(ALLOCATIONS!A589="","",IFERROR(VLOOKUP(ALLOCATIONS!A589,MAPPING!$A$3:$C$302,3,FALSE),ALLOCATIONS!A589))</f>
        <v/>
      </c>
      <c r="C595" s="6">
        <f>IF(ALLOCATIONS!A589="","",IFERROR(VLOOKUP(ALLOCATIONS!B589,MAPPING!$E$3:$G$302,2,FALSE),"UNMAPPED"))</f>
        <v/>
      </c>
      <c r="D595" s="6">
        <f>IF(ALLOCATIONS!A589="","",IFERROR(IF(VLOOKUP(ALLOCATIONS!B589,MAPPING!$E$3:$G$302,3,FALSE)="","",VLOOKUP(ALLOCATIONS!B589,MAPPING!$E$3:$G$302,3,FALSE)),""))</f>
        <v/>
      </c>
      <c r="E595" s="6">
        <f>IF(ALLOCATIONS!A589="","",ALLOCATIONS!C589)</f>
        <v/>
      </c>
      <c r="F595" s="6">
        <f>IF(ALLOCATIONS!A589="","",IF(ALLOCATIONS!D589="",0,ALLOCATIONS!D589))</f>
        <v/>
      </c>
      <c r="G595" s="6">
        <f>IF(ALLOCATIONS!A589="","",SUMIFS(RAW_004!$I$2:$I$10001,RAW_004!$D$2:$D$10001,ALLOCATIONS!A589,RAW_004!$H$2:$H$10001,ALLOCATIONS!B589,RAW_004!$N$2:$N$10001,ALLOCATIONS!C589))</f>
        <v/>
      </c>
      <c r="H595" s="6">
        <f>IF(A595="","",G595-F595)</f>
        <v/>
      </c>
    </row>
    <row r="596">
      <c r="A596" s="6">
        <f>IF(ALLOCATIONS!A590="","",IFERROR(VLOOKUP(ALLOCATIONS!A590,MAPPING!$A$3:$C$302,2,FALSE),"UNMAPPED"))</f>
        <v/>
      </c>
      <c r="B596" s="6">
        <f>IF(ALLOCATIONS!A590="","",IFERROR(VLOOKUP(ALLOCATIONS!A590,MAPPING!$A$3:$C$302,3,FALSE),ALLOCATIONS!A590))</f>
        <v/>
      </c>
      <c r="C596" s="6">
        <f>IF(ALLOCATIONS!A590="","",IFERROR(VLOOKUP(ALLOCATIONS!B590,MAPPING!$E$3:$G$302,2,FALSE),"UNMAPPED"))</f>
        <v/>
      </c>
      <c r="D596" s="6">
        <f>IF(ALLOCATIONS!A590="","",IFERROR(IF(VLOOKUP(ALLOCATIONS!B590,MAPPING!$E$3:$G$302,3,FALSE)="","",VLOOKUP(ALLOCATIONS!B590,MAPPING!$E$3:$G$302,3,FALSE)),""))</f>
        <v/>
      </c>
      <c r="E596" s="6">
        <f>IF(ALLOCATIONS!A590="","",ALLOCATIONS!C590)</f>
        <v/>
      </c>
      <c r="F596" s="6">
        <f>IF(ALLOCATIONS!A590="","",IF(ALLOCATIONS!D590="",0,ALLOCATIONS!D590))</f>
        <v/>
      </c>
      <c r="G596" s="6">
        <f>IF(ALLOCATIONS!A590="","",SUMIFS(RAW_004!$I$2:$I$10001,RAW_004!$D$2:$D$10001,ALLOCATIONS!A590,RAW_004!$H$2:$H$10001,ALLOCATIONS!B590,RAW_004!$N$2:$N$10001,ALLOCATIONS!C590))</f>
        <v/>
      </c>
      <c r="H596" s="6">
        <f>IF(A596="","",G596-F596)</f>
        <v/>
      </c>
    </row>
    <row r="597">
      <c r="A597" s="6">
        <f>IF(ALLOCATIONS!A591="","",IFERROR(VLOOKUP(ALLOCATIONS!A591,MAPPING!$A$3:$C$302,2,FALSE),"UNMAPPED"))</f>
        <v/>
      </c>
      <c r="B597" s="6">
        <f>IF(ALLOCATIONS!A591="","",IFERROR(VLOOKUP(ALLOCATIONS!A591,MAPPING!$A$3:$C$302,3,FALSE),ALLOCATIONS!A591))</f>
        <v/>
      </c>
      <c r="C597" s="6">
        <f>IF(ALLOCATIONS!A591="","",IFERROR(VLOOKUP(ALLOCATIONS!B591,MAPPING!$E$3:$G$302,2,FALSE),"UNMAPPED"))</f>
        <v/>
      </c>
      <c r="D597" s="6">
        <f>IF(ALLOCATIONS!A591="","",IFERROR(IF(VLOOKUP(ALLOCATIONS!B591,MAPPING!$E$3:$G$302,3,FALSE)="","",VLOOKUP(ALLOCATIONS!B591,MAPPING!$E$3:$G$302,3,FALSE)),""))</f>
        <v/>
      </c>
      <c r="E597" s="6">
        <f>IF(ALLOCATIONS!A591="","",ALLOCATIONS!C591)</f>
        <v/>
      </c>
      <c r="F597" s="6">
        <f>IF(ALLOCATIONS!A591="","",IF(ALLOCATIONS!D591="",0,ALLOCATIONS!D591))</f>
        <v/>
      </c>
      <c r="G597" s="6">
        <f>IF(ALLOCATIONS!A591="","",SUMIFS(RAW_004!$I$2:$I$10001,RAW_004!$D$2:$D$10001,ALLOCATIONS!A591,RAW_004!$H$2:$H$10001,ALLOCATIONS!B591,RAW_004!$N$2:$N$10001,ALLOCATIONS!C591))</f>
        <v/>
      </c>
      <c r="H597" s="6">
        <f>IF(A597="","",G597-F597)</f>
        <v/>
      </c>
    </row>
    <row r="598">
      <c r="A598" s="6">
        <f>IF(ALLOCATIONS!A592="","",IFERROR(VLOOKUP(ALLOCATIONS!A592,MAPPING!$A$3:$C$302,2,FALSE),"UNMAPPED"))</f>
        <v/>
      </c>
      <c r="B598" s="6">
        <f>IF(ALLOCATIONS!A592="","",IFERROR(VLOOKUP(ALLOCATIONS!A592,MAPPING!$A$3:$C$302,3,FALSE),ALLOCATIONS!A592))</f>
        <v/>
      </c>
      <c r="C598" s="6">
        <f>IF(ALLOCATIONS!A592="","",IFERROR(VLOOKUP(ALLOCATIONS!B592,MAPPING!$E$3:$G$302,2,FALSE),"UNMAPPED"))</f>
        <v/>
      </c>
      <c r="D598" s="6">
        <f>IF(ALLOCATIONS!A592="","",IFERROR(IF(VLOOKUP(ALLOCATIONS!B592,MAPPING!$E$3:$G$302,3,FALSE)="","",VLOOKUP(ALLOCATIONS!B592,MAPPING!$E$3:$G$302,3,FALSE)),""))</f>
        <v/>
      </c>
      <c r="E598" s="6">
        <f>IF(ALLOCATIONS!A592="","",ALLOCATIONS!C592)</f>
        <v/>
      </c>
      <c r="F598" s="6">
        <f>IF(ALLOCATIONS!A592="","",IF(ALLOCATIONS!D592="",0,ALLOCATIONS!D592))</f>
        <v/>
      </c>
      <c r="G598" s="6">
        <f>IF(ALLOCATIONS!A592="","",SUMIFS(RAW_004!$I$2:$I$10001,RAW_004!$D$2:$D$10001,ALLOCATIONS!A592,RAW_004!$H$2:$H$10001,ALLOCATIONS!B592,RAW_004!$N$2:$N$10001,ALLOCATIONS!C592))</f>
        <v/>
      </c>
      <c r="H598" s="6">
        <f>IF(A598="","",G598-F598)</f>
        <v/>
      </c>
    </row>
    <row r="599">
      <c r="A599" s="6">
        <f>IF(ALLOCATIONS!A593="","",IFERROR(VLOOKUP(ALLOCATIONS!A593,MAPPING!$A$3:$C$302,2,FALSE),"UNMAPPED"))</f>
        <v/>
      </c>
      <c r="B599" s="6">
        <f>IF(ALLOCATIONS!A593="","",IFERROR(VLOOKUP(ALLOCATIONS!A593,MAPPING!$A$3:$C$302,3,FALSE),ALLOCATIONS!A593))</f>
        <v/>
      </c>
      <c r="C599" s="6">
        <f>IF(ALLOCATIONS!A593="","",IFERROR(VLOOKUP(ALLOCATIONS!B593,MAPPING!$E$3:$G$302,2,FALSE),"UNMAPPED"))</f>
        <v/>
      </c>
      <c r="D599" s="6">
        <f>IF(ALLOCATIONS!A593="","",IFERROR(IF(VLOOKUP(ALLOCATIONS!B593,MAPPING!$E$3:$G$302,3,FALSE)="","",VLOOKUP(ALLOCATIONS!B593,MAPPING!$E$3:$G$302,3,FALSE)),""))</f>
        <v/>
      </c>
      <c r="E599" s="6">
        <f>IF(ALLOCATIONS!A593="","",ALLOCATIONS!C593)</f>
        <v/>
      </c>
      <c r="F599" s="6">
        <f>IF(ALLOCATIONS!A593="","",IF(ALLOCATIONS!D593="",0,ALLOCATIONS!D593))</f>
        <v/>
      </c>
      <c r="G599" s="6">
        <f>IF(ALLOCATIONS!A593="","",SUMIFS(RAW_004!$I$2:$I$10001,RAW_004!$D$2:$D$10001,ALLOCATIONS!A593,RAW_004!$H$2:$H$10001,ALLOCATIONS!B593,RAW_004!$N$2:$N$10001,ALLOCATIONS!C593))</f>
        <v/>
      </c>
      <c r="H599" s="6">
        <f>IF(A599="","",G599-F599)</f>
        <v/>
      </c>
    </row>
    <row r="600">
      <c r="A600" s="6">
        <f>IF(ALLOCATIONS!A594="","",IFERROR(VLOOKUP(ALLOCATIONS!A594,MAPPING!$A$3:$C$302,2,FALSE),"UNMAPPED"))</f>
        <v/>
      </c>
      <c r="B600" s="6">
        <f>IF(ALLOCATIONS!A594="","",IFERROR(VLOOKUP(ALLOCATIONS!A594,MAPPING!$A$3:$C$302,3,FALSE),ALLOCATIONS!A594))</f>
        <v/>
      </c>
      <c r="C600" s="6">
        <f>IF(ALLOCATIONS!A594="","",IFERROR(VLOOKUP(ALLOCATIONS!B594,MAPPING!$E$3:$G$302,2,FALSE),"UNMAPPED"))</f>
        <v/>
      </c>
      <c r="D600" s="6">
        <f>IF(ALLOCATIONS!A594="","",IFERROR(IF(VLOOKUP(ALLOCATIONS!B594,MAPPING!$E$3:$G$302,3,FALSE)="","",VLOOKUP(ALLOCATIONS!B594,MAPPING!$E$3:$G$302,3,FALSE)),""))</f>
        <v/>
      </c>
      <c r="E600" s="6">
        <f>IF(ALLOCATIONS!A594="","",ALLOCATIONS!C594)</f>
        <v/>
      </c>
      <c r="F600" s="6">
        <f>IF(ALLOCATIONS!A594="","",IF(ALLOCATIONS!D594="",0,ALLOCATIONS!D594))</f>
        <v/>
      </c>
      <c r="G600" s="6">
        <f>IF(ALLOCATIONS!A594="","",SUMIFS(RAW_004!$I$2:$I$10001,RAW_004!$D$2:$D$10001,ALLOCATIONS!A594,RAW_004!$H$2:$H$10001,ALLOCATIONS!B594,RAW_004!$N$2:$N$10001,ALLOCATIONS!C594))</f>
        <v/>
      </c>
      <c r="H600" s="6">
        <f>IF(A600="","",G600-F600)</f>
        <v/>
      </c>
    </row>
    <row r="601">
      <c r="A601" s="6">
        <f>IF(ALLOCATIONS!A595="","",IFERROR(VLOOKUP(ALLOCATIONS!A595,MAPPING!$A$3:$C$302,2,FALSE),"UNMAPPED"))</f>
        <v/>
      </c>
      <c r="B601" s="6">
        <f>IF(ALLOCATIONS!A595="","",IFERROR(VLOOKUP(ALLOCATIONS!A595,MAPPING!$A$3:$C$302,3,FALSE),ALLOCATIONS!A595))</f>
        <v/>
      </c>
      <c r="C601" s="6">
        <f>IF(ALLOCATIONS!A595="","",IFERROR(VLOOKUP(ALLOCATIONS!B595,MAPPING!$E$3:$G$302,2,FALSE),"UNMAPPED"))</f>
        <v/>
      </c>
      <c r="D601" s="6">
        <f>IF(ALLOCATIONS!A595="","",IFERROR(IF(VLOOKUP(ALLOCATIONS!B595,MAPPING!$E$3:$G$302,3,FALSE)="","",VLOOKUP(ALLOCATIONS!B595,MAPPING!$E$3:$G$302,3,FALSE)),""))</f>
        <v/>
      </c>
      <c r="E601" s="6">
        <f>IF(ALLOCATIONS!A595="","",ALLOCATIONS!C595)</f>
        <v/>
      </c>
      <c r="F601" s="6">
        <f>IF(ALLOCATIONS!A595="","",IF(ALLOCATIONS!D595="",0,ALLOCATIONS!D595))</f>
        <v/>
      </c>
      <c r="G601" s="6">
        <f>IF(ALLOCATIONS!A595="","",SUMIFS(RAW_004!$I$2:$I$10001,RAW_004!$D$2:$D$10001,ALLOCATIONS!A595,RAW_004!$H$2:$H$10001,ALLOCATIONS!B595,RAW_004!$N$2:$N$10001,ALLOCATIONS!C595))</f>
        <v/>
      </c>
      <c r="H601" s="6">
        <f>IF(A601="","",G601-F601)</f>
        <v/>
      </c>
    </row>
    <row r="602">
      <c r="A602" s="6">
        <f>IF(ALLOCATIONS!A596="","",IFERROR(VLOOKUP(ALLOCATIONS!A596,MAPPING!$A$3:$C$302,2,FALSE),"UNMAPPED"))</f>
        <v/>
      </c>
      <c r="B602" s="6">
        <f>IF(ALLOCATIONS!A596="","",IFERROR(VLOOKUP(ALLOCATIONS!A596,MAPPING!$A$3:$C$302,3,FALSE),ALLOCATIONS!A596))</f>
        <v/>
      </c>
      <c r="C602" s="6">
        <f>IF(ALLOCATIONS!A596="","",IFERROR(VLOOKUP(ALLOCATIONS!B596,MAPPING!$E$3:$G$302,2,FALSE),"UNMAPPED"))</f>
        <v/>
      </c>
      <c r="D602" s="6">
        <f>IF(ALLOCATIONS!A596="","",IFERROR(IF(VLOOKUP(ALLOCATIONS!B596,MAPPING!$E$3:$G$302,3,FALSE)="","",VLOOKUP(ALLOCATIONS!B596,MAPPING!$E$3:$G$302,3,FALSE)),""))</f>
        <v/>
      </c>
      <c r="E602" s="6">
        <f>IF(ALLOCATIONS!A596="","",ALLOCATIONS!C596)</f>
        <v/>
      </c>
      <c r="F602" s="6">
        <f>IF(ALLOCATIONS!A596="","",IF(ALLOCATIONS!D596="",0,ALLOCATIONS!D596))</f>
        <v/>
      </c>
      <c r="G602" s="6">
        <f>IF(ALLOCATIONS!A596="","",SUMIFS(RAW_004!$I$2:$I$10001,RAW_004!$D$2:$D$10001,ALLOCATIONS!A596,RAW_004!$H$2:$H$10001,ALLOCATIONS!B596,RAW_004!$N$2:$N$10001,ALLOCATIONS!C596))</f>
        <v/>
      </c>
      <c r="H602" s="6">
        <f>IF(A602="","",G602-F602)</f>
        <v/>
      </c>
    </row>
    <row r="603">
      <c r="A603" s="6">
        <f>IF(ALLOCATIONS!A597="","",IFERROR(VLOOKUP(ALLOCATIONS!A597,MAPPING!$A$3:$C$302,2,FALSE),"UNMAPPED"))</f>
        <v/>
      </c>
      <c r="B603" s="6">
        <f>IF(ALLOCATIONS!A597="","",IFERROR(VLOOKUP(ALLOCATIONS!A597,MAPPING!$A$3:$C$302,3,FALSE),ALLOCATIONS!A597))</f>
        <v/>
      </c>
      <c r="C603" s="6">
        <f>IF(ALLOCATIONS!A597="","",IFERROR(VLOOKUP(ALLOCATIONS!B597,MAPPING!$E$3:$G$302,2,FALSE),"UNMAPPED"))</f>
        <v/>
      </c>
      <c r="D603" s="6">
        <f>IF(ALLOCATIONS!A597="","",IFERROR(IF(VLOOKUP(ALLOCATIONS!B597,MAPPING!$E$3:$G$302,3,FALSE)="","",VLOOKUP(ALLOCATIONS!B597,MAPPING!$E$3:$G$302,3,FALSE)),""))</f>
        <v/>
      </c>
      <c r="E603" s="6">
        <f>IF(ALLOCATIONS!A597="","",ALLOCATIONS!C597)</f>
        <v/>
      </c>
      <c r="F603" s="6">
        <f>IF(ALLOCATIONS!A597="","",IF(ALLOCATIONS!D597="",0,ALLOCATIONS!D597))</f>
        <v/>
      </c>
      <c r="G603" s="6">
        <f>IF(ALLOCATIONS!A597="","",SUMIFS(RAW_004!$I$2:$I$10001,RAW_004!$D$2:$D$10001,ALLOCATIONS!A597,RAW_004!$H$2:$H$10001,ALLOCATIONS!B597,RAW_004!$N$2:$N$10001,ALLOCATIONS!C597))</f>
        <v/>
      </c>
      <c r="H603" s="6">
        <f>IF(A603="","",G603-F603)</f>
        <v/>
      </c>
    </row>
    <row r="604">
      <c r="A604" s="6">
        <f>IF(ALLOCATIONS!A598="","",IFERROR(VLOOKUP(ALLOCATIONS!A598,MAPPING!$A$3:$C$302,2,FALSE),"UNMAPPED"))</f>
        <v/>
      </c>
      <c r="B604" s="6">
        <f>IF(ALLOCATIONS!A598="","",IFERROR(VLOOKUP(ALLOCATIONS!A598,MAPPING!$A$3:$C$302,3,FALSE),ALLOCATIONS!A598))</f>
        <v/>
      </c>
      <c r="C604" s="6">
        <f>IF(ALLOCATIONS!A598="","",IFERROR(VLOOKUP(ALLOCATIONS!B598,MAPPING!$E$3:$G$302,2,FALSE),"UNMAPPED"))</f>
        <v/>
      </c>
      <c r="D604" s="6">
        <f>IF(ALLOCATIONS!A598="","",IFERROR(IF(VLOOKUP(ALLOCATIONS!B598,MAPPING!$E$3:$G$302,3,FALSE)="","",VLOOKUP(ALLOCATIONS!B598,MAPPING!$E$3:$G$302,3,FALSE)),""))</f>
        <v/>
      </c>
      <c r="E604" s="6">
        <f>IF(ALLOCATIONS!A598="","",ALLOCATIONS!C598)</f>
        <v/>
      </c>
      <c r="F604" s="6">
        <f>IF(ALLOCATIONS!A598="","",IF(ALLOCATIONS!D598="",0,ALLOCATIONS!D598))</f>
        <v/>
      </c>
      <c r="G604" s="6">
        <f>IF(ALLOCATIONS!A598="","",SUMIFS(RAW_004!$I$2:$I$10001,RAW_004!$D$2:$D$10001,ALLOCATIONS!A598,RAW_004!$H$2:$H$10001,ALLOCATIONS!B598,RAW_004!$N$2:$N$10001,ALLOCATIONS!C598))</f>
        <v/>
      </c>
      <c r="H604" s="6">
        <f>IF(A604="","",G604-F604)</f>
        <v/>
      </c>
    </row>
    <row r="605">
      <c r="A605" s="6">
        <f>IF(ALLOCATIONS!A599="","",IFERROR(VLOOKUP(ALLOCATIONS!A599,MAPPING!$A$3:$C$302,2,FALSE),"UNMAPPED"))</f>
        <v/>
      </c>
      <c r="B605" s="6">
        <f>IF(ALLOCATIONS!A599="","",IFERROR(VLOOKUP(ALLOCATIONS!A599,MAPPING!$A$3:$C$302,3,FALSE),ALLOCATIONS!A599))</f>
        <v/>
      </c>
      <c r="C605" s="6">
        <f>IF(ALLOCATIONS!A599="","",IFERROR(VLOOKUP(ALLOCATIONS!B599,MAPPING!$E$3:$G$302,2,FALSE),"UNMAPPED"))</f>
        <v/>
      </c>
      <c r="D605" s="6">
        <f>IF(ALLOCATIONS!A599="","",IFERROR(IF(VLOOKUP(ALLOCATIONS!B599,MAPPING!$E$3:$G$302,3,FALSE)="","",VLOOKUP(ALLOCATIONS!B599,MAPPING!$E$3:$G$302,3,FALSE)),""))</f>
        <v/>
      </c>
      <c r="E605" s="6">
        <f>IF(ALLOCATIONS!A599="","",ALLOCATIONS!C599)</f>
        <v/>
      </c>
      <c r="F605" s="6">
        <f>IF(ALLOCATIONS!A599="","",IF(ALLOCATIONS!D599="",0,ALLOCATIONS!D599))</f>
        <v/>
      </c>
      <c r="G605" s="6">
        <f>IF(ALLOCATIONS!A599="","",SUMIFS(RAW_004!$I$2:$I$10001,RAW_004!$D$2:$D$10001,ALLOCATIONS!A599,RAW_004!$H$2:$H$10001,ALLOCATIONS!B599,RAW_004!$N$2:$N$10001,ALLOCATIONS!C599))</f>
        <v/>
      </c>
      <c r="H605" s="6">
        <f>IF(A605="","",G605-F605)</f>
        <v/>
      </c>
    </row>
    <row r="606">
      <c r="A606" s="6">
        <f>IF(ALLOCATIONS!A600="","",IFERROR(VLOOKUP(ALLOCATIONS!A600,MAPPING!$A$3:$C$302,2,FALSE),"UNMAPPED"))</f>
        <v/>
      </c>
      <c r="B606" s="6">
        <f>IF(ALLOCATIONS!A600="","",IFERROR(VLOOKUP(ALLOCATIONS!A600,MAPPING!$A$3:$C$302,3,FALSE),ALLOCATIONS!A600))</f>
        <v/>
      </c>
      <c r="C606" s="6">
        <f>IF(ALLOCATIONS!A600="","",IFERROR(VLOOKUP(ALLOCATIONS!B600,MAPPING!$E$3:$G$302,2,FALSE),"UNMAPPED"))</f>
        <v/>
      </c>
      <c r="D606" s="6">
        <f>IF(ALLOCATIONS!A600="","",IFERROR(IF(VLOOKUP(ALLOCATIONS!B600,MAPPING!$E$3:$G$302,3,FALSE)="","",VLOOKUP(ALLOCATIONS!B600,MAPPING!$E$3:$G$302,3,FALSE)),""))</f>
        <v/>
      </c>
      <c r="E606" s="6">
        <f>IF(ALLOCATIONS!A600="","",ALLOCATIONS!C600)</f>
        <v/>
      </c>
      <c r="F606" s="6">
        <f>IF(ALLOCATIONS!A600="","",IF(ALLOCATIONS!D600="",0,ALLOCATIONS!D600))</f>
        <v/>
      </c>
      <c r="G606" s="6">
        <f>IF(ALLOCATIONS!A600="","",SUMIFS(RAW_004!$I$2:$I$10001,RAW_004!$D$2:$D$10001,ALLOCATIONS!A600,RAW_004!$H$2:$H$10001,ALLOCATIONS!B600,RAW_004!$N$2:$N$10001,ALLOCATIONS!C600))</f>
        <v/>
      </c>
      <c r="H606" s="6">
        <f>IF(A606="","",G606-F606)</f>
        <v/>
      </c>
    </row>
    <row r="607">
      <c r="A607" s="6">
        <f>IF(ALLOCATIONS!A601="","",IFERROR(VLOOKUP(ALLOCATIONS!A601,MAPPING!$A$3:$C$302,2,FALSE),"UNMAPPED"))</f>
        <v/>
      </c>
      <c r="B607" s="6">
        <f>IF(ALLOCATIONS!A601="","",IFERROR(VLOOKUP(ALLOCATIONS!A601,MAPPING!$A$3:$C$302,3,FALSE),ALLOCATIONS!A601))</f>
        <v/>
      </c>
      <c r="C607" s="6">
        <f>IF(ALLOCATIONS!A601="","",IFERROR(VLOOKUP(ALLOCATIONS!B601,MAPPING!$E$3:$G$302,2,FALSE),"UNMAPPED"))</f>
        <v/>
      </c>
      <c r="D607" s="6">
        <f>IF(ALLOCATIONS!A601="","",IFERROR(IF(VLOOKUP(ALLOCATIONS!B601,MAPPING!$E$3:$G$302,3,FALSE)="","",VLOOKUP(ALLOCATIONS!B601,MAPPING!$E$3:$G$302,3,FALSE)),""))</f>
        <v/>
      </c>
      <c r="E607" s="6">
        <f>IF(ALLOCATIONS!A601="","",ALLOCATIONS!C601)</f>
        <v/>
      </c>
      <c r="F607" s="6">
        <f>IF(ALLOCATIONS!A601="","",IF(ALLOCATIONS!D601="",0,ALLOCATIONS!D601))</f>
        <v/>
      </c>
      <c r="G607" s="6">
        <f>IF(ALLOCATIONS!A601="","",SUMIFS(RAW_004!$I$2:$I$10001,RAW_004!$D$2:$D$10001,ALLOCATIONS!A601,RAW_004!$H$2:$H$10001,ALLOCATIONS!B601,RAW_004!$N$2:$N$10001,ALLOCATIONS!C601))</f>
        <v/>
      </c>
      <c r="H607" s="6">
        <f>IF(A607="","",G607-F607)</f>
        <v/>
      </c>
    </row>
    <row r="608">
      <c r="A608" s="6">
        <f>IF(ALLOCATIONS!A602="","",IFERROR(VLOOKUP(ALLOCATIONS!A602,MAPPING!$A$3:$C$302,2,FALSE),"UNMAPPED"))</f>
        <v/>
      </c>
      <c r="B608" s="6">
        <f>IF(ALLOCATIONS!A602="","",IFERROR(VLOOKUP(ALLOCATIONS!A602,MAPPING!$A$3:$C$302,3,FALSE),ALLOCATIONS!A602))</f>
        <v/>
      </c>
      <c r="C608" s="6">
        <f>IF(ALLOCATIONS!A602="","",IFERROR(VLOOKUP(ALLOCATIONS!B602,MAPPING!$E$3:$G$302,2,FALSE),"UNMAPPED"))</f>
        <v/>
      </c>
      <c r="D608" s="6">
        <f>IF(ALLOCATIONS!A602="","",IFERROR(IF(VLOOKUP(ALLOCATIONS!B602,MAPPING!$E$3:$G$302,3,FALSE)="","",VLOOKUP(ALLOCATIONS!B602,MAPPING!$E$3:$G$302,3,FALSE)),""))</f>
        <v/>
      </c>
      <c r="E608" s="6">
        <f>IF(ALLOCATIONS!A602="","",ALLOCATIONS!C602)</f>
        <v/>
      </c>
      <c r="F608" s="6">
        <f>IF(ALLOCATIONS!A602="","",IF(ALLOCATIONS!D602="",0,ALLOCATIONS!D602))</f>
        <v/>
      </c>
      <c r="G608" s="6">
        <f>IF(ALLOCATIONS!A602="","",SUMIFS(RAW_004!$I$2:$I$10001,RAW_004!$D$2:$D$10001,ALLOCATIONS!A602,RAW_004!$H$2:$H$10001,ALLOCATIONS!B602,RAW_004!$N$2:$N$10001,ALLOCATIONS!C602))</f>
        <v/>
      </c>
      <c r="H608" s="6">
        <f>IF(A608="","",G608-F608)</f>
        <v/>
      </c>
    </row>
    <row r="609">
      <c r="A609" s="6">
        <f>IF(ALLOCATIONS!A603="","",IFERROR(VLOOKUP(ALLOCATIONS!A603,MAPPING!$A$3:$C$302,2,FALSE),"UNMAPPED"))</f>
        <v/>
      </c>
      <c r="B609" s="6">
        <f>IF(ALLOCATIONS!A603="","",IFERROR(VLOOKUP(ALLOCATIONS!A603,MAPPING!$A$3:$C$302,3,FALSE),ALLOCATIONS!A603))</f>
        <v/>
      </c>
      <c r="C609" s="6">
        <f>IF(ALLOCATIONS!A603="","",IFERROR(VLOOKUP(ALLOCATIONS!B603,MAPPING!$E$3:$G$302,2,FALSE),"UNMAPPED"))</f>
        <v/>
      </c>
      <c r="D609" s="6">
        <f>IF(ALLOCATIONS!A603="","",IFERROR(IF(VLOOKUP(ALLOCATIONS!B603,MAPPING!$E$3:$G$302,3,FALSE)="","",VLOOKUP(ALLOCATIONS!B603,MAPPING!$E$3:$G$302,3,FALSE)),""))</f>
        <v/>
      </c>
      <c r="E609" s="6">
        <f>IF(ALLOCATIONS!A603="","",ALLOCATIONS!C603)</f>
        <v/>
      </c>
      <c r="F609" s="6">
        <f>IF(ALLOCATIONS!A603="","",IF(ALLOCATIONS!D603="",0,ALLOCATIONS!D603))</f>
        <v/>
      </c>
      <c r="G609" s="6">
        <f>IF(ALLOCATIONS!A603="","",SUMIFS(RAW_004!$I$2:$I$10001,RAW_004!$D$2:$D$10001,ALLOCATIONS!A603,RAW_004!$H$2:$H$10001,ALLOCATIONS!B603,RAW_004!$N$2:$N$10001,ALLOCATIONS!C603))</f>
        <v/>
      </c>
      <c r="H609" s="6">
        <f>IF(A609="","",G609-F609)</f>
        <v/>
      </c>
    </row>
    <row r="610">
      <c r="A610" s="6">
        <f>IF(ALLOCATIONS!A604="","",IFERROR(VLOOKUP(ALLOCATIONS!A604,MAPPING!$A$3:$C$302,2,FALSE),"UNMAPPED"))</f>
        <v/>
      </c>
      <c r="B610" s="6">
        <f>IF(ALLOCATIONS!A604="","",IFERROR(VLOOKUP(ALLOCATIONS!A604,MAPPING!$A$3:$C$302,3,FALSE),ALLOCATIONS!A604))</f>
        <v/>
      </c>
      <c r="C610" s="6">
        <f>IF(ALLOCATIONS!A604="","",IFERROR(VLOOKUP(ALLOCATIONS!B604,MAPPING!$E$3:$G$302,2,FALSE),"UNMAPPED"))</f>
        <v/>
      </c>
      <c r="D610" s="6">
        <f>IF(ALLOCATIONS!A604="","",IFERROR(IF(VLOOKUP(ALLOCATIONS!B604,MAPPING!$E$3:$G$302,3,FALSE)="","",VLOOKUP(ALLOCATIONS!B604,MAPPING!$E$3:$G$302,3,FALSE)),""))</f>
        <v/>
      </c>
      <c r="E610" s="6">
        <f>IF(ALLOCATIONS!A604="","",ALLOCATIONS!C604)</f>
        <v/>
      </c>
      <c r="F610" s="6">
        <f>IF(ALLOCATIONS!A604="","",IF(ALLOCATIONS!D604="",0,ALLOCATIONS!D604))</f>
        <v/>
      </c>
      <c r="G610" s="6">
        <f>IF(ALLOCATIONS!A604="","",SUMIFS(RAW_004!$I$2:$I$10001,RAW_004!$D$2:$D$10001,ALLOCATIONS!A604,RAW_004!$H$2:$H$10001,ALLOCATIONS!B604,RAW_004!$N$2:$N$10001,ALLOCATIONS!C604))</f>
        <v/>
      </c>
      <c r="H610" s="6">
        <f>IF(A610="","",G610-F610)</f>
        <v/>
      </c>
    </row>
    <row r="611">
      <c r="A611" s="6">
        <f>IF(ALLOCATIONS!A605="","",IFERROR(VLOOKUP(ALLOCATIONS!A605,MAPPING!$A$3:$C$302,2,FALSE),"UNMAPPED"))</f>
        <v/>
      </c>
      <c r="B611" s="6">
        <f>IF(ALLOCATIONS!A605="","",IFERROR(VLOOKUP(ALLOCATIONS!A605,MAPPING!$A$3:$C$302,3,FALSE),ALLOCATIONS!A605))</f>
        <v/>
      </c>
      <c r="C611" s="6">
        <f>IF(ALLOCATIONS!A605="","",IFERROR(VLOOKUP(ALLOCATIONS!B605,MAPPING!$E$3:$G$302,2,FALSE),"UNMAPPED"))</f>
        <v/>
      </c>
      <c r="D611" s="6">
        <f>IF(ALLOCATIONS!A605="","",IFERROR(IF(VLOOKUP(ALLOCATIONS!B605,MAPPING!$E$3:$G$302,3,FALSE)="","",VLOOKUP(ALLOCATIONS!B605,MAPPING!$E$3:$G$302,3,FALSE)),""))</f>
        <v/>
      </c>
      <c r="E611" s="6">
        <f>IF(ALLOCATIONS!A605="","",ALLOCATIONS!C605)</f>
        <v/>
      </c>
      <c r="F611" s="6">
        <f>IF(ALLOCATIONS!A605="","",IF(ALLOCATIONS!D605="",0,ALLOCATIONS!D605))</f>
        <v/>
      </c>
      <c r="G611" s="6">
        <f>IF(ALLOCATIONS!A605="","",SUMIFS(RAW_004!$I$2:$I$10001,RAW_004!$D$2:$D$10001,ALLOCATIONS!A605,RAW_004!$H$2:$H$10001,ALLOCATIONS!B605,RAW_004!$N$2:$N$10001,ALLOCATIONS!C605))</f>
        <v/>
      </c>
      <c r="H611" s="6">
        <f>IF(A611="","",G611-F611)</f>
        <v/>
      </c>
    </row>
    <row r="612">
      <c r="A612" s="6">
        <f>IF(ALLOCATIONS!A606="","",IFERROR(VLOOKUP(ALLOCATIONS!A606,MAPPING!$A$3:$C$302,2,FALSE),"UNMAPPED"))</f>
        <v/>
      </c>
      <c r="B612" s="6">
        <f>IF(ALLOCATIONS!A606="","",IFERROR(VLOOKUP(ALLOCATIONS!A606,MAPPING!$A$3:$C$302,3,FALSE),ALLOCATIONS!A606))</f>
        <v/>
      </c>
      <c r="C612" s="6">
        <f>IF(ALLOCATIONS!A606="","",IFERROR(VLOOKUP(ALLOCATIONS!B606,MAPPING!$E$3:$G$302,2,FALSE),"UNMAPPED"))</f>
        <v/>
      </c>
      <c r="D612" s="6">
        <f>IF(ALLOCATIONS!A606="","",IFERROR(IF(VLOOKUP(ALLOCATIONS!B606,MAPPING!$E$3:$G$302,3,FALSE)="","",VLOOKUP(ALLOCATIONS!B606,MAPPING!$E$3:$G$302,3,FALSE)),""))</f>
        <v/>
      </c>
      <c r="E612" s="6">
        <f>IF(ALLOCATIONS!A606="","",ALLOCATIONS!C606)</f>
        <v/>
      </c>
      <c r="F612" s="6">
        <f>IF(ALLOCATIONS!A606="","",IF(ALLOCATIONS!D606="",0,ALLOCATIONS!D606))</f>
        <v/>
      </c>
      <c r="G612" s="6">
        <f>IF(ALLOCATIONS!A606="","",SUMIFS(RAW_004!$I$2:$I$10001,RAW_004!$D$2:$D$10001,ALLOCATIONS!A606,RAW_004!$H$2:$H$10001,ALLOCATIONS!B606,RAW_004!$N$2:$N$10001,ALLOCATIONS!C606))</f>
        <v/>
      </c>
      <c r="H612" s="6">
        <f>IF(A612="","",G612-F612)</f>
        <v/>
      </c>
    </row>
    <row r="613">
      <c r="A613" s="6">
        <f>IF(ALLOCATIONS!A607="","",IFERROR(VLOOKUP(ALLOCATIONS!A607,MAPPING!$A$3:$C$302,2,FALSE),"UNMAPPED"))</f>
        <v/>
      </c>
      <c r="B613" s="6">
        <f>IF(ALLOCATIONS!A607="","",IFERROR(VLOOKUP(ALLOCATIONS!A607,MAPPING!$A$3:$C$302,3,FALSE),ALLOCATIONS!A607))</f>
        <v/>
      </c>
      <c r="C613" s="6">
        <f>IF(ALLOCATIONS!A607="","",IFERROR(VLOOKUP(ALLOCATIONS!B607,MAPPING!$E$3:$G$302,2,FALSE),"UNMAPPED"))</f>
        <v/>
      </c>
      <c r="D613" s="6">
        <f>IF(ALLOCATIONS!A607="","",IFERROR(IF(VLOOKUP(ALLOCATIONS!B607,MAPPING!$E$3:$G$302,3,FALSE)="","",VLOOKUP(ALLOCATIONS!B607,MAPPING!$E$3:$G$302,3,FALSE)),""))</f>
        <v/>
      </c>
      <c r="E613" s="6">
        <f>IF(ALLOCATIONS!A607="","",ALLOCATIONS!C607)</f>
        <v/>
      </c>
      <c r="F613" s="6">
        <f>IF(ALLOCATIONS!A607="","",IF(ALLOCATIONS!D607="",0,ALLOCATIONS!D607))</f>
        <v/>
      </c>
      <c r="G613" s="6">
        <f>IF(ALLOCATIONS!A607="","",SUMIFS(RAW_004!$I$2:$I$10001,RAW_004!$D$2:$D$10001,ALLOCATIONS!A607,RAW_004!$H$2:$H$10001,ALLOCATIONS!B607,RAW_004!$N$2:$N$10001,ALLOCATIONS!C607))</f>
        <v/>
      </c>
      <c r="H613" s="6">
        <f>IF(A613="","",G613-F613)</f>
        <v/>
      </c>
    </row>
    <row r="614">
      <c r="A614" s="6">
        <f>IF(ALLOCATIONS!A608="","",IFERROR(VLOOKUP(ALLOCATIONS!A608,MAPPING!$A$3:$C$302,2,FALSE),"UNMAPPED"))</f>
        <v/>
      </c>
      <c r="B614" s="6">
        <f>IF(ALLOCATIONS!A608="","",IFERROR(VLOOKUP(ALLOCATIONS!A608,MAPPING!$A$3:$C$302,3,FALSE),ALLOCATIONS!A608))</f>
        <v/>
      </c>
      <c r="C614" s="6">
        <f>IF(ALLOCATIONS!A608="","",IFERROR(VLOOKUP(ALLOCATIONS!B608,MAPPING!$E$3:$G$302,2,FALSE),"UNMAPPED"))</f>
        <v/>
      </c>
      <c r="D614" s="6">
        <f>IF(ALLOCATIONS!A608="","",IFERROR(IF(VLOOKUP(ALLOCATIONS!B608,MAPPING!$E$3:$G$302,3,FALSE)="","",VLOOKUP(ALLOCATIONS!B608,MAPPING!$E$3:$G$302,3,FALSE)),""))</f>
        <v/>
      </c>
      <c r="E614" s="6">
        <f>IF(ALLOCATIONS!A608="","",ALLOCATIONS!C608)</f>
        <v/>
      </c>
      <c r="F614" s="6">
        <f>IF(ALLOCATIONS!A608="","",IF(ALLOCATIONS!D608="",0,ALLOCATIONS!D608))</f>
        <v/>
      </c>
      <c r="G614" s="6">
        <f>IF(ALLOCATIONS!A608="","",SUMIFS(RAW_004!$I$2:$I$10001,RAW_004!$D$2:$D$10001,ALLOCATIONS!A608,RAW_004!$H$2:$H$10001,ALLOCATIONS!B608,RAW_004!$N$2:$N$10001,ALLOCATIONS!C608))</f>
        <v/>
      </c>
      <c r="H614" s="6">
        <f>IF(A614="","",G614-F614)</f>
        <v/>
      </c>
    </row>
    <row r="615">
      <c r="A615" s="6">
        <f>IF(ALLOCATIONS!A609="","",IFERROR(VLOOKUP(ALLOCATIONS!A609,MAPPING!$A$3:$C$302,2,FALSE),"UNMAPPED"))</f>
        <v/>
      </c>
      <c r="B615" s="6">
        <f>IF(ALLOCATIONS!A609="","",IFERROR(VLOOKUP(ALLOCATIONS!A609,MAPPING!$A$3:$C$302,3,FALSE),ALLOCATIONS!A609))</f>
        <v/>
      </c>
      <c r="C615" s="6">
        <f>IF(ALLOCATIONS!A609="","",IFERROR(VLOOKUP(ALLOCATIONS!B609,MAPPING!$E$3:$G$302,2,FALSE),"UNMAPPED"))</f>
        <v/>
      </c>
      <c r="D615" s="6">
        <f>IF(ALLOCATIONS!A609="","",IFERROR(IF(VLOOKUP(ALLOCATIONS!B609,MAPPING!$E$3:$G$302,3,FALSE)="","",VLOOKUP(ALLOCATIONS!B609,MAPPING!$E$3:$G$302,3,FALSE)),""))</f>
        <v/>
      </c>
      <c r="E615" s="6">
        <f>IF(ALLOCATIONS!A609="","",ALLOCATIONS!C609)</f>
        <v/>
      </c>
      <c r="F615" s="6">
        <f>IF(ALLOCATIONS!A609="","",IF(ALLOCATIONS!D609="",0,ALLOCATIONS!D609))</f>
        <v/>
      </c>
      <c r="G615" s="6">
        <f>IF(ALLOCATIONS!A609="","",SUMIFS(RAW_004!$I$2:$I$10001,RAW_004!$D$2:$D$10001,ALLOCATIONS!A609,RAW_004!$H$2:$H$10001,ALLOCATIONS!B609,RAW_004!$N$2:$N$10001,ALLOCATIONS!C609))</f>
        <v/>
      </c>
      <c r="H615" s="6">
        <f>IF(A615="","",G615-F615)</f>
        <v/>
      </c>
    </row>
    <row r="616">
      <c r="A616" s="6">
        <f>IF(ALLOCATIONS!A610="","",IFERROR(VLOOKUP(ALLOCATIONS!A610,MAPPING!$A$3:$C$302,2,FALSE),"UNMAPPED"))</f>
        <v/>
      </c>
      <c r="B616" s="6">
        <f>IF(ALLOCATIONS!A610="","",IFERROR(VLOOKUP(ALLOCATIONS!A610,MAPPING!$A$3:$C$302,3,FALSE),ALLOCATIONS!A610))</f>
        <v/>
      </c>
      <c r="C616" s="6">
        <f>IF(ALLOCATIONS!A610="","",IFERROR(VLOOKUP(ALLOCATIONS!B610,MAPPING!$E$3:$G$302,2,FALSE),"UNMAPPED"))</f>
        <v/>
      </c>
      <c r="D616" s="6">
        <f>IF(ALLOCATIONS!A610="","",IFERROR(IF(VLOOKUP(ALLOCATIONS!B610,MAPPING!$E$3:$G$302,3,FALSE)="","",VLOOKUP(ALLOCATIONS!B610,MAPPING!$E$3:$G$302,3,FALSE)),""))</f>
        <v/>
      </c>
      <c r="E616" s="6">
        <f>IF(ALLOCATIONS!A610="","",ALLOCATIONS!C610)</f>
        <v/>
      </c>
      <c r="F616" s="6">
        <f>IF(ALLOCATIONS!A610="","",IF(ALLOCATIONS!D610="",0,ALLOCATIONS!D610))</f>
        <v/>
      </c>
      <c r="G616" s="6">
        <f>IF(ALLOCATIONS!A610="","",SUMIFS(RAW_004!$I$2:$I$10001,RAW_004!$D$2:$D$10001,ALLOCATIONS!A610,RAW_004!$H$2:$H$10001,ALLOCATIONS!B610,RAW_004!$N$2:$N$10001,ALLOCATIONS!C610))</f>
        <v/>
      </c>
      <c r="H616" s="6">
        <f>IF(A616="","",G616-F616)</f>
        <v/>
      </c>
    </row>
    <row r="617">
      <c r="A617" s="6">
        <f>IF(ALLOCATIONS!A611="","",IFERROR(VLOOKUP(ALLOCATIONS!A611,MAPPING!$A$3:$C$302,2,FALSE),"UNMAPPED"))</f>
        <v/>
      </c>
      <c r="B617" s="6">
        <f>IF(ALLOCATIONS!A611="","",IFERROR(VLOOKUP(ALLOCATIONS!A611,MAPPING!$A$3:$C$302,3,FALSE),ALLOCATIONS!A611))</f>
        <v/>
      </c>
      <c r="C617" s="6">
        <f>IF(ALLOCATIONS!A611="","",IFERROR(VLOOKUP(ALLOCATIONS!B611,MAPPING!$E$3:$G$302,2,FALSE),"UNMAPPED"))</f>
        <v/>
      </c>
      <c r="D617" s="6">
        <f>IF(ALLOCATIONS!A611="","",IFERROR(IF(VLOOKUP(ALLOCATIONS!B611,MAPPING!$E$3:$G$302,3,FALSE)="","",VLOOKUP(ALLOCATIONS!B611,MAPPING!$E$3:$G$302,3,FALSE)),""))</f>
        <v/>
      </c>
      <c r="E617" s="6">
        <f>IF(ALLOCATIONS!A611="","",ALLOCATIONS!C611)</f>
        <v/>
      </c>
      <c r="F617" s="6">
        <f>IF(ALLOCATIONS!A611="","",IF(ALLOCATIONS!D611="",0,ALLOCATIONS!D611))</f>
        <v/>
      </c>
      <c r="G617" s="6">
        <f>IF(ALLOCATIONS!A611="","",SUMIFS(RAW_004!$I$2:$I$10001,RAW_004!$D$2:$D$10001,ALLOCATIONS!A611,RAW_004!$H$2:$H$10001,ALLOCATIONS!B611,RAW_004!$N$2:$N$10001,ALLOCATIONS!C611))</f>
        <v/>
      </c>
      <c r="H617" s="6">
        <f>IF(A617="","",G617-F617)</f>
        <v/>
      </c>
    </row>
    <row r="618">
      <c r="A618" s="6">
        <f>IF(ALLOCATIONS!A612="","",IFERROR(VLOOKUP(ALLOCATIONS!A612,MAPPING!$A$3:$C$302,2,FALSE),"UNMAPPED"))</f>
        <v/>
      </c>
      <c r="B618" s="6">
        <f>IF(ALLOCATIONS!A612="","",IFERROR(VLOOKUP(ALLOCATIONS!A612,MAPPING!$A$3:$C$302,3,FALSE),ALLOCATIONS!A612))</f>
        <v/>
      </c>
      <c r="C618" s="6">
        <f>IF(ALLOCATIONS!A612="","",IFERROR(VLOOKUP(ALLOCATIONS!B612,MAPPING!$E$3:$G$302,2,FALSE),"UNMAPPED"))</f>
        <v/>
      </c>
      <c r="D618" s="6">
        <f>IF(ALLOCATIONS!A612="","",IFERROR(IF(VLOOKUP(ALLOCATIONS!B612,MAPPING!$E$3:$G$302,3,FALSE)="","",VLOOKUP(ALLOCATIONS!B612,MAPPING!$E$3:$G$302,3,FALSE)),""))</f>
        <v/>
      </c>
      <c r="E618" s="6">
        <f>IF(ALLOCATIONS!A612="","",ALLOCATIONS!C612)</f>
        <v/>
      </c>
      <c r="F618" s="6">
        <f>IF(ALLOCATIONS!A612="","",IF(ALLOCATIONS!D612="",0,ALLOCATIONS!D612))</f>
        <v/>
      </c>
      <c r="G618" s="6">
        <f>IF(ALLOCATIONS!A612="","",SUMIFS(RAW_004!$I$2:$I$10001,RAW_004!$D$2:$D$10001,ALLOCATIONS!A612,RAW_004!$H$2:$H$10001,ALLOCATIONS!B612,RAW_004!$N$2:$N$10001,ALLOCATIONS!C612))</f>
        <v/>
      </c>
      <c r="H618" s="6">
        <f>IF(A618="","",G618-F618)</f>
        <v/>
      </c>
    </row>
    <row r="619">
      <c r="A619" s="6">
        <f>IF(ALLOCATIONS!A613="","",IFERROR(VLOOKUP(ALLOCATIONS!A613,MAPPING!$A$3:$C$302,2,FALSE),"UNMAPPED"))</f>
        <v/>
      </c>
      <c r="B619" s="6">
        <f>IF(ALLOCATIONS!A613="","",IFERROR(VLOOKUP(ALLOCATIONS!A613,MAPPING!$A$3:$C$302,3,FALSE),ALLOCATIONS!A613))</f>
        <v/>
      </c>
      <c r="C619" s="6">
        <f>IF(ALLOCATIONS!A613="","",IFERROR(VLOOKUP(ALLOCATIONS!B613,MAPPING!$E$3:$G$302,2,FALSE),"UNMAPPED"))</f>
        <v/>
      </c>
      <c r="D619" s="6">
        <f>IF(ALLOCATIONS!A613="","",IFERROR(IF(VLOOKUP(ALLOCATIONS!B613,MAPPING!$E$3:$G$302,3,FALSE)="","",VLOOKUP(ALLOCATIONS!B613,MAPPING!$E$3:$G$302,3,FALSE)),""))</f>
        <v/>
      </c>
      <c r="E619" s="6">
        <f>IF(ALLOCATIONS!A613="","",ALLOCATIONS!C613)</f>
        <v/>
      </c>
      <c r="F619" s="6">
        <f>IF(ALLOCATIONS!A613="","",IF(ALLOCATIONS!D613="",0,ALLOCATIONS!D613))</f>
        <v/>
      </c>
      <c r="G619" s="6">
        <f>IF(ALLOCATIONS!A613="","",SUMIFS(RAW_004!$I$2:$I$10001,RAW_004!$D$2:$D$10001,ALLOCATIONS!A613,RAW_004!$H$2:$H$10001,ALLOCATIONS!B613,RAW_004!$N$2:$N$10001,ALLOCATIONS!C613))</f>
        <v/>
      </c>
      <c r="H619" s="6">
        <f>IF(A619="","",G619-F619)</f>
        <v/>
      </c>
    </row>
    <row r="620">
      <c r="A620" s="6">
        <f>IF(ALLOCATIONS!A614="","",IFERROR(VLOOKUP(ALLOCATIONS!A614,MAPPING!$A$3:$C$302,2,FALSE),"UNMAPPED"))</f>
        <v/>
      </c>
      <c r="B620" s="6">
        <f>IF(ALLOCATIONS!A614="","",IFERROR(VLOOKUP(ALLOCATIONS!A614,MAPPING!$A$3:$C$302,3,FALSE),ALLOCATIONS!A614))</f>
        <v/>
      </c>
      <c r="C620" s="6">
        <f>IF(ALLOCATIONS!A614="","",IFERROR(VLOOKUP(ALLOCATIONS!B614,MAPPING!$E$3:$G$302,2,FALSE),"UNMAPPED"))</f>
        <v/>
      </c>
      <c r="D620" s="6">
        <f>IF(ALLOCATIONS!A614="","",IFERROR(IF(VLOOKUP(ALLOCATIONS!B614,MAPPING!$E$3:$G$302,3,FALSE)="","",VLOOKUP(ALLOCATIONS!B614,MAPPING!$E$3:$G$302,3,FALSE)),""))</f>
        <v/>
      </c>
      <c r="E620" s="6">
        <f>IF(ALLOCATIONS!A614="","",ALLOCATIONS!C614)</f>
        <v/>
      </c>
      <c r="F620" s="6">
        <f>IF(ALLOCATIONS!A614="","",IF(ALLOCATIONS!D614="",0,ALLOCATIONS!D614))</f>
        <v/>
      </c>
      <c r="G620" s="6">
        <f>IF(ALLOCATIONS!A614="","",SUMIFS(RAW_004!$I$2:$I$10001,RAW_004!$D$2:$D$10001,ALLOCATIONS!A614,RAW_004!$H$2:$H$10001,ALLOCATIONS!B614,RAW_004!$N$2:$N$10001,ALLOCATIONS!C614))</f>
        <v/>
      </c>
      <c r="H620" s="6">
        <f>IF(A620="","",G620-F620)</f>
        <v/>
      </c>
    </row>
    <row r="621">
      <c r="A621" s="6">
        <f>IF(ALLOCATIONS!A615="","",IFERROR(VLOOKUP(ALLOCATIONS!A615,MAPPING!$A$3:$C$302,2,FALSE),"UNMAPPED"))</f>
        <v/>
      </c>
      <c r="B621" s="6">
        <f>IF(ALLOCATIONS!A615="","",IFERROR(VLOOKUP(ALLOCATIONS!A615,MAPPING!$A$3:$C$302,3,FALSE),ALLOCATIONS!A615))</f>
        <v/>
      </c>
      <c r="C621" s="6">
        <f>IF(ALLOCATIONS!A615="","",IFERROR(VLOOKUP(ALLOCATIONS!B615,MAPPING!$E$3:$G$302,2,FALSE),"UNMAPPED"))</f>
        <v/>
      </c>
      <c r="D621" s="6">
        <f>IF(ALLOCATIONS!A615="","",IFERROR(IF(VLOOKUP(ALLOCATIONS!B615,MAPPING!$E$3:$G$302,3,FALSE)="","",VLOOKUP(ALLOCATIONS!B615,MAPPING!$E$3:$G$302,3,FALSE)),""))</f>
        <v/>
      </c>
      <c r="E621" s="6">
        <f>IF(ALLOCATIONS!A615="","",ALLOCATIONS!C615)</f>
        <v/>
      </c>
      <c r="F621" s="6">
        <f>IF(ALLOCATIONS!A615="","",IF(ALLOCATIONS!D615="",0,ALLOCATIONS!D615))</f>
        <v/>
      </c>
      <c r="G621" s="6">
        <f>IF(ALLOCATIONS!A615="","",SUMIFS(RAW_004!$I$2:$I$10001,RAW_004!$D$2:$D$10001,ALLOCATIONS!A615,RAW_004!$H$2:$H$10001,ALLOCATIONS!B615,RAW_004!$N$2:$N$10001,ALLOCATIONS!C615))</f>
        <v/>
      </c>
      <c r="H621" s="6">
        <f>IF(A621="","",G621-F621)</f>
        <v/>
      </c>
    </row>
    <row r="622">
      <c r="A622" s="6">
        <f>IF(ALLOCATIONS!A616="","",IFERROR(VLOOKUP(ALLOCATIONS!A616,MAPPING!$A$3:$C$302,2,FALSE),"UNMAPPED"))</f>
        <v/>
      </c>
      <c r="B622" s="6">
        <f>IF(ALLOCATIONS!A616="","",IFERROR(VLOOKUP(ALLOCATIONS!A616,MAPPING!$A$3:$C$302,3,FALSE),ALLOCATIONS!A616))</f>
        <v/>
      </c>
      <c r="C622" s="6">
        <f>IF(ALLOCATIONS!A616="","",IFERROR(VLOOKUP(ALLOCATIONS!B616,MAPPING!$E$3:$G$302,2,FALSE),"UNMAPPED"))</f>
        <v/>
      </c>
      <c r="D622" s="6">
        <f>IF(ALLOCATIONS!A616="","",IFERROR(IF(VLOOKUP(ALLOCATIONS!B616,MAPPING!$E$3:$G$302,3,FALSE)="","",VLOOKUP(ALLOCATIONS!B616,MAPPING!$E$3:$G$302,3,FALSE)),""))</f>
        <v/>
      </c>
      <c r="E622" s="6">
        <f>IF(ALLOCATIONS!A616="","",ALLOCATIONS!C616)</f>
        <v/>
      </c>
      <c r="F622" s="6">
        <f>IF(ALLOCATIONS!A616="","",IF(ALLOCATIONS!D616="",0,ALLOCATIONS!D616))</f>
        <v/>
      </c>
      <c r="G622" s="6">
        <f>IF(ALLOCATIONS!A616="","",SUMIFS(RAW_004!$I$2:$I$10001,RAW_004!$D$2:$D$10001,ALLOCATIONS!A616,RAW_004!$H$2:$H$10001,ALLOCATIONS!B616,RAW_004!$N$2:$N$10001,ALLOCATIONS!C616))</f>
        <v/>
      </c>
      <c r="H622" s="6">
        <f>IF(A622="","",G622-F622)</f>
        <v/>
      </c>
    </row>
    <row r="623">
      <c r="A623" s="6">
        <f>IF(ALLOCATIONS!A617="","",IFERROR(VLOOKUP(ALLOCATIONS!A617,MAPPING!$A$3:$C$302,2,FALSE),"UNMAPPED"))</f>
        <v/>
      </c>
      <c r="B623" s="6">
        <f>IF(ALLOCATIONS!A617="","",IFERROR(VLOOKUP(ALLOCATIONS!A617,MAPPING!$A$3:$C$302,3,FALSE),ALLOCATIONS!A617))</f>
        <v/>
      </c>
      <c r="C623" s="6">
        <f>IF(ALLOCATIONS!A617="","",IFERROR(VLOOKUP(ALLOCATIONS!B617,MAPPING!$E$3:$G$302,2,FALSE),"UNMAPPED"))</f>
        <v/>
      </c>
      <c r="D623" s="6">
        <f>IF(ALLOCATIONS!A617="","",IFERROR(IF(VLOOKUP(ALLOCATIONS!B617,MAPPING!$E$3:$G$302,3,FALSE)="","",VLOOKUP(ALLOCATIONS!B617,MAPPING!$E$3:$G$302,3,FALSE)),""))</f>
        <v/>
      </c>
      <c r="E623" s="6">
        <f>IF(ALLOCATIONS!A617="","",ALLOCATIONS!C617)</f>
        <v/>
      </c>
      <c r="F623" s="6">
        <f>IF(ALLOCATIONS!A617="","",IF(ALLOCATIONS!D617="",0,ALLOCATIONS!D617))</f>
        <v/>
      </c>
      <c r="G623" s="6">
        <f>IF(ALLOCATIONS!A617="","",SUMIFS(RAW_004!$I$2:$I$10001,RAW_004!$D$2:$D$10001,ALLOCATIONS!A617,RAW_004!$H$2:$H$10001,ALLOCATIONS!B617,RAW_004!$N$2:$N$10001,ALLOCATIONS!C617))</f>
        <v/>
      </c>
      <c r="H623" s="6">
        <f>IF(A623="","",G623-F623)</f>
        <v/>
      </c>
    </row>
    <row r="624">
      <c r="A624" s="6">
        <f>IF(ALLOCATIONS!A618="","",IFERROR(VLOOKUP(ALLOCATIONS!A618,MAPPING!$A$3:$C$302,2,FALSE),"UNMAPPED"))</f>
        <v/>
      </c>
      <c r="B624" s="6">
        <f>IF(ALLOCATIONS!A618="","",IFERROR(VLOOKUP(ALLOCATIONS!A618,MAPPING!$A$3:$C$302,3,FALSE),ALLOCATIONS!A618))</f>
        <v/>
      </c>
      <c r="C624" s="6">
        <f>IF(ALLOCATIONS!A618="","",IFERROR(VLOOKUP(ALLOCATIONS!B618,MAPPING!$E$3:$G$302,2,FALSE),"UNMAPPED"))</f>
        <v/>
      </c>
      <c r="D624" s="6">
        <f>IF(ALLOCATIONS!A618="","",IFERROR(IF(VLOOKUP(ALLOCATIONS!B618,MAPPING!$E$3:$G$302,3,FALSE)="","",VLOOKUP(ALLOCATIONS!B618,MAPPING!$E$3:$G$302,3,FALSE)),""))</f>
        <v/>
      </c>
      <c r="E624" s="6">
        <f>IF(ALLOCATIONS!A618="","",ALLOCATIONS!C618)</f>
        <v/>
      </c>
      <c r="F624" s="6">
        <f>IF(ALLOCATIONS!A618="","",IF(ALLOCATIONS!D618="",0,ALLOCATIONS!D618))</f>
        <v/>
      </c>
      <c r="G624" s="6">
        <f>IF(ALLOCATIONS!A618="","",SUMIFS(RAW_004!$I$2:$I$10001,RAW_004!$D$2:$D$10001,ALLOCATIONS!A618,RAW_004!$H$2:$H$10001,ALLOCATIONS!B618,RAW_004!$N$2:$N$10001,ALLOCATIONS!C618))</f>
        <v/>
      </c>
      <c r="H624" s="6">
        <f>IF(A624="","",G624-F624)</f>
        <v/>
      </c>
    </row>
    <row r="625">
      <c r="A625" s="6">
        <f>IF(ALLOCATIONS!A619="","",IFERROR(VLOOKUP(ALLOCATIONS!A619,MAPPING!$A$3:$C$302,2,FALSE),"UNMAPPED"))</f>
        <v/>
      </c>
      <c r="B625" s="6">
        <f>IF(ALLOCATIONS!A619="","",IFERROR(VLOOKUP(ALLOCATIONS!A619,MAPPING!$A$3:$C$302,3,FALSE),ALLOCATIONS!A619))</f>
        <v/>
      </c>
      <c r="C625" s="6">
        <f>IF(ALLOCATIONS!A619="","",IFERROR(VLOOKUP(ALLOCATIONS!B619,MAPPING!$E$3:$G$302,2,FALSE),"UNMAPPED"))</f>
        <v/>
      </c>
      <c r="D625" s="6">
        <f>IF(ALLOCATIONS!A619="","",IFERROR(IF(VLOOKUP(ALLOCATIONS!B619,MAPPING!$E$3:$G$302,3,FALSE)="","",VLOOKUP(ALLOCATIONS!B619,MAPPING!$E$3:$G$302,3,FALSE)),""))</f>
        <v/>
      </c>
      <c r="E625" s="6">
        <f>IF(ALLOCATIONS!A619="","",ALLOCATIONS!C619)</f>
        <v/>
      </c>
      <c r="F625" s="6">
        <f>IF(ALLOCATIONS!A619="","",IF(ALLOCATIONS!D619="",0,ALLOCATIONS!D619))</f>
        <v/>
      </c>
      <c r="G625" s="6">
        <f>IF(ALLOCATIONS!A619="","",SUMIFS(RAW_004!$I$2:$I$10001,RAW_004!$D$2:$D$10001,ALLOCATIONS!A619,RAW_004!$H$2:$H$10001,ALLOCATIONS!B619,RAW_004!$N$2:$N$10001,ALLOCATIONS!C619))</f>
        <v/>
      </c>
      <c r="H625" s="6">
        <f>IF(A625="","",G625-F625)</f>
        <v/>
      </c>
    </row>
    <row r="626">
      <c r="A626" s="6">
        <f>IF(ALLOCATIONS!A620="","",IFERROR(VLOOKUP(ALLOCATIONS!A620,MAPPING!$A$3:$C$302,2,FALSE),"UNMAPPED"))</f>
        <v/>
      </c>
      <c r="B626" s="6">
        <f>IF(ALLOCATIONS!A620="","",IFERROR(VLOOKUP(ALLOCATIONS!A620,MAPPING!$A$3:$C$302,3,FALSE),ALLOCATIONS!A620))</f>
        <v/>
      </c>
      <c r="C626" s="6">
        <f>IF(ALLOCATIONS!A620="","",IFERROR(VLOOKUP(ALLOCATIONS!B620,MAPPING!$E$3:$G$302,2,FALSE),"UNMAPPED"))</f>
        <v/>
      </c>
      <c r="D626" s="6">
        <f>IF(ALLOCATIONS!A620="","",IFERROR(IF(VLOOKUP(ALLOCATIONS!B620,MAPPING!$E$3:$G$302,3,FALSE)="","",VLOOKUP(ALLOCATIONS!B620,MAPPING!$E$3:$G$302,3,FALSE)),""))</f>
        <v/>
      </c>
      <c r="E626" s="6">
        <f>IF(ALLOCATIONS!A620="","",ALLOCATIONS!C620)</f>
        <v/>
      </c>
      <c r="F626" s="6">
        <f>IF(ALLOCATIONS!A620="","",IF(ALLOCATIONS!D620="",0,ALLOCATIONS!D620))</f>
        <v/>
      </c>
      <c r="G626" s="6">
        <f>IF(ALLOCATIONS!A620="","",SUMIFS(RAW_004!$I$2:$I$10001,RAW_004!$D$2:$D$10001,ALLOCATIONS!A620,RAW_004!$H$2:$H$10001,ALLOCATIONS!B620,RAW_004!$N$2:$N$10001,ALLOCATIONS!C620))</f>
        <v/>
      </c>
      <c r="H626" s="6">
        <f>IF(A626="","",G626-F626)</f>
        <v/>
      </c>
    </row>
    <row r="627">
      <c r="A627" s="6">
        <f>IF(ALLOCATIONS!A621="","",IFERROR(VLOOKUP(ALLOCATIONS!A621,MAPPING!$A$3:$C$302,2,FALSE),"UNMAPPED"))</f>
        <v/>
      </c>
      <c r="B627" s="6">
        <f>IF(ALLOCATIONS!A621="","",IFERROR(VLOOKUP(ALLOCATIONS!A621,MAPPING!$A$3:$C$302,3,FALSE),ALLOCATIONS!A621))</f>
        <v/>
      </c>
      <c r="C627" s="6">
        <f>IF(ALLOCATIONS!A621="","",IFERROR(VLOOKUP(ALLOCATIONS!B621,MAPPING!$E$3:$G$302,2,FALSE),"UNMAPPED"))</f>
        <v/>
      </c>
      <c r="D627" s="6">
        <f>IF(ALLOCATIONS!A621="","",IFERROR(IF(VLOOKUP(ALLOCATIONS!B621,MAPPING!$E$3:$G$302,3,FALSE)="","",VLOOKUP(ALLOCATIONS!B621,MAPPING!$E$3:$G$302,3,FALSE)),""))</f>
        <v/>
      </c>
      <c r="E627" s="6">
        <f>IF(ALLOCATIONS!A621="","",ALLOCATIONS!C621)</f>
        <v/>
      </c>
      <c r="F627" s="6">
        <f>IF(ALLOCATIONS!A621="","",IF(ALLOCATIONS!D621="",0,ALLOCATIONS!D621))</f>
        <v/>
      </c>
      <c r="G627" s="6">
        <f>IF(ALLOCATIONS!A621="","",SUMIFS(RAW_004!$I$2:$I$10001,RAW_004!$D$2:$D$10001,ALLOCATIONS!A621,RAW_004!$H$2:$H$10001,ALLOCATIONS!B621,RAW_004!$N$2:$N$10001,ALLOCATIONS!C621))</f>
        <v/>
      </c>
      <c r="H627" s="6">
        <f>IF(A627="","",G627-F627)</f>
        <v/>
      </c>
    </row>
    <row r="628">
      <c r="A628" s="6">
        <f>IF(ALLOCATIONS!A622="","",IFERROR(VLOOKUP(ALLOCATIONS!A622,MAPPING!$A$3:$C$302,2,FALSE),"UNMAPPED"))</f>
        <v/>
      </c>
      <c r="B628" s="6">
        <f>IF(ALLOCATIONS!A622="","",IFERROR(VLOOKUP(ALLOCATIONS!A622,MAPPING!$A$3:$C$302,3,FALSE),ALLOCATIONS!A622))</f>
        <v/>
      </c>
      <c r="C628" s="6">
        <f>IF(ALLOCATIONS!A622="","",IFERROR(VLOOKUP(ALLOCATIONS!B622,MAPPING!$E$3:$G$302,2,FALSE),"UNMAPPED"))</f>
        <v/>
      </c>
      <c r="D628" s="6">
        <f>IF(ALLOCATIONS!A622="","",IFERROR(IF(VLOOKUP(ALLOCATIONS!B622,MAPPING!$E$3:$G$302,3,FALSE)="","",VLOOKUP(ALLOCATIONS!B622,MAPPING!$E$3:$G$302,3,FALSE)),""))</f>
        <v/>
      </c>
      <c r="E628" s="6">
        <f>IF(ALLOCATIONS!A622="","",ALLOCATIONS!C622)</f>
        <v/>
      </c>
      <c r="F628" s="6">
        <f>IF(ALLOCATIONS!A622="","",IF(ALLOCATIONS!D622="",0,ALLOCATIONS!D622))</f>
        <v/>
      </c>
      <c r="G628" s="6">
        <f>IF(ALLOCATIONS!A622="","",SUMIFS(RAW_004!$I$2:$I$10001,RAW_004!$D$2:$D$10001,ALLOCATIONS!A622,RAW_004!$H$2:$H$10001,ALLOCATIONS!B622,RAW_004!$N$2:$N$10001,ALLOCATIONS!C622))</f>
        <v/>
      </c>
      <c r="H628" s="6">
        <f>IF(A628="","",G628-F628)</f>
        <v/>
      </c>
    </row>
    <row r="629">
      <c r="A629" s="6">
        <f>IF(ALLOCATIONS!A623="","",IFERROR(VLOOKUP(ALLOCATIONS!A623,MAPPING!$A$3:$C$302,2,FALSE),"UNMAPPED"))</f>
        <v/>
      </c>
      <c r="B629" s="6">
        <f>IF(ALLOCATIONS!A623="","",IFERROR(VLOOKUP(ALLOCATIONS!A623,MAPPING!$A$3:$C$302,3,FALSE),ALLOCATIONS!A623))</f>
        <v/>
      </c>
      <c r="C629" s="6">
        <f>IF(ALLOCATIONS!A623="","",IFERROR(VLOOKUP(ALLOCATIONS!B623,MAPPING!$E$3:$G$302,2,FALSE),"UNMAPPED"))</f>
        <v/>
      </c>
      <c r="D629" s="6">
        <f>IF(ALLOCATIONS!A623="","",IFERROR(IF(VLOOKUP(ALLOCATIONS!B623,MAPPING!$E$3:$G$302,3,FALSE)="","",VLOOKUP(ALLOCATIONS!B623,MAPPING!$E$3:$G$302,3,FALSE)),""))</f>
        <v/>
      </c>
      <c r="E629" s="6">
        <f>IF(ALLOCATIONS!A623="","",ALLOCATIONS!C623)</f>
        <v/>
      </c>
      <c r="F629" s="6">
        <f>IF(ALLOCATIONS!A623="","",IF(ALLOCATIONS!D623="",0,ALLOCATIONS!D623))</f>
        <v/>
      </c>
      <c r="G629" s="6">
        <f>IF(ALLOCATIONS!A623="","",SUMIFS(RAW_004!$I$2:$I$10001,RAW_004!$D$2:$D$10001,ALLOCATIONS!A623,RAW_004!$H$2:$H$10001,ALLOCATIONS!B623,RAW_004!$N$2:$N$10001,ALLOCATIONS!C623))</f>
        <v/>
      </c>
      <c r="H629" s="6">
        <f>IF(A629="","",G629-F629)</f>
        <v/>
      </c>
    </row>
    <row r="630">
      <c r="A630" s="6">
        <f>IF(ALLOCATIONS!A624="","",IFERROR(VLOOKUP(ALLOCATIONS!A624,MAPPING!$A$3:$C$302,2,FALSE),"UNMAPPED"))</f>
        <v/>
      </c>
      <c r="B630" s="6">
        <f>IF(ALLOCATIONS!A624="","",IFERROR(VLOOKUP(ALLOCATIONS!A624,MAPPING!$A$3:$C$302,3,FALSE),ALLOCATIONS!A624))</f>
        <v/>
      </c>
      <c r="C630" s="6">
        <f>IF(ALLOCATIONS!A624="","",IFERROR(VLOOKUP(ALLOCATIONS!B624,MAPPING!$E$3:$G$302,2,FALSE),"UNMAPPED"))</f>
        <v/>
      </c>
      <c r="D630" s="6">
        <f>IF(ALLOCATIONS!A624="","",IFERROR(IF(VLOOKUP(ALLOCATIONS!B624,MAPPING!$E$3:$G$302,3,FALSE)="","",VLOOKUP(ALLOCATIONS!B624,MAPPING!$E$3:$G$302,3,FALSE)),""))</f>
        <v/>
      </c>
      <c r="E630" s="6">
        <f>IF(ALLOCATIONS!A624="","",ALLOCATIONS!C624)</f>
        <v/>
      </c>
      <c r="F630" s="6">
        <f>IF(ALLOCATIONS!A624="","",IF(ALLOCATIONS!D624="",0,ALLOCATIONS!D624))</f>
        <v/>
      </c>
      <c r="G630" s="6">
        <f>IF(ALLOCATIONS!A624="","",SUMIFS(RAW_004!$I$2:$I$10001,RAW_004!$D$2:$D$10001,ALLOCATIONS!A624,RAW_004!$H$2:$H$10001,ALLOCATIONS!B624,RAW_004!$N$2:$N$10001,ALLOCATIONS!C624))</f>
        <v/>
      </c>
      <c r="H630" s="6">
        <f>IF(A630="","",G630-F630)</f>
        <v/>
      </c>
    </row>
    <row r="631">
      <c r="A631" s="6">
        <f>IF(ALLOCATIONS!A625="","",IFERROR(VLOOKUP(ALLOCATIONS!A625,MAPPING!$A$3:$C$302,2,FALSE),"UNMAPPED"))</f>
        <v/>
      </c>
      <c r="B631" s="6">
        <f>IF(ALLOCATIONS!A625="","",IFERROR(VLOOKUP(ALLOCATIONS!A625,MAPPING!$A$3:$C$302,3,FALSE),ALLOCATIONS!A625))</f>
        <v/>
      </c>
      <c r="C631" s="6">
        <f>IF(ALLOCATIONS!A625="","",IFERROR(VLOOKUP(ALLOCATIONS!B625,MAPPING!$E$3:$G$302,2,FALSE),"UNMAPPED"))</f>
        <v/>
      </c>
      <c r="D631" s="6">
        <f>IF(ALLOCATIONS!A625="","",IFERROR(IF(VLOOKUP(ALLOCATIONS!B625,MAPPING!$E$3:$G$302,3,FALSE)="","",VLOOKUP(ALLOCATIONS!B625,MAPPING!$E$3:$G$302,3,FALSE)),""))</f>
        <v/>
      </c>
      <c r="E631" s="6">
        <f>IF(ALLOCATIONS!A625="","",ALLOCATIONS!C625)</f>
        <v/>
      </c>
      <c r="F631" s="6">
        <f>IF(ALLOCATIONS!A625="","",IF(ALLOCATIONS!D625="",0,ALLOCATIONS!D625))</f>
        <v/>
      </c>
      <c r="G631" s="6">
        <f>IF(ALLOCATIONS!A625="","",SUMIFS(RAW_004!$I$2:$I$10001,RAW_004!$D$2:$D$10001,ALLOCATIONS!A625,RAW_004!$H$2:$H$10001,ALLOCATIONS!B625,RAW_004!$N$2:$N$10001,ALLOCATIONS!C625))</f>
        <v/>
      </c>
      <c r="H631" s="6">
        <f>IF(A631="","",G631-F631)</f>
        <v/>
      </c>
    </row>
    <row r="632">
      <c r="A632" s="6">
        <f>IF(ALLOCATIONS!A626="","",IFERROR(VLOOKUP(ALLOCATIONS!A626,MAPPING!$A$3:$C$302,2,FALSE),"UNMAPPED"))</f>
        <v/>
      </c>
      <c r="B632" s="6">
        <f>IF(ALLOCATIONS!A626="","",IFERROR(VLOOKUP(ALLOCATIONS!A626,MAPPING!$A$3:$C$302,3,FALSE),ALLOCATIONS!A626))</f>
        <v/>
      </c>
      <c r="C632" s="6">
        <f>IF(ALLOCATIONS!A626="","",IFERROR(VLOOKUP(ALLOCATIONS!B626,MAPPING!$E$3:$G$302,2,FALSE),"UNMAPPED"))</f>
        <v/>
      </c>
      <c r="D632" s="6">
        <f>IF(ALLOCATIONS!A626="","",IFERROR(IF(VLOOKUP(ALLOCATIONS!B626,MAPPING!$E$3:$G$302,3,FALSE)="","",VLOOKUP(ALLOCATIONS!B626,MAPPING!$E$3:$G$302,3,FALSE)),""))</f>
        <v/>
      </c>
      <c r="E632" s="6">
        <f>IF(ALLOCATIONS!A626="","",ALLOCATIONS!C626)</f>
        <v/>
      </c>
      <c r="F632" s="6">
        <f>IF(ALLOCATIONS!A626="","",IF(ALLOCATIONS!D626="",0,ALLOCATIONS!D626))</f>
        <v/>
      </c>
      <c r="G632" s="6">
        <f>IF(ALLOCATIONS!A626="","",SUMIFS(RAW_004!$I$2:$I$10001,RAW_004!$D$2:$D$10001,ALLOCATIONS!A626,RAW_004!$H$2:$H$10001,ALLOCATIONS!B626,RAW_004!$N$2:$N$10001,ALLOCATIONS!C626))</f>
        <v/>
      </c>
      <c r="H632" s="6">
        <f>IF(A632="","",G632-F632)</f>
        <v/>
      </c>
    </row>
    <row r="633">
      <c r="A633" s="6">
        <f>IF(ALLOCATIONS!A627="","",IFERROR(VLOOKUP(ALLOCATIONS!A627,MAPPING!$A$3:$C$302,2,FALSE),"UNMAPPED"))</f>
        <v/>
      </c>
      <c r="B633" s="6">
        <f>IF(ALLOCATIONS!A627="","",IFERROR(VLOOKUP(ALLOCATIONS!A627,MAPPING!$A$3:$C$302,3,FALSE),ALLOCATIONS!A627))</f>
        <v/>
      </c>
      <c r="C633" s="6">
        <f>IF(ALLOCATIONS!A627="","",IFERROR(VLOOKUP(ALLOCATIONS!B627,MAPPING!$E$3:$G$302,2,FALSE),"UNMAPPED"))</f>
        <v/>
      </c>
      <c r="D633" s="6">
        <f>IF(ALLOCATIONS!A627="","",IFERROR(IF(VLOOKUP(ALLOCATIONS!B627,MAPPING!$E$3:$G$302,3,FALSE)="","",VLOOKUP(ALLOCATIONS!B627,MAPPING!$E$3:$G$302,3,FALSE)),""))</f>
        <v/>
      </c>
      <c r="E633" s="6">
        <f>IF(ALLOCATIONS!A627="","",ALLOCATIONS!C627)</f>
        <v/>
      </c>
      <c r="F633" s="6">
        <f>IF(ALLOCATIONS!A627="","",IF(ALLOCATIONS!D627="",0,ALLOCATIONS!D627))</f>
        <v/>
      </c>
      <c r="G633" s="6">
        <f>IF(ALLOCATIONS!A627="","",SUMIFS(RAW_004!$I$2:$I$10001,RAW_004!$D$2:$D$10001,ALLOCATIONS!A627,RAW_004!$H$2:$H$10001,ALLOCATIONS!B627,RAW_004!$N$2:$N$10001,ALLOCATIONS!C627))</f>
        <v/>
      </c>
      <c r="H633" s="6">
        <f>IF(A633="","",G633-F633)</f>
        <v/>
      </c>
    </row>
    <row r="634">
      <c r="A634" s="6">
        <f>IF(ALLOCATIONS!A628="","",IFERROR(VLOOKUP(ALLOCATIONS!A628,MAPPING!$A$3:$C$302,2,FALSE),"UNMAPPED"))</f>
        <v/>
      </c>
      <c r="B634" s="6">
        <f>IF(ALLOCATIONS!A628="","",IFERROR(VLOOKUP(ALLOCATIONS!A628,MAPPING!$A$3:$C$302,3,FALSE),ALLOCATIONS!A628))</f>
        <v/>
      </c>
      <c r="C634" s="6">
        <f>IF(ALLOCATIONS!A628="","",IFERROR(VLOOKUP(ALLOCATIONS!B628,MAPPING!$E$3:$G$302,2,FALSE),"UNMAPPED"))</f>
        <v/>
      </c>
      <c r="D634" s="6">
        <f>IF(ALLOCATIONS!A628="","",IFERROR(IF(VLOOKUP(ALLOCATIONS!B628,MAPPING!$E$3:$G$302,3,FALSE)="","",VLOOKUP(ALLOCATIONS!B628,MAPPING!$E$3:$G$302,3,FALSE)),""))</f>
        <v/>
      </c>
      <c r="E634" s="6">
        <f>IF(ALLOCATIONS!A628="","",ALLOCATIONS!C628)</f>
        <v/>
      </c>
      <c r="F634" s="6">
        <f>IF(ALLOCATIONS!A628="","",IF(ALLOCATIONS!D628="",0,ALLOCATIONS!D628))</f>
        <v/>
      </c>
      <c r="G634" s="6">
        <f>IF(ALLOCATIONS!A628="","",SUMIFS(RAW_004!$I$2:$I$10001,RAW_004!$D$2:$D$10001,ALLOCATIONS!A628,RAW_004!$H$2:$H$10001,ALLOCATIONS!B628,RAW_004!$N$2:$N$10001,ALLOCATIONS!C628))</f>
        <v/>
      </c>
      <c r="H634" s="6">
        <f>IF(A634="","",G634-F634)</f>
        <v/>
      </c>
    </row>
    <row r="635">
      <c r="A635" s="6">
        <f>IF(ALLOCATIONS!A629="","",IFERROR(VLOOKUP(ALLOCATIONS!A629,MAPPING!$A$3:$C$302,2,FALSE),"UNMAPPED"))</f>
        <v/>
      </c>
      <c r="B635" s="6">
        <f>IF(ALLOCATIONS!A629="","",IFERROR(VLOOKUP(ALLOCATIONS!A629,MAPPING!$A$3:$C$302,3,FALSE),ALLOCATIONS!A629))</f>
        <v/>
      </c>
      <c r="C635" s="6">
        <f>IF(ALLOCATIONS!A629="","",IFERROR(VLOOKUP(ALLOCATIONS!B629,MAPPING!$E$3:$G$302,2,FALSE),"UNMAPPED"))</f>
        <v/>
      </c>
      <c r="D635" s="6">
        <f>IF(ALLOCATIONS!A629="","",IFERROR(IF(VLOOKUP(ALLOCATIONS!B629,MAPPING!$E$3:$G$302,3,FALSE)="","",VLOOKUP(ALLOCATIONS!B629,MAPPING!$E$3:$G$302,3,FALSE)),""))</f>
        <v/>
      </c>
      <c r="E635" s="6">
        <f>IF(ALLOCATIONS!A629="","",ALLOCATIONS!C629)</f>
        <v/>
      </c>
      <c r="F635" s="6">
        <f>IF(ALLOCATIONS!A629="","",IF(ALLOCATIONS!D629="",0,ALLOCATIONS!D629))</f>
        <v/>
      </c>
      <c r="G635" s="6">
        <f>IF(ALLOCATIONS!A629="","",SUMIFS(RAW_004!$I$2:$I$10001,RAW_004!$D$2:$D$10001,ALLOCATIONS!A629,RAW_004!$H$2:$H$10001,ALLOCATIONS!B629,RAW_004!$N$2:$N$10001,ALLOCATIONS!C629))</f>
        <v/>
      </c>
      <c r="H635" s="6">
        <f>IF(A635="","",G635-F635)</f>
        <v/>
      </c>
    </row>
    <row r="636">
      <c r="A636" s="6">
        <f>IF(ALLOCATIONS!A630="","",IFERROR(VLOOKUP(ALLOCATIONS!A630,MAPPING!$A$3:$C$302,2,FALSE),"UNMAPPED"))</f>
        <v/>
      </c>
      <c r="B636" s="6">
        <f>IF(ALLOCATIONS!A630="","",IFERROR(VLOOKUP(ALLOCATIONS!A630,MAPPING!$A$3:$C$302,3,FALSE),ALLOCATIONS!A630))</f>
        <v/>
      </c>
      <c r="C636" s="6">
        <f>IF(ALLOCATIONS!A630="","",IFERROR(VLOOKUP(ALLOCATIONS!B630,MAPPING!$E$3:$G$302,2,FALSE),"UNMAPPED"))</f>
        <v/>
      </c>
      <c r="D636" s="6">
        <f>IF(ALLOCATIONS!A630="","",IFERROR(IF(VLOOKUP(ALLOCATIONS!B630,MAPPING!$E$3:$G$302,3,FALSE)="","",VLOOKUP(ALLOCATIONS!B630,MAPPING!$E$3:$G$302,3,FALSE)),""))</f>
        <v/>
      </c>
      <c r="E636" s="6">
        <f>IF(ALLOCATIONS!A630="","",ALLOCATIONS!C630)</f>
        <v/>
      </c>
      <c r="F636" s="6">
        <f>IF(ALLOCATIONS!A630="","",IF(ALLOCATIONS!D630="",0,ALLOCATIONS!D630))</f>
        <v/>
      </c>
      <c r="G636" s="6">
        <f>IF(ALLOCATIONS!A630="","",SUMIFS(RAW_004!$I$2:$I$10001,RAW_004!$D$2:$D$10001,ALLOCATIONS!A630,RAW_004!$H$2:$H$10001,ALLOCATIONS!B630,RAW_004!$N$2:$N$10001,ALLOCATIONS!C630))</f>
        <v/>
      </c>
      <c r="H636" s="6">
        <f>IF(A636="","",G636-F636)</f>
        <v/>
      </c>
    </row>
    <row r="637">
      <c r="A637" s="6">
        <f>IF(ALLOCATIONS!A631="","",IFERROR(VLOOKUP(ALLOCATIONS!A631,MAPPING!$A$3:$C$302,2,FALSE),"UNMAPPED"))</f>
        <v/>
      </c>
      <c r="B637" s="6">
        <f>IF(ALLOCATIONS!A631="","",IFERROR(VLOOKUP(ALLOCATIONS!A631,MAPPING!$A$3:$C$302,3,FALSE),ALLOCATIONS!A631))</f>
        <v/>
      </c>
      <c r="C637" s="6">
        <f>IF(ALLOCATIONS!A631="","",IFERROR(VLOOKUP(ALLOCATIONS!B631,MAPPING!$E$3:$G$302,2,FALSE),"UNMAPPED"))</f>
        <v/>
      </c>
      <c r="D637" s="6">
        <f>IF(ALLOCATIONS!A631="","",IFERROR(IF(VLOOKUP(ALLOCATIONS!B631,MAPPING!$E$3:$G$302,3,FALSE)="","",VLOOKUP(ALLOCATIONS!B631,MAPPING!$E$3:$G$302,3,FALSE)),""))</f>
        <v/>
      </c>
      <c r="E637" s="6">
        <f>IF(ALLOCATIONS!A631="","",ALLOCATIONS!C631)</f>
        <v/>
      </c>
      <c r="F637" s="6">
        <f>IF(ALLOCATIONS!A631="","",IF(ALLOCATIONS!D631="",0,ALLOCATIONS!D631))</f>
        <v/>
      </c>
      <c r="G637" s="6">
        <f>IF(ALLOCATIONS!A631="","",SUMIFS(RAW_004!$I$2:$I$10001,RAW_004!$D$2:$D$10001,ALLOCATIONS!A631,RAW_004!$H$2:$H$10001,ALLOCATIONS!B631,RAW_004!$N$2:$N$10001,ALLOCATIONS!C631))</f>
        <v/>
      </c>
      <c r="H637" s="6">
        <f>IF(A637="","",G637-F637)</f>
        <v/>
      </c>
    </row>
    <row r="638">
      <c r="A638" s="6">
        <f>IF(ALLOCATIONS!A632="","",IFERROR(VLOOKUP(ALLOCATIONS!A632,MAPPING!$A$3:$C$302,2,FALSE),"UNMAPPED"))</f>
        <v/>
      </c>
      <c r="B638" s="6">
        <f>IF(ALLOCATIONS!A632="","",IFERROR(VLOOKUP(ALLOCATIONS!A632,MAPPING!$A$3:$C$302,3,FALSE),ALLOCATIONS!A632))</f>
        <v/>
      </c>
      <c r="C638" s="6">
        <f>IF(ALLOCATIONS!A632="","",IFERROR(VLOOKUP(ALLOCATIONS!B632,MAPPING!$E$3:$G$302,2,FALSE),"UNMAPPED"))</f>
        <v/>
      </c>
      <c r="D638" s="6">
        <f>IF(ALLOCATIONS!A632="","",IFERROR(IF(VLOOKUP(ALLOCATIONS!B632,MAPPING!$E$3:$G$302,3,FALSE)="","",VLOOKUP(ALLOCATIONS!B632,MAPPING!$E$3:$G$302,3,FALSE)),""))</f>
        <v/>
      </c>
      <c r="E638" s="6">
        <f>IF(ALLOCATIONS!A632="","",ALLOCATIONS!C632)</f>
        <v/>
      </c>
      <c r="F638" s="6">
        <f>IF(ALLOCATIONS!A632="","",IF(ALLOCATIONS!D632="",0,ALLOCATIONS!D632))</f>
        <v/>
      </c>
      <c r="G638" s="6">
        <f>IF(ALLOCATIONS!A632="","",SUMIFS(RAW_004!$I$2:$I$10001,RAW_004!$D$2:$D$10001,ALLOCATIONS!A632,RAW_004!$H$2:$H$10001,ALLOCATIONS!B632,RAW_004!$N$2:$N$10001,ALLOCATIONS!C632))</f>
        <v/>
      </c>
      <c r="H638" s="6">
        <f>IF(A638="","",G638-F638)</f>
        <v/>
      </c>
    </row>
    <row r="639">
      <c r="A639" s="6">
        <f>IF(ALLOCATIONS!A633="","",IFERROR(VLOOKUP(ALLOCATIONS!A633,MAPPING!$A$3:$C$302,2,FALSE),"UNMAPPED"))</f>
        <v/>
      </c>
      <c r="B639" s="6">
        <f>IF(ALLOCATIONS!A633="","",IFERROR(VLOOKUP(ALLOCATIONS!A633,MAPPING!$A$3:$C$302,3,FALSE),ALLOCATIONS!A633))</f>
        <v/>
      </c>
      <c r="C639" s="6">
        <f>IF(ALLOCATIONS!A633="","",IFERROR(VLOOKUP(ALLOCATIONS!B633,MAPPING!$E$3:$G$302,2,FALSE),"UNMAPPED"))</f>
        <v/>
      </c>
      <c r="D639" s="6">
        <f>IF(ALLOCATIONS!A633="","",IFERROR(IF(VLOOKUP(ALLOCATIONS!B633,MAPPING!$E$3:$G$302,3,FALSE)="","",VLOOKUP(ALLOCATIONS!B633,MAPPING!$E$3:$G$302,3,FALSE)),""))</f>
        <v/>
      </c>
      <c r="E639" s="6">
        <f>IF(ALLOCATIONS!A633="","",ALLOCATIONS!C633)</f>
        <v/>
      </c>
      <c r="F639" s="6">
        <f>IF(ALLOCATIONS!A633="","",IF(ALLOCATIONS!D633="",0,ALLOCATIONS!D633))</f>
        <v/>
      </c>
      <c r="G639" s="6">
        <f>IF(ALLOCATIONS!A633="","",SUMIFS(RAW_004!$I$2:$I$10001,RAW_004!$D$2:$D$10001,ALLOCATIONS!A633,RAW_004!$H$2:$H$10001,ALLOCATIONS!B633,RAW_004!$N$2:$N$10001,ALLOCATIONS!C633))</f>
        <v/>
      </c>
      <c r="H639" s="6">
        <f>IF(A639="","",G639-F639)</f>
        <v/>
      </c>
    </row>
    <row r="640">
      <c r="A640" s="6">
        <f>IF(ALLOCATIONS!A634="","",IFERROR(VLOOKUP(ALLOCATIONS!A634,MAPPING!$A$3:$C$302,2,FALSE),"UNMAPPED"))</f>
        <v/>
      </c>
      <c r="B640" s="6">
        <f>IF(ALLOCATIONS!A634="","",IFERROR(VLOOKUP(ALLOCATIONS!A634,MAPPING!$A$3:$C$302,3,FALSE),ALLOCATIONS!A634))</f>
        <v/>
      </c>
      <c r="C640" s="6">
        <f>IF(ALLOCATIONS!A634="","",IFERROR(VLOOKUP(ALLOCATIONS!B634,MAPPING!$E$3:$G$302,2,FALSE),"UNMAPPED"))</f>
        <v/>
      </c>
      <c r="D640" s="6">
        <f>IF(ALLOCATIONS!A634="","",IFERROR(IF(VLOOKUP(ALLOCATIONS!B634,MAPPING!$E$3:$G$302,3,FALSE)="","",VLOOKUP(ALLOCATIONS!B634,MAPPING!$E$3:$G$302,3,FALSE)),""))</f>
        <v/>
      </c>
      <c r="E640" s="6">
        <f>IF(ALLOCATIONS!A634="","",ALLOCATIONS!C634)</f>
        <v/>
      </c>
      <c r="F640" s="6">
        <f>IF(ALLOCATIONS!A634="","",IF(ALLOCATIONS!D634="",0,ALLOCATIONS!D634))</f>
        <v/>
      </c>
      <c r="G640" s="6">
        <f>IF(ALLOCATIONS!A634="","",SUMIFS(RAW_004!$I$2:$I$10001,RAW_004!$D$2:$D$10001,ALLOCATIONS!A634,RAW_004!$H$2:$H$10001,ALLOCATIONS!B634,RAW_004!$N$2:$N$10001,ALLOCATIONS!C634))</f>
        <v/>
      </c>
      <c r="H640" s="6">
        <f>IF(A640="","",G640-F640)</f>
        <v/>
      </c>
    </row>
    <row r="641">
      <c r="A641" s="6">
        <f>IF(ALLOCATIONS!A635="","",IFERROR(VLOOKUP(ALLOCATIONS!A635,MAPPING!$A$3:$C$302,2,FALSE),"UNMAPPED"))</f>
        <v/>
      </c>
      <c r="B641" s="6">
        <f>IF(ALLOCATIONS!A635="","",IFERROR(VLOOKUP(ALLOCATIONS!A635,MAPPING!$A$3:$C$302,3,FALSE),ALLOCATIONS!A635))</f>
        <v/>
      </c>
      <c r="C641" s="6">
        <f>IF(ALLOCATIONS!A635="","",IFERROR(VLOOKUP(ALLOCATIONS!B635,MAPPING!$E$3:$G$302,2,FALSE),"UNMAPPED"))</f>
        <v/>
      </c>
      <c r="D641" s="6">
        <f>IF(ALLOCATIONS!A635="","",IFERROR(IF(VLOOKUP(ALLOCATIONS!B635,MAPPING!$E$3:$G$302,3,FALSE)="","",VLOOKUP(ALLOCATIONS!B635,MAPPING!$E$3:$G$302,3,FALSE)),""))</f>
        <v/>
      </c>
      <c r="E641" s="6">
        <f>IF(ALLOCATIONS!A635="","",ALLOCATIONS!C635)</f>
        <v/>
      </c>
      <c r="F641" s="6">
        <f>IF(ALLOCATIONS!A635="","",IF(ALLOCATIONS!D635="",0,ALLOCATIONS!D635))</f>
        <v/>
      </c>
      <c r="G641" s="6">
        <f>IF(ALLOCATIONS!A635="","",SUMIFS(RAW_004!$I$2:$I$10001,RAW_004!$D$2:$D$10001,ALLOCATIONS!A635,RAW_004!$H$2:$H$10001,ALLOCATIONS!B635,RAW_004!$N$2:$N$10001,ALLOCATIONS!C635))</f>
        <v/>
      </c>
      <c r="H641" s="6">
        <f>IF(A641="","",G641-F641)</f>
        <v/>
      </c>
    </row>
    <row r="642">
      <c r="A642" s="6">
        <f>IF(ALLOCATIONS!A636="","",IFERROR(VLOOKUP(ALLOCATIONS!A636,MAPPING!$A$3:$C$302,2,FALSE),"UNMAPPED"))</f>
        <v/>
      </c>
      <c r="B642" s="6">
        <f>IF(ALLOCATIONS!A636="","",IFERROR(VLOOKUP(ALLOCATIONS!A636,MAPPING!$A$3:$C$302,3,FALSE),ALLOCATIONS!A636))</f>
        <v/>
      </c>
      <c r="C642" s="6">
        <f>IF(ALLOCATIONS!A636="","",IFERROR(VLOOKUP(ALLOCATIONS!B636,MAPPING!$E$3:$G$302,2,FALSE),"UNMAPPED"))</f>
        <v/>
      </c>
      <c r="D642" s="6">
        <f>IF(ALLOCATIONS!A636="","",IFERROR(IF(VLOOKUP(ALLOCATIONS!B636,MAPPING!$E$3:$G$302,3,FALSE)="","",VLOOKUP(ALLOCATIONS!B636,MAPPING!$E$3:$G$302,3,FALSE)),""))</f>
        <v/>
      </c>
      <c r="E642" s="6">
        <f>IF(ALLOCATIONS!A636="","",ALLOCATIONS!C636)</f>
        <v/>
      </c>
      <c r="F642" s="6">
        <f>IF(ALLOCATIONS!A636="","",IF(ALLOCATIONS!D636="",0,ALLOCATIONS!D636))</f>
        <v/>
      </c>
      <c r="G642" s="6">
        <f>IF(ALLOCATIONS!A636="","",SUMIFS(RAW_004!$I$2:$I$10001,RAW_004!$D$2:$D$10001,ALLOCATIONS!A636,RAW_004!$H$2:$H$10001,ALLOCATIONS!B636,RAW_004!$N$2:$N$10001,ALLOCATIONS!C636))</f>
        <v/>
      </c>
      <c r="H642" s="6">
        <f>IF(A642="","",G642-F642)</f>
        <v/>
      </c>
    </row>
    <row r="643">
      <c r="A643" s="6">
        <f>IF(ALLOCATIONS!A637="","",IFERROR(VLOOKUP(ALLOCATIONS!A637,MAPPING!$A$3:$C$302,2,FALSE),"UNMAPPED"))</f>
        <v/>
      </c>
      <c r="B643" s="6">
        <f>IF(ALLOCATIONS!A637="","",IFERROR(VLOOKUP(ALLOCATIONS!A637,MAPPING!$A$3:$C$302,3,FALSE),ALLOCATIONS!A637))</f>
        <v/>
      </c>
      <c r="C643" s="6">
        <f>IF(ALLOCATIONS!A637="","",IFERROR(VLOOKUP(ALLOCATIONS!B637,MAPPING!$E$3:$G$302,2,FALSE),"UNMAPPED"))</f>
        <v/>
      </c>
      <c r="D643" s="6">
        <f>IF(ALLOCATIONS!A637="","",IFERROR(IF(VLOOKUP(ALLOCATIONS!B637,MAPPING!$E$3:$G$302,3,FALSE)="","",VLOOKUP(ALLOCATIONS!B637,MAPPING!$E$3:$G$302,3,FALSE)),""))</f>
        <v/>
      </c>
      <c r="E643" s="6">
        <f>IF(ALLOCATIONS!A637="","",ALLOCATIONS!C637)</f>
        <v/>
      </c>
      <c r="F643" s="6">
        <f>IF(ALLOCATIONS!A637="","",IF(ALLOCATIONS!D637="",0,ALLOCATIONS!D637))</f>
        <v/>
      </c>
      <c r="G643" s="6">
        <f>IF(ALLOCATIONS!A637="","",SUMIFS(RAW_004!$I$2:$I$10001,RAW_004!$D$2:$D$10001,ALLOCATIONS!A637,RAW_004!$H$2:$H$10001,ALLOCATIONS!B637,RAW_004!$N$2:$N$10001,ALLOCATIONS!C637))</f>
        <v/>
      </c>
      <c r="H643" s="6">
        <f>IF(A643="","",G643-F643)</f>
        <v/>
      </c>
    </row>
    <row r="644">
      <c r="A644" s="6">
        <f>IF(ALLOCATIONS!A638="","",IFERROR(VLOOKUP(ALLOCATIONS!A638,MAPPING!$A$3:$C$302,2,FALSE),"UNMAPPED"))</f>
        <v/>
      </c>
      <c r="B644" s="6">
        <f>IF(ALLOCATIONS!A638="","",IFERROR(VLOOKUP(ALLOCATIONS!A638,MAPPING!$A$3:$C$302,3,FALSE),ALLOCATIONS!A638))</f>
        <v/>
      </c>
      <c r="C644" s="6">
        <f>IF(ALLOCATIONS!A638="","",IFERROR(VLOOKUP(ALLOCATIONS!B638,MAPPING!$E$3:$G$302,2,FALSE),"UNMAPPED"))</f>
        <v/>
      </c>
      <c r="D644" s="6">
        <f>IF(ALLOCATIONS!A638="","",IFERROR(IF(VLOOKUP(ALLOCATIONS!B638,MAPPING!$E$3:$G$302,3,FALSE)="","",VLOOKUP(ALLOCATIONS!B638,MAPPING!$E$3:$G$302,3,FALSE)),""))</f>
        <v/>
      </c>
      <c r="E644" s="6">
        <f>IF(ALLOCATIONS!A638="","",ALLOCATIONS!C638)</f>
        <v/>
      </c>
      <c r="F644" s="6">
        <f>IF(ALLOCATIONS!A638="","",IF(ALLOCATIONS!D638="",0,ALLOCATIONS!D638))</f>
        <v/>
      </c>
      <c r="G644" s="6">
        <f>IF(ALLOCATIONS!A638="","",SUMIFS(RAW_004!$I$2:$I$10001,RAW_004!$D$2:$D$10001,ALLOCATIONS!A638,RAW_004!$H$2:$H$10001,ALLOCATIONS!B638,RAW_004!$N$2:$N$10001,ALLOCATIONS!C638))</f>
        <v/>
      </c>
      <c r="H644" s="6">
        <f>IF(A644="","",G644-F644)</f>
        <v/>
      </c>
    </row>
    <row r="645">
      <c r="A645" s="6">
        <f>IF(ALLOCATIONS!A639="","",IFERROR(VLOOKUP(ALLOCATIONS!A639,MAPPING!$A$3:$C$302,2,FALSE),"UNMAPPED"))</f>
        <v/>
      </c>
      <c r="B645" s="6">
        <f>IF(ALLOCATIONS!A639="","",IFERROR(VLOOKUP(ALLOCATIONS!A639,MAPPING!$A$3:$C$302,3,FALSE),ALLOCATIONS!A639))</f>
        <v/>
      </c>
      <c r="C645" s="6">
        <f>IF(ALLOCATIONS!A639="","",IFERROR(VLOOKUP(ALLOCATIONS!B639,MAPPING!$E$3:$G$302,2,FALSE),"UNMAPPED"))</f>
        <v/>
      </c>
      <c r="D645" s="6">
        <f>IF(ALLOCATIONS!A639="","",IFERROR(IF(VLOOKUP(ALLOCATIONS!B639,MAPPING!$E$3:$G$302,3,FALSE)="","",VLOOKUP(ALLOCATIONS!B639,MAPPING!$E$3:$G$302,3,FALSE)),""))</f>
        <v/>
      </c>
      <c r="E645" s="6">
        <f>IF(ALLOCATIONS!A639="","",ALLOCATIONS!C639)</f>
        <v/>
      </c>
      <c r="F645" s="6">
        <f>IF(ALLOCATIONS!A639="","",IF(ALLOCATIONS!D639="",0,ALLOCATIONS!D639))</f>
        <v/>
      </c>
      <c r="G645" s="6">
        <f>IF(ALLOCATIONS!A639="","",SUMIFS(RAW_004!$I$2:$I$10001,RAW_004!$D$2:$D$10001,ALLOCATIONS!A639,RAW_004!$H$2:$H$10001,ALLOCATIONS!B639,RAW_004!$N$2:$N$10001,ALLOCATIONS!C639))</f>
        <v/>
      </c>
      <c r="H645" s="6">
        <f>IF(A645="","",G645-F645)</f>
        <v/>
      </c>
    </row>
    <row r="646">
      <c r="A646" s="6">
        <f>IF(ALLOCATIONS!A640="","",IFERROR(VLOOKUP(ALLOCATIONS!A640,MAPPING!$A$3:$C$302,2,FALSE),"UNMAPPED"))</f>
        <v/>
      </c>
      <c r="B646" s="6">
        <f>IF(ALLOCATIONS!A640="","",IFERROR(VLOOKUP(ALLOCATIONS!A640,MAPPING!$A$3:$C$302,3,FALSE),ALLOCATIONS!A640))</f>
        <v/>
      </c>
      <c r="C646" s="6">
        <f>IF(ALLOCATIONS!A640="","",IFERROR(VLOOKUP(ALLOCATIONS!B640,MAPPING!$E$3:$G$302,2,FALSE),"UNMAPPED"))</f>
        <v/>
      </c>
      <c r="D646" s="6">
        <f>IF(ALLOCATIONS!A640="","",IFERROR(IF(VLOOKUP(ALLOCATIONS!B640,MAPPING!$E$3:$G$302,3,FALSE)="","",VLOOKUP(ALLOCATIONS!B640,MAPPING!$E$3:$G$302,3,FALSE)),""))</f>
        <v/>
      </c>
      <c r="E646" s="6">
        <f>IF(ALLOCATIONS!A640="","",ALLOCATIONS!C640)</f>
        <v/>
      </c>
      <c r="F646" s="6">
        <f>IF(ALLOCATIONS!A640="","",IF(ALLOCATIONS!D640="",0,ALLOCATIONS!D640))</f>
        <v/>
      </c>
      <c r="G646" s="6">
        <f>IF(ALLOCATIONS!A640="","",SUMIFS(RAW_004!$I$2:$I$10001,RAW_004!$D$2:$D$10001,ALLOCATIONS!A640,RAW_004!$H$2:$H$10001,ALLOCATIONS!B640,RAW_004!$N$2:$N$10001,ALLOCATIONS!C640))</f>
        <v/>
      </c>
      <c r="H646" s="6">
        <f>IF(A646="","",G646-F646)</f>
        <v/>
      </c>
    </row>
    <row r="647">
      <c r="A647" s="6">
        <f>IF(ALLOCATIONS!A641="","",IFERROR(VLOOKUP(ALLOCATIONS!A641,MAPPING!$A$3:$C$302,2,FALSE),"UNMAPPED"))</f>
        <v/>
      </c>
      <c r="B647" s="6">
        <f>IF(ALLOCATIONS!A641="","",IFERROR(VLOOKUP(ALLOCATIONS!A641,MAPPING!$A$3:$C$302,3,FALSE),ALLOCATIONS!A641))</f>
        <v/>
      </c>
      <c r="C647" s="6">
        <f>IF(ALLOCATIONS!A641="","",IFERROR(VLOOKUP(ALLOCATIONS!B641,MAPPING!$E$3:$G$302,2,FALSE),"UNMAPPED"))</f>
        <v/>
      </c>
      <c r="D647" s="6">
        <f>IF(ALLOCATIONS!A641="","",IFERROR(IF(VLOOKUP(ALLOCATIONS!B641,MAPPING!$E$3:$G$302,3,FALSE)="","",VLOOKUP(ALLOCATIONS!B641,MAPPING!$E$3:$G$302,3,FALSE)),""))</f>
        <v/>
      </c>
      <c r="E647" s="6">
        <f>IF(ALLOCATIONS!A641="","",ALLOCATIONS!C641)</f>
        <v/>
      </c>
      <c r="F647" s="6">
        <f>IF(ALLOCATIONS!A641="","",IF(ALLOCATIONS!D641="",0,ALLOCATIONS!D641))</f>
        <v/>
      </c>
      <c r="G647" s="6">
        <f>IF(ALLOCATIONS!A641="","",SUMIFS(RAW_004!$I$2:$I$10001,RAW_004!$D$2:$D$10001,ALLOCATIONS!A641,RAW_004!$H$2:$H$10001,ALLOCATIONS!B641,RAW_004!$N$2:$N$10001,ALLOCATIONS!C641))</f>
        <v/>
      </c>
      <c r="H647" s="6">
        <f>IF(A647="","",G647-F647)</f>
        <v/>
      </c>
    </row>
    <row r="648">
      <c r="A648" s="6">
        <f>IF(ALLOCATIONS!A642="","",IFERROR(VLOOKUP(ALLOCATIONS!A642,MAPPING!$A$3:$C$302,2,FALSE),"UNMAPPED"))</f>
        <v/>
      </c>
      <c r="B648" s="6">
        <f>IF(ALLOCATIONS!A642="","",IFERROR(VLOOKUP(ALLOCATIONS!A642,MAPPING!$A$3:$C$302,3,FALSE),ALLOCATIONS!A642))</f>
        <v/>
      </c>
      <c r="C648" s="6">
        <f>IF(ALLOCATIONS!A642="","",IFERROR(VLOOKUP(ALLOCATIONS!B642,MAPPING!$E$3:$G$302,2,FALSE),"UNMAPPED"))</f>
        <v/>
      </c>
      <c r="D648" s="6">
        <f>IF(ALLOCATIONS!A642="","",IFERROR(IF(VLOOKUP(ALLOCATIONS!B642,MAPPING!$E$3:$G$302,3,FALSE)="","",VLOOKUP(ALLOCATIONS!B642,MAPPING!$E$3:$G$302,3,FALSE)),""))</f>
        <v/>
      </c>
      <c r="E648" s="6">
        <f>IF(ALLOCATIONS!A642="","",ALLOCATIONS!C642)</f>
        <v/>
      </c>
      <c r="F648" s="6">
        <f>IF(ALLOCATIONS!A642="","",IF(ALLOCATIONS!D642="",0,ALLOCATIONS!D642))</f>
        <v/>
      </c>
      <c r="G648" s="6">
        <f>IF(ALLOCATIONS!A642="","",SUMIFS(RAW_004!$I$2:$I$10001,RAW_004!$D$2:$D$10001,ALLOCATIONS!A642,RAW_004!$H$2:$H$10001,ALLOCATIONS!B642,RAW_004!$N$2:$N$10001,ALLOCATIONS!C642))</f>
        <v/>
      </c>
      <c r="H648" s="6">
        <f>IF(A648="","",G648-F648)</f>
        <v/>
      </c>
    </row>
    <row r="649">
      <c r="A649" s="6">
        <f>IF(ALLOCATIONS!A643="","",IFERROR(VLOOKUP(ALLOCATIONS!A643,MAPPING!$A$3:$C$302,2,FALSE),"UNMAPPED"))</f>
        <v/>
      </c>
      <c r="B649" s="6">
        <f>IF(ALLOCATIONS!A643="","",IFERROR(VLOOKUP(ALLOCATIONS!A643,MAPPING!$A$3:$C$302,3,FALSE),ALLOCATIONS!A643))</f>
        <v/>
      </c>
      <c r="C649" s="6">
        <f>IF(ALLOCATIONS!A643="","",IFERROR(VLOOKUP(ALLOCATIONS!B643,MAPPING!$E$3:$G$302,2,FALSE),"UNMAPPED"))</f>
        <v/>
      </c>
      <c r="D649" s="6">
        <f>IF(ALLOCATIONS!A643="","",IFERROR(IF(VLOOKUP(ALLOCATIONS!B643,MAPPING!$E$3:$G$302,3,FALSE)="","",VLOOKUP(ALLOCATIONS!B643,MAPPING!$E$3:$G$302,3,FALSE)),""))</f>
        <v/>
      </c>
      <c r="E649" s="6">
        <f>IF(ALLOCATIONS!A643="","",ALLOCATIONS!C643)</f>
        <v/>
      </c>
      <c r="F649" s="6">
        <f>IF(ALLOCATIONS!A643="","",IF(ALLOCATIONS!D643="",0,ALLOCATIONS!D643))</f>
        <v/>
      </c>
      <c r="G649" s="6">
        <f>IF(ALLOCATIONS!A643="","",SUMIFS(RAW_004!$I$2:$I$10001,RAW_004!$D$2:$D$10001,ALLOCATIONS!A643,RAW_004!$H$2:$H$10001,ALLOCATIONS!B643,RAW_004!$N$2:$N$10001,ALLOCATIONS!C643))</f>
        <v/>
      </c>
      <c r="H649" s="6">
        <f>IF(A649="","",G649-F649)</f>
        <v/>
      </c>
    </row>
    <row r="650">
      <c r="A650" s="6">
        <f>IF(ALLOCATIONS!A644="","",IFERROR(VLOOKUP(ALLOCATIONS!A644,MAPPING!$A$3:$C$302,2,FALSE),"UNMAPPED"))</f>
        <v/>
      </c>
      <c r="B650" s="6">
        <f>IF(ALLOCATIONS!A644="","",IFERROR(VLOOKUP(ALLOCATIONS!A644,MAPPING!$A$3:$C$302,3,FALSE),ALLOCATIONS!A644))</f>
        <v/>
      </c>
      <c r="C650" s="6">
        <f>IF(ALLOCATIONS!A644="","",IFERROR(VLOOKUP(ALLOCATIONS!B644,MAPPING!$E$3:$G$302,2,FALSE),"UNMAPPED"))</f>
        <v/>
      </c>
      <c r="D650" s="6">
        <f>IF(ALLOCATIONS!A644="","",IFERROR(IF(VLOOKUP(ALLOCATIONS!B644,MAPPING!$E$3:$G$302,3,FALSE)="","",VLOOKUP(ALLOCATIONS!B644,MAPPING!$E$3:$G$302,3,FALSE)),""))</f>
        <v/>
      </c>
      <c r="E650" s="6">
        <f>IF(ALLOCATIONS!A644="","",ALLOCATIONS!C644)</f>
        <v/>
      </c>
      <c r="F650" s="6">
        <f>IF(ALLOCATIONS!A644="","",IF(ALLOCATIONS!D644="",0,ALLOCATIONS!D644))</f>
        <v/>
      </c>
      <c r="G650" s="6">
        <f>IF(ALLOCATIONS!A644="","",SUMIFS(RAW_004!$I$2:$I$10001,RAW_004!$D$2:$D$10001,ALLOCATIONS!A644,RAW_004!$H$2:$H$10001,ALLOCATIONS!B644,RAW_004!$N$2:$N$10001,ALLOCATIONS!C644))</f>
        <v/>
      </c>
      <c r="H650" s="6">
        <f>IF(A650="","",G650-F650)</f>
        <v/>
      </c>
    </row>
    <row r="651">
      <c r="A651" s="6">
        <f>IF(ALLOCATIONS!A645="","",IFERROR(VLOOKUP(ALLOCATIONS!A645,MAPPING!$A$3:$C$302,2,FALSE),"UNMAPPED"))</f>
        <v/>
      </c>
      <c r="B651" s="6">
        <f>IF(ALLOCATIONS!A645="","",IFERROR(VLOOKUP(ALLOCATIONS!A645,MAPPING!$A$3:$C$302,3,FALSE),ALLOCATIONS!A645))</f>
        <v/>
      </c>
      <c r="C651" s="6">
        <f>IF(ALLOCATIONS!A645="","",IFERROR(VLOOKUP(ALLOCATIONS!B645,MAPPING!$E$3:$G$302,2,FALSE),"UNMAPPED"))</f>
        <v/>
      </c>
      <c r="D651" s="6">
        <f>IF(ALLOCATIONS!A645="","",IFERROR(IF(VLOOKUP(ALLOCATIONS!B645,MAPPING!$E$3:$G$302,3,FALSE)="","",VLOOKUP(ALLOCATIONS!B645,MAPPING!$E$3:$G$302,3,FALSE)),""))</f>
        <v/>
      </c>
      <c r="E651" s="6">
        <f>IF(ALLOCATIONS!A645="","",ALLOCATIONS!C645)</f>
        <v/>
      </c>
      <c r="F651" s="6">
        <f>IF(ALLOCATIONS!A645="","",IF(ALLOCATIONS!D645="",0,ALLOCATIONS!D645))</f>
        <v/>
      </c>
      <c r="G651" s="6">
        <f>IF(ALLOCATIONS!A645="","",SUMIFS(RAW_004!$I$2:$I$10001,RAW_004!$D$2:$D$10001,ALLOCATIONS!A645,RAW_004!$H$2:$H$10001,ALLOCATIONS!B645,RAW_004!$N$2:$N$10001,ALLOCATIONS!C645))</f>
        <v/>
      </c>
      <c r="H651" s="6">
        <f>IF(A651="","",G651-F651)</f>
        <v/>
      </c>
    </row>
    <row r="652">
      <c r="A652" s="6">
        <f>IF(ALLOCATIONS!A646="","",IFERROR(VLOOKUP(ALLOCATIONS!A646,MAPPING!$A$3:$C$302,2,FALSE),"UNMAPPED"))</f>
        <v/>
      </c>
      <c r="B652" s="6">
        <f>IF(ALLOCATIONS!A646="","",IFERROR(VLOOKUP(ALLOCATIONS!A646,MAPPING!$A$3:$C$302,3,FALSE),ALLOCATIONS!A646))</f>
        <v/>
      </c>
      <c r="C652" s="6">
        <f>IF(ALLOCATIONS!A646="","",IFERROR(VLOOKUP(ALLOCATIONS!B646,MAPPING!$E$3:$G$302,2,FALSE),"UNMAPPED"))</f>
        <v/>
      </c>
      <c r="D652" s="6">
        <f>IF(ALLOCATIONS!A646="","",IFERROR(IF(VLOOKUP(ALLOCATIONS!B646,MAPPING!$E$3:$G$302,3,FALSE)="","",VLOOKUP(ALLOCATIONS!B646,MAPPING!$E$3:$G$302,3,FALSE)),""))</f>
        <v/>
      </c>
      <c r="E652" s="6">
        <f>IF(ALLOCATIONS!A646="","",ALLOCATIONS!C646)</f>
        <v/>
      </c>
      <c r="F652" s="6">
        <f>IF(ALLOCATIONS!A646="","",IF(ALLOCATIONS!D646="",0,ALLOCATIONS!D646))</f>
        <v/>
      </c>
      <c r="G652" s="6">
        <f>IF(ALLOCATIONS!A646="","",SUMIFS(RAW_004!$I$2:$I$10001,RAW_004!$D$2:$D$10001,ALLOCATIONS!A646,RAW_004!$H$2:$H$10001,ALLOCATIONS!B646,RAW_004!$N$2:$N$10001,ALLOCATIONS!C646))</f>
        <v/>
      </c>
      <c r="H652" s="6">
        <f>IF(A652="","",G652-F652)</f>
        <v/>
      </c>
    </row>
    <row r="653">
      <c r="A653" s="6">
        <f>IF(ALLOCATIONS!A647="","",IFERROR(VLOOKUP(ALLOCATIONS!A647,MAPPING!$A$3:$C$302,2,FALSE),"UNMAPPED"))</f>
        <v/>
      </c>
      <c r="B653" s="6">
        <f>IF(ALLOCATIONS!A647="","",IFERROR(VLOOKUP(ALLOCATIONS!A647,MAPPING!$A$3:$C$302,3,FALSE),ALLOCATIONS!A647))</f>
        <v/>
      </c>
      <c r="C653" s="6">
        <f>IF(ALLOCATIONS!A647="","",IFERROR(VLOOKUP(ALLOCATIONS!B647,MAPPING!$E$3:$G$302,2,FALSE),"UNMAPPED"))</f>
        <v/>
      </c>
      <c r="D653" s="6">
        <f>IF(ALLOCATIONS!A647="","",IFERROR(IF(VLOOKUP(ALLOCATIONS!B647,MAPPING!$E$3:$G$302,3,FALSE)="","",VLOOKUP(ALLOCATIONS!B647,MAPPING!$E$3:$G$302,3,FALSE)),""))</f>
        <v/>
      </c>
      <c r="E653" s="6">
        <f>IF(ALLOCATIONS!A647="","",ALLOCATIONS!C647)</f>
        <v/>
      </c>
      <c r="F653" s="6">
        <f>IF(ALLOCATIONS!A647="","",IF(ALLOCATIONS!D647="",0,ALLOCATIONS!D647))</f>
        <v/>
      </c>
      <c r="G653" s="6">
        <f>IF(ALLOCATIONS!A647="","",SUMIFS(RAW_004!$I$2:$I$10001,RAW_004!$D$2:$D$10001,ALLOCATIONS!A647,RAW_004!$H$2:$H$10001,ALLOCATIONS!B647,RAW_004!$N$2:$N$10001,ALLOCATIONS!C647))</f>
        <v/>
      </c>
      <c r="H653" s="6">
        <f>IF(A653="","",G653-F653)</f>
        <v/>
      </c>
    </row>
    <row r="654">
      <c r="A654" s="6">
        <f>IF(ALLOCATIONS!A648="","",IFERROR(VLOOKUP(ALLOCATIONS!A648,MAPPING!$A$3:$C$302,2,FALSE),"UNMAPPED"))</f>
        <v/>
      </c>
      <c r="B654" s="6">
        <f>IF(ALLOCATIONS!A648="","",IFERROR(VLOOKUP(ALLOCATIONS!A648,MAPPING!$A$3:$C$302,3,FALSE),ALLOCATIONS!A648))</f>
        <v/>
      </c>
      <c r="C654" s="6">
        <f>IF(ALLOCATIONS!A648="","",IFERROR(VLOOKUP(ALLOCATIONS!B648,MAPPING!$E$3:$G$302,2,FALSE),"UNMAPPED"))</f>
        <v/>
      </c>
      <c r="D654" s="6">
        <f>IF(ALLOCATIONS!A648="","",IFERROR(IF(VLOOKUP(ALLOCATIONS!B648,MAPPING!$E$3:$G$302,3,FALSE)="","",VLOOKUP(ALLOCATIONS!B648,MAPPING!$E$3:$G$302,3,FALSE)),""))</f>
        <v/>
      </c>
      <c r="E654" s="6">
        <f>IF(ALLOCATIONS!A648="","",ALLOCATIONS!C648)</f>
        <v/>
      </c>
      <c r="F654" s="6">
        <f>IF(ALLOCATIONS!A648="","",IF(ALLOCATIONS!D648="",0,ALLOCATIONS!D648))</f>
        <v/>
      </c>
      <c r="G654" s="6">
        <f>IF(ALLOCATIONS!A648="","",SUMIFS(RAW_004!$I$2:$I$10001,RAW_004!$D$2:$D$10001,ALLOCATIONS!A648,RAW_004!$H$2:$H$10001,ALLOCATIONS!B648,RAW_004!$N$2:$N$10001,ALLOCATIONS!C648))</f>
        <v/>
      </c>
      <c r="H654" s="6">
        <f>IF(A654="","",G654-F654)</f>
        <v/>
      </c>
    </row>
    <row r="655">
      <c r="A655" s="6">
        <f>IF(ALLOCATIONS!A649="","",IFERROR(VLOOKUP(ALLOCATIONS!A649,MAPPING!$A$3:$C$302,2,FALSE),"UNMAPPED"))</f>
        <v/>
      </c>
      <c r="B655" s="6">
        <f>IF(ALLOCATIONS!A649="","",IFERROR(VLOOKUP(ALLOCATIONS!A649,MAPPING!$A$3:$C$302,3,FALSE),ALLOCATIONS!A649))</f>
        <v/>
      </c>
      <c r="C655" s="6">
        <f>IF(ALLOCATIONS!A649="","",IFERROR(VLOOKUP(ALLOCATIONS!B649,MAPPING!$E$3:$G$302,2,FALSE),"UNMAPPED"))</f>
        <v/>
      </c>
      <c r="D655" s="6">
        <f>IF(ALLOCATIONS!A649="","",IFERROR(IF(VLOOKUP(ALLOCATIONS!B649,MAPPING!$E$3:$G$302,3,FALSE)="","",VLOOKUP(ALLOCATIONS!B649,MAPPING!$E$3:$G$302,3,FALSE)),""))</f>
        <v/>
      </c>
      <c r="E655" s="6">
        <f>IF(ALLOCATIONS!A649="","",ALLOCATIONS!C649)</f>
        <v/>
      </c>
      <c r="F655" s="6">
        <f>IF(ALLOCATIONS!A649="","",IF(ALLOCATIONS!D649="",0,ALLOCATIONS!D649))</f>
        <v/>
      </c>
      <c r="G655" s="6">
        <f>IF(ALLOCATIONS!A649="","",SUMIFS(RAW_004!$I$2:$I$10001,RAW_004!$D$2:$D$10001,ALLOCATIONS!A649,RAW_004!$H$2:$H$10001,ALLOCATIONS!B649,RAW_004!$N$2:$N$10001,ALLOCATIONS!C649))</f>
        <v/>
      </c>
      <c r="H655" s="6">
        <f>IF(A655="","",G655-F655)</f>
        <v/>
      </c>
    </row>
    <row r="656">
      <c r="A656" s="6">
        <f>IF(ALLOCATIONS!A650="","",IFERROR(VLOOKUP(ALLOCATIONS!A650,MAPPING!$A$3:$C$302,2,FALSE),"UNMAPPED"))</f>
        <v/>
      </c>
      <c r="B656" s="6">
        <f>IF(ALLOCATIONS!A650="","",IFERROR(VLOOKUP(ALLOCATIONS!A650,MAPPING!$A$3:$C$302,3,FALSE),ALLOCATIONS!A650))</f>
        <v/>
      </c>
      <c r="C656" s="6">
        <f>IF(ALLOCATIONS!A650="","",IFERROR(VLOOKUP(ALLOCATIONS!B650,MAPPING!$E$3:$G$302,2,FALSE),"UNMAPPED"))</f>
        <v/>
      </c>
      <c r="D656" s="6">
        <f>IF(ALLOCATIONS!A650="","",IFERROR(IF(VLOOKUP(ALLOCATIONS!B650,MAPPING!$E$3:$G$302,3,FALSE)="","",VLOOKUP(ALLOCATIONS!B650,MAPPING!$E$3:$G$302,3,FALSE)),""))</f>
        <v/>
      </c>
      <c r="E656" s="6">
        <f>IF(ALLOCATIONS!A650="","",ALLOCATIONS!C650)</f>
        <v/>
      </c>
      <c r="F656" s="6">
        <f>IF(ALLOCATIONS!A650="","",IF(ALLOCATIONS!D650="",0,ALLOCATIONS!D650))</f>
        <v/>
      </c>
      <c r="G656" s="6">
        <f>IF(ALLOCATIONS!A650="","",SUMIFS(RAW_004!$I$2:$I$10001,RAW_004!$D$2:$D$10001,ALLOCATIONS!A650,RAW_004!$H$2:$H$10001,ALLOCATIONS!B650,RAW_004!$N$2:$N$10001,ALLOCATIONS!C650))</f>
        <v/>
      </c>
      <c r="H656" s="6">
        <f>IF(A656="","",G656-F656)</f>
        <v/>
      </c>
    </row>
    <row r="657">
      <c r="A657" s="6">
        <f>IF(ALLOCATIONS!A651="","",IFERROR(VLOOKUP(ALLOCATIONS!A651,MAPPING!$A$3:$C$302,2,FALSE),"UNMAPPED"))</f>
        <v/>
      </c>
      <c r="B657" s="6">
        <f>IF(ALLOCATIONS!A651="","",IFERROR(VLOOKUP(ALLOCATIONS!A651,MAPPING!$A$3:$C$302,3,FALSE),ALLOCATIONS!A651))</f>
        <v/>
      </c>
      <c r="C657" s="6">
        <f>IF(ALLOCATIONS!A651="","",IFERROR(VLOOKUP(ALLOCATIONS!B651,MAPPING!$E$3:$G$302,2,FALSE),"UNMAPPED"))</f>
        <v/>
      </c>
      <c r="D657" s="6">
        <f>IF(ALLOCATIONS!A651="","",IFERROR(IF(VLOOKUP(ALLOCATIONS!B651,MAPPING!$E$3:$G$302,3,FALSE)="","",VLOOKUP(ALLOCATIONS!B651,MAPPING!$E$3:$G$302,3,FALSE)),""))</f>
        <v/>
      </c>
      <c r="E657" s="6">
        <f>IF(ALLOCATIONS!A651="","",ALLOCATIONS!C651)</f>
        <v/>
      </c>
      <c r="F657" s="6">
        <f>IF(ALLOCATIONS!A651="","",IF(ALLOCATIONS!D651="",0,ALLOCATIONS!D651))</f>
        <v/>
      </c>
      <c r="G657" s="6">
        <f>IF(ALLOCATIONS!A651="","",SUMIFS(RAW_004!$I$2:$I$10001,RAW_004!$D$2:$D$10001,ALLOCATIONS!A651,RAW_004!$H$2:$H$10001,ALLOCATIONS!B651,RAW_004!$N$2:$N$10001,ALLOCATIONS!C651))</f>
        <v/>
      </c>
      <c r="H657" s="6">
        <f>IF(A657="","",G657-F657)</f>
        <v/>
      </c>
    </row>
    <row r="658">
      <c r="A658" s="6">
        <f>IF(ALLOCATIONS!A652="","",IFERROR(VLOOKUP(ALLOCATIONS!A652,MAPPING!$A$3:$C$302,2,FALSE),"UNMAPPED"))</f>
        <v/>
      </c>
      <c r="B658" s="6">
        <f>IF(ALLOCATIONS!A652="","",IFERROR(VLOOKUP(ALLOCATIONS!A652,MAPPING!$A$3:$C$302,3,FALSE),ALLOCATIONS!A652))</f>
        <v/>
      </c>
      <c r="C658" s="6">
        <f>IF(ALLOCATIONS!A652="","",IFERROR(VLOOKUP(ALLOCATIONS!B652,MAPPING!$E$3:$G$302,2,FALSE),"UNMAPPED"))</f>
        <v/>
      </c>
      <c r="D658" s="6">
        <f>IF(ALLOCATIONS!A652="","",IFERROR(IF(VLOOKUP(ALLOCATIONS!B652,MAPPING!$E$3:$G$302,3,FALSE)="","",VLOOKUP(ALLOCATIONS!B652,MAPPING!$E$3:$G$302,3,FALSE)),""))</f>
        <v/>
      </c>
      <c r="E658" s="6">
        <f>IF(ALLOCATIONS!A652="","",ALLOCATIONS!C652)</f>
        <v/>
      </c>
      <c r="F658" s="6">
        <f>IF(ALLOCATIONS!A652="","",IF(ALLOCATIONS!D652="",0,ALLOCATIONS!D652))</f>
        <v/>
      </c>
      <c r="G658" s="6">
        <f>IF(ALLOCATIONS!A652="","",SUMIFS(RAW_004!$I$2:$I$10001,RAW_004!$D$2:$D$10001,ALLOCATIONS!A652,RAW_004!$H$2:$H$10001,ALLOCATIONS!B652,RAW_004!$N$2:$N$10001,ALLOCATIONS!C652))</f>
        <v/>
      </c>
      <c r="H658" s="6">
        <f>IF(A658="","",G658-F658)</f>
        <v/>
      </c>
    </row>
    <row r="659">
      <c r="A659" s="6">
        <f>IF(ALLOCATIONS!A653="","",IFERROR(VLOOKUP(ALLOCATIONS!A653,MAPPING!$A$3:$C$302,2,FALSE),"UNMAPPED"))</f>
        <v/>
      </c>
      <c r="B659" s="6">
        <f>IF(ALLOCATIONS!A653="","",IFERROR(VLOOKUP(ALLOCATIONS!A653,MAPPING!$A$3:$C$302,3,FALSE),ALLOCATIONS!A653))</f>
        <v/>
      </c>
      <c r="C659" s="6">
        <f>IF(ALLOCATIONS!A653="","",IFERROR(VLOOKUP(ALLOCATIONS!B653,MAPPING!$E$3:$G$302,2,FALSE),"UNMAPPED"))</f>
        <v/>
      </c>
      <c r="D659" s="6">
        <f>IF(ALLOCATIONS!A653="","",IFERROR(IF(VLOOKUP(ALLOCATIONS!B653,MAPPING!$E$3:$G$302,3,FALSE)="","",VLOOKUP(ALLOCATIONS!B653,MAPPING!$E$3:$G$302,3,FALSE)),""))</f>
        <v/>
      </c>
      <c r="E659" s="6">
        <f>IF(ALLOCATIONS!A653="","",ALLOCATIONS!C653)</f>
        <v/>
      </c>
      <c r="F659" s="6">
        <f>IF(ALLOCATIONS!A653="","",IF(ALLOCATIONS!D653="",0,ALLOCATIONS!D653))</f>
        <v/>
      </c>
      <c r="G659" s="6">
        <f>IF(ALLOCATIONS!A653="","",SUMIFS(RAW_004!$I$2:$I$10001,RAW_004!$D$2:$D$10001,ALLOCATIONS!A653,RAW_004!$H$2:$H$10001,ALLOCATIONS!B653,RAW_004!$N$2:$N$10001,ALLOCATIONS!C653))</f>
        <v/>
      </c>
      <c r="H659" s="6">
        <f>IF(A659="","",G659-F659)</f>
        <v/>
      </c>
    </row>
    <row r="660">
      <c r="A660" s="6">
        <f>IF(ALLOCATIONS!A654="","",IFERROR(VLOOKUP(ALLOCATIONS!A654,MAPPING!$A$3:$C$302,2,FALSE),"UNMAPPED"))</f>
        <v/>
      </c>
      <c r="B660" s="6">
        <f>IF(ALLOCATIONS!A654="","",IFERROR(VLOOKUP(ALLOCATIONS!A654,MAPPING!$A$3:$C$302,3,FALSE),ALLOCATIONS!A654))</f>
        <v/>
      </c>
      <c r="C660" s="6">
        <f>IF(ALLOCATIONS!A654="","",IFERROR(VLOOKUP(ALLOCATIONS!B654,MAPPING!$E$3:$G$302,2,FALSE),"UNMAPPED"))</f>
        <v/>
      </c>
      <c r="D660" s="6">
        <f>IF(ALLOCATIONS!A654="","",IFERROR(IF(VLOOKUP(ALLOCATIONS!B654,MAPPING!$E$3:$G$302,3,FALSE)="","",VLOOKUP(ALLOCATIONS!B654,MAPPING!$E$3:$G$302,3,FALSE)),""))</f>
        <v/>
      </c>
      <c r="E660" s="6">
        <f>IF(ALLOCATIONS!A654="","",ALLOCATIONS!C654)</f>
        <v/>
      </c>
      <c r="F660" s="6">
        <f>IF(ALLOCATIONS!A654="","",IF(ALLOCATIONS!D654="",0,ALLOCATIONS!D654))</f>
        <v/>
      </c>
      <c r="G660" s="6">
        <f>IF(ALLOCATIONS!A654="","",SUMIFS(RAW_004!$I$2:$I$10001,RAW_004!$D$2:$D$10001,ALLOCATIONS!A654,RAW_004!$H$2:$H$10001,ALLOCATIONS!B654,RAW_004!$N$2:$N$10001,ALLOCATIONS!C654))</f>
        <v/>
      </c>
      <c r="H660" s="6">
        <f>IF(A660="","",G660-F660)</f>
        <v/>
      </c>
    </row>
    <row r="661">
      <c r="A661" s="6">
        <f>IF(ALLOCATIONS!A655="","",IFERROR(VLOOKUP(ALLOCATIONS!A655,MAPPING!$A$3:$C$302,2,FALSE),"UNMAPPED"))</f>
        <v/>
      </c>
      <c r="B661" s="6">
        <f>IF(ALLOCATIONS!A655="","",IFERROR(VLOOKUP(ALLOCATIONS!A655,MAPPING!$A$3:$C$302,3,FALSE),ALLOCATIONS!A655))</f>
        <v/>
      </c>
      <c r="C661" s="6">
        <f>IF(ALLOCATIONS!A655="","",IFERROR(VLOOKUP(ALLOCATIONS!B655,MAPPING!$E$3:$G$302,2,FALSE),"UNMAPPED"))</f>
        <v/>
      </c>
      <c r="D661" s="6">
        <f>IF(ALLOCATIONS!A655="","",IFERROR(IF(VLOOKUP(ALLOCATIONS!B655,MAPPING!$E$3:$G$302,3,FALSE)="","",VLOOKUP(ALLOCATIONS!B655,MAPPING!$E$3:$G$302,3,FALSE)),""))</f>
        <v/>
      </c>
      <c r="E661" s="6">
        <f>IF(ALLOCATIONS!A655="","",ALLOCATIONS!C655)</f>
        <v/>
      </c>
      <c r="F661" s="6">
        <f>IF(ALLOCATIONS!A655="","",IF(ALLOCATIONS!D655="",0,ALLOCATIONS!D655))</f>
        <v/>
      </c>
      <c r="G661" s="6">
        <f>IF(ALLOCATIONS!A655="","",SUMIFS(RAW_004!$I$2:$I$10001,RAW_004!$D$2:$D$10001,ALLOCATIONS!A655,RAW_004!$H$2:$H$10001,ALLOCATIONS!B655,RAW_004!$N$2:$N$10001,ALLOCATIONS!C655))</f>
        <v/>
      </c>
      <c r="H661" s="6">
        <f>IF(A661="","",G661-F661)</f>
        <v/>
      </c>
    </row>
    <row r="662">
      <c r="A662" s="6">
        <f>IF(ALLOCATIONS!A656="","",IFERROR(VLOOKUP(ALLOCATIONS!A656,MAPPING!$A$3:$C$302,2,FALSE),"UNMAPPED"))</f>
        <v/>
      </c>
      <c r="B662" s="6">
        <f>IF(ALLOCATIONS!A656="","",IFERROR(VLOOKUP(ALLOCATIONS!A656,MAPPING!$A$3:$C$302,3,FALSE),ALLOCATIONS!A656))</f>
        <v/>
      </c>
      <c r="C662" s="6">
        <f>IF(ALLOCATIONS!A656="","",IFERROR(VLOOKUP(ALLOCATIONS!B656,MAPPING!$E$3:$G$302,2,FALSE),"UNMAPPED"))</f>
        <v/>
      </c>
      <c r="D662" s="6">
        <f>IF(ALLOCATIONS!A656="","",IFERROR(IF(VLOOKUP(ALLOCATIONS!B656,MAPPING!$E$3:$G$302,3,FALSE)="","",VLOOKUP(ALLOCATIONS!B656,MAPPING!$E$3:$G$302,3,FALSE)),""))</f>
        <v/>
      </c>
      <c r="E662" s="6">
        <f>IF(ALLOCATIONS!A656="","",ALLOCATIONS!C656)</f>
        <v/>
      </c>
      <c r="F662" s="6">
        <f>IF(ALLOCATIONS!A656="","",IF(ALLOCATIONS!D656="",0,ALLOCATIONS!D656))</f>
        <v/>
      </c>
      <c r="G662" s="6">
        <f>IF(ALLOCATIONS!A656="","",SUMIFS(RAW_004!$I$2:$I$10001,RAW_004!$D$2:$D$10001,ALLOCATIONS!A656,RAW_004!$H$2:$H$10001,ALLOCATIONS!B656,RAW_004!$N$2:$N$10001,ALLOCATIONS!C656))</f>
        <v/>
      </c>
      <c r="H662" s="6">
        <f>IF(A662="","",G662-F662)</f>
        <v/>
      </c>
    </row>
    <row r="663">
      <c r="A663" s="6">
        <f>IF(ALLOCATIONS!A657="","",IFERROR(VLOOKUP(ALLOCATIONS!A657,MAPPING!$A$3:$C$302,2,FALSE),"UNMAPPED"))</f>
        <v/>
      </c>
      <c r="B663" s="6">
        <f>IF(ALLOCATIONS!A657="","",IFERROR(VLOOKUP(ALLOCATIONS!A657,MAPPING!$A$3:$C$302,3,FALSE),ALLOCATIONS!A657))</f>
        <v/>
      </c>
      <c r="C663" s="6">
        <f>IF(ALLOCATIONS!A657="","",IFERROR(VLOOKUP(ALLOCATIONS!B657,MAPPING!$E$3:$G$302,2,FALSE),"UNMAPPED"))</f>
        <v/>
      </c>
      <c r="D663" s="6">
        <f>IF(ALLOCATIONS!A657="","",IFERROR(IF(VLOOKUP(ALLOCATIONS!B657,MAPPING!$E$3:$G$302,3,FALSE)="","",VLOOKUP(ALLOCATIONS!B657,MAPPING!$E$3:$G$302,3,FALSE)),""))</f>
        <v/>
      </c>
      <c r="E663" s="6">
        <f>IF(ALLOCATIONS!A657="","",ALLOCATIONS!C657)</f>
        <v/>
      </c>
      <c r="F663" s="6">
        <f>IF(ALLOCATIONS!A657="","",IF(ALLOCATIONS!D657="",0,ALLOCATIONS!D657))</f>
        <v/>
      </c>
      <c r="G663" s="6">
        <f>IF(ALLOCATIONS!A657="","",SUMIFS(RAW_004!$I$2:$I$10001,RAW_004!$D$2:$D$10001,ALLOCATIONS!A657,RAW_004!$H$2:$H$10001,ALLOCATIONS!B657,RAW_004!$N$2:$N$10001,ALLOCATIONS!C657))</f>
        <v/>
      </c>
      <c r="H663" s="6">
        <f>IF(A663="","",G663-F663)</f>
        <v/>
      </c>
    </row>
    <row r="664">
      <c r="A664" s="6">
        <f>IF(ALLOCATIONS!A658="","",IFERROR(VLOOKUP(ALLOCATIONS!A658,MAPPING!$A$3:$C$302,2,FALSE),"UNMAPPED"))</f>
        <v/>
      </c>
      <c r="B664" s="6">
        <f>IF(ALLOCATIONS!A658="","",IFERROR(VLOOKUP(ALLOCATIONS!A658,MAPPING!$A$3:$C$302,3,FALSE),ALLOCATIONS!A658))</f>
        <v/>
      </c>
      <c r="C664" s="6">
        <f>IF(ALLOCATIONS!A658="","",IFERROR(VLOOKUP(ALLOCATIONS!B658,MAPPING!$E$3:$G$302,2,FALSE),"UNMAPPED"))</f>
        <v/>
      </c>
      <c r="D664" s="6">
        <f>IF(ALLOCATIONS!A658="","",IFERROR(IF(VLOOKUP(ALLOCATIONS!B658,MAPPING!$E$3:$G$302,3,FALSE)="","",VLOOKUP(ALLOCATIONS!B658,MAPPING!$E$3:$G$302,3,FALSE)),""))</f>
        <v/>
      </c>
      <c r="E664" s="6">
        <f>IF(ALLOCATIONS!A658="","",ALLOCATIONS!C658)</f>
        <v/>
      </c>
      <c r="F664" s="6">
        <f>IF(ALLOCATIONS!A658="","",IF(ALLOCATIONS!D658="",0,ALLOCATIONS!D658))</f>
        <v/>
      </c>
      <c r="G664" s="6">
        <f>IF(ALLOCATIONS!A658="","",SUMIFS(RAW_004!$I$2:$I$10001,RAW_004!$D$2:$D$10001,ALLOCATIONS!A658,RAW_004!$H$2:$H$10001,ALLOCATIONS!B658,RAW_004!$N$2:$N$10001,ALLOCATIONS!C658))</f>
        <v/>
      </c>
      <c r="H664" s="6">
        <f>IF(A664="","",G664-F664)</f>
        <v/>
      </c>
    </row>
    <row r="665">
      <c r="A665" s="6">
        <f>IF(ALLOCATIONS!A659="","",IFERROR(VLOOKUP(ALLOCATIONS!A659,MAPPING!$A$3:$C$302,2,FALSE),"UNMAPPED"))</f>
        <v/>
      </c>
      <c r="B665" s="6">
        <f>IF(ALLOCATIONS!A659="","",IFERROR(VLOOKUP(ALLOCATIONS!A659,MAPPING!$A$3:$C$302,3,FALSE),ALLOCATIONS!A659))</f>
        <v/>
      </c>
      <c r="C665" s="6">
        <f>IF(ALLOCATIONS!A659="","",IFERROR(VLOOKUP(ALLOCATIONS!B659,MAPPING!$E$3:$G$302,2,FALSE),"UNMAPPED"))</f>
        <v/>
      </c>
      <c r="D665" s="6">
        <f>IF(ALLOCATIONS!A659="","",IFERROR(IF(VLOOKUP(ALLOCATIONS!B659,MAPPING!$E$3:$G$302,3,FALSE)="","",VLOOKUP(ALLOCATIONS!B659,MAPPING!$E$3:$G$302,3,FALSE)),""))</f>
        <v/>
      </c>
      <c r="E665" s="6">
        <f>IF(ALLOCATIONS!A659="","",ALLOCATIONS!C659)</f>
        <v/>
      </c>
      <c r="F665" s="6">
        <f>IF(ALLOCATIONS!A659="","",IF(ALLOCATIONS!D659="",0,ALLOCATIONS!D659))</f>
        <v/>
      </c>
      <c r="G665" s="6">
        <f>IF(ALLOCATIONS!A659="","",SUMIFS(RAW_004!$I$2:$I$10001,RAW_004!$D$2:$D$10001,ALLOCATIONS!A659,RAW_004!$H$2:$H$10001,ALLOCATIONS!B659,RAW_004!$N$2:$N$10001,ALLOCATIONS!C659))</f>
        <v/>
      </c>
      <c r="H665" s="6">
        <f>IF(A665="","",G665-F665)</f>
        <v/>
      </c>
    </row>
    <row r="666">
      <c r="A666" s="6">
        <f>IF(ALLOCATIONS!A660="","",IFERROR(VLOOKUP(ALLOCATIONS!A660,MAPPING!$A$3:$C$302,2,FALSE),"UNMAPPED"))</f>
        <v/>
      </c>
      <c r="B666" s="6">
        <f>IF(ALLOCATIONS!A660="","",IFERROR(VLOOKUP(ALLOCATIONS!A660,MAPPING!$A$3:$C$302,3,FALSE),ALLOCATIONS!A660))</f>
        <v/>
      </c>
      <c r="C666" s="6">
        <f>IF(ALLOCATIONS!A660="","",IFERROR(VLOOKUP(ALLOCATIONS!B660,MAPPING!$E$3:$G$302,2,FALSE),"UNMAPPED"))</f>
        <v/>
      </c>
      <c r="D666" s="6">
        <f>IF(ALLOCATIONS!A660="","",IFERROR(IF(VLOOKUP(ALLOCATIONS!B660,MAPPING!$E$3:$G$302,3,FALSE)="","",VLOOKUP(ALLOCATIONS!B660,MAPPING!$E$3:$G$302,3,FALSE)),""))</f>
        <v/>
      </c>
      <c r="E666" s="6">
        <f>IF(ALLOCATIONS!A660="","",ALLOCATIONS!C660)</f>
        <v/>
      </c>
      <c r="F666" s="6">
        <f>IF(ALLOCATIONS!A660="","",IF(ALLOCATIONS!D660="",0,ALLOCATIONS!D660))</f>
        <v/>
      </c>
      <c r="G666" s="6">
        <f>IF(ALLOCATIONS!A660="","",SUMIFS(RAW_004!$I$2:$I$10001,RAW_004!$D$2:$D$10001,ALLOCATIONS!A660,RAW_004!$H$2:$H$10001,ALLOCATIONS!B660,RAW_004!$N$2:$N$10001,ALLOCATIONS!C660))</f>
        <v/>
      </c>
      <c r="H666" s="6">
        <f>IF(A666="","",G666-F666)</f>
        <v/>
      </c>
    </row>
    <row r="667">
      <c r="A667" s="6">
        <f>IF(ALLOCATIONS!A661="","",IFERROR(VLOOKUP(ALLOCATIONS!A661,MAPPING!$A$3:$C$302,2,FALSE),"UNMAPPED"))</f>
        <v/>
      </c>
      <c r="B667" s="6">
        <f>IF(ALLOCATIONS!A661="","",IFERROR(VLOOKUP(ALLOCATIONS!A661,MAPPING!$A$3:$C$302,3,FALSE),ALLOCATIONS!A661))</f>
        <v/>
      </c>
      <c r="C667" s="6">
        <f>IF(ALLOCATIONS!A661="","",IFERROR(VLOOKUP(ALLOCATIONS!B661,MAPPING!$E$3:$G$302,2,FALSE),"UNMAPPED"))</f>
        <v/>
      </c>
      <c r="D667" s="6">
        <f>IF(ALLOCATIONS!A661="","",IFERROR(IF(VLOOKUP(ALLOCATIONS!B661,MAPPING!$E$3:$G$302,3,FALSE)="","",VLOOKUP(ALLOCATIONS!B661,MAPPING!$E$3:$G$302,3,FALSE)),""))</f>
        <v/>
      </c>
      <c r="E667" s="6">
        <f>IF(ALLOCATIONS!A661="","",ALLOCATIONS!C661)</f>
        <v/>
      </c>
      <c r="F667" s="6">
        <f>IF(ALLOCATIONS!A661="","",IF(ALLOCATIONS!D661="",0,ALLOCATIONS!D661))</f>
        <v/>
      </c>
      <c r="G667" s="6">
        <f>IF(ALLOCATIONS!A661="","",SUMIFS(RAW_004!$I$2:$I$10001,RAW_004!$D$2:$D$10001,ALLOCATIONS!A661,RAW_004!$H$2:$H$10001,ALLOCATIONS!B661,RAW_004!$N$2:$N$10001,ALLOCATIONS!C661))</f>
        <v/>
      </c>
      <c r="H667" s="6">
        <f>IF(A667="","",G667-F667)</f>
        <v/>
      </c>
    </row>
    <row r="668">
      <c r="A668" s="6">
        <f>IF(ALLOCATIONS!A662="","",IFERROR(VLOOKUP(ALLOCATIONS!A662,MAPPING!$A$3:$C$302,2,FALSE),"UNMAPPED"))</f>
        <v/>
      </c>
      <c r="B668" s="6">
        <f>IF(ALLOCATIONS!A662="","",IFERROR(VLOOKUP(ALLOCATIONS!A662,MAPPING!$A$3:$C$302,3,FALSE),ALLOCATIONS!A662))</f>
        <v/>
      </c>
      <c r="C668" s="6">
        <f>IF(ALLOCATIONS!A662="","",IFERROR(VLOOKUP(ALLOCATIONS!B662,MAPPING!$E$3:$G$302,2,FALSE),"UNMAPPED"))</f>
        <v/>
      </c>
      <c r="D668" s="6">
        <f>IF(ALLOCATIONS!A662="","",IFERROR(IF(VLOOKUP(ALLOCATIONS!B662,MAPPING!$E$3:$G$302,3,FALSE)="","",VLOOKUP(ALLOCATIONS!B662,MAPPING!$E$3:$G$302,3,FALSE)),""))</f>
        <v/>
      </c>
      <c r="E668" s="6">
        <f>IF(ALLOCATIONS!A662="","",ALLOCATIONS!C662)</f>
        <v/>
      </c>
      <c r="F668" s="6">
        <f>IF(ALLOCATIONS!A662="","",IF(ALLOCATIONS!D662="",0,ALLOCATIONS!D662))</f>
        <v/>
      </c>
      <c r="G668" s="6">
        <f>IF(ALLOCATIONS!A662="","",SUMIFS(RAW_004!$I$2:$I$10001,RAW_004!$D$2:$D$10001,ALLOCATIONS!A662,RAW_004!$H$2:$H$10001,ALLOCATIONS!B662,RAW_004!$N$2:$N$10001,ALLOCATIONS!C662))</f>
        <v/>
      </c>
      <c r="H668" s="6">
        <f>IF(A668="","",G668-F668)</f>
        <v/>
      </c>
    </row>
    <row r="669">
      <c r="A669" s="6">
        <f>IF(ALLOCATIONS!A663="","",IFERROR(VLOOKUP(ALLOCATIONS!A663,MAPPING!$A$3:$C$302,2,FALSE),"UNMAPPED"))</f>
        <v/>
      </c>
      <c r="B669" s="6">
        <f>IF(ALLOCATIONS!A663="","",IFERROR(VLOOKUP(ALLOCATIONS!A663,MAPPING!$A$3:$C$302,3,FALSE),ALLOCATIONS!A663))</f>
        <v/>
      </c>
      <c r="C669" s="6">
        <f>IF(ALLOCATIONS!A663="","",IFERROR(VLOOKUP(ALLOCATIONS!B663,MAPPING!$E$3:$G$302,2,FALSE),"UNMAPPED"))</f>
        <v/>
      </c>
      <c r="D669" s="6">
        <f>IF(ALLOCATIONS!A663="","",IFERROR(IF(VLOOKUP(ALLOCATIONS!B663,MAPPING!$E$3:$G$302,3,FALSE)="","",VLOOKUP(ALLOCATIONS!B663,MAPPING!$E$3:$G$302,3,FALSE)),""))</f>
        <v/>
      </c>
      <c r="E669" s="6">
        <f>IF(ALLOCATIONS!A663="","",ALLOCATIONS!C663)</f>
        <v/>
      </c>
      <c r="F669" s="6">
        <f>IF(ALLOCATIONS!A663="","",IF(ALLOCATIONS!D663="",0,ALLOCATIONS!D663))</f>
        <v/>
      </c>
      <c r="G669" s="6">
        <f>IF(ALLOCATIONS!A663="","",SUMIFS(RAW_004!$I$2:$I$10001,RAW_004!$D$2:$D$10001,ALLOCATIONS!A663,RAW_004!$H$2:$H$10001,ALLOCATIONS!B663,RAW_004!$N$2:$N$10001,ALLOCATIONS!C663))</f>
        <v/>
      </c>
      <c r="H669" s="6">
        <f>IF(A669="","",G669-F669)</f>
        <v/>
      </c>
    </row>
    <row r="670">
      <c r="A670" s="6">
        <f>IF(ALLOCATIONS!A664="","",IFERROR(VLOOKUP(ALLOCATIONS!A664,MAPPING!$A$3:$C$302,2,FALSE),"UNMAPPED"))</f>
        <v/>
      </c>
      <c r="B670" s="6">
        <f>IF(ALLOCATIONS!A664="","",IFERROR(VLOOKUP(ALLOCATIONS!A664,MAPPING!$A$3:$C$302,3,FALSE),ALLOCATIONS!A664))</f>
        <v/>
      </c>
      <c r="C670" s="6">
        <f>IF(ALLOCATIONS!A664="","",IFERROR(VLOOKUP(ALLOCATIONS!B664,MAPPING!$E$3:$G$302,2,FALSE),"UNMAPPED"))</f>
        <v/>
      </c>
      <c r="D670" s="6">
        <f>IF(ALLOCATIONS!A664="","",IFERROR(IF(VLOOKUP(ALLOCATIONS!B664,MAPPING!$E$3:$G$302,3,FALSE)="","",VLOOKUP(ALLOCATIONS!B664,MAPPING!$E$3:$G$302,3,FALSE)),""))</f>
        <v/>
      </c>
      <c r="E670" s="6">
        <f>IF(ALLOCATIONS!A664="","",ALLOCATIONS!C664)</f>
        <v/>
      </c>
      <c r="F670" s="6">
        <f>IF(ALLOCATIONS!A664="","",IF(ALLOCATIONS!D664="",0,ALLOCATIONS!D664))</f>
        <v/>
      </c>
      <c r="G670" s="6">
        <f>IF(ALLOCATIONS!A664="","",SUMIFS(RAW_004!$I$2:$I$10001,RAW_004!$D$2:$D$10001,ALLOCATIONS!A664,RAW_004!$H$2:$H$10001,ALLOCATIONS!B664,RAW_004!$N$2:$N$10001,ALLOCATIONS!C664))</f>
        <v/>
      </c>
      <c r="H670" s="6">
        <f>IF(A670="","",G670-F670)</f>
        <v/>
      </c>
    </row>
    <row r="671">
      <c r="A671" s="6">
        <f>IF(ALLOCATIONS!A665="","",IFERROR(VLOOKUP(ALLOCATIONS!A665,MAPPING!$A$3:$C$302,2,FALSE),"UNMAPPED"))</f>
        <v/>
      </c>
      <c r="B671" s="6">
        <f>IF(ALLOCATIONS!A665="","",IFERROR(VLOOKUP(ALLOCATIONS!A665,MAPPING!$A$3:$C$302,3,FALSE),ALLOCATIONS!A665))</f>
        <v/>
      </c>
      <c r="C671" s="6">
        <f>IF(ALLOCATIONS!A665="","",IFERROR(VLOOKUP(ALLOCATIONS!B665,MAPPING!$E$3:$G$302,2,FALSE),"UNMAPPED"))</f>
        <v/>
      </c>
      <c r="D671" s="6">
        <f>IF(ALLOCATIONS!A665="","",IFERROR(IF(VLOOKUP(ALLOCATIONS!B665,MAPPING!$E$3:$G$302,3,FALSE)="","",VLOOKUP(ALLOCATIONS!B665,MAPPING!$E$3:$G$302,3,FALSE)),""))</f>
        <v/>
      </c>
      <c r="E671" s="6">
        <f>IF(ALLOCATIONS!A665="","",ALLOCATIONS!C665)</f>
        <v/>
      </c>
      <c r="F671" s="6">
        <f>IF(ALLOCATIONS!A665="","",IF(ALLOCATIONS!D665="",0,ALLOCATIONS!D665))</f>
        <v/>
      </c>
      <c r="G671" s="6">
        <f>IF(ALLOCATIONS!A665="","",SUMIFS(RAW_004!$I$2:$I$10001,RAW_004!$D$2:$D$10001,ALLOCATIONS!A665,RAW_004!$H$2:$H$10001,ALLOCATIONS!B665,RAW_004!$N$2:$N$10001,ALLOCATIONS!C665))</f>
        <v/>
      </c>
      <c r="H671" s="6">
        <f>IF(A671="","",G671-F671)</f>
        <v/>
      </c>
    </row>
    <row r="672">
      <c r="A672" s="6">
        <f>IF(ALLOCATIONS!A666="","",IFERROR(VLOOKUP(ALLOCATIONS!A666,MAPPING!$A$3:$C$302,2,FALSE),"UNMAPPED"))</f>
        <v/>
      </c>
      <c r="B672" s="6">
        <f>IF(ALLOCATIONS!A666="","",IFERROR(VLOOKUP(ALLOCATIONS!A666,MAPPING!$A$3:$C$302,3,FALSE),ALLOCATIONS!A666))</f>
        <v/>
      </c>
      <c r="C672" s="6">
        <f>IF(ALLOCATIONS!A666="","",IFERROR(VLOOKUP(ALLOCATIONS!B666,MAPPING!$E$3:$G$302,2,FALSE),"UNMAPPED"))</f>
        <v/>
      </c>
      <c r="D672" s="6">
        <f>IF(ALLOCATIONS!A666="","",IFERROR(IF(VLOOKUP(ALLOCATIONS!B666,MAPPING!$E$3:$G$302,3,FALSE)="","",VLOOKUP(ALLOCATIONS!B666,MAPPING!$E$3:$G$302,3,FALSE)),""))</f>
        <v/>
      </c>
      <c r="E672" s="6">
        <f>IF(ALLOCATIONS!A666="","",ALLOCATIONS!C666)</f>
        <v/>
      </c>
      <c r="F672" s="6">
        <f>IF(ALLOCATIONS!A666="","",IF(ALLOCATIONS!D666="",0,ALLOCATIONS!D666))</f>
        <v/>
      </c>
      <c r="G672" s="6">
        <f>IF(ALLOCATIONS!A666="","",SUMIFS(RAW_004!$I$2:$I$10001,RAW_004!$D$2:$D$10001,ALLOCATIONS!A666,RAW_004!$H$2:$H$10001,ALLOCATIONS!B666,RAW_004!$N$2:$N$10001,ALLOCATIONS!C666))</f>
        <v/>
      </c>
      <c r="H672" s="6">
        <f>IF(A672="","",G672-F672)</f>
        <v/>
      </c>
    </row>
    <row r="673">
      <c r="A673" s="6">
        <f>IF(ALLOCATIONS!A667="","",IFERROR(VLOOKUP(ALLOCATIONS!A667,MAPPING!$A$3:$C$302,2,FALSE),"UNMAPPED"))</f>
        <v/>
      </c>
      <c r="B673" s="6">
        <f>IF(ALLOCATIONS!A667="","",IFERROR(VLOOKUP(ALLOCATIONS!A667,MAPPING!$A$3:$C$302,3,FALSE),ALLOCATIONS!A667))</f>
        <v/>
      </c>
      <c r="C673" s="6">
        <f>IF(ALLOCATIONS!A667="","",IFERROR(VLOOKUP(ALLOCATIONS!B667,MAPPING!$E$3:$G$302,2,FALSE),"UNMAPPED"))</f>
        <v/>
      </c>
      <c r="D673" s="6">
        <f>IF(ALLOCATIONS!A667="","",IFERROR(IF(VLOOKUP(ALLOCATIONS!B667,MAPPING!$E$3:$G$302,3,FALSE)="","",VLOOKUP(ALLOCATIONS!B667,MAPPING!$E$3:$G$302,3,FALSE)),""))</f>
        <v/>
      </c>
      <c r="E673" s="6">
        <f>IF(ALLOCATIONS!A667="","",ALLOCATIONS!C667)</f>
        <v/>
      </c>
      <c r="F673" s="6">
        <f>IF(ALLOCATIONS!A667="","",IF(ALLOCATIONS!D667="",0,ALLOCATIONS!D667))</f>
        <v/>
      </c>
      <c r="G673" s="6">
        <f>IF(ALLOCATIONS!A667="","",SUMIFS(RAW_004!$I$2:$I$10001,RAW_004!$D$2:$D$10001,ALLOCATIONS!A667,RAW_004!$H$2:$H$10001,ALLOCATIONS!B667,RAW_004!$N$2:$N$10001,ALLOCATIONS!C667))</f>
        <v/>
      </c>
      <c r="H673" s="6">
        <f>IF(A673="","",G673-F673)</f>
        <v/>
      </c>
    </row>
    <row r="674">
      <c r="A674" s="6">
        <f>IF(ALLOCATIONS!A668="","",IFERROR(VLOOKUP(ALLOCATIONS!A668,MAPPING!$A$3:$C$302,2,FALSE),"UNMAPPED"))</f>
        <v/>
      </c>
      <c r="B674" s="6">
        <f>IF(ALLOCATIONS!A668="","",IFERROR(VLOOKUP(ALLOCATIONS!A668,MAPPING!$A$3:$C$302,3,FALSE),ALLOCATIONS!A668))</f>
        <v/>
      </c>
      <c r="C674" s="6">
        <f>IF(ALLOCATIONS!A668="","",IFERROR(VLOOKUP(ALLOCATIONS!B668,MAPPING!$E$3:$G$302,2,FALSE),"UNMAPPED"))</f>
        <v/>
      </c>
      <c r="D674" s="6">
        <f>IF(ALLOCATIONS!A668="","",IFERROR(IF(VLOOKUP(ALLOCATIONS!B668,MAPPING!$E$3:$G$302,3,FALSE)="","",VLOOKUP(ALLOCATIONS!B668,MAPPING!$E$3:$G$302,3,FALSE)),""))</f>
        <v/>
      </c>
      <c r="E674" s="6">
        <f>IF(ALLOCATIONS!A668="","",ALLOCATIONS!C668)</f>
        <v/>
      </c>
      <c r="F674" s="6">
        <f>IF(ALLOCATIONS!A668="","",IF(ALLOCATIONS!D668="",0,ALLOCATIONS!D668))</f>
        <v/>
      </c>
      <c r="G674" s="6">
        <f>IF(ALLOCATIONS!A668="","",SUMIFS(RAW_004!$I$2:$I$10001,RAW_004!$D$2:$D$10001,ALLOCATIONS!A668,RAW_004!$H$2:$H$10001,ALLOCATIONS!B668,RAW_004!$N$2:$N$10001,ALLOCATIONS!C668))</f>
        <v/>
      </c>
      <c r="H674" s="6">
        <f>IF(A674="","",G674-F674)</f>
        <v/>
      </c>
    </row>
    <row r="675">
      <c r="A675" s="6">
        <f>IF(ALLOCATIONS!A669="","",IFERROR(VLOOKUP(ALLOCATIONS!A669,MAPPING!$A$3:$C$302,2,FALSE),"UNMAPPED"))</f>
        <v/>
      </c>
      <c r="B675" s="6">
        <f>IF(ALLOCATIONS!A669="","",IFERROR(VLOOKUP(ALLOCATIONS!A669,MAPPING!$A$3:$C$302,3,FALSE),ALLOCATIONS!A669))</f>
        <v/>
      </c>
      <c r="C675" s="6">
        <f>IF(ALLOCATIONS!A669="","",IFERROR(VLOOKUP(ALLOCATIONS!B669,MAPPING!$E$3:$G$302,2,FALSE),"UNMAPPED"))</f>
        <v/>
      </c>
      <c r="D675" s="6">
        <f>IF(ALLOCATIONS!A669="","",IFERROR(IF(VLOOKUP(ALLOCATIONS!B669,MAPPING!$E$3:$G$302,3,FALSE)="","",VLOOKUP(ALLOCATIONS!B669,MAPPING!$E$3:$G$302,3,FALSE)),""))</f>
        <v/>
      </c>
      <c r="E675" s="6">
        <f>IF(ALLOCATIONS!A669="","",ALLOCATIONS!C669)</f>
        <v/>
      </c>
      <c r="F675" s="6">
        <f>IF(ALLOCATIONS!A669="","",IF(ALLOCATIONS!D669="",0,ALLOCATIONS!D669))</f>
        <v/>
      </c>
      <c r="G675" s="6">
        <f>IF(ALLOCATIONS!A669="","",SUMIFS(RAW_004!$I$2:$I$10001,RAW_004!$D$2:$D$10001,ALLOCATIONS!A669,RAW_004!$H$2:$H$10001,ALLOCATIONS!B669,RAW_004!$N$2:$N$10001,ALLOCATIONS!C669))</f>
        <v/>
      </c>
      <c r="H675" s="6">
        <f>IF(A675="","",G675-F675)</f>
        <v/>
      </c>
    </row>
    <row r="676">
      <c r="A676" s="6">
        <f>IF(ALLOCATIONS!A670="","",IFERROR(VLOOKUP(ALLOCATIONS!A670,MAPPING!$A$3:$C$302,2,FALSE),"UNMAPPED"))</f>
        <v/>
      </c>
      <c r="B676" s="6">
        <f>IF(ALLOCATIONS!A670="","",IFERROR(VLOOKUP(ALLOCATIONS!A670,MAPPING!$A$3:$C$302,3,FALSE),ALLOCATIONS!A670))</f>
        <v/>
      </c>
      <c r="C676" s="6">
        <f>IF(ALLOCATIONS!A670="","",IFERROR(VLOOKUP(ALLOCATIONS!B670,MAPPING!$E$3:$G$302,2,FALSE),"UNMAPPED"))</f>
        <v/>
      </c>
      <c r="D676" s="6">
        <f>IF(ALLOCATIONS!A670="","",IFERROR(IF(VLOOKUP(ALLOCATIONS!B670,MAPPING!$E$3:$G$302,3,FALSE)="","",VLOOKUP(ALLOCATIONS!B670,MAPPING!$E$3:$G$302,3,FALSE)),""))</f>
        <v/>
      </c>
      <c r="E676" s="6">
        <f>IF(ALLOCATIONS!A670="","",ALLOCATIONS!C670)</f>
        <v/>
      </c>
      <c r="F676" s="6">
        <f>IF(ALLOCATIONS!A670="","",IF(ALLOCATIONS!D670="",0,ALLOCATIONS!D670))</f>
        <v/>
      </c>
      <c r="G676" s="6">
        <f>IF(ALLOCATIONS!A670="","",SUMIFS(RAW_004!$I$2:$I$10001,RAW_004!$D$2:$D$10001,ALLOCATIONS!A670,RAW_004!$H$2:$H$10001,ALLOCATIONS!B670,RAW_004!$N$2:$N$10001,ALLOCATIONS!C670))</f>
        <v/>
      </c>
      <c r="H676" s="6">
        <f>IF(A676="","",G676-F676)</f>
        <v/>
      </c>
    </row>
    <row r="677">
      <c r="A677" s="6">
        <f>IF(ALLOCATIONS!A671="","",IFERROR(VLOOKUP(ALLOCATIONS!A671,MAPPING!$A$3:$C$302,2,FALSE),"UNMAPPED"))</f>
        <v/>
      </c>
      <c r="B677" s="6">
        <f>IF(ALLOCATIONS!A671="","",IFERROR(VLOOKUP(ALLOCATIONS!A671,MAPPING!$A$3:$C$302,3,FALSE),ALLOCATIONS!A671))</f>
        <v/>
      </c>
      <c r="C677" s="6">
        <f>IF(ALLOCATIONS!A671="","",IFERROR(VLOOKUP(ALLOCATIONS!B671,MAPPING!$E$3:$G$302,2,FALSE),"UNMAPPED"))</f>
        <v/>
      </c>
      <c r="D677" s="6">
        <f>IF(ALLOCATIONS!A671="","",IFERROR(IF(VLOOKUP(ALLOCATIONS!B671,MAPPING!$E$3:$G$302,3,FALSE)="","",VLOOKUP(ALLOCATIONS!B671,MAPPING!$E$3:$G$302,3,FALSE)),""))</f>
        <v/>
      </c>
      <c r="E677" s="6">
        <f>IF(ALLOCATIONS!A671="","",ALLOCATIONS!C671)</f>
        <v/>
      </c>
      <c r="F677" s="6">
        <f>IF(ALLOCATIONS!A671="","",IF(ALLOCATIONS!D671="",0,ALLOCATIONS!D671))</f>
        <v/>
      </c>
      <c r="G677" s="6">
        <f>IF(ALLOCATIONS!A671="","",SUMIFS(RAW_004!$I$2:$I$10001,RAW_004!$D$2:$D$10001,ALLOCATIONS!A671,RAW_004!$H$2:$H$10001,ALLOCATIONS!B671,RAW_004!$N$2:$N$10001,ALLOCATIONS!C671))</f>
        <v/>
      </c>
      <c r="H677" s="6">
        <f>IF(A677="","",G677-F677)</f>
        <v/>
      </c>
    </row>
    <row r="678">
      <c r="A678" s="6">
        <f>IF(ALLOCATIONS!A672="","",IFERROR(VLOOKUP(ALLOCATIONS!A672,MAPPING!$A$3:$C$302,2,FALSE),"UNMAPPED"))</f>
        <v/>
      </c>
      <c r="B678" s="6">
        <f>IF(ALLOCATIONS!A672="","",IFERROR(VLOOKUP(ALLOCATIONS!A672,MAPPING!$A$3:$C$302,3,FALSE),ALLOCATIONS!A672))</f>
        <v/>
      </c>
      <c r="C678" s="6">
        <f>IF(ALLOCATIONS!A672="","",IFERROR(VLOOKUP(ALLOCATIONS!B672,MAPPING!$E$3:$G$302,2,FALSE),"UNMAPPED"))</f>
        <v/>
      </c>
      <c r="D678" s="6">
        <f>IF(ALLOCATIONS!A672="","",IFERROR(IF(VLOOKUP(ALLOCATIONS!B672,MAPPING!$E$3:$G$302,3,FALSE)="","",VLOOKUP(ALLOCATIONS!B672,MAPPING!$E$3:$G$302,3,FALSE)),""))</f>
        <v/>
      </c>
      <c r="E678" s="6">
        <f>IF(ALLOCATIONS!A672="","",ALLOCATIONS!C672)</f>
        <v/>
      </c>
      <c r="F678" s="6">
        <f>IF(ALLOCATIONS!A672="","",IF(ALLOCATIONS!D672="",0,ALLOCATIONS!D672))</f>
        <v/>
      </c>
      <c r="G678" s="6">
        <f>IF(ALLOCATIONS!A672="","",SUMIFS(RAW_004!$I$2:$I$10001,RAW_004!$D$2:$D$10001,ALLOCATIONS!A672,RAW_004!$H$2:$H$10001,ALLOCATIONS!B672,RAW_004!$N$2:$N$10001,ALLOCATIONS!C672))</f>
        <v/>
      </c>
      <c r="H678" s="6">
        <f>IF(A678="","",G678-F678)</f>
        <v/>
      </c>
    </row>
    <row r="679">
      <c r="A679" s="6">
        <f>IF(ALLOCATIONS!A673="","",IFERROR(VLOOKUP(ALLOCATIONS!A673,MAPPING!$A$3:$C$302,2,FALSE),"UNMAPPED"))</f>
        <v/>
      </c>
      <c r="B679" s="6">
        <f>IF(ALLOCATIONS!A673="","",IFERROR(VLOOKUP(ALLOCATIONS!A673,MAPPING!$A$3:$C$302,3,FALSE),ALLOCATIONS!A673))</f>
        <v/>
      </c>
      <c r="C679" s="6">
        <f>IF(ALLOCATIONS!A673="","",IFERROR(VLOOKUP(ALLOCATIONS!B673,MAPPING!$E$3:$G$302,2,FALSE),"UNMAPPED"))</f>
        <v/>
      </c>
      <c r="D679" s="6">
        <f>IF(ALLOCATIONS!A673="","",IFERROR(IF(VLOOKUP(ALLOCATIONS!B673,MAPPING!$E$3:$G$302,3,FALSE)="","",VLOOKUP(ALLOCATIONS!B673,MAPPING!$E$3:$G$302,3,FALSE)),""))</f>
        <v/>
      </c>
      <c r="E679" s="6">
        <f>IF(ALLOCATIONS!A673="","",ALLOCATIONS!C673)</f>
        <v/>
      </c>
      <c r="F679" s="6">
        <f>IF(ALLOCATIONS!A673="","",IF(ALLOCATIONS!D673="",0,ALLOCATIONS!D673))</f>
        <v/>
      </c>
      <c r="G679" s="6">
        <f>IF(ALLOCATIONS!A673="","",SUMIFS(RAW_004!$I$2:$I$10001,RAW_004!$D$2:$D$10001,ALLOCATIONS!A673,RAW_004!$H$2:$H$10001,ALLOCATIONS!B673,RAW_004!$N$2:$N$10001,ALLOCATIONS!C673))</f>
        <v/>
      </c>
      <c r="H679" s="6">
        <f>IF(A679="","",G679-F679)</f>
        <v/>
      </c>
    </row>
    <row r="680">
      <c r="A680" s="6">
        <f>IF(ALLOCATIONS!A674="","",IFERROR(VLOOKUP(ALLOCATIONS!A674,MAPPING!$A$3:$C$302,2,FALSE),"UNMAPPED"))</f>
        <v/>
      </c>
      <c r="B680" s="6">
        <f>IF(ALLOCATIONS!A674="","",IFERROR(VLOOKUP(ALLOCATIONS!A674,MAPPING!$A$3:$C$302,3,FALSE),ALLOCATIONS!A674))</f>
        <v/>
      </c>
      <c r="C680" s="6">
        <f>IF(ALLOCATIONS!A674="","",IFERROR(VLOOKUP(ALLOCATIONS!B674,MAPPING!$E$3:$G$302,2,FALSE),"UNMAPPED"))</f>
        <v/>
      </c>
      <c r="D680" s="6">
        <f>IF(ALLOCATIONS!A674="","",IFERROR(IF(VLOOKUP(ALLOCATIONS!B674,MAPPING!$E$3:$G$302,3,FALSE)="","",VLOOKUP(ALLOCATIONS!B674,MAPPING!$E$3:$G$302,3,FALSE)),""))</f>
        <v/>
      </c>
      <c r="E680" s="6">
        <f>IF(ALLOCATIONS!A674="","",ALLOCATIONS!C674)</f>
        <v/>
      </c>
      <c r="F680" s="6">
        <f>IF(ALLOCATIONS!A674="","",IF(ALLOCATIONS!D674="",0,ALLOCATIONS!D674))</f>
        <v/>
      </c>
      <c r="G680" s="6">
        <f>IF(ALLOCATIONS!A674="","",SUMIFS(RAW_004!$I$2:$I$10001,RAW_004!$D$2:$D$10001,ALLOCATIONS!A674,RAW_004!$H$2:$H$10001,ALLOCATIONS!B674,RAW_004!$N$2:$N$10001,ALLOCATIONS!C674))</f>
        <v/>
      </c>
      <c r="H680" s="6">
        <f>IF(A680="","",G680-F680)</f>
        <v/>
      </c>
    </row>
    <row r="681">
      <c r="A681" s="6">
        <f>IF(ALLOCATIONS!A675="","",IFERROR(VLOOKUP(ALLOCATIONS!A675,MAPPING!$A$3:$C$302,2,FALSE),"UNMAPPED"))</f>
        <v/>
      </c>
      <c r="B681" s="6">
        <f>IF(ALLOCATIONS!A675="","",IFERROR(VLOOKUP(ALLOCATIONS!A675,MAPPING!$A$3:$C$302,3,FALSE),ALLOCATIONS!A675))</f>
        <v/>
      </c>
      <c r="C681" s="6">
        <f>IF(ALLOCATIONS!A675="","",IFERROR(VLOOKUP(ALLOCATIONS!B675,MAPPING!$E$3:$G$302,2,FALSE),"UNMAPPED"))</f>
        <v/>
      </c>
      <c r="D681" s="6">
        <f>IF(ALLOCATIONS!A675="","",IFERROR(IF(VLOOKUP(ALLOCATIONS!B675,MAPPING!$E$3:$G$302,3,FALSE)="","",VLOOKUP(ALLOCATIONS!B675,MAPPING!$E$3:$G$302,3,FALSE)),""))</f>
        <v/>
      </c>
      <c r="E681" s="6">
        <f>IF(ALLOCATIONS!A675="","",ALLOCATIONS!C675)</f>
        <v/>
      </c>
      <c r="F681" s="6">
        <f>IF(ALLOCATIONS!A675="","",IF(ALLOCATIONS!D675="",0,ALLOCATIONS!D675))</f>
        <v/>
      </c>
      <c r="G681" s="6">
        <f>IF(ALLOCATIONS!A675="","",SUMIFS(RAW_004!$I$2:$I$10001,RAW_004!$D$2:$D$10001,ALLOCATIONS!A675,RAW_004!$H$2:$H$10001,ALLOCATIONS!B675,RAW_004!$N$2:$N$10001,ALLOCATIONS!C675))</f>
        <v/>
      </c>
      <c r="H681" s="6">
        <f>IF(A681="","",G681-F681)</f>
        <v/>
      </c>
    </row>
    <row r="682">
      <c r="A682" s="6">
        <f>IF(ALLOCATIONS!A676="","",IFERROR(VLOOKUP(ALLOCATIONS!A676,MAPPING!$A$3:$C$302,2,FALSE),"UNMAPPED"))</f>
        <v/>
      </c>
      <c r="B682" s="6">
        <f>IF(ALLOCATIONS!A676="","",IFERROR(VLOOKUP(ALLOCATIONS!A676,MAPPING!$A$3:$C$302,3,FALSE),ALLOCATIONS!A676))</f>
        <v/>
      </c>
      <c r="C682" s="6">
        <f>IF(ALLOCATIONS!A676="","",IFERROR(VLOOKUP(ALLOCATIONS!B676,MAPPING!$E$3:$G$302,2,FALSE),"UNMAPPED"))</f>
        <v/>
      </c>
      <c r="D682" s="6">
        <f>IF(ALLOCATIONS!A676="","",IFERROR(IF(VLOOKUP(ALLOCATIONS!B676,MAPPING!$E$3:$G$302,3,FALSE)="","",VLOOKUP(ALLOCATIONS!B676,MAPPING!$E$3:$G$302,3,FALSE)),""))</f>
        <v/>
      </c>
      <c r="E682" s="6">
        <f>IF(ALLOCATIONS!A676="","",ALLOCATIONS!C676)</f>
        <v/>
      </c>
      <c r="F682" s="6">
        <f>IF(ALLOCATIONS!A676="","",IF(ALLOCATIONS!D676="",0,ALLOCATIONS!D676))</f>
        <v/>
      </c>
      <c r="G682" s="6">
        <f>IF(ALLOCATIONS!A676="","",SUMIFS(RAW_004!$I$2:$I$10001,RAW_004!$D$2:$D$10001,ALLOCATIONS!A676,RAW_004!$H$2:$H$10001,ALLOCATIONS!B676,RAW_004!$N$2:$N$10001,ALLOCATIONS!C676))</f>
        <v/>
      </c>
      <c r="H682" s="6">
        <f>IF(A682="","",G682-F682)</f>
        <v/>
      </c>
    </row>
    <row r="683">
      <c r="A683" s="6">
        <f>IF(ALLOCATIONS!A677="","",IFERROR(VLOOKUP(ALLOCATIONS!A677,MAPPING!$A$3:$C$302,2,FALSE),"UNMAPPED"))</f>
        <v/>
      </c>
      <c r="B683" s="6">
        <f>IF(ALLOCATIONS!A677="","",IFERROR(VLOOKUP(ALLOCATIONS!A677,MAPPING!$A$3:$C$302,3,FALSE),ALLOCATIONS!A677))</f>
        <v/>
      </c>
      <c r="C683" s="6">
        <f>IF(ALLOCATIONS!A677="","",IFERROR(VLOOKUP(ALLOCATIONS!B677,MAPPING!$E$3:$G$302,2,FALSE),"UNMAPPED"))</f>
        <v/>
      </c>
      <c r="D683" s="6">
        <f>IF(ALLOCATIONS!A677="","",IFERROR(IF(VLOOKUP(ALLOCATIONS!B677,MAPPING!$E$3:$G$302,3,FALSE)="","",VLOOKUP(ALLOCATIONS!B677,MAPPING!$E$3:$G$302,3,FALSE)),""))</f>
        <v/>
      </c>
      <c r="E683" s="6">
        <f>IF(ALLOCATIONS!A677="","",ALLOCATIONS!C677)</f>
        <v/>
      </c>
      <c r="F683" s="6">
        <f>IF(ALLOCATIONS!A677="","",IF(ALLOCATIONS!D677="",0,ALLOCATIONS!D677))</f>
        <v/>
      </c>
      <c r="G683" s="6">
        <f>IF(ALLOCATIONS!A677="","",SUMIFS(RAW_004!$I$2:$I$10001,RAW_004!$D$2:$D$10001,ALLOCATIONS!A677,RAW_004!$H$2:$H$10001,ALLOCATIONS!B677,RAW_004!$N$2:$N$10001,ALLOCATIONS!C677))</f>
        <v/>
      </c>
      <c r="H683" s="6">
        <f>IF(A683="","",G683-F683)</f>
        <v/>
      </c>
    </row>
    <row r="684">
      <c r="A684" s="6">
        <f>IF(ALLOCATIONS!A678="","",IFERROR(VLOOKUP(ALLOCATIONS!A678,MAPPING!$A$3:$C$302,2,FALSE),"UNMAPPED"))</f>
        <v/>
      </c>
      <c r="B684" s="6">
        <f>IF(ALLOCATIONS!A678="","",IFERROR(VLOOKUP(ALLOCATIONS!A678,MAPPING!$A$3:$C$302,3,FALSE),ALLOCATIONS!A678))</f>
        <v/>
      </c>
      <c r="C684" s="6">
        <f>IF(ALLOCATIONS!A678="","",IFERROR(VLOOKUP(ALLOCATIONS!B678,MAPPING!$E$3:$G$302,2,FALSE),"UNMAPPED"))</f>
        <v/>
      </c>
      <c r="D684" s="6">
        <f>IF(ALLOCATIONS!A678="","",IFERROR(IF(VLOOKUP(ALLOCATIONS!B678,MAPPING!$E$3:$G$302,3,FALSE)="","",VLOOKUP(ALLOCATIONS!B678,MAPPING!$E$3:$G$302,3,FALSE)),""))</f>
        <v/>
      </c>
      <c r="E684" s="6">
        <f>IF(ALLOCATIONS!A678="","",ALLOCATIONS!C678)</f>
        <v/>
      </c>
      <c r="F684" s="6">
        <f>IF(ALLOCATIONS!A678="","",IF(ALLOCATIONS!D678="",0,ALLOCATIONS!D678))</f>
        <v/>
      </c>
      <c r="G684" s="6">
        <f>IF(ALLOCATIONS!A678="","",SUMIFS(RAW_004!$I$2:$I$10001,RAW_004!$D$2:$D$10001,ALLOCATIONS!A678,RAW_004!$H$2:$H$10001,ALLOCATIONS!B678,RAW_004!$N$2:$N$10001,ALLOCATIONS!C678))</f>
        <v/>
      </c>
      <c r="H684" s="6">
        <f>IF(A684="","",G684-F684)</f>
        <v/>
      </c>
    </row>
    <row r="685">
      <c r="A685" s="6">
        <f>IF(ALLOCATIONS!A679="","",IFERROR(VLOOKUP(ALLOCATIONS!A679,MAPPING!$A$3:$C$302,2,FALSE),"UNMAPPED"))</f>
        <v/>
      </c>
      <c r="B685" s="6">
        <f>IF(ALLOCATIONS!A679="","",IFERROR(VLOOKUP(ALLOCATIONS!A679,MAPPING!$A$3:$C$302,3,FALSE),ALLOCATIONS!A679))</f>
        <v/>
      </c>
      <c r="C685" s="6">
        <f>IF(ALLOCATIONS!A679="","",IFERROR(VLOOKUP(ALLOCATIONS!B679,MAPPING!$E$3:$G$302,2,FALSE),"UNMAPPED"))</f>
        <v/>
      </c>
      <c r="D685" s="6">
        <f>IF(ALLOCATIONS!A679="","",IFERROR(IF(VLOOKUP(ALLOCATIONS!B679,MAPPING!$E$3:$G$302,3,FALSE)="","",VLOOKUP(ALLOCATIONS!B679,MAPPING!$E$3:$G$302,3,FALSE)),""))</f>
        <v/>
      </c>
      <c r="E685" s="6">
        <f>IF(ALLOCATIONS!A679="","",ALLOCATIONS!C679)</f>
        <v/>
      </c>
      <c r="F685" s="6">
        <f>IF(ALLOCATIONS!A679="","",IF(ALLOCATIONS!D679="",0,ALLOCATIONS!D679))</f>
        <v/>
      </c>
      <c r="G685" s="6">
        <f>IF(ALLOCATIONS!A679="","",SUMIFS(RAW_004!$I$2:$I$10001,RAW_004!$D$2:$D$10001,ALLOCATIONS!A679,RAW_004!$H$2:$H$10001,ALLOCATIONS!B679,RAW_004!$N$2:$N$10001,ALLOCATIONS!C679))</f>
        <v/>
      </c>
      <c r="H685" s="6">
        <f>IF(A685="","",G685-F685)</f>
        <v/>
      </c>
    </row>
    <row r="686">
      <c r="A686" s="6">
        <f>IF(ALLOCATIONS!A680="","",IFERROR(VLOOKUP(ALLOCATIONS!A680,MAPPING!$A$3:$C$302,2,FALSE),"UNMAPPED"))</f>
        <v/>
      </c>
      <c r="B686" s="6">
        <f>IF(ALLOCATIONS!A680="","",IFERROR(VLOOKUP(ALLOCATIONS!A680,MAPPING!$A$3:$C$302,3,FALSE),ALLOCATIONS!A680))</f>
        <v/>
      </c>
      <c r="C686" s="6">
        <f>IF(ALLOCATIONS!A680="","",IFERROR(VLOOKUP(ALLOCATIONS!B680,MAPPING!$E$3:$G$302,2,FALSE),"UNMAPPED"))</f>
        <v/>
      </c>
      <c r="D686" s="6">
        <f>IF(ALLOCATIONS!A680="","",IFERROR(IF(VLOOKUP(ALLOCATIONS!B680,MAPPING!$E$3:$G$302,3,FALSE)="","",VLOOKUP(ALLOCATIONS!B680,MAPPING!$E$3:$G$302,3,FALSE)),""))</f>
        <v/>
      </c>
      <c r="E686" s="6">
        <f>IF(ALLOCATIONS!A680="","",ALLOCATIONS!C680)</f>
        <v/>
      </c>
      <c r="F686" s="6">
        <f>IF(ALLOCATIONS!A680="","",IF(ALLOCATIONS!D680="",0,ALLOCATIONS!D680))</f>
        <v/>
      </c>
      <c r="G686" s="6">
        <f>IF(ALLOCATIONS!A680="","",SUMIFS(RAW_004!$I$2:$I$10001,RAW_004!$D$2:$D$10001,ALLOCATIONS!A680,RAW_004!$H$2:$H$10001,ALLOCATIONS!B680,RAW_004!$N$2:$N$10001,ALLOCATIONS!C680))</f>
        <v/>
      </c>
      <c r="H686" s="6">
        <f>IF(A686="","",G686-F686)</f>
        <v/>
      </c>
    </row>
    <row r="687">
      <c r="A687" s="6">
        <f>IF(ALLOCATIONS!A681="","",IFERROR(VLOOKUP(ALLOCATIONS!A681,MAPPING!$A$3:$C$302,2,FALSE),"UNMAPPED"))</f>
        <v/>
      </c>
      <c r="B687" s="6">
        <f>IF(ALLOCATIONS!A681="","",IFERROR(VLOOKUP(ALLOCATIONS!A681,MAPPING!$A$3:$C$302,3,FALSE),ALLOCATIONS!A681))</f>
        <v/>
      </c>
      <c r="C687" s="6">
        <f>IF(ALLOCATIONS!A681="","",IFERROR(VLOOKUP(ALLOCATIONS!B681,MAPPING!$E$3:$G$302,2,FALSE),"UNMAPPED"))</f>
        <v/>
      </c>
      <c r="D687" s="6">
        <f>IF(ALLOCATIONS!A681="","",IFERROR(IF(VLOOKUP(ALLOCATIONS!B681,MAPPING!$E$3:$G$302,3,FALSE)="","",VLOOKUP(ALLOCATIONS!B681,MAPPING!$E$3:$G$302,3,FALSE)),""))</f>
        <v/>
      </c>
      <c r="E687" s="6">
        <f>IF(ALLOCATIONS!A681="","",ALLOCATIONS!C681)</f>
        <v/>
      </c>
      <c r="F687" s="6">
        <f>IF(ALLOCATIONS!A681="","",IF(ALLOCATIONS!D681="",0,ALLOCATIONS!D681))</f>
        <v/>
      </c>
      <c r="G687" s="6">
        <f>IF(ALLOCATIONS!A681="","",SUMIFS(RAW_004!$I$2:$I$10001,RAW_004!$D$2:$D$10001,ALLOCATIONS!A681,RAW_004!$H$2:$H$10001,ALLOCATIONS!B681,RAW_004!$N$2:$N$10001,ALLOCATIONS!C681))</f>
        <v/>
      </c>
      <c r="H687" s="6">
        <f>IF(A687="","",G687-F687)</f>
        <v/>
      </c>
    </row>
    <row r="688">
      <c r="A688" s="6">
        <f>IF(ALLOCATIONS!A682="","",IFERROR(VLOOKUP(ALLOCATIONS!A682,MAPPING!$A$3:$C$302,2,FALSE),"UNMAPPED"))</f>
        <v/>
      </c>
      <c r="B688" s="6">
        <f>IF(ALLOCATIONS!A682="","",IFERROR(VLOOKUP(ALLOCATIONS!A682,MAPPING!$A$3:$C$302,3,FALSE),ALLOCATIONS!A682))</f>
        <v/>
      </c>
      <c r="C688" s="6">
        <f>IF(ALLOCATIONS!A682="","",IFERROR(VLOOKUP(ALLOCATIONS!B682,MAPPING!$E$3:$G$302,2,FALSE),"UNMAPPED"))</f>
        <v/>
      </c>
      <c r="D688" s="6">
        <f>IF(ALLOCATIONS!A682="","",IFERROR(IF(VLOOKUP(ALLOCATIONS!B682,MAPPING!$E$3:$G$302,3,FALSE)="","",VLOOKUP(ALLOCATIONS!B682,MAPPING!$E$3:$G$302,3,FALSE)),""))</f>
        <v/>
      </c>
      <c r="E688" s="6">
        <f>IF(ALLOCATIONS!A682="","",ALLOCATIONS!C682)</f>
        <v/>
      </c>
      <c r="F688" s="6">
        <f>IF(ALLOCATIONS!A682="","",IF(ALLOCATIONS!D682="",0,ALLOCATIONS!D682))</f>
        <v/>
      </c>
      <c r="G688" s="6">
        <f>IF(ALLOCATIONS!A682="","",SUMIFS(RAW_004!$I$2:$I$10001,RAW_004!$D$2:$D$10001,ALLOCATIONS!A682,RAW_004!$H$2:$H$10001,ALLOCATIONS!B682,RAW_004!$N$2:$N$10001,ALLOCATIONS!C682))</f>
        <v/>
      </c>
      <c r="H688" s="6">
        <f>IF(A688="","",G688-F688)</f>
        <v/>
      </c>
    </row>
    <row r="689">
      <c r="A689" s="6">
        <f>IF(ALLOCATIONS!A683="","",IFERROR(VLOOKUP(ALLOCATIONS!A683,MAPPING!$A$3:$C$302,2,FALSE),"UNMAPPED"))</f>
        <v/>
      </c>
      <c r="B689" s="6">
        <f>IF(ALLOCATIONS!A683="","",IFERROR(VLOOKUP(ALLOCATIONS!A683,MAPPING!$A$3:$C$302,3,FALSE),ALLOCATIONS!A683))</f>
        <v/>
      </c>
      <c r="C689" s="6">
        <f>IF(ALLOCATIONS!A683="","",IFERROR(VLOOKUP(ALLOCATIONS!B683,MAPPING!$E$3:$G$302,2,FALSE),"UNMAPPED"))</f>
        <v/>
      </c>
      <c r="D689" s="6">
        <f>IF(ALLOCATIONS!A683="","",IFERROR(IF(VLOOKUP(ALLOCATIONS!B683,MAPPING!$E$3:$G$302,3,FALSE)="","",VLOOKUP(ALLOCATIONS!B683,MAPPING!$E$3:$G$302,3,FALSE)),""))</f>
        <v/>
      </c>
      <c r="E689" s="6">
        <f>IF(ALLOCATIONS!A683="","",ALLOCATIONS!C683)</f>
        <v/>
      </c>
      <c r="F689" s="6">
        <f>IF(ALLOCATIONS!A683="","",IF(ALLOCATIONS!D683="",0,ALLOCATIONS!D683))</f>
        <v/>
      </c>
      <c r="G689" s="6">
        <f>IF(ALLOCATIONS!A683="","",SUMIFS(RAW_004!$I$2:$I$10001,RAW_004!$D$2:$D$10001,ALLOCATIONS!A683,RAW_004!$H$2:$H$10001,ALLOCATIONS!B683,RAW_004!$N$2:$N$10001,ALLOCATIONS!C683))</f>
        <v/>
      </c>
      <c r="H689" s="6">
        <f>IF(A689="","",G689-F689)</f>
        <v/>
      </c>
    </row>
    <row r="690">
      <c r="A690" s="6">
        <f>IF(ALLOCATIONS!A684="","",IFERROR(VLOOKUP(ALLOCATIONS!A684,MAPPING!$A$3:$C$302,2,FALSE),"UNMAPPED"))</f>
        <v/>
      </c>
      <c r="B690" s="6">
        <f>IF(ALLOCATIONS!A684="","",IFERROR(VLOOKUP(ALLOCATIONS!A684,MAPPING!$A$3:$C$302,3,FALSE),ALLOCATIONS!A684))</f>
        <v/>
      </c>
      <c r="C690" s="6">
        <f>IF(ALLOCATIONS!A684="","",IFERROR(VLOOKUP(ALLOCATIONS!B684,MAPPING!$E$3:$G$302,2,FALSE),"UNMAPPED"))</f>
        <v/>
      </c>
      <c r="D690" s="6">
        <f>IF(ALLOCATIONS!A684="","",IFERROR(IF(VLOOKUP(ALLOCATIONS!B684,MAPPING!$E$3:$G$302,3,FALSE)="","",VLOOKUP(ALLOCATIONS!B684,MAPPING!$E$3:$G$302,3,FALSE)),""))</f>
        <v/>
      </c>
      <c r="E690" s="6">
        <f>IF(ALLOCATIONS!A684="","",ALLOCATIONS!C684)</f>
        <v/>
      </c>
      <c r="F690" s="6">
        <f>IF(ALLOCATIONS!A684="","",IF(ALLOCATIONS!D684="",0,ALLOCATIONS!D684))</f>
        <v/>
      </c>
      <c r="G690" s="6">
        <f>IF(ALLOCATIONS!A684="","",SUMIFS(RAW_004!$I$2:$I$10001,RAW_004!$D$2:$D$10001,ALLOCATIONS!A684,RAW_004!$H$2:$H$10001,ALLOCATIONS!B684,RAW_004!$N$2:$N$10001,ALLOCATIONS!C684))</f>
        <v/>
      </c>
      <c r="H690" s="6">
        <f>IF(A690="","",G690-F690)</f>
        <v/>
      </c>
    </row>
    <row r="691">
      <c r="A691" s="6">
        <f>IF(ALLOCATIONS!A685="","",IFERROR(VLOOKUP(ALLOCATIONS!A685,MAPPING!$A$3:$C$302,2,FALSE),"UNMAPPED"))</f>
        <v/>
      </c>
      <c r="B691" s="6">
        <f>IF(ALLOCATIONS!A685="","",IFERROR(VLOOKUP(ALLOCATIONS!A685,MAPPING!$A$3:$C$302,3,FALSE),ALLOCATIONS!A685))</f>
        <v/>
      </c>
      <c r="C691" s="6">
        <f>IF(ALLOCATIONS!A685="","",IFERROR(VLOOKUP(ALLOCATIONS!B685,MAPPING!$E$3:$G$302,2,FALSE),"UNMAPPED"))</f>
        <v/>
      </c>
      <c r="D691" s="6">
        <f>IF(ALLOCATIONS!A685="","",IFERROR(IF(VLOOKUP(ALLOCATIONS!B685,MAPPING!$E$3:$G$302,3,FALSE)="","",VLOOKUP(ALLOCATIONS!B685,MAPPING!$E$3:$G$302,3,FALSE)),""))</f>
        <v/>
      </c>
      <c r="E691" s="6">
        <f>IF(ALLOCATIONS!A685="","",ALLOCATIONS!C685)</f>
        <v/>
      </c>
      <c r="F691" s="6">
        <f>IF(ALLOCATIONS!A685="","",IF(ALLOCATIONS!D685="",0,ALLOCATIONS!D685))</f>
        <v/>
      </c>
      <c r="G691" s="6">
        <f>IF(ALLOCATIONS!A685="","",SUMIFS(RAW_004!$I$2:$I$10001,RAW_004!$D$2:$D$10001,ALLOCATIONS!A685,RAW_004!$H$2:$H$10001,ALLOCATIONS!B685,RAW_004!$N$2:$N$10001,ALLOCATIONS!C685))</f>
        <v/>
      </c>
      <c r="H691" s="6">
        <f>IF(A691="","",G691-F691)</f>
        <v/>
      </c>
    </row>
    <row r="692">
      <c r="A692" s="6">
        <f>IF(ALLOCATIONS!A686="","",IFERROR(VLOOKUP(ALLOCATIONS!A686,MAPPING!$A$3:$C$302,2,FALSE),"UNMAPPED"))</f>
        <v/>
      </c>
      <c r="B692" s="6">
        <f>IF(ALLOCATIONS!A686="","",IFERROR(VLOOKUP(ALLOCATIONS!A686,MAPPING!$A$3:$C$302,3,FALSE),ALLOCATIONS!A686))</f>
        <v/>
      </c>
      <c r="C692" s="6">
        <f>IF(ALLOCATIONS!A686="","",IFERROR(VLOOKUP(ALLOCATIONS!B686,MAPPING!$E$3:$G$302,2,FALSE),"UNMAPPED"))</f>
        <v/>
      </c>
      <c r="D692" s="6">
        <f>IF(ALLOCATIONS!A686="","",IFERROR(IF(VLOOKUP(ALLOCATIONS!B686,MAPPING!$E$3:$G$302,3,FALSE)="","",VLOOKUP(ALLOCATIONS!B686,MAPPING!$E$3:$G$302,3,FALSE)),""))</f>
        <v/>
      </c>
      <c r="E692" s="6">
        <f>IF(ALLOCATIONS!A686="","",ALLOCATIONS!C686)</f>
        <v/>
      </c>
      <c r="F692" s="6">
        <f>IF(ALLOCATIONS!A686="","",IF(ALLOCATIONS!D686="",0,ALLOCATIONS!D686))</f>
        <v/>
      </c>
      <c r="G692" s="6">
        <f>IF(ALLOCATIONS!A686="","",SUMIFS(RAW_004!$I$2:$I$10001,RAW_004!$D$2:$D$10001,ALLOCATIONS!A686,RAW_004!$H$2:$H$10001,ALLOCATIONS!B686,RAW_004!$N$2:$N$10001,ALLOCATIONS!C686))</f>
        <v/>
      </c>
      <c r="H692" s="6">
        <f>IF(A692="","",G692-F692)</f>
        <v/>
      </c>
    </row>
    <row r="693">
      <c r="A693" s="6">
        <f>IF(ALLOCATIONS!A687="","",IFERROR(VLOOKUP(ALLOCATIONS!A687,MAPPING!$A$3:$C$302,2,FALSE),"UNMAPPED"))</f>
        <v/>
      </c>
      <c r="B693" s="6">
        <f>IF(ALLOCATIONS!A687="","",IFERROR(VLOOKUP(ALLOCATIONS!A687,MAPPING!$A$3:$C$302,3,FALSE),ALLOCATIONS!A687))</f>
        <v/>
      </c>
      <c r="C693" s="6">
        <f>IF(ALLOCATIONS!A687="","",IFERROR(VLOOKUP(ALLOCATIONS!B687,MAPPING!$E$3:$G$302,2,FALSE),"UNMAPPED"))</f>
        <v/>
      </c>
      <c r="D693" s="6">
        <f>IF(ALLOCATIONS!A687="","",IFERROR(IF(VLOOKUP(ALLOCATIONS!B687,MAPPING!$E$3:$G$302,3,FALSE)="","",VLOOKUP(ALLOCATIONS!B687,MAPPING!$E$3:$G$302,3,FALSE)),""))</f>
        <v/>
      </c>
      <c r="E693" s="6">
        <f>IF(ALLOCATIONS!A687="","",ALLOCATIONS!C687)</f>
        <v/>
      </c>
      <c r="F693" s="6">
        <f>IF(ALLOCATIONS!A687="","",IF(ALLOCATIONS!D687="",0,ALLOCATIONS!D687))</f>
        <v/>
      </c>
      <c r="G693" s="6">
        <f>IF(ALLOCATIONS!A687="","",SUMIFS(RAW_004!$I$2:$I$10001,RAW_004!$D$2:$D$10001,ALLOCATIONS!A687,RAW_004!$H$2:$H$10001,ALLOCATIONS!B687,RAW_004!$N$2:$N$10001,ALLOCATIONS!C687))</f>
        <v/>
      </c>
      <c r="H693" s="6">
        <f>IF(A693="","",G693-F693)</f>
        <v/>
      </c>
    </row>
    <row r="694">
      <c r="A694" s="6">
        <f>IF(ALLOCATIONS!A688="","",IFERROR(VLOOKUP(ALLOCATIONS!A688,MAPPING!$A$3:$C$302,2,FALSE),"UNMAPPED"))</f>
        <v/>
      </c>
      <c r="B694" s="6">
        <f>IF(ALLOCATIONS!A688="","",IFERROR(VLOOKUP(ALLOCATIONS!A688,MAPPING!$A$3:$C$302,3,FALSE),ALLOCATIONS!A688))</f>
        <v/>
      </c>
      <c r="C694" s="6">
        <f>IF(ALLOCATIONS!A688="","",IFERROR(VLOOKUP(ALLOCATIONS!B688,MAPPING!$E$3:$G$302,2,FALSE),"UNMAPPED"))</f>
        <v/>
      </c>
      <c r="D694" s="6">
        <f>IF(ALLOCATIONS!A688="","",IFERROR(IF(VLOOKUP(ALLOCATIONS!B688,MAPPING!$E$3:$G$302,3,FALSE)="","",VLOOKUP(ALLOCATIONS!B688,MAPPING!$E$3:$G$302,3,FALSE)),""))</f>
        <v/>
      </c>
      <c r="E694" s="6">
        <f>IF(ALLOCATIONS!A688="","",ALLOCATIONS!C688)</f>
        <v/>
      </c>
      <c r="F694" s="6">
        <f>IF(ALLOCATIONS!A688="","",IF(ALLOCATIONS!D688="",0,ALLOCATIONS!D688))</f>
        <v/>
      </c>
      <c r="G694" s="6">
        <f>IF(ALLOCATIONS!A688="","",SUMIFS(RAW_004!$I$2:$I$10001,RAW_004!$D$2:$D$10001,ALLOCATIONS!A688,RAW_004!$H$2:$H$10001,ALLOCATIONS!B688,RAW_004!$N$2:$N$10001,ALLOCATIONS!C688))</f>
        <v/>
      </c>
      <c r="H694" s="6">
        <f>IF(A694="","",G694-F694)</f>
        <v/>
      </c>
    </row>
    <row r="695">
      <c r="A695" s="6">
        <f>IF(ALLOCATIONS!A689="","",IFERROR(VLOOKUP(ALLOCATIONS!A689,MAPPING!$A$3:$C$302,2,FALSE),"UNMAPPED"))</f>
        <v/>
      </c>
      <c r="B695" s="6">
        <f>IF(ALLOCATIONS!A689="","",IFERROR(VLOOKUP(ALLOCATIONS!A689,MAPPING!$A$3:$C$302,3,FALSE),ALLOCATIONS!A689))</f>
        <v/>
      </c>
      <c r="C695" s="6">
        <f>IF(ALLOCATIONS!A689="","",IFERROR(VLOOKUP(ALLOCATIONS!B689,MAPPING!$E$3:$G$302,2,FALSE),"UNMAPPED"))</f>
        <v/>
      </c>
      <c r="D695" s="6">
        <f>IF(ALLOCATIONS!A689="","",IFERROR(IF(VLOOKUP(ALLOCATIONS!B689,MAPPING!$E$3:$G$302,3,FALSE)="","",VLOOKUP(ALLOCATIONS!B689,MAPPING!$E$3:$G$302,3,FALSE)),""))</f>
        <v/>
      </c>
      <c r="E695" s="6">
        <f>IF(ALLOCATIONS!A689="","",ALLOCATIONS!C689)</f>
        <v/>
      </c>
      <c r="F695" s="6">
        <f>IF(ALLOCATIONS!A689="","",IF(ALLOCATIONS!D689="",0,ALLOCATIONS!D689))</f>
        <v/>
      </c>
      <c r="G695" s="6">
        <f>IF(ALLOCATIONS!A689="","",SUMIFS(RAW_004!$I$2:$I$10001,RAW_004!$D$2:$D$10001,ALLOCATIONS!A689,RAW_004!$H$2:$H$10001,ALLOCATIONS!B689,RAW_004!$N$2:$N$10001,ALLOCATIONS!C689))</f>
        <v/>
      </c>
      <c r="H695" s="6">
        <f>IF(A695="","",G695-F695)</f>
        <v/>
      </c>
    </row>
    <row r="696">
      <c r="A696" s="6">
        <f>IF(ALLOCATIONS!A690="","",IFERROR(VLOOKUP(ALLOCATIONS!A690,MAPPING!$A$3:$C$302,2,FALSE),"UNMAPPED"))</f>
        <v/>
      </c>
      <c r="B696" s="6">
        <f>IF(ALLOCATIONS!A690="","",IFERROR(VLOOKUP(ALLOCATIONS!A690,MAPPING!$A$3:$C$302,3,FALSE),ALLOCATIONS!A690))</f>
        <v/>
      </c>
      <c r="C696" s="6">
        <f>IF(ALLOCATIONS!A690="","",IFERROR(VLOOKUP(ALLOCATIONS!B690,MAPPING!$E$3:$G$302,2,FALSE),"UNMAPPED"))</f>
        <v/>
      </c>
      <c r="D696" s="6">
        <f>IF(ALLOCATIONS!A690="","",IFERROR(IF(VLOOKUP(ALLOCATIONS!B690,MAPPING!$E$3:$G$302,3,FALSE)="","",VLOOKUP(ALLOCATIONS!B690,MAPPING!$E$3:$G$302,3,FALSE)),""))</f>
        <v/>
      </c>
      <c r="E696" s="6">
        <f>IF(ALLOCATIONS!A690="","",ALLOCATIONS!C690)</f>
        <v/>
      </c>
      <c r="F696" s="6">
        <f>IF(ALLOCATIONS!A690="","",IF(ALLOCATIONS!D690="",0,ALLOCATIONS!D690))</f>
        <v/>
      </c>
      <c r="G696" s="6">
        <f>IF(ALLOCATIONS!A690="","",SUMIFS(RAW_004!$I$2:$I$10001,RAW_004!$D$2:$D$10001,ALLOCATIONS!A690,RAW_004!$H$2:$H$10001,ALLOCATIONS!B690,RAW_004!$N$2:$N$10001,ALLOCATIONS!C690))</f>
        <v/>
      </c>
      <c r="H696" s="6">
        <f>IF(A696="","",G696-F696)</f>
        <v/>
      </c>
    </row>
    <row r="697">
      <c r="A697" s="6">
        <f>IF(ALLOCATIONS!A691="","",IFERROR(VLOOKUP(ALLOCATIONS!A691,MAPPING!$A$3:$C$302,2,FALSE),"UNMAPPED"))</f>
        <v/>
      </c>
      <c r="B697" s="6">
        <f>IF(ALLOCATIONS!A691="","",IFERROR(VLOOKUP(ALLOCATIONS!A691,MAPPING!$A$3:$C$302,3,FALSE),ALLOCATIONS!A691))</f>
        <v/>
      </c>
      <c r="C697" s="6">
        <f>IF(ALLOCATIONS!A691="","",IFERROR(VLOOKUP(ALLOCATIONS!B691,MAPPING!$E$3:$G$302,2,FALSE),"UNMAPPED"))</f>
        <v/>
      </c>
      <c r="D697" s="6">
        <f>IF(ALLOCATIONS!A691="","",IFERROR(IF(VLOOKUP(ALLOCATIONS!B691,MAPPING!$E$3:$G$302,3,FALSE)="","",VLOOKUP(ALLOCATIONS!B691,MAPPING!$E$3:$G$302,3,FALSE)),""))</f>
        <v/>
      </c>
      <c r="E697" s="6">
        <f>IF(ALLOCATIONS!A691="","",ALLOCATIONS!C691)</f>
        <v/>
      </c>
      <c r="F697" s="6">
        <f>IF(ALLOCATIONS!A691="","",IF(ALLOCATIONS!D691="",0,ALLOCATIONS!D691))</f>
        <v/>
      </c>
      <c r="G697" s="6">
        <f>IF(ALLOCATIONS!A691="","",SUMIFS(RAW_004!$I$2:$I$10001,RAW_004!$D$2:$D$10001,ALLOCATIONS!A691,RAW_004!$H$2:$H$10001,ALLOCATIONS!B691,RAW_004!$N$2:$N$10001,ALLOCATIONS!C691))</f>
        <v/>
      </c>
      <c r="H697" s="6">
        <f>IF(A697="","",G697-F697)</f>
        <v/>
      </c>
    </row>
    <row r="698">
      <c r="A698" s="6">
        <f>IF(ALLOCATIONS!A692="","",IFERROR(VLOOKUP(ALLOCATIONS!A692,MAPPING!$A$3:$C$302,2,FALSE),"UNMAPPED"))</f>
        <v/>
      </c>
      <c r="B698" s="6">
        <f>IF(ALLOCATIONS!A692="","",IFERROR(VLOOKUP(ALLOCATIONS!A692,MAPPING!$A$3:$C$302,3,FALSE),ALLOCATIONS!A692))</f>
        <v/>
      </c>
      <c r="C698" s="6">
        <f>IF(ALLOCATIONS!A692="","",IFERROR(VLOOKUP(ALLOCATIONS!B692,MAPPING!$E$3:$G$302,2,FALSE),"UNMAPPED"))</f>
        <v/>
      </c>
      <c r="D698" s="6">
        <f>IF(ALLOCATIONS!A692="","",IFERROR(IF(VLOOKUP(ALLOCATIONS!B692,MAPPING!$E$3:$G$302,3,FALSE)="","",VLOOKUP(ALLOCATIONS!B692,MAPPING!$E$3:$G$302,3,FALSE)),""))</f>
        <v/>
      </c>
      <c r="E698" s="6">
        <f>IF(ALLOCATIONS!A692="","",ALLOCATIONS!C692)</f>
        <v/>
      </c>
      <c r="F698" s="6">
        <f>IF(ALLOCATIONS!A692="","",IF(ALLOCATIONS!D692="",0,ALLOCATIONS!D692))</f>
        <v/>
      </c>
      <c r="G698" s="6">
        <f>IF(ALLOCATIONS!A692="","",SUMIFS(RAW_004!$I$2:$I$10001,RAW_004!$D$2:$D$10001,ALLOCATIONS!A692,RAW_004!$H$2:$H$10001,ALLOCATIONS!B692,RAW_004!$N$2:$N$10001,ALLOCATIONS!C692))</f>
        <v/>
      </c>
      <c r="H698" s="6">
        <f>IF(A698="","",G698-F698)</f>
        <v/>
      </c>
    </row>
    <row r="699">
      <c r="A699" s="6">
        <f>IF(ALLOCATIONS!A693="","",IFERROR(VLOOKUP(ALLOCATIONS!A693,MAPPING!$A$3:$C$302,2,FALSE),"UNMAPPED"))</f>
        <v/>
      </c>
      <c r="B699" s="6">
        <f>IF(ALLOCATIONS!A693="","",IFERROR(VLOOKUP(ALLOCATIONS!A693,MAPPING!$A$3:$C$302,3,FALSE),ALLOCATIONS!A693))</f>
        <v/>
      </c>
      <c r="C699" s="6">
        <f>IF(ALLOCATIONS!A693="","",IFERROR(VLOOKUP(ALLOCATIONS!B693,MAPPING!$E$3:$G$302,2,FALSE),"UNMAPPED"))</f>
        <v/>
      </c>
      <c r="D699" s="6">
        <f>IF(ALLOCATIONS!A693="","",IFERROR(IF(VLOOKUP(ALLOCATIONS!B693,MAPPING!$E$3:$G$302,3,FALSE)="","",VLOOKUP(ALLOCATIONS!B693,MAPPING!$E$3:$G$302,3,FALSE)),""))</f>
        <v/>
      </c>
      <c r="E699" s="6">
        <f>IF(ALLOCATIONS!A693="","",ALLOCATIONS!C693)</f>
        <v/>
      </c>
      <c r="F699" s="6">
        <f>IF(ALLOCATIONS!A693="","",IF(ALLOCATIONS!D693="",0,ALLOCATIONS!D693))</f>
        <v/>
      </c>
      <c r="G699" s="6">
        <f>IF(ALLOCATIONS!A693="","",SUMIFS(RAW_004!$I$2:$I$10001,RAW_004!$D$2:$D$10001,ALLOCATIONS!A693,RAW_004!$H$2:$H$10001,ALLOCATIONS!B693,RAW_004!$N$2:$N$10001,ALLOCATIONS!C693))</f>
        <v/>
      </c>
      <c r="H699" s="6">
        <f>IF(A699="","",G699-F699)</f>
        <v/>
      </c>
    </row>
    <row r="700">
      <c r="A700" s="6">
        <f>IF(ALLOCATIONS!A694="","",IFERROR(VLOOKUP(ALLOCATIONS!A694,MAPPING!$A$3:$C$302,2,FALSE),"UNMAPPED"))</f>
        <v/>
      </c>
      <c r="B700" s="6">
        <f>IF(ALLOCATIONS!A694="","",IFERROR(VLOOKUP(ALLOCATIONS!A694,MAPPING!$A$3:$C$302,3,FALSE),ALLOCATIONS!A694))</f>
        <v/>
      </c>
      <c r="C700" s="6">
        <f>IF(ALLOCATIONS!A694="","",IFERROR(VLOOKUP(ALLOCATIONS!B694,MAPPING!$E$3:$G$302,2,FALSE),"UNMAPPED"))</f>
        <v/>
      </c>
      <c r="D700" s="6">
        <f>IF(ALLOCATIONS!A694="","",IFERROR(IF(VLOOKUP(ALLOCATIONS!B694,MAPPING!$E$3:$G$302,3,FALSE)="","",VLOOKUP(ALLOCATIONS!B694,MAPPING!$E$3:$G$302,3,FALSE)),""))</f>
        <v/>
      </c>
      <c r="E700" s="6">
        <f>IF(ALLOCATIONS!A694="","",ALLOCATIONS!C694)</f>
        <v/>
      </c>
      <c r="F700" s="6">
        <f>IF(ALLOCATIONS!A694="","",IF(ALLOCATIONS!D694="",0,ALLOCATIONS!D694))</f>
        <v/>
      </c>
      <c r="G700" s="6">
        <f>IF(ALLOCATIONS!A694="","",SUMIFS(RAW_004!$I$2:$I$10001,RAW_004!$D$2:$D$10001,ALLOCATIONS!A694,RAW_004!$H$2:$H$10001,ALLOCATIONS!B694,RAW_004!$N$2:$N$10001,ALLOCATIONS!C694))</f>
        <v/>
      </c>
      <c r="H700" s="6">
        <f>IF(A700="","",G700-F700)</f>
        <v/>
      </c>
    </row>
    <row r="701">
      <c r="A701" s="6">
        <f>IF(ALLOCATIONS!A695="","",IFERROR(VLOOKUP(ALLOCATIONS!A695,MAPPING!$A$3:$C$302,2,FALSE),"UNMAPPED"))</f>
        <v/>
      </c>
      <c r="B701" s="6">
        <f>IF(ALLOCATIONS!A695="","",IFERROR(VLOOKUP(ALLOCATIONS!A695,MAPPING!$A$3:$C$302,3,FALSE),ALLOCATIONS!A695))</f>
        <v/>
      </c>
      <c r="C701" s="6">
        <f>IF(ALLOCATIONS!A695="","",IFERROR(VLOOKUP(ALLOCATIONS!B695,MAPPING!$E$3:$G$302,2,FALSE),"UNMAPPED"))</f>
        <v/>
      </c>
      <c r="D701" s="6">
        <f>IF(ALLOCATIONS!A695="","",IFERROR(IF(VLOOKUP(ALLOCATIONS!B695,MAPPING!$E$3:$G$302,3,FALSE)="","",VLOOKUP(ALLOCATIONS!B695,MAPPING!$E$3:$G$302,3,FALSE)),""))</f>
        <v/>
      </c>
      <c r="E701" s="6">
        <f>IF(ALLOCATIONS!A695="","",ALLOCATIONS!C695)</f>
        <v/>
      </c>
      <c r="F701" s="6">
        <f>IF(ALLOCATIONS!A695="","",IF(ALLOCATIONS!D695="",0,ALLOCATIONS!D695))</f>
        <v/>
      </c>
      <c r="G701" s="6">
        <f>IF(ALLOCATIONS!A695="","",SUMIFS(RAW_004!$I$2:$I$10001,RAW_004!$D$2:$D$10001,ALLOCATIONS!A695,RAW_004!$H$2:$H$10001,ALLOCATIONS!B695,RAW_004!$N$2:$N$10001,ALLOCATIONS!C695))</f>
        <v/>
      </c>
      <c r="H701" s="6">
        <f>IF(A701="","",G701-F701)</f>
        <v/>
      </c>
    </row>
    <row r="702">
      <c r="A702" s="6">
        <f>IF(ALLOCATIONS!A696="","",IFERROR(VLOOKUP(ALLOCATIONS!A696,MAPPING!$A$3:$C$302,2,FALSE),"UNMAPPED"))</f>
        <v/>
      </c>
      <c r="B702" s="6">
        <f>IF(ALLOCATIONS!A696="","",IFERROR(VLOOKUP(ALLOCATIONS!A696,MAPPING!$A$3:$C$302,3,FALSE),ALLOCATIONS!A696))</f>
        <v/>
      </c>
      <c r="C702" s="6">
        <f>IF(ALLOCATIONS!A696="","",IFERROR(VLOOKUP(ALLOCATIONS!B696,MAPPING!$E$3:$G$302,2,FALSE),"UNMAPPED"))</f>
        <v/>
      </c>
      <c r="D702" s="6">
        <f>IF(ALLOCATIONS!A696="","",IFERROR(IF(VLOOKUP(ALLOCATIONS!B696,MAPPING!$E$3:$G$302,3,FALSE)="","",VLOOKUP(ALLOCATIONS!B696,MAPPING!$E$3:$G$302,3,FALSE)),""))</f>
        <v/>
      </c>
      <c r="E702" s="6">
        <f>IF(ALLOCATIONS!A696="","",ALLOCATIONS!C696)</f>
        <v/>
      </c>
      <c r="F702" s="6">
        <f>IF(ALLOCATIONS!A696="","",IF(ALLOCATIONS!D696="",0,ALLOCATIONS!D696))</f>
        <v/>
      </c>
      <c r="G702" s="6">
        <f>IF(ALLOCATIONS!A696="","",SUMIFS(RAW_004!$I$2:$I$10001,RAW_004!$D$2:$D$10001,ALLOCATIONS!A696,RAW_004!$H$2:$H$10001,ALLOCATIONS!B696,RAW_004!$N$2:$N$10001,ALLOCATIONS!C696))</f>
        <v/>
      </c>
      <c r="H702" s="6">
        <f>IF(A702="","",G702-F702)</f>
        <v/>
      </c>
    </row>
    <row r="703">
      <c r="A703" s="6">
        <f>IF(ALLOCATIONS!A697="","",IFERROR(VLOOKUP(ALLOCATIONS!A697,MAPPING!$A$3:$C$302,2,FALSE),"UNMAPPED"))</f>
        <v/>
      </c>
      <c r="B703" s="6">
        <f>IF(ALLOCATIONS!A697="","",IFERROR(VLOOKUP(ALLOCATIONS!A697,MAPPING!$A$3:$C$302,3,FALSE),ALLOCATIONS!A697))</f>
        <v/>
      </c>
      <c r="C703" s="6">
        <f>IF(ALLOCATIONS!A697="","",IFERROR(VLOOKUP(ALLOCATIONS!B697,MAPPING!$E$3:$G$302,2,FALSE),"UNMAPPED"))</f>
        <v/>
      </c>
      <c r="D703" s="6">
        <f>IF(ALLOCATIONS!A697="","",IFERROR(IF(VLOOKUP(ALLOCATIONS!B697,MAPPING!$E$3:$G$302,3,FALSE)="","",VLOOKUP(ALLOCATIONS!B697,MAPPING!$E$3:$G$302,3,FALSE)),""))</f>
        <v/>
      </c>
      <c r="E703" s="6">
        <f>IF(ALLOCATIONS!A697="","",ALLOCATIONS!C697)</f>
        <v/>
      </c>
      <c r="F703" s="6">
        <f>IF(ALLOCATIONS!A697="","",IF(ALLOCATIONS!D697="",0,ALLOCATIONS!D697))</f>
        <v/>
      </c>
      <c r="G703" s="6">
        <f>IF(ALLOCATIONS!A697="","",SUMIFS(RAW_004!$I$2:$I$10001,RAW_004!$D$2:$D$10001,ALLOCATIONS!A697,RAW_004!$H$2:$H$10001,ALLOCATIONS!B697,RAW_004!$N$2:$N$10001,ALLOCATIONS!C697))</f>
        <v/>
      </c>
      <c r="H703" s="6">
        <f>IF(A703="","",G703-F703)</f>
        <v/>
      </c>
    </row>
    <row r="704">
      <c r="A704" s="6">
        <f>IF(ALLOCATIONS!A698="","",IFERROR(VLOOKUP(ALLOCATIONS!A698,MAPPING!$A$3:$C$302,2,FALSE),"UNMAPPED"))</f>
        <v/>
      </c>
      <c r="B704" s="6">
        <f>IF(ALLOCATIONS!A698="","",IFERROR(VLOOKUP(ALLOCATIONS!A698,MAPPING!$A$3:$C$302,3,FALSE),ALLOCATIONS!A698))</f>
        <v/>
      </c>
      <c r="C704" s="6">
        <f>IF(ALLOCATIONS!A698="","",IFERROR(VLOOKUP(ALLOCATIONS!B698,MAPPING!$E$3:$G$302,2,FALSE),"UNMAPPED"))</f>
        <v/>
      </c>
      <c r="D704" s="6">
        <f>IF(ALLOCATIONS!A698="","",IFERROR(IF(VLOOKUP(ALLOCATIONS!B698,MAPPING!$E$3:$G$302,3,FALSE)="","",VLOOKUP(ALLOCATIONS!B698,MAPPING!$E$3:$G$302,3,FALSE)),""))</f>
        <v/>
      </c>
      <c r="E704" s="6">
        <f>IF(ALLOCATIONS!A698="","",ALLOCATIONS!C698)</f>
        <v/>
      </c>
      <c r="F704" s="6">
        <f>IF(ALLOCATIONS!A698="","",IF(ALLOCATIONS!D698="",0,ALLOCATIONS!D698))</f>
        <v/>
      </c>
      <c r="G704" s="6">
        <f>IF(ALLOCATIONS!A698="","",SUMIFS(RAW_004!$I$2:$I$10001,RAW_004!$D$2:$D$10001,ALLOCATIONS!A698,RAW_004!$H$2:$H$10001,ALLOCATIONS!B698,RAW_004!$N$2:$N$10001,ALLOCATIONS!C698))</f>
        <v/>
      </c>
      <c r="H704" s="6">
        <f>IF(A704="","",G704-F704)</f>
        <v/>
      </c>
    </row>
    <row r="705">
      <c r="A705" s="6">
        <f>IF(ALLOCATIONS!A699="","",IFERROR(VLOOKUP(ALLOCATIONS!A699,MAPPING!$A$3:$C$302,2,FALSE),"UNMAPPED"))</f>
        <v/>
      </c>
      <c r="B705" s="6">
        <f>IF(ALLOCATIONS!A699="","",IFERROR(VLOOKUP(ALLOCATIONS!A699,MAPPING!$A$3:$C$302,3,FALSE),ALLOCATIONS!A699))</f>
        <v/>
      </c>
      <c r="C705" s="6">
        <f>IF(ALLOCATIONS!A699="","",IFERROR(VLOOKUP(ALLOCATIONS!B699,MAPPING!$E$3:$G$302,2,FALSE),"UNMAPPED"))</f>
        <v/>
      </c>
      <c r="D705" s="6">
        <f>IF(ALLOCATIONS!A699="","",IFERROR(IF(VLOOKUP(ALLOCATIONS!B699,MAPPING!$E$3:$G$302,3,FALSE)="","",VLOOKUP(ALLOCATIONS!B699,MAPPING!$E$3:$G$302,3,FALSE)),""))</f>
        <v/>
      </c>
      <c r="E705" s="6">
        <f>IF(ALLOCATIONS!A699="","",ALLOCATIONS!C699)</f>
        <v/>
      </c>
      <c r="F705" s="6">
        <f>IF(ALLOCATIONS!A699="","",IF(ALLOCATIONS!D699="",0,ALLOCATIONS!D699))</f>
        <v/>
      </c>
      <c r="G705" s="6">
        <f>IF(ALLOCATIONS!A699="","",SUMIFS(RAW_004!$I$2:$I$10001,RAW_004!$D$2:$D$10001,ALLOCATIONS!A699,RAW_004!$H$2:$H$10001,ALLOCATIONS!B699,RAW_004!$N$2:$N$10001,ALLOCATIONS!C699))</f>
        <v/>
      </c>
      <c r="H705" s="6">
        <f>IF(A705="","",G705-F705)</f>
        <v/>
      </c>
    </row>
    <row r="706">
      <c r="A706" s="6">
        <f>IF(ALLOCATIONS!A700="","",IFERROR(VLOOKUP(ALLOCATIONS!A700,MAPPING!$A$3:$C$302,2,FALSE),"UNMAPPED"))</f>
        <v/>
      </c>
      <c r="B706" s="6">
        <f>IF(ALLOCATIONS!A700="","",IFERROR(VLOOKUP(ALLOCATIONS!A700,MAPPING!$A$3:$C$302,3,FALSE),ALLOCATIONS!A700))</f>
        <v/>
      </c>
      <c r="C706" s="6">
        <f>IF(ALLOCATIONS!A700="","",IFERROR(VLOOKUP(ALLOCATIONS!B700,MAPPING!$E$3:$G$302,2,FALSE),"UNMAPPED"))</f>
        <v/>
      </c>
      <c r="D706" s="6">
        <f>IF(ALLOCATIONS!A700="","",IFERROR(IF(VLOOKUP(ALLOCATIONS!B700,MAPPING!$E$3:$G$302,3,FALSE)="","",VLOOKUP(ALLOCATIONS!B700,MAPPING!$E$3:$G$302,3,FALSE)),""))</f>
        <v/>
      </c>
      <c r="E706" s="6">
        <f>IF(ALLOCATIONS!A700="","",ALLOCATIONS!C700)</f>
        <v/>
      </c>
      <c r="F706" s="6">
        <f>IF(ALLOCATIONS!A700="","",IF(ALLOCATIONS!D700="",0,ALLOCATIONS!D700))</f>
        <v/>
      </c>
      <c r="G706" s="6">
        <f>IF(ALLOCATIONS!A700="","",SUMIFS(RAW_004!$I$2:$I$10001,RAW_004!$D$2:$D$10001,ALLOCATIONS!A700,RAW_004!$H$2:$H$10001,ALLOCATIONS!B700,RAW_004!$N$2:$N$10001,ALLOCATIONS!C700))</f>
        <v/>
      </c>
      <c r="H706" s="6">
        <f>IF(A706="","",G706-F706)</f>
        <v/>
      </c>
    </row>
    <row r="707">
      <c r="A707" s="6">
        <f>IF(ALLOCATIONS!A701="","",IFERROR(VLOOKUP(ALLOCATIONS!A701,MAPPING!$A$3:$C$302,2,FALSE),"UNMAPPED"))</f>
        <v/>
      </c>
      <c r="B707" s="6">
        <f>IF(ALLOCATIONS!A701="","",IFERROR(VLOOKUP(ALLOCATIONS!A701,MAPPING!$A$3:$C$302,3,FALSE),ALLOCATIONS!A701))</f>
        <v/>
      </c>
      <c r="C707" s="6">
        <f>IF(ALLOCATIONS!A701="","",IFERROR(VLOOKUP(ALLOCATIONS!B701,MAPPING!$E$3:$G$302,2,FALSE),"UNMAPPED"))</f>
        <v/>
      </c>
      <c r="D707" s="6">
        <f>IF(ALLOCATIONS!A701="","",IFERROR(IF(VLOOKUP(ALLOCATIONS!B701,MAPPING!$E$3:$G$302,3,FALSE)="","",VLOOKUP(ALLOCATIONS!B701,MAPPING!$E$3:$G$302,3,FALSE)),""))</f>
        <v/>
      </c>
      <c r="E707" s="6">
        <f>IF(ALLOCATIONS!A701="","",ALLOCATIONS!C701)</f>
        <v/>
      </c>
      <c r="F707" s="6">
        <f>IF(ALLOCATIONS!A701="","",IF(ALLOCATIONS!D701="",0,ALLOCATIONS!D701))</f>
        <v/>
      </c>
      <c r="G707" s="6">
        <f>IF(ALLOCATIONS!A701="","",SUMIFS(RAW_004!$I$2:$I$10001,RAW_004!$D$2:$D$10001,ALLOCATIONS!A701,RAW_004!$H$2:$H$10001,ALLOCATIONS!B701,RAW_004!$N$2:$N$10001,ALLOCATIONS!C701))</f>
        <v/>
      </c>
      <c r="H707" s="6">
        <f>IF(A707="","",G707-F707)</f>
        <v/>
      </c>
    </row>
    <row r="708">
      <c r="A708" s="6">
        <f>IF(ALLOCATIONS!A702="","",IFERROR(VLOOKUP(ALLOCATIONS!A702,MAPPING!$A$3:$C$302,2,FALSE),"UNMAPPED"))</f>
        <v/>
      </c>
      <c r="B708" s="6">
        <f>IF(ALLOCATIONS!A702="","",IFERROR(VLOOKUP(ALLOCATIONS!A702,MAPPING!$A$3:$C$302,3,FALSE),ALLOCATIONS!A702))</f>
        <v/>
      </c>
      <c r="C708" s="6">
        <f>IF(ALLOCATIONS!A702="","",IFERROR(VLOOKUP(ALLOCATIONS!B702,MAPPING!$E$3:$G$302,2,FALSE),"UNMAPPED"))</f>
        <v/>
      </c>
      <c r="D708" s="6">
        <f>IF(ALLOCATIONS!A702="","",IFERROR(IF(VLOOKUP(ALLOCATIONS!B702,MAPPING!$E$3:$G$302,3,FALSE)="","",VLOOKUP(ALLOCATIONS!B702,MAPPING!$E$3:$G$302,3,FALSE)),""))</f>
        <v/>
      </c>
      <c r="E708" s="6">
        <f>IF(ALLOCATIONS!A702="","",ALLOCATIONS!C702)</f>
        <v/>
      </c>
      <c r="F708" s="6">
        <f>IF(ALLOCATIONS!A702="","",IF(ALLOCATIONS!D702="",0,ALLOCATIONS!D702))</f>
        <v/>
      </c>
      <c r="G708" s="6">
        <f>IF(ALLOCATIONS!A702="","",SUMIFS(RAW_004!$I$2:$I$10001,RAW_004!$D$2:$D$10001,ALLOCATIONS!A702,RAW_004!$H$2:$H$10001,ALLOCATIONS!B702,RAW_004!$N$2:$N$10001,ALLOCATIONS!C702))</f>
        <v/>
      </c>
      <c r="H708" s="6">
        <f>IF(A708="","",G708-F708)</f>
        <v/>
      </c>
    </row>
    <row r="709">
      <c r="A709" s="6">
        <f>IF(ALLOCATIONS!A703="","",IFERROR(VLOOKUP(ALLOCATIONS!A703,MAPPING!$A$3:$C$302,2,FALSE),"UNMAPPED"))</f>
        <v/>
      </c>
      <c r="B709" s="6">
        <f>IF(ALLOCATIONS!A703="","",IFERROR(VLOOKUP(ALLOCATIONS!A703,MAPPING!$A$3:$C$302,3,FALSE),ALLOCATIONS!A703))</f>
        <v/>
      </c>
      <c r="C709" s="6">
        <f>IF(ALLOCATIONS!A703="","",IFERROR(VLOOKUP(ALLOCATIONS!B703,MAPPING!$E$3:$G$302,2,FALSE),"UNMAPPED"))</f>
        <v/>
      </c>
      <c r="D709" s="6">
        <f>IF(ALLOCATIONS!A703="","",IFERROR(IF(VLOOKUP(ALLOCATIONS!B703,MAPPING!$E$3:$G$302,3,FALSE)="","",VLOOKUP(ALLOCATIONS!B703,MAPPING!$E$3:$G$302,3,FALSE)),""))</f>
        <v/>
      </c>
      <c r="E709" s="6">
        <f>IF(ALLOCATIONS!A703="","",ALLOCATIONS!C703)</f>
        <v/>
      </c>
      <c r="F709" s="6">
        <f>IF(ALLOCATIONS!A703="","",IF(ALLOCATIONS!D703="",0,ALLOCATIONS!D703))</f>
        <v/>
      </c>
      <c r="G709" s="6">
        <f>IF(ALLOCATIONS!A703="","",SUMIFS(RAW_004!$I$2:$I$10001,RAW_004!$D$2:$D$10001,ALLOCATIONS!A703,RAW_004!$H$2:$H$10001,ALLOCATIONS!B703,RAW_004!$N$2:$N$10001,ALLOCATIONS!C703))</f>
        <v/>
      </c>
      <c r="H709" s="6">
        <f>IF(A709="","",G709-F709)</f>
        <v/>
      </c>
    </row>
    <row r="710">
      <c r="A710" s="6">
        <f>IF(ALLOCATIONS!A704="","",IFERROR(VLOOKUP(ALLOCATIONS!A704,MAPPING!$A$3:$C$302,2,FALSE),"UNMAPPED"))</f>
        <v/>
      </c>
      <c r="B710" s="6">
        <f>IF(ALLOCATIONS!A704="","",IFERROR(VLOOKUP(ALLOCATIONS!A704,MAPPING!$A$3:$C$302,3,FALSE),ALLOCATIONS!A704))</f>
        <v/>
      </c>
      <c r="C710" s="6">
        <f>IF(ALLOCATIONS!A704="","",IFERROR(VLOOKUP(ALLOCATIONS!B704,MAPPING!$E$3:$G$302,2,FALSE),"UNMAPPED"))</f>
        <v/>
      </c>
      <c r="D710" s="6">
        <f>IF(ALLOCATIONS!A704="","",IFERROR(IF(VLOOKUP(ALLOCATIONS!B704,MAPPING!$E$3:$G$302,3,FALSE)="","",VLOOKUP(ALLOCATIONS!B704,MAPPING!$E$3:$G$302,3,FALSE)),""))</f>
        <v/>
      </c>
      <c r="E710" s="6">
        <f>IF(ALLOCATIONS!A704="","",ALLOCATIONS!C704)</f>
        <v/>
      </c>
      <c r="F710" s="6">
        <f>IF(ALLOCATIONS!A704="","",IF(ALLOCATIONS!D704="",0,ALLOCATIONS!D704))</f>
        <v/>
      </c>
      <c r="G710" s="6">
        <f>IF(ALLOCATIONS!A704="","",SUMIFS(RAW_004!$I$2:$I$10001,RAW_004!$D$2:$D$10001,ALLOCATIONS!A704,RAW_004!$H$2:$H$10001,ALLOCATIONS!B704,RAW_004!$N$2:$N$10001,ALLOCATIONS!C704))</f>
        <v/>
      </c>
      <c r="H710" s="6">
        <f>IF(A710="","",G710-F710)</f>
        <v/>
      </c>
    </row>
    <row r="711">
      <c r="A711" s="6">
        <f>IF(ALLOCATIONS!A705="","",IFERROR(VLOOKUP(ALLOCATIONS!A705,MAPPING!$A$3:$C$302,2,FALSE),"UNMAPPED"))</f>
        <v/>
      </c>
      <c r="B711" s="6">
        <f>IF(ALLOCATIONS!A705="","",IFERROR(VLOOKUP(ALLOCATIONS!A705,MAPPING!$A$3:$C$302,3,FALSE),ALLOCATIONS!A705))</f>
        <v/>
      </c>
      <c r="C711" s="6">
        <f>IF(ALLOCATIONS!A705="","",IFERROR(VLOOKUP(ALLOCATIONS!B705,MAPPING!$E$3:$G$302,2,FALSE),"UNMAPPED"))</f>
        <v/>
      </c>
      <c r="D711" s="6">
        <f>IF(ALLOCATIONS!A705="","",IFERROR(IF(VLOOKUP(ALLOCATIONS!B705,MAPPING!$E$3:$G$302,3,FALSE)="","",VLOOKUP(ALLOCATIONS!B705,MAPPING!$E$3:$G$302,3,FALSE)),""))</f>
        <v/>
      </c>
      <c r="E711" s="6">
        <f>IF(ALLOCATIONS!A705="","",ALLOCATIONS!C705)</f>
        <v/>
      </c>
      <c r="F711" s="6">
        <f>IF(ALLOCATIONS!A705="","",IF(ALLOCATIONS!D705="",0,ALLOCATIONS!D705))</f>
        <v/>
      </c>
      <c r="G711" s="6">
        <f>IF(ALLOCATIONS!A705="","",SUMIFS(RAW_004!$I$2:$I$10001,RAW_004!$D$2:$D$10001,ALLOCATIONS!A705,RAW_004!$H$2:$H$10001,ALLOCATIONS!B705,RAW_004!$N$2:$N$10001,ALLOCATIONS!C705))</f>
        <v/>
      </c>
      <c r="H711" s="6">
        <f>IF(A711="","",G711-F711)</f>
        <v/>
      </c>
    </row>
    <row r="712">
      <c r="A712" s="6">
        <f>IF(ALLOCATIONS!A706="","",IFERROR(VLOOKUP(ALLOCATIONS!A706,MAPPING!$A$3:$C$302,2,FALSE),"UNMAPPED"))</f>
        <v/>
      </c>
      <c r="B712" s="6">
        <f>IF(ALLOCATIONS!A706="","",IFERROR(VLOOKUP(ALLOCATIONS!A706,MAPPING!$A$3:$C$302,3,FALSE),ALLOCATIONS!A706))</f>
        <v/>
      </c>
      <c r="C712" s="6">
        <f>IF(ALLOCATIONS!A706="","",IFERROR(VLOOKUP(ALLOCATIONS!B706,MAPPING!$E$3:$G$302,2,FALSE),"UNMAPPED"))</f>
        <v/>
      </c>
      <c r="D712" s="6">
        <f>IF(ALLOCATIONS!A706="","",IFERROR(IF(VLOOKUP(ALLOCATIONS!B706,MAPPING!$E$3:$G$302,3,FALSE)="","",VLOOKUP(ALLOCATIONS!B706,MAPPING!$E$3:$G$302,3,FALSE)),""))</f>
        <v/>
      </c>
      <c r="E712" s="6">
        <f>IF(ALLOCATIONS!A706="","",ALLOCATIONS!C706)</f>
        <v/>
      </c>
      <c r="F712" s="6">
        <f>IF(ALLOCATIONS!A706="","",IF(ALLOCATIONS!D706="",0,ALLOCATIONS!D706))</f>
        <v/>
      </c>
      <c r="G712" s="6">
        <f>IF(ALLOCATIONS!A706="","",SUMIFS(RAW_004!$I$2:$I$10001,RAW_004!$D$2:$D$10001,ALLOCATIONS!A706,RAW_004!$H$2:$H$10001,ALLOCATIONS!B706,RAW_004!$N$2:$N$10001,ALLOCATIONS!C706))</f>
        <v/>
      </c>
      <c r="H712" s="6">
        <f>IF(A712="","",G712-F712)</f>
        <v/>
      </c>
    </row>
    <row r="713">
      <c r="A713" s="6">
        <f>IF(ALLOCATIONS!A707="","",IFERROR(VLOOKUP(ALLOCATIONS!A707,MAPPING!$A$3:$C$302,2,FALSE),"UNMAPPED"))</f>
        <v/>
      </c>
      <c r="B713" s="6">
        <f>IF(ALLOCATIONS!A707="","",IFERROR(VLOOKUP(ALLOCATIONS!A707,MAPPING!$A$3:$C$302,3,FALSE),ALLOCATIONS!A707))</f>
        <v/>
      </c>
      <c r="C713" s="6">
        <f>IF(ALLOCATIONS!A707="","",IFERROR(VLOOKUP(ALLOCATIONS!B707,MAPPING!$E$3:$G$302,2,FALSE),"UNMAPPED"))</f>
        <v/>
      </c>
      <c r="D713" s="6">
        <f>IF(ALLOCATIONS!A707="","",IFERROR(IF(VLOOKUP(ALLOCATIONS!B707,MAPPING!$E$3:$G$302,3,FALSE)="","",VLOOKUP(ALLOCATIONS!B707,MAPPING!$E$3:$G$302,3,FALSE)),""))</f>
        <v/>
      </c>
      <c r="E713" s="6">
        <f>IF(ALLOCATIONS!A707="","",ALLOCATIONS!C707)</f>
        <v/>
      </c>
      <c r="F713" s="6">
        <f>IF(ALLOCATIONS!A707="","",IF(ALLOCATIONS!D707="",0,ALLOCATIONS!D707))</f>
        <v/>
      </c>
      <c r="G713" s="6">
        <f>IF(ALLOCATIONS!A707="","",SUMIFS(RAW_004!$I$2:$I$10001,RAW_004!$D$2:$D$10001,ALLOCATIONS!A707,RAW_004!$H$2:$H$10001,ALLOCATIONS!B707,RAW_004!$N$2:$N$10001,ALLOCATIONS!C707))</f>
        <v/>
      </c>
      <c r="H713" s="6">
        <f>IF(A713="","",G713-F713)</f>
        <v/>
      </c>
    </row>
    <row r="714">
      <c r="A714" s="6">
        <f>IF(ALLOCATIONS!A708="","",IFERROR(VLOOKUP(ALLOCATIONS!A708,MAPPING!$A$3:$C$302,2,FALSE),"UNMAPPED"))</f>
        <v/>
      </c>
      <c r="B714" s="6">
        <f>IF(ALLOCATIONS!A708="","",IFERROR(VLOOKUP(ALLOCATIONS!A708,MAPPING!$A$3:$C$302,3,FALSE),ALLOCATIONS!A708))</f>
        <v/>
      </c>
      <c r="C714" s="6">
        <f>IF(ALLOCATIONS!A708="","",IFERROR(VLOOKUP(ALLOCATIONS!B708,MAPPING!$E$3:$G$302,2,FALSE),"UNMAPPED"))</f>
        <v/>
      </c>
      <c r="D714" s="6">
        <f>IF(ALLOCATIONS!A708="","",IFERROR(IF(VLOOKUP(ALLOCATIONS!B708,MAPPING!$E$3:$G$302,3,FALSE)="","",VLOOKUP(ALLOCATIONS!B708,MAPPING!$E$3:$G$302,3,FALSE)),""))</f>
        <v/>
      </c>
      <c r="E714" s="6">
        <f>IF(ALLOCATIONS!A708="","",ALLOCATIONS!C708)</f>
        <v/>
      </c>
      <c r="F714" s="6">
        <f>IF(ALLOCATIONS!A708="","",IF(ALLOCATIONS!D708="",0,ALLOCATIONS!D708))</f>
        <v/>
      </c>
      <c r="G714" s="6">
        <f>IF(ALLOCATIONS!A708="","",SUMIFS(RAW_004!$I$2:$I$10001,RAW_004!$D$2:$D$10001,ALLOCATIONS!A708,RAW_004!$H$2:$H$10001,ALLOCATIONS!B708,RAW_004!$N$2:$N$10001,ALLOCATIONS!C708))</f>
        <v/>
      </c>
      <c r="H714" s="6">
        <f>IF(A714="","",G714-F714)</f>
        <v/>
      </c>
    </row>
    <row r="715">
      <c r="A715" s="6">
        <f>IF(ALLOCATIONS!A709="","",IFERROR(VLOOKUP(ALLOCATIONS!A709,MAPPING!$A$3:$C$302,2,FALSE),"UNMAPPED"))</f>
        <v/>
      </c>
      <c r="B715" s="6">
        <f>IF(ALLOCATIONS!A709="","",IFERROR(VLOOKUP(ALLOCATIONS!A709,MAPPING!$A$3:$C$302,3,FALSE),ALLOCATIONS!A709))</f>
        <v/>
      </c>
      <c r="C715" s="6">
        <f>IF(ALLOCATIONS!A709="","",IFERROR(VLOOKUP(ALLOCATIONS!B709,MAPPING!$E$3:$G$302,2,FALSE),"UNMAPPED"))</f>
        <v/>
      </c>
      <c r="D715" s="6">
        <f>IF(ALLOCATIONS!A709="","",IFERROR(IF(VLOOKUP(ALLOCATIONS!B709,MAPPING!$E$3:$G$302,3,FALSE)="","",VLOOKUP(ALLOCATIONS!B709,MAPPING!$E$3:$G$302,3,FALSE)),""))</f>
        <v/>
      </c>
      <c r="E715" s="6">
        <f>IF(ALLOCATIONS!A709="","",ALLOCATIONS!C709)</f>
        <v/>
      </c>
      <c r="F715" s="6">
        <f>IF(ALLOCATIONS!A709="","",IF(ALLOCATIONS!D709="",0,ALLOCATIONS!D709))</f>
        <v/>
      </c>
      <c r="G715" s="6">
        <f>IF(ALLOCATIONS!A709="","",SUMIFS(RAW_004!$I$2:$I$10001,RAW_004!$D$2:$D$10001,ALLOCATIONS!A709,RAW_004!$H$2:$H$10001,ALLOCATIONS!B709,RAW_004!$N$2:$N$10001,ALLOCATIONS!C709))</f>
        <v/>
      </c>
      <c r="H715" s="6">
        <f>IF(A715="","",G715-F715)</f>
        <v/>
      </c>
    </row>
    <row r="716">
      <c r="A716" s="6">
        <f>IF(ALLOCATIONS!A710="","",IFERROR(VLOOKUP(ALLOCATIONS!A710,MAPPING!$A$3:$C$302,2,FALSE),"UNMAPPED"))</f>
        <v/>
      </c>
      <c r="B716" s="6">
        <f>IF(ALLOCATIONS!A710="","",IFERROR(VLOOKUP(ALLOCATIONS!A710,MAPPING!$A$3:$C$302,3,FALSE),ALLOCATIONS!A710))</f>
        <v/>
      </c>
      <c r="C716" s="6">
        <f>IF(ALLOCATIONS!A710="","",IFERROR(VLOOKUP(ALLOCATIONS!B710,MAPPING!$E$3:$G$302,2,FALSE),"UNMAPPED"))</f>
        <v/>
      </c>
      <c r="D716" s="6">
        <f>IF(ALLOCATIONS!A710="","",IFERROR(IF(VLOOKUP(ALLOCATIONS!B710,MAPPING!$E$3:$G$302,3,FALSE)="","",VLOOKUP(ALLOCATIONS!B710,MAPPING!$E$3:$G$302,3,FALSE)),""))</f>
        <v/>
      </c>
      <c r="E716" s="6">
        <f>IF(ALLOCATIONS!A710="","",ALLOCATIONS!C710)</f>
        <v/>
      </c>
      <c r="F716" s="6">
        <f>IF(ALLOCATIONS!A710="","",IF(ALLOCATIONS!D710="",0,ALLOCATIONS!D710))</f>
        <v/>
      </c>
      <c r="G716" s="6">
        <f>IF(ALLOCATIONS!A710="","",SUMIFS(RAW_004!$I$2:$I$10001,RAW_004!$D$2:$D$10001,ALLOCATIONS!A710,RAW_004!$H$2:$H$10001,ALLOCATIONS!B710,RAW_004!$N$2:$N$10001,ALLOCATIONS!C710))</f>
        <v/>
      </c>
      <c r="H716" s="6">
        <f>IF(A716="","",G716-F716)</f>
        <v/>
      </c>
    </row>
    <row r="717">
      <c r="A717" s="6">
        <f>IF(ALLOCATIONS!A711="","",IFERROR(VLOOKUP(ALLOCATIONS!A711,MAPPING!$A$3:$C$302,2,FALSE),"UNMAPPED"))</f>
        <v/>
      </c>
      <c r="B717" s="6">
        <f>IF(ALLOCATIONS!A711="","",IFERROR(VLOOKUP(ALLOCATIONS!A711,MAPPING!$A$3:$C$302,3,FALSE),ALLOCATIONS!A711))</f>
        <v/>
      </c>
      <c r="C717" s="6">
        <f>IF(ALLOCATIONS!A711="","",IFERROR(VLOOKUP(ALLOCATIONS!B711,MAPPING!$E$3:$G$302,2,FALSE),"UNMAPPED"))</f>
        <v/>
      </c>
      <c r="D717" s="6">
        <f>IF(ALLOCATIONS!A711="","",IFERROR(IF(VLOOKUP(ALLOCATIONS!B711,MAPPING!$E$3:$G$302,3,FALSE)="","",VLOOKUP(ALLOCATIONS!B711,MAPPING!$E$3:$G$302,3,FALSE)),""))</f>
        <v/>
      </c>
      <c r="E717" s="6">
        <f>IF(ALLOCATIONS!A711="","",ALLOCATIONS!C711)</f>
        <v/>
      </c>
      <c r="F717" s="6">
        <f>IF(ALLOCATIONS!A711="","",IF(ALLOCATIONS!D711="",0,ALLOCATIONS!D711))</f>
        <v/>
      </c>
      <c r="G717" s="6">
        <f>IF(ALLOCATIONS!A711="","",SUMIFS(RAW_004!$I$2:$I$10001,RAW_004!$D$2:$D$10001,ALLOCATIONS!A711,RAW_004!$H$2:$H$10001,ALLOCATIONS!B711,RAW_004!$N$2:$N$10001,ALLOCATIONS!C711))</f>
        <v/>
      </c>
      <c r="H717" s="6">
        <f>IF(A717="","",G717-F717)</f>
        <v/>
      </c>
    </row>
    <row r="718">
      <c r="A718" s="6">
        <f>IF(ALLOCATIONS!A712="","",IFERROR(VLOOKUP(ALLOCATIONS!A712,MAPPING!$A$3:$C$302,2,FALSE),"UNMAPPED"))</f>
        <v/>
      </c>
      <c r="B718" s="6">
        <f>IF(ALLOCATIONS!A712="","",IFERROR(VLOOKUP(ALLOCATIONS!A712,MAPPING!$A$3:$C$302,3,FALSE),ALLOCATIONS!A712))</f>
        <v/>
      </c>
      <c r="C718" s="6">
        <f>IF(ALLOCATIONS!A712="","",IFERROR(VLOOKUP(ALLOCATIONS!B712,MAPPING!$E$3:$G$302,2,FALSE),"UNMAPPED"))</f>
        <v/>
      </c>
      <c r="D718" s="6">
        <f>IF(ALLOCATIONS!A712="","",IFERROR(IF(VLOOKUP(ALLOCATIONS!B712,MAPPING!$E$3:$G$302,3,FALSE)="","",VLOOKUP(ALLOCATIONS!B712,MAPPING!$E$3:$G$302,3,FALSE)),""))</f>
        <v/>
      </c>
      <c r="E718" s="6">
        <f>IF(ALLOCATIONS!A712="","",ALLOCATIONS!C712)</f>
        <v/>
      </c>
      <c r="F718" s="6">
        <f>IF(ALLOCATIONS!A712="","",IF(ALLOCATIONS!D712="",0,ALLOCATIONS!D712))</f>
        <v/>
      </c>
      <c r="G718" s="6">
        <f>IF(ALLOCATIONS!A712="","",SUMIFS(RAW_004!$I$2:$I$10001,RAW_004!$D$2:$D$10001,ALLOCATIONS!A712,RAW_004!$H$2:$H$10001,ALLOCATIONS!B712,RAW_004!$N$2:$N$10001,ALLOCATIONS!C712))</f>
        <v/>
      </c>
      <c r="H718" s="6">
        <f>IF(A718="","",G718-F718)</f>
        <v/>
      </c>
    </row>
    <row r="719">
      <c r="A719" s="6">
        <f>IF(ALLOCATIONS!A713="","",IFERROR(VLOOKUP(ALLOCATIONS!A713,MAPPING!$A$3:$C$302,2,FALSE),"UNMAPPED"))</f>
        <v/>
      </c>
      <c r="B719" s="6">
        <f>IF(ALLOCATIONS!A713="","",IFERROR(VLOOKUP(ALLOCATIONS!A713,MAPPING!$A$3:$C$302,3,FALSE),ALLOCATIONS!A713))</f>
        <v/>
      </c>
      <c r="C719" s="6">
        <f>IF(ALLOCATIONS!A713="","",IFERROR(VLOOKUP(ALLOCATIONS!B713,MAPPING!$E$3:$G$302,2,FALSE),"UNMAPPED"))</f>
        <v/>
      </c>
      <c r="D719" s="6">
        <f>IF(ALLOCATIONS!A713="","",IFERROR(IF(VLOOKUP(ALLOCATIONS!B713,MAPPING!$E$3:$G$302,3,FALSE)="","",VLOOKUP(ALLOCATIONS!B713,MAPPING!$E$3:$G$302,3,FALSE)),""))</f>
        <v/>
      </c>
      <c r="E719" s="6">
        <f>IF(ALLOCATIONS!A713="","",ALLOCATIONS!C713)</f>
        <v/>
      </c>
      <c r="F719" s="6">
        <f>IF(ALLOCATIONS!A713="","",IF(ALLOCATIONS!D713="",0,ALLOCATIONS!D713))</f>
        <v/>
      </c>
      <c r="G719" s="6">
        <f>IF(ALLOCATIONS!A713="","",SUMIFS(RAW_004!$I$2:$I$10001,RAW_004!$D$2:$D$10001,ALLOCATIONS!A713,RAW_004!$H$2:$H$10001,ALLOCATIONS!B713,RAW_004!$N$2:$N$10001,ALLOCATIONS!C713))</f>
        <v/>
      </c>
      <c r="H719" s="6">
        <f>IF(A719="","",G719-F719)</f>
        <v/>
      </c>
    </row>
    <row r="720">
      <c r="A720" s="6">
        <f>IF(ALLOCATIONS!A714="","",IFERROR(VLOOKUP(ALLOCATIONS!A714,MAPPING!$A$3:$C$302,2,FALSE),"UNMAPPED"))</f>
        <v/>
      </c>
      <c r="B720" s="6">
        <f>IF(ALLOCATIONS!A714="","",IFERROR(VLOOKUP(ALLOCATIONS!A714,MAPPING!$A$3:$C$302,3,FALSE),ALLOCATIONS!A714))</f>
        <v/>
      </c>
      <c r="C720" s="6">
        <f>IF(ALLOCATIONS!A714="","",IFERROR(VLOOKUP(ALLOCATIONS!B714,MAPPING!$E$3:$G$302,2,FALSE),"UNMAPPED"))</f>
        <v/>
      </c>
      <c r="D720" s="6">
        <f>IF(ALLOCATIONS!A714="","",IFERROR(IF(VLOOKUP(ALLOCATIONS!B714,MAPPING!$E$3:$G$302,3,FALSE)="","",VLOOKUP(ALLOCATIONS!B714,MAPPING!$E$3:$G$302,3,FALSE)),""))</f>
        <v/>
      </c>
      <c r="E720" s="6">
        <f>IF(ALLOCATIONS!A714="","",ALLOCATIONS!C714)</f>
        <v/>
      </c>
      <c r="F720" s="6">
        <f>IF(ALLOCATIONS!A714="","",IF(ALLOCATIONS!D714="",0,ALLOCATIONS!D714))</f>
        <v/>
      </c>
      <c r="G720" s="6">
        <f>IF(ALLOCATIONS!A714="","",SUMIFS(RAW_004!$I$2:$I$10001,RAW_004!$D$2:$D$10001,ALLOCATIONS!A714,RAW_004!$H$2:$H$10001,ALLOCATIONS!B714,RAW_004!$N$2:$N$10001,ALLOCATIONS!C714))</f>
        <v/>
      </c>
      <c r="H720" s="6">
        <f>IF(A720="","",G720-F720)</f>
        <v/>
      </c>
    </row>
    <row r="721">
      <c r="A721" s="6">
        <f>IF(ALLOCATIONS!A715="","",IFERROR(VLOOKUP(ALLOCATIONS!A715,MAPPING!$A$3:$C$302,2,FALSE),"UNMAPPED"))</f>
        <v/>
      </c>
      <c r="B721" s="6">
        <f>IF(ALLOCATIONS!A715="","",IFERROR(VLOOKUP(ALLOCATIONS!A715,MAPPING!$A$3:$C$302,3,FALSE),ALLOCATIONS!A715))</f>
        <v/>
      </c>
      <c r="C721" s="6">
        <f>IF(ALLOCATIONS!A715="","",IFERROR(VLOOKUP(ALLOCATIONS!B715,MAPPING!$E$3:$G$302,2,FALSE),"UNMAPPED"))</f>
        <v/>
      </c>
      <c r="D721" s="6">
        <f>IF(ALLOCATIONS!A715="","",IFERROR(IF(VLOOKUP(ALLOCATIONS!B715,MAPPING!$E$3:$G$302,3,FALSE)="","",VLOOKUP(ALLOCATIONS!B715,MAPPING!$E$3:$G$302,3,FALSE)),""))</f>
        <v/>
      </c>
      <c r="E721" s="6">
        <f>IF(ALLOCATIONS!A715="","",ALLOCATIONS!C715)</f>
        <v/>
      </c>
      <c r="F721" s="6">
        <f>IF(ALLOCATIONS!A715="","",IF(ALLOCATIONS!D715="",0,ALLOCATIONS!D715))</f>
        <v/>
      </c>
      <c r="G721" s="6">
        <f>IF(ALLOCATIONS!A715="","",SUMIFS(RAW_004!$I$2:$I$10001,RAW_004!$D$2:$D$10001,ALLOCATIONS!A715,RAW_004!$H$2:$H$10001,ALLOCATIONS!B715,RAW_004!$N$2:$N$10001,ALLOCATIONS!C715))</f>
        <v/>
      </c>
      <c r="H721" s="6">
        <f>IF(A721="","",G721-F721)</f>
        <v/>
      </c>
    </row>
    <row r="722">
      <c r="A722" s="6">
        <f>IF(ALLOCATIONS!A716="","",IFERROR(VLOOKUP(ALLOCATIONS!A716,MAPPING!$A$3:$C$302,2,FALSE),"UNMAPPED"))</f>
        <v/>
      </c>
      <c r="B722" s="6">
        <f>IF(ALLOCATIONS!A716="","",IFERROR(VLOOKUP(ALLOCATIONS!A716,MAPPING!$A$3:$C$302,3,FALSE),ALLOCATIONS!A716))</f>
        <v/>
      </c>
      <c r="C722" s="6">
        <f>IF(ALLOCATIONS!A716="","",IFERROR(VLOOKUP(ALLOCATIONS!B716,MAPPING!$E$3:$G$302,2,FALSE),"UNMAPPED"))</f>
        <v/>
      </c>
      <c r="D722" s="6">
        <f>IF(ALLOCATIONS!A716="","",IFERROR(IF(VLOOKUP(ALLOCATIONS!B716,MAPPING!$E$3:$G$302,3,FALSE)="","",VLOOKUP(ALLOCATIONS!B716,MAPPING!$E$3:$G$302,3,FALSE)),""))</f>
        <v/>
      </c>
      <c r="E722" s="6">
        <f>IF(ALLOCATIONS!A716="","",ALLOCATIONS!C716)</f>
        <v/>
      </c>
      <c r="F722" s="6">
        <f>IF(ALLOCATIONS!A716="","",IF(ALLOCATIONS!D716="",0,ALLOCATIONS!D716))</f>
        <v/>
      </c>
      <c r="G722" s="6">
        <f>IF(ALLOCATIONS!A716="","",SUMIFS(RAW_004!$I$2:$I$10001,RAW_004!$D$2:$D$10001,ALLOCATIONS!A716,RAW_004!$H$2:$H$10001,ALLOCATIONS!B716,RAW_004!$N$2:$N$10001,ALLOCATIONS!C716))</f>
        <v/>
      </c>
      <c r="H722" s="6">
        <f>IF(A722="","",G722-F722)</f>
        <v/>
      </c>
    </row>
    <row r="723">
      <c r="A723" s="6">
        <f>IF(ALLOCATIONS!A717="","",IFERROR(VLOOKUP(ALLOCATIONS!A717,MAPPING!$A$3:$C$302,2,FALSE),"UNMAPPED"))</f>
        <v/>
      </c>
      <c r="B723" s="6">
        <f>IF(ALLOCATIONS!A717="","",IFERROR(VLOOKUP(ALLOCATIONS!A717,MAPPING!$A$3:$C$302,3,FALSE),ALLOCATIONS!A717))</f>
        <v/>
      </c>
      <c r="C723" s="6">
        <f>IF(ALLOCATIONS!A717="","",IFERROR(VLOOKUP(ALLOCATIONS!B717,MAPPING!$E$3:$G$302,2,FALSE),"UNMAPPED"))</f>
        <v/>
      </c>
      <c r="D723" s="6">
        <f>IF(ALLOCATIONS!A717="","",IFERROR(IF(VLOOKUP(ALLOCATIONS!B717,MAPPING!$E$3:$G$302,3,FALSE)="","",VLOOKUP(ALLOCATIONS!B717,MAPPING!$E$3:$G$302,3,FALSE)),""))</f>
        <v/>
      </c>
      <c r="E723" s="6">
        <f>IF(ALLOCATIONS!A717="","",ALLOCATIONS!C717)</f>
        <v/>
      </c>
      <c r="F723" s="6">
        <f>IF(ALLOCATIONS!A717="","",IF(ALLOCATIONS!D717="",0,ALLOCATIONS!D717))</f>
        <v/>
      </c>
      <c r="G723" s="6">
        <f>IF(ALLOCATIONS!A717="","",SUMIFS(RAW_004!$I$2:$I$10001,RAW_004!$D$2:$D$10001,ALLOCATIONS!A717,RAW_004!$H$2:$H$10001,ALLOCATIONS!B717,RAW_004!$N$2:$N$10001,ALLOCATIONS!C717))</f>
        <v/>
      </c>
      <c r="H723" s="6">
        <f>IF(A723="","",G723-F723)</f>
        <v/>
      </c>
    </row>
    <row r="724">
      <c r="A724" s="6">
        <f>IF(ALLOCATIONS!A718="","",IFERROR(VLOOKUP(ALLOCATIONS!A718,MAPPING!$A$3:$C$302,2,FALSE),"UNMAPPED"))</f>
        <v/>
      </c>
      <c r="B724" s="6">
        <f>IF(ALLOCATIONS!A718="","",IFERROR(VLOOKUP(ALLOCATIONS!A718,MAPPING!$A$3:$C$302,3,FALSE),ALLOCATIONS!A718))</f>
        <v/>
      </c>
      <c r="C724" s="6">
        <f>IF(ALLOCATIONS!A718="","",IFERROR(VLOOKUP(ALLOCATIONS!B718,MAPPING!$E$3:$G$302,2,FALSE),"UNMAPPED"))</f>
        <v/>
      </c>
      <c r="D724" s="6">
        <f>IF(ALLOCATIONS!A718="","",IFERROR(IF(VLOOKUP(ALLOCATIONS!B718,MAPPING!$E$3:$G$302,3,FALSE)="","",VLOOKUP(ALLOCATIONS!B718,MAPPING!$E$3:$G$302,3,FALSE)),""))</f>
        <v/>
      </c>
      <c r="E724" s="6">
        <f>IF(ALLOCATIONS!A718="","",ALLOCATIONS!C718)</f>
        <v/>
      </c>
      <c r="F724" s="6">
        <f>IF(ALLOCATIONS!A718="","",IF(ALLOCATIONS!D718="",0,ALLOCATIONS!D718))</f>
        <v/>
      </c>
      <c r="G724" s="6">
        <f>IF(ALLOCATIONS!A718="","",SUMIFS(RAW_004!$I$2:$I$10001,RAW_004!$D$2:$D$10001,ALLOCATIONS!A718,RAW_004!$H$2:$H$10001,ALLOCATIONS!B718,RAW_004!$N$2:$N$10001,ALLOCATIONS!C718))</f>
        <v/>
      </c>
      <c r="H724" s="6">
        <f>IF(A724="","",G724-F724)</f>
        <v/>
      </c>
    </row>
    <row r="725">
      <c r="A725" s="6">
        <f>IF(ALLOCATIONS!A719="","",IFERROR(VLOOKUP(ALLOCATIONS!A719,MAPPING!$A$3:$C$302,2,FALSE),"UNMAPPED"))</f>
        <v/>
      </c>
      <c r="B725" s="6">
        <f>IF(ALLOCATIONS!A719="","",IFERROR(VLOOKUP(ALLOCATIONS!A719,MAPPING!$A$3:$C$302,3,FALSE),ALLOCATIONS!A719))</f>
        <v/>
      </c>
      <c r="C725" s="6">
        <f>IF(ALLOCATIONS!A719="","",IFERROR(VLOOKUP(ALLOCATIONS!B719,MAPPING!$E$3:$G$302,2,FALSE),"UNMAPPED"))</f>
        <v/>
      </c>
      <c r="D725" s="6">
        <f>IF(ALLOCATIONS!A719="","",IFERROR(IF(VLOOKUP(ALLOCATIONS!B719,MAPPING!$E$3:$G$302,3,FALSE)="","",VLOOKUP(ALLOCATIONS!B719,MAPPING!$E$3:$G$302,3,FALSE)),""))</f>
        <v/>
      </c>
      <c r="E725" s="6">
        <f>IF(ALLOCATIONS!A719="","",ALLOCATIONS!C719)</f>
        <v/>
      </c>
      <c r="F725" s="6">
        <f>IF(ALLOCATIONS!A719="","",IF(ALLOCATIONS!D719="",0,ALLOCATIONS!D719))</f>
        <v/>
      </c>
      <c r="G725" s="6">
        <f>IF(ALLOCATIONS!A719="","",SUMIFS(RAW_004!$I$2:$I$10001,RAW_004!$D$2:$D$10001,ALLOCATIONS!A719,RAW_004!$H$2:$H$10001,ALLOCATIONS!B719,RAW_004!$N$2:$N$10001,ALLOCATIONS!C719))</f>
        <v/>
      </c>
      <c r="H725" s="6">
        <f>IF(A725="","",G725-F725)</f>
        <v/>
      </c>
    </row>
    <row r="726">
      <c r="A726" s="6">
        <f>IF(ALLOCATIONS!A720="","",IFERROR(VLOOKUP(ALLOCATIONS!A720,MAPPING!$A$3:$C$302,2,FALSE),"UNMAPPED"))</f>
        <v/>
      </c>
      <c r="B726" s="6">
        <f>IF(ALLOCATIONS!A720="","",IFERROR(VLOOKUP(ALLOCATIONS!A720,MAPPING!$A$3:$C$302,3,FALSE),ALLOCATIONS!A720))</f>
        <v/>
      </c>
      <c r="C726" s="6">
        <f>IF(ALLOCATIONS!A720="","",IFERROR(VLOOKUP(ALLOCATIONS!B720,MAPPING!$E$3:$G$302,2,FALSE),"UNMAPPED"))</f>
        <v/>
      </c>
      <c r="D726" s="6">
        <f>IF(ALLOCATIONS!A720="","",IFERROR(IF(VLOOKUP(ALLOCATIONS!B720,MAPPING!$E$3:$G$302,3,FALSE)="","",VLOOKUP(ALLOCATIONS!B720,MAPPING!$E$3:$G$302,3,FALSE)),""))</f>
        <v/>
      </c>
      <c r="E726" s="6">
        <f>IF(ALLOCATIONS!A720="","",ALLOCATIONS!C720)</f>
        <v/>
      </c>
      <c r="F726" s="6">
        <f>IF(ALLOCATIONS!A720="","",IF(ALLOCATIONS!D720="",0,ALLOCATIONS!D720))</f>
        <v/>
      </c>
      <c r="G726" s="6">
        <f>IF(ALLOCATIONS!A720="","",SUMIFS(RAW_004!$I$2:$I$10001,RAW_004!$D$2:$D$10001,ALLOCATIONS!A720,RAW_004!$H$2:$H$10001,ALLOCATIONS!B720,RAW_004!$N$2:$N$10001,ALLOCATIONS!C720))</f>
        <v/>
      </c>
      <c r="H726" s="6">
        <f>IF(A726="","",G726-F726)</f>
        <v/>
      </c>
    </row>
    <row r="727">
      <c r="A727" s="6">
        <f>IF(ALLOCATIONS!A721="","",IFERROR(VLOOKUP(ALLOCATIONS!A721,MAPPING!$A$3:$C$302,2,FALSE),"UNMAPPED"))</f>
        <v/>
      </c>
      <c r="B727" s="6">
        <f>IF(ALLOCATIONS!A721="","",IFERROR(VLOOKUP(ALLOCATIONS!A721,MAPPING!$A$3:$C$302,3,FALSE),ALLOCATIONS!A721))</f>
        <v/>
      </c>
      <c r="C727" s="6">
        <f>IF(ALLOCATIONS!A721="","",IFERROR(VLOOKUP(ALLOCATIONS!B721,MAPPING!$E$3:$G$302,2,FALSE),"UNMAPPED"))</f>
        <v/>
      </c>
      <c r="D727" s="6">
        <f>IF(ALLOCATIONS!A721="","",IFERROR(IF(VLOOKUP(ALLOCATIONS!B721,MAPPING!$E$3:$G$302,3,FALSE)="","",VLOOKUP(ALLOCATIONS!B721,MAPPING!$E$3:$G$302,3,FALSE)),""))</f>
        <v/>
      </c>
      <c r="E727" s="6">
        <f>IF(ALLOCATIONS!A721="","",ALLOCATIONS!C721)</f>
        <v/>
      </c>
      <c r="F727" s="6">
        <f>IF(ALLOCATIONS!A721="","",IF(ALLOCATIONS!D721="",0,ALLOCATIONS!D721))</f>
        <v/>
      </c>
      <c r="G727" s="6">
        <f>IF(ALLOCATIONS!A721="","",SUMIFS(RAW_004!$I$2:$I$10001,RAW_004!$D$2:$D$10001,ALLOCATIONS!A721,RAW_004!$H$2:$H$10001,ALLOCATIONS!B721,RAW_004!$N$2:$N$10001,ALLOCATIONS!C721))</f>
        <v/>
      </c>
      <c r="H727" s="6">
        <f>IF(A727="","",G727-F727)</f>
        <v/>
      </c>
    </row>
    <row r="728">
      <c r="A728" s="6">
        <f>IF(ALLOCATIONS!A722="","",IFERROR(VLOOKUP(ALLOCATIONS!A722,MAPPING!$A$3:$C$302,2,FALSE),"UNMAPPED"))</f>
        <v/>
      </c>
      <c r="B728" s="6">
        <f>IF(ALLOCATIONS!A722="","",IFERROR(VLOOKUP(ALLOCATIONS!A722,MAPPING!$A$3:$C$302,3,FALSE),ALLOCATIONS!A722))</f>
        <v/>
      </c>
      <c r="C728" s="6">
        <f>IF(ALLOCATIONS!A722="","",IFERROR(VLOOKUP(ALLOCATIONS!B722,MAPPING!$E$3:$G$302,2,FALSE),"UNMAPPED"))</f>
        <v/>
      </c>
      <c r="D728" s="6">
        <f>IF(ALLOCATIONS!A722="","",IFERROR(IF(VLOOKUP(ALLOCATIONS!B722,MAPPING!$E$3:$G$302,3,FALSE)="","",VLOOKUP(ALLOCATIONS!B722,MAPPING!$E$3:$G$302,3,FALSE)),""))</f>
        <v/>
      </c>
      <c r="E728" s="6">
        <f>IF(ALLOCATIONS!A722="","",ALLOCATIONS!C722)</f>
        <v/>
      </c>
      <c r="F728" s="6">
        <f>IF(ALLOCATIONS!A722="","",IF(ALLOCATIONS!D722="",0,ALLOCATIONS!D722))</f>
        <v/>
      </c>
      <c r="G728" s="6">
        <f>IF(ALLOCATIONS!A722="","",SUMIFS(RAW_004!$I$2:$I$10001,RAW_004!$D$2:$D$10001,ALLOCATIONS!A722,RAW_004!$H$2:$H$10001,ALLOCATIONS!B722,RAW_004!$N$2:$N$10001,ALLOCATIONS!C722))</f>
        <v/>
      </c>
      <c r="H728" s="6">
        <f>IF(A728="","",G728-F728)</f>
        <v/>
      </c>
    </row>
    <row r="729">
      <c r="A729" s="6">
        <f>IF(ALLOCATIONS!A723="","",IFERROR(VLOOKUP(ALLOCATIONS!A723,MAPPING!$A$3:$C$302,2,FALSE),"UNMAPPED"))</f>
        <v/>
      </c>
      <c r="B729" s="6">
        <f>IF(ALLOCATIONS!A723="","",IFERROR(VLOOKUP(ALLOCATIONS!A723,MAPPING!$A$3:$C$302,3,FALSE),ALLOCATIONS!A723))</f>
        <v/>
      </c>
      <c r="C729" s="6">
        <f>IF(ALLOCATIONS!A723="","",IFERROR(VLOOKUP(ALLOCATIONS!B723,MAPPING!$E$3:$G$302,2,FALSE),"UNMAPPED"))</f>
        <v/>
      </c>
      <c r="D729" s="6">
        <f>IF(ALLOCATIONS!A723="","",IFERROR(IF(VLOOKUP(ALLOCATIONS!B723,MAPPING!$E$3:$G$302,3,FALSE)="","",VLOOKUP(ALLOCATIONS!B723,MAPPING!$E$3:$G$302,3,FALSE)),""))</f>
        <v/>
      </c>
      <c r="E729" s="6">
        <f>IF(ALLOCATIONS!A723="","",ALLOCATIONS!C723)</f>
        <v/>
      </c>
      <c r="F729" s="6">
        <f>IF(ALLOCATIONS!A723="","",IF(ALLOCATIONS!D723="",0,ALLOCATIONS!D723))</f>
        <v/>
      </c>
      <c r="G729" s="6">
        <f>IF(ALLOCATIONS!A723="","",SUMIFS(RAW_004!$I$2:$I$10001,RAW_004!$D$2:$D$10001,ALLOCATIONS!A723,RAW_004!$H$2:$H$10001,ALLOCATIONS!B723,RAW_004!$N$2:$N$10001,ALLOCATIONS!C723))</f>
        <v/>
      </c>
      <c r="H729" s="6">
        <f>IF(A729="","",G729-F729)</f>
        <v/>
      </c>
    </row>
    <row r="730">
      <c r="A730" s="6">
        <f>IF(ALLOCATIONS!A724="","",IFERROR(VLOOKUP(ALLOCATIONS!A724,MAPPING!$A$3:$C$302,2,FALSE),"UNMAPPED"))</f>
        <v/>
      </c>
      <c r="B730" s="6">
        <f>IF(ALLOCATIONS!A724="","",IFERROR(VLOOKUP(ALLOCATIONS!A724,MAPPING!$A$3:$C$302,3,FALSE),ALLOCATIONS!A724))</f>
        <v/>
      </c>
      <c r="C730" s="6">
        <f>IF(ALLOCATIONS!A724="","",IFERROR(VLOOKUP(ALLOCATIONS!B724,MAPPING!$E$3:$G$302,2,FALSE),"UNMAPPED"))</f>
        <v/>
      </c>
      <c r="D730" s="6">
        <f>IF(ALLOCATIONS!A724="","",IFERROR(IF(VLOOKUP(ALLOCATIONS!B724,MAPPING!$E$3:$G$302,3,FALSE)="","",VLOOKUP(ALLOCATIONS!B724,MAPPING!$E$3:$G$302,3,FALSE)),""))</f>
        <v/>
      </c>
      <c r="E730" s="6">
        <f>IF(ALLOCATIONS!A724="","",ALLOCATIONS!C724)</f>
        <v/>
      </c>
      <c r="F730" s="6">
        <f>IF(ALLOCATIONS!A724="","",IF(ALLOCATIONS!D724="",0,ALLOCATIONS!D724))</f>
        <v/>
      </c>
      <c r="G730" s="6">
        <f>IF(ALLOCATIONS!A724="","",SUMIFS(RAW_004!$I$2:$I$10001,RAW_004!$D$2:$D$10001,ALLOCATIONS!A724,RAW_004!$H$2:$H$10001,ALLOCATIONS!B724,RAW_004!$N$2:$N$10001,ALLOCATIONS!C724))</f>
        <v/>
      </c>
      <c r="H730" s="6">
        <f>IF(A730="","",G730-F730)</f>
        <v/>
      </c>
    </row>
    <row r="731">
      <c r="A731" s="6">
        <f>IF(ALLOCATIONS!A725="","",IFERROR(VLOOKUP(ALLOCATIONS!A725,MAPPING!$A$3:$C$302,2,FALSE),"UNMAPPED"))</f>
        <v/>
      </c>
      <c r="B731" s="6">
        <f>IF(ALLOCATIONS!A725="","",IFERROR(VLOOKUP(ALLOCATIONS!A725,MAPPING!$A$3:$C$302,3,FALSE),ALLOCATIONS!A725))</f>
        <v/>
      </c>
      <c r="C731" s="6">
        <f>IF(ALLOCATIONS!A725="","",IFERROR(VLOOKUP(ALLOCATIONS!B725,MAPPING!$E$3:$G$302,2,FALSE),"UNMAPPED"))</f>
        <v/>
      </c>
      <c r="D731" s="6">
        <f>IF(ALLOCATIONS!A725="","",IFERROR(IF(VLOOKUP(ALLOCATIONS!B725,MAPPING!$E$3:$G$302,3,FALSE)="","",VLOOKUP(ALLOCATIONS!B725,MAPPING!$E$3:$G$302,3,FALSE)),""))</f>
        <v/>
      </c>
      <c r="E731" s="6">
        <f>IF(ALLOCATIONS!A725="","",ALLOCATIONS!C725)</f>
        <v/>
      </c>
      <c r="F731" s="6">
        <f>IF(ALLOCATIONS!A725="","",IF(ALLOCATIONS!D725="",0,ALLOCATIONS!D725))</f>
        <v/>
      </c>
      <c r="G731" s="6">
        <f>IF(ALLOCATIONS!A725="","",SUMIFS(RAW_004!$I$2:$I$10001,RAW_004!$D$2:$D$10001,ALLOCATIONS!A725,RAW_004!$H$2:$H$10001,ALLOCATIONS!B725,RAW_004!$N$2:$N$10001,ALLOCATIONS!C725))</f>
        <v/>
      </c>
      <c r="H731" s="6">
        <f>IF(A731="","",G731-F731)</f>
        <v/>
      </c>
    </row>
    <row r="732">
      <c r="A732" s="6">
        <f>IF(ALLOCATIONS!A726="","",IFERROR(VLOOKUP(ALLOCATIONS!A726,MAPPING!$A$3:$C$302,2,FALSE),"UNMAPPED"))</f>
        <v/>
      </c>
      <c r="B732" s="6">
        <f>IF(ALLOCATIONS!A726="","",IFERROR(VLOOKUP(ALLOCATIONS!A726,MAPPING!$A$3:$C$302,3,FALSE),ALLOCATIONS!A726))</f>
        <v/>
      </c>
      <c r="C732" s="6">
        <f>IF(ALLOCATIONS!A726="","",IFERROR(VLOOKUP(ALLOCATIONS!B726,MAPPING!$E$3:$G$302,2,FALSE),"UNMAPPED"))</f>
        <v/>
      </c>
      <c r="D732" s="6">
        <f>IF(ALLOCATIONS!A726="","",IFERROR(IF(VLOOKUP(ALLOCATIONS!B726,MAPPING!$E$3:$G$302,3,FALSE)="","",VLOOKUP(ALLOCATIONS!B726,MAPPING!$E$3:$G$302,3,FALSE)),""))</f>
        <v/>
      </c>
      <c r="E732" s="6">
        <f>IF(ALLOCATIONS!A726="","",ALLOCATIONS!C726)</f>
        <v/>
      </c>
      <c r="F732" s="6">
        <f>IF(ALLOCATIONS!A726="","",IF(ALLOCATIONS!D726="",0,ALLOCATIONS!D726))</f>
        <v/>
      </c>
      <c r="G732" s="6">
        <f>IF(ALLOCATIONS!A726="","",SUMIFS(RAW_004!$I$2:$I$10001,RAW_004!$D$2:$D$10001,ALLOCATIONS!A726,RAW_004!$H$2:$H$10001,ALLOCATIONS!B726,RAW_004!$N$2:$N$10001,ALLOCATIONS!C726))</f>
        <v/>
      </c>
      <c r="H732" s="6">
        <f>IF(A732="","",G732-F732)</f>
        <v/>
      </c>
    </row>
    <row r="733">
      <c r="A733" s="6">
        <f>IF(ALLOCATIONS!A727="","",IFERROR(VLOOKUP(ALLOCATIONS!A727,MAPPING!$A$3:$C$302,2,FALSE),"UNMAPPED"))</f>
        <v/>
      </c>
      <c r="B733" s="6">
        <f>IF(ALLOCATIONS!A727="","",IFERROR(VLOOKUP(ALLOCATIONS!A727,MAPPING!$A$3:$C$302,3,FALSE),ALLOCATIONS!A727))</f>
        <v/>
      </c>
      <c r="C733" s="6">
        <f>IF(ALLOCATIONS!A727="","",IFERROR(VLOOKUP(ALLOCATIONS!B727,MAPPING!$E$3:$G$302,2,FALSE),"UNMAPPED"))</f>
        <v/>
      </c>
      <c r="D733" s="6">
        <f>IF(ALLOCATIONS!A727="","",IFERROR(IF(VLOOKUP(ALLOCATIONS!B727,MAPPING!$E$3:$G$302,3,FALSE)="","",VLOOKUP(ALLOCATIONS!B727,MAPPING!$E$3:$G$302,3,FALSE)),""))</f>
        <v/>
      </c>
      <c r="E733" s="6">
        <f>IF(ALLOCATIONS!A727="","",ALLOCATIONS!C727)</f>
        <v/>
      </c>
      <c r="F733" s="6">
        <f>IF(ALLOCATIONS!A727="","",IF(ALLOCATIONS!D727="",0,ALLOCATIONS!D727))</f>
        <v/>
      </c>
      <c r="G733" s="6">
        <f>IF(ALLOCATIONS!A727="","",SUMIFS(RAW_004!$I$2:$I$10001,RAW_004!$D$2:$D$10001,ALLOCATIONS!A727,RAW_004!$H$2:$H$10001,ALLOCATIONS!B727,RAW_004!$N$2:$N$10001,ALLOCATIONS!C727))</f>
        <v/>
      </c>
      <c r="H733" s="6">
        <f>IF(A733="","",G733-F733)</f>
        <v/>
      </c>
    </row>
    <row r="734">
      <c r="A734" s="6">
        <f>IF(ALLOCATIONS!A728="","",IFERROR(VLOOKUP(ALLOCATIONS!A728,MAPPING!$A$3:$C$302,2,FALSE),"UNMAPPED"))</f>
        <v/>
      </c>
      <c r="B734" s="6">
        <f>IF(ALLOCATIONS!A728="","",IFERROR(VLOOKUP(ALLOCATIONS!A728,MAPPING!$A$3:$C$302,3,FALSE),ALLOCATIONS!A728))</f>
        <v/>
      </c>
      <c r="C734" s="6">
        <f>IF(ALLOCATIONS!A728="","",IFERROR(VLOOKUP(ALLOCATIONS!B728,MAPPING!$E$3:$G$302,2,FALSE),"UNMAPPED"))</f>
        <v/>
      </c>
      <c r="D734" s="6">
        <f>IF(ALLOCATIONS!A728="","",IFERROR(IF(VLOOKUP(ALLOCATIONS!B728,MAPPING!$E$3:$G$302,3,FALSE)="","",VLOOKUP(ALLOCATIONS!B728,MAPPING!$E$3:$G$302,3,FALSE)),""))</f>
        <v/>
      </c>
      <c r="E734" s="6">
        <f>IF(ALLOCATIONS!A728="","",ALLOCATIONS!C728)</f>
        <v/>
      </c>
      <c r="F734" s="6">
        <f>IF(ALLOCATIONS!A728="","",IF(ALLOCATIONS!D728="",0,ALLOCATIONS!D728))</f>
        <v/>
      </c>
      <c r="G734" s="6">
        <f>IF(ALLOCATIONS!A728="","",SUMIFS(RAW_004!$I$2:$I$10001,RAW_004!$D$2:$D$10001,ALLOCATIONS!A728,RAW_004!$H$2:$H$10001,ALLOCATIONS!B728,RAW_004!$N$2:$N$10001,ALLOCATIONS!C728))</f>
        <v/>
      </c>
      <c r="H734" s="6">
        <f>IF(A734="","",G734-F734)</f>
        <v/>
      </c>
    </row>
    <row r="735">
      <c r="A735" s="6">
        <f>IF(ALLOCATIONS!A729="","",IFERROR(VLOOKUP(ALLOCATIONS!A729,MAPPING!$A$3:$C$302,2,FALSE),"UNMAPPED"))</f>
        <v/>
      </c>
      <c r="B735" s="6">
        <f>IF(ALLOCATIONS!A729="","",IFERROR(VLOOKUP(ALLOCATIONS!A729,MAPPING!$A$3:$C$302,3,FALSE),ALLOCATIONS!A729))</f>
        <v/>
      </c>
      <c r="C735" s="6">
        <f>IF(ALLOCATIONS!A729="","",IFERROR(VLOOKUP(ALLOCATIONS!B729,MAPPING!$E$3:$G$302,2,FALSE),"UNMAPPED"))</f>
        <v/>
      </c>
      <c r="D735" s="6">
        <f>IF(ALLOCATIONS!A729="","",IFERROR(IF(VLOOKUP(ALLOCATIONS!B729,MAPPING!$E$3:$G$302,3,FALSE)="","",VLOOKUP(ALLOCATIONS!B729,MAPPING!$E$3:$G$302,3,FALSE)),""))</f>
        <v/>
      </c>
      <c r="E735" s="6">
        <f>IF(ALLOCATIONS!A729="","",ALLOCATIONS!C729)</f>
        <v/>
      </c>
      <c r="F735" s="6">
        <f>IF(ALLOCATIONS!A729="","",IF(ALLOCATIONS!D729="",0,ALLOCATIONS!D729))</f>
        <v/>
      </c>
      <c r="G735" s="6">
        <f>IF(ALLOCATIONS!A729="","",SUMIFS(RAW_004!$I$2:$I$10001,RAW_004!$D$2:$D$10001,ALLOCATIONS!A729,RAW_004!$H$2:$H$10001,ALLOCATIONS!B729,RAW_004!$N$2:$N$10001,ALLOCATIONS!C729))</f>
        <v/>
      </c>
      <c r="H735" s="6">
        <f>IF(A735="","",G735-F735)</f>
        <v/>
      </c>
    </row>
    <row r="736">
      <c r="A736" s="6">
        <f>IF(ALLOCATIONS!A730="","",IFERROR(VLOOKUP(ALLOCATIONS!A730,MAPPING!$A$3:$C$302,2,FALSE),"UNMAPPED"))</f>
        <v/>
      </c>
      <c r="B736" s="6">
        <f>IF(ALLOCATIONS!A730="","",IFERROR(VLOOKUP(ALLOCATIONS!A730,MAPPING!$A$3:$C$302,3,FALSE),ALLOCATIONS!A730))</f>
        <v/>
      </c>
      <c r="C736" s="6">
        <f>IF(ALLOCATIONS!A730="","",IFERROR(VLOOKUP(ALLOCATIONS!B730,MAPPING!$E$3:$G$302,2,FALSE),"UNMAPPED"))</f>
        <v/>
      </c>
      <c r="D736" s="6">
        <f>IF(ALLOCATIONS!A730="","",IFERROR(IF(VLOOKUP(ALLOCATIONS!B730,MAPPING!$E$3:$G$302,3,FALSE)="","",VLOOKUP(ALLOCATIONS!B730,MAPPING!$E$3:$G$302,3,FALSE)),""))</f>
        <v/>
      </c>
      <c r="E736" s="6">
        <f>IF(ALLOCATIONS!A730="","",ALLOCATIONS!C730)</f>
        <v/>
      </c>
      <c r="F736" s="6">
        <f>IF(ALLOCATIONS!A730="","",IF(ALLOCATIONS!D730="",0,ALLOCATIONS!D730))</f>
        <v/>
      </c>
      <c r="G736" s="6">
        <f>IF(ALLOCATIONS!A730="","",SUMIFS(RAW_004!$I$2:$I$10001,RAW_004!$D$2:$D$10001,ALLOCATIONS!A730,RAW_004!$H$2:$H$10001,ALLOCATIONS!B730,RAW_004!$N$2:$N$10001,ALLOCATIONS!C730))</f>
        <v/>
      </c>
      <c r="H736" s="6">
        <f>IF(A736="","",G736-F736)</f>
        <v/>
      </c>
    </row>
    <row r="737">
      <c r="A737" s="6">
        <f>IF(ALLOCATIONS!A731="","",IFERROR(VLOOKUP(ALLOCATIONS!A731,MAPPING!$A$3:$C$302,2,FALSE),"UNMAPPED"))</f>
        <v/>
      </c>
      <c r="B737" s="6">
        <f>IF(ALLOCATIONS!A731="","",IFERROR(VLOOKUP(ALLOCATIONS!A731,MAPPING!$A$3:$C$302,3,FALSE),ALLOCATIONS!A731))</f>
        <v/>
      </c>
      <c r="C737" s="6">
        <f>IF(ALLOCATIONS!A731="","",IFERROR(VLOOKUP(ALLOCATIONS!B731,MAPPING!$E$3:$G$302,2,FALSE),"UNMAPPED"))</f>
        <v/>
      </c>
      <c r="D737" s="6">
        <f>IF(ALLOCATIONS!A731="","",IFERROR(IF(VLOOKUP(ALLOCATIONS!B731,MAPPING!$E$3:$G$302,3,FALSE)="","",VLOOKUP(ALLOCATIONS!B731,MAPPING!$E$3:$G$302,3,FALSE)),""))</f>
        <v/>
      </c>
      <c r="E737" s="6">
        <f>IF(ALLOCATIONS!A731="","",ALLOCATIONS!C731)</f>
        <v/>
      </c>
      <c r="F737" s="6">
        <f>IF(ALLOCATIONS!A731="","",IF(ALLOCATIONS!D731="",0,ALLOCATIONS!D731))</f>
        <v/>
      </c>
      <c r="G737" s="6">
        <f>IF(ALLOCATIONS!A731="","",SUMIFS(RAW_004!$I$2:$I$10001,RAW_004!$D$2:$D$10001,ALLOCATIONS!A731,RAW_004!$H$2:$H$10001,ALLOCATIONS!B731,RAW_004!$N$2:$N$10001,ALLOCATIONS!C731))</f>
        <v/>
      </c>
      <c r="H737" s="6">
        <f>IF(A737="","",G737-F737)</f>
        <v/>
      </c>
    </row>
    <row r="738">
      <c r="A738" s="6">
        <f>IF(ALLOCATIONS!A732="","",IFERROR(VLOOKUP(ALLOCATIONS!A732,MAPPING!$A$3:$C$302,2,FALSE),"UNMAPPED"))</f>
        <v/>
      </c>
      <c r="B738" s="6">
        <f>IF(ALLOCATIONS!A732="","",IFERROR(VLOOKUP(ALLOCATIONS!A732,MAPPING!$A$3:$C$302,3,FALSE),ALLOCATIONS!A732))</f>
        <v/>
      </c>
      <c r="C738" s="6">
        <f>IF(ALLOCATIONS!A732="","",IFERROR(VLOOKUP(ALLOCATIONS!B732,MAPPING!$E$3:$G$302,2,FALSE),"UNMAPPED"))</f>
        <v/>
      </c>
      <c r="D738" s="6">
        <f>IF(ALLOCATIONS!A732="","",IFERROR(IF(VLOOKUP(ALLOCATIONS!B732,MAPPING!$E$3:$G$302,3,FALSE)="","",VLOOKUP(ALLOCATIONS!B732,MAPPING!$E$3:$G$302,3,FALSE)),""))</f>
        <v/>
      </c>
      <c r="E738" s="6">
        <f>IF(ALLOCATIONS!A732="","",ALLOCATIONS!C732)</f>
        <v/>
      </c>
      <c r="F738" s="6">
        <f>IF(ALLOCATIONS!A732="","",IF(ALLOCATIONS!D732="",0,ALLOCATIONS!D732))</f>
        <v/>
      </c>
      <c r="G738" s="6">
        <f>IF(ALLOCATIONS!A732="","",SUMIFS(RAW_004!$I$2:$I$10001,RAW_004!$D$2:$D$10001,ALLOCATIONS!A732,RAW_004!$H$2:$H$10001,ALLOCATIONS!B732,RAW_004!$N$2:$N$10001,ALLOCATIONS!C732))</f>
        <v/>
      </c>
      <c r="H738" s="6">
        <f>IF(A738="","",G738-F738)</f>
        <v/>
      </c>
    </row>
    <row r="739">
      <c r="A739" s="6">
        <f>IF(ALLOCATIONS!A733="","",IFERROR(VLOOKUP(ALLOCATIONS!A733,MAPPING!$A$3:$C$302,2,FALSE),"UNMAPPED"))</f>
        <v/>
      </c>
      <c r="B739" s="6">
        <f>IF(ALLOCATIONS!A733="","",IFERROR(VLOOKUP(ALLOCATIONS!A733,MAPPING!$A$3:$C$302,3,FALSE),ALLOCATIONS!A733))</f>
        <v/>
      </c>
      <c r="C739" s="6">
        <f>IF(ALLOCATIONS!A733="","",IFERROR(VLOOKUP(ALLOCATIONS!B733,MAPPING!$E$3:$G$302,2,FALSE),"UNMAPPED"))</f>
        <v/>
      </c>
      <c r="D739" s="6">
        <f>IF(ALLOCATIONS!A733="","",IFERROR(IF(VLOOKUP(ALLOCATIONS!B733,MAPPING!$E$3:$G$302,3,FALSE)="","",VLOOKUP(ALLOCATIONS!B733,MAPPING!$E$3:$G$302,3,FALSE)),""))</f>
        <v/>
      </c>
      <c r="E739" s="6">
        <f>IF(ALLOCATIONS!A733="","",ALLOCATIONS!C733)</f>
        <v/>
      </c>
      <c r="F739" s="6">
        <f>IF(ALLOCATIONS!A733="","",IF(ALLOCATIONS!D733="",0,ALLOCATIONS!D733))</f>
        <v/>
      </c>
      <c r="G739" s="6">
        <f>IF(ALLOCATIONS!A733="","",SUMIFS(RAW_004!$I$2:$I$10001,RAW_004!$D$2:$D$10001,ALLOCATIONS!A733,RAW_004!$H$2:$H$10001,ALLOCATIONS!B733,RAW_004!$N$2:$N$10001,ALLOCATIONS!C733))</f>
        <v/>
      </c>
      <c r="H739" s="6">
        <f>IF(A739="","",G739-F739)</f>
        <v/>
      </c>
    </row>
    <row r="740">
      <c r="A740" s="6">
        <f>IF(ALLOCATIONS!A734="","",IFERROR(VLOOKUP(ALLOCATIONS!A734,MAPPING!$A$3:$C$302,2,FALSE),"UNMAPPED"))</f>
        <v/>
      </c>
      <c r="B740" s="6">
        <f>IF(ALLOCATIONS!A734="","",IFERROR(VLOOKUP(ALLOCATIONS!A734,MAPPING!$A$3:$C$302,3,FALSE),ALLOCATIONS!A734))</f>
        <v/>
      </c>
      <c r="C740" s="6">
        <f>IF(ALLOCATIONS!A734="","",IFERROR(VLOOKUP(ALLOCATIONS!B734,MAPPING!$E$3:$G$302,2,FALSE),"UNMAPPED"))</f>
        <v/>
      </c>
      <c r="D740" s="6">
        <f>IF(ALLOCATIONS!A734="","",IFERROR(IF(VLOOKUP(ALLOCATIONS!B734,MAPPING!$E$3:$G$302,3,FALSE)="","",VLOOKUP(ALLOCATIONS!B734,MAPPING!$E$3:$G$302,3,FALSE)),""))</f>
        <v/>
      </c>
      <c r="E740" s="6">
        <f>IF(ALLOCATIONS!A734="","",ALLOCATIONS!C734)</f>
        <v/>
      </c>
      <c r="F740" s="6">
        <f>IF(ALLOCATIONS!A734="","",IF(ALLOCATIONS!D734="",0,ALLOCATIONS!D734))</f>
        <v/>
      </c>
      <c r="G740" s="6">
        <f>IF(ALLOCATIONS!A734="","",SUMIFS(RAW_004!$I$2:$I$10001,RAW_004!$D$2:$D$10001,ALLOCATIONS!A734,RAW_004!$H$2:$H$10001,ALLOCATIONS!B734,RAW_004!$N$2:$N$10001,ALLOCATIONS!C734))</f>
        <v/>
      </c>
      <c r="H740" s="6">
        <f>IF(A740="","",G740-F740)</f>
        <v/>
      </c>
    </row>
    <row r="741">
      <c r="A741" s="6">
        <f>IF(ALLOCATIONS!A735="","",IFERROR(VLOOKUP(ALLOCATIONS!A735,MAPPING!$A$3:$C$302,2,FALSE),"UNMAPPED"))</f>
        <v/>
      </c>
      <c r="B741" s="6">
        <f>IF(ALLOCATIONS!A735="","",IFERROR(VLOOKUP(ALLOCATIONS!A735,MAPPING!$A$3:$C$302,3,FALSE),ALLOCATIONS!A735))</f>
        <v/>
      </c>
      <c r="C741" s="6">
        <f>IF(ALLOCATIONS!A735="","",IFERROR(VLOOKUP(ALLOCATIONS!B735,MAPPING!$E$3:$G$302,2,FALSE),"UNMAPPED"))</f>
        <v/>
      </c>
      <c r="D741" s="6">
        <f>IF(ALLOCATIONS!A735="","",IFERROR(IF(VLOOKUP(ALLOCATIONS!B735,MAPPING!$E$3:$G$302,3,FALSE)="","",VLOOKUP(ALLOCATIONS!B735,MAPPING!$E$3:$G$302,3,FALSE)),""))</f>
        <v/>
      </c>
      <c r="E741" s="6">
        <f>IF(ALLOCATIONS!A735="","",ALLOCATIONS!C735)</f>
        <v/>
      </c>
      <c r="F741" s="6">
        <f>IF(ALLOCATIONS!A735="","",IF(ALLOCATIONS!D735="",0,ALLOCATIONS!D735))</f>
        <v/>
      </c>
      <c r="G741" s="6">
        <f>IF(ALLOCATIONS!A735="","",SUMIFS(RAW_004!$I$2:$I$10001,RAW_004!$D$2:$D$10001,ALLOCATIONS!A735,RAW_004!$H$2:$H$10001,ALLOCATIONS!B735,RAW_004!$N$2:$N$10001,ALLOCATIONS!C735))</f>
        <v/>
      </c>
      <c r="H741" s="6">
        <f>IF(A741="","",G741-F741)</f>
        <v/>
      </c>
    </row>
    <row r="742">
      <c r="A742" s="6">
        <f>IF(ALLOCATIONS!A736="","",IFERROR(VLOOKUP(ALLOCATIONS!A736,MAPPING!$A$3:$C$302,2,FALSE),"UNMAPPED"))</f>
        <v/>
      </c>
      <c r="B742" s="6">
        <f>IF(ALLOCATIONS!A736="","",IFERROR(VLOOKUP(ALLOCATIONS!A736,MAPPING!$A$3:$C$302,3,FALSE),ALLOCATIONS!A736))</f>
        <v/>
      </c>
      <c r="C742" s="6">
        <f>IF(ALLOCATIONS!A736="","",IFERROR(VLOOKUP(ALLOCATIONS!B736,MAPPING!$E$3:$G$302,2,FALSE),"UNMAPPED"))</f>
        <v/>
      </c>
      <c r="D742" s="6">
        <f>IF(ALLOCATIONS!A736="","",IFERROR(IF(VLOOKUP(ALLOCATIONS!B736,MAPPING!$E$3:$G$302,3,FALSE)="","",VLOOKUP(ALLOCATIONS!B736,MAPPING!$E$3:$G$302,3,FALSE)),""))</f>
        <v/>
      </c>
      <c r="E742" s="6">
        <f>IF(ALLOCATIONS!A736="","",ALLOCATIONS!C736)</f>
        <v/>
      </c>
      <c r="F742" s="6">
        <f>IF(ALLOCATIONS!A736="","",IF(ALLOCATIONS!D736="",0,ALLOCATIONS!D736))</f>
        <v/>
      </c>
      <c r="G742" s="6">
        <f>IF(ALLOCATIONS!A736="","",SUMIFS(RAW_004!$I$2:$I$10001,RAW_004!$D$2:$D$10001,ALLOCATIONS!A736,RAW_004!$H$2:$H$10001,ALLOCATIONS!B736,RAW_004!$N$2:$N$10001,ALLOCATIONS!C736))</f>
        <v/>
      </c>
      <c r="H742" s="6">
        <f>IF(A742="","",G742-F742)</f>
        <v/>
      </c>
    </row>
    <row r="743">
      <c r="A743" s="6">
        <f>IF(ALLOCATIONS!A737="","",IFERROR(VLOOKUP(ALLOCATIONS!A737,MAPPING!$A$3:$C$302,2,FALSE),"UNMAPPED"))</f>
        <v/>
      </c>
      <c r="B743" s="6">
        <f>IF(ALLOCATIONS!A737="","",IFERROR(VLOOKUP(ALLOCATIONS!A737,MAPPING!$A$3:$C$302,3,FALSE),ALLOCATIONS!A737))</f>
        <v/>
      </c>
      <c r="C743" s="6">
        <f>IF(ALLOCATIONS!A737="","",IFERROR(VLOOKUP(ALLOCATIONS!B737,MAPPING!$E$3:$G$302,2,FALSE),"UNMAPPED"))</f>
        <v/>
      </c>
      <c r="D743" s="6">
        <f>IF(ALLOCATIONS!A737="","",IFERROR(IF(VLOOKUP(ALLOCATIONS!B737,MAPPING!$E$3:$G$302,3,FALSE)="","",VLOOKUP(ALLOCATIONS!B737,MAPPING!$E$3:$G$302,3,FALSE)),""))</f>
        <v/>
      </c>
      <c r="E743" s="6">
        <f>IF(ALLOCATIONS!A737="","",ALLOCATIONS!C737)</f>
        <v/>
      </c>
      <c r="F743" s="6">
        <f>IF(ALLOCATIONS!A737="","",IF(ALLOCATIONS!D737="",0,ALLOCATIONS!D737))</f>
        <v/>
      </c>
      <c r="G743" s="6">
        <f>IF(ALLOCATIONS!A737="","",SUMIFS(RAW_004!$I$2:$I$10001,RAW_004!$D$2:$D$10001,ALLOCATIONS!A737,RAW_004!$H$2:$H$10001,ALLOCATIONS!B737,RAW_004!$N$2:$N$10001,ALLOCATIONS!C737))</f>
        <v/>
      </c>
      <c r="H743" s="6">
        <f>IF(A743="","",G743-F743)</f>
        <v/>
      </c>
    </row>
    <row r="744">
      <c r="A744" s="6">
        <f>IF(ALLOCATIONS!A738="","",IFERROR(VLOOKUP(ALLOCATIONS!A738,MAPPING!$A$3:$C$302,2,FALSE),"UNMAPPED"))</f>
        <v/>
      </c>
      <c r="B744" s="6">
        <f>IF(ALLOCATIONS!A738="","",IFERROR(VLOOKUP(ALLOCATIONS!A738,MAPPING!$A$3:$C$302,3,FALSE),ALLOCATIONS!A738))</f>
        <v/>
      </c>
      <c r="C744" s="6">
        <f>IF(ALLOCATIONS!A738="","",IFERROR(VLOOKUP(ALLOCATIONS!B738,MAPPING!$E$3:$G$302,2,FALSE),"UNMAPPED"))</f>
        <v/>
      </c>
      <c r="D744" s="6">
        <f>IF(ALLOCATIONS!A738="","",IFERROR(IF(VLOOKUP(ALLOCATIONS!B738,MAPPING!$E$3:$G$302,3,FALSE)="","",VLOOKUP(ALLOCATIONS!B738,MAPPING!$E$3:$G$302,3,FALSE)),""))</f>
        <v/>
      </c>
      <c r="E744" s="6">
        <f>IF(ALLOCATIONS!A738="","",ALLOCATIONS!C738)</f>
        <v/>
      </c>
      <c r="F744" s="6">
        <f>IF(ALLOCATIONS!A738="","",IF(ALLOCATIONS!D738="",0,ALLOCATIONS!D738))</f>
        <v/>
      </c>
      <c r="G744" s="6">
        <f>IF(ALLOCATIONS!A738="","",SUMIFS(RAW_004!$I$2:$I$10001,RAW_004!$D$2:$D$10001,ALLOCATIONS!A738,RAW_004!$H$2:$H$10001,ALLOCATIONS!B738,RAW_004!$N$2:$N$10001,ALLOCATIONS!C738))</f>
        <v/>
      </c>
      <c r="H744" s="6">
        <f>IF(A744="","",G744-F744)</f>
        <v/>
      </c>
    </row>
    <row r="745">
      <c r="A745" s="6">
        <f>IF(ALLOCATIONS!A739="","",IFERROR(VLOOKUP(ALLOCATIONS!A739,MAPPING!$A$3:$C$302,2,FALSE),"UNMAPPED"))</f>
        <v/>
      </c>
      <c r="B745" s="6">
        <f>IF(ALLOCATIONS!A739="","",IFERROR(VLOOKUP(ALLOCATIONS!A739,MAPPING!$A$3:$C$302,3,FALSE),ALLOCATIONS!A739))</f>
        <v/>
      </c>
      <c r="C745" s="6">
        <f>IF(ALLOCATIONS!A739="","",IFERROR(VLOOKUP(ALLOCATIONS!B739,MAPPING!$E$3:$G$302,2,FALSE),"UNMAPPED"))</f>
        <v/>
      </c>
      <c r="D745" s="6">
        <f>IF(ALLOCATIONS!A739="","",IFERROR(IF(VLOOKUP(ALLOCATIONS!B739,MAPPING!$E$3:$G$302,3,FALSE)="","",VLOOKUP(ALLOCATIONS!B739,MAPPING!$E$3:$G$302,3,FALSE)),""))</f>
        <v/>
      </c>
      <c r="E745" s="6">
        <f>IF(ALLOCATIONS!A739="","",ALLOCATIONS!C739)</f>
        <v/>
      </c>
      <c r="F745" s="6">
        <f>IF(ALLOCATIONS!A739="","",IF(ALLOCATIONS!D739="",0,ALLOCATIONS!D739))</f>
        <v/>
      </c>
      <c r="G745" s="6">
        <f>IF(ALLOCATIONS!A739="","",SUMIFS(RAW_004!$I$2:$I$10001,RAW_004!$D$2:$D$10001,ALLOCATIONS!A739,RAW_004!$H$2:$H$10001,ALLOCATIONS!B739,RAW_004!$N$2:$N$10001,ALLOCATIONS!C739))</f>
        <v/>
      </c>
      <c r="H745" s="6">
        <f>IF(A745="","",G745-F745)</f>
        <v/>
      </c>
    </row>
    <row r="746">
      <c r="A746" s="6">
        <f>IF(ALLOCATIONS!A740="","",IFERROR(VLOOKUP(ALLOCATIONS!A740,MAPPING!$A$3:$C$302,2,FALSE),"UNMAPPED"))</f>
        <v/>
      </c>
      <c r="B746" s="6">
        <f>IF(ALLOCATIONS!A740="","",IFERROR(VLOOKUP(ALLOCATIONS!A740,MAPPING!$A$3:$C$302,3,FALSE),ALLOCATIONS!A740))</f>
        <v/>
      </c>
      <c r="C746" s="6">
        <f>IF(ALLOCATIONS!A740="","",IFERROR(VLOOKUP(ALLOCATIONS!B740,MAPPING!$E$3:$G$302,2,FALSE),"UNMAPPED"))</f>
        <v/>
      </c>
      <c r="D746" s="6">
        <f>IF(ALLOCATIONS!A740="","",IFERROR(IF(VLOOKUP(ALLOCATIONS!B740,MAPPING!$E$3:$G$302,3,FALSE)="","",VLOOKUP(ALLOCATIONS!B740,MAPPING!$E$3:$G$302,3,FALSE)),""))</f>
        <v/>
      </c>
      <c r="E746" s="6">
        <f>IF(ALLOCATIONS!A740="","",ALLOCATIONS!C740)</f>
        <v/>
      </c>
      <c r="F746" s="6">
        <f>IF(ALLOCATIONS!A740="","",IF(ALLOCATIONS!D740="",0,ALLOCATIONS!D740))</f>
        <v/>
      </c>
      <c r="G746" s="6">
        <f>IF(ALLOCATIONS!A740="","",SUMIFS(RAW_004!$I$2:$I$10001,RAW_004!$D$2:$D$10001,ALLOCATIONS!A740,RAW_004!$H$2:$H$10001,ALLOCATIONS!B740,RAW_004!$N$2:$N$10001,ALLOCATIONS!C740))</f>
        <v/>
      </c>
      <c r="H746" s="6">
        <f>IF(A746="","",G746-F746)</f>
        <v/>
      </c>
    </row>
    <row r="747">
      <c r="A747" s="6">
        <f>IF(ALLOCATIONS!A741="","",IFERROR(VLOOKUP(ALLOCATIONS!A741,MAPPING!$A$3:$C$302,2,FALSE),"UNMAPPED"))</f>
        <v/>
      </c>
      <c r="B747" s="6">
        <f>IF(ALLOCATIONS!A741="","",IFERROR(VLOOKUP(ALLOCATIONS!A741,MAPPING!$A$3:$C$302,3,FALSE),ALLOCATIONS!A741))</f>
        <v/>
      </c>
      <c r="C747" s="6">
        <f>IF(ALLOCATIONS!A741="","",IFERROR(VLOOKUP(ALLOCATIONS!B741,MAPPING!$E$3:$G$302,2,FALSE),"UNMAPPED"))</f>
        <v/>
      </c>
      <c r="D747" s="6">
        <f>IF(ALLOCATIONS!A741="","",IFERROR(IF(VLOOKUP(ALLOCATIONS!B741,MAPPING!$E$3:$G$302,3,FALSE)="","",VLOOKUP(ALLOCATIONS!B741,MAPPING!$E$3:$G$302,3,FALSE)),""))</f>
        <v/>
      </c>
      <c r="E747" s="6">
        <f>IF(ALLOCATIONS!A741="","",ALLOCATIONS!C741)</f>
        <v/>
      </c>
      <c r="F747" s="6">
        <f>IF(ALLOCATIONS!A741="","",IF(ALLOCATIONS!D741="",0,ALLOCATIONS!D741))</f>
        <v/>
      </c>
      <c r="G747" s="6">
        <f>IF(ALLOCATIONS!A741="","",SUMIFS(RAW_004!$I$2:$I$10001,RAW_004!$D$2:$D$10001,ALLOCATIONS!A741,RAW_004!$H$2:$H$10001,ALLOCATIONS!B741,RAW_004!$N$2:$N$10001,ALLOCATIONS!C741))</f>
        <v/>
      </c>
      <c r="H747" s="6">
        <f>IF(A747="","",G747-F747)</f>
        <v/>
      </c>
    </row>
    <row r="748">
      <c r="A748" s="6">
        <f>IF(ALLOCATIONS!A742="","",IFERROR(VLOOKUP(ALLOCATIONS!A742,MAPPING!$A$3:$C$302,2,FALSE),"UNMAPPED"))</f>
        <v/>
      </c>
      <c r="B748" s="6">
        <f>IF(ALLOCATIONS!A742="","",IFERROR(VLOOKUP(ALLOCATIONS!A742,MAPPING!$A$3:$C$302,3,FALSE),ALLOCATIONS!A742))</f>
        <v/>
      </c>
      <c r="C748" s="6">
        <f>IF(ALLOCATIONS!A742="","",IFERROR(VLOOKUP(ALLOCATIONS!B742,MAPPING!$E$3:$G$302,2,FALSE),"UNMAPPED"))</f>
        <v/>
      </c>
      <c r="D748" s="6">
        <f>IF(ALLOCATIONS!A742="","",IFERROR(IF(VLOOKUP(ALLOCATIONS!B742,MAPPING!$E$3:$G$302,3,FALSE)="","",VLOOKUP(ALLOCATIONS!B742,MAPPING!$E$3:$G$302,3,FALSE)),""))</f>
        <v/>
      </c>
      <c r="E748" s="6">
        <f>IF(ALLOCATIONS!A742="","",ALLOCATIONS!C742)</f>
        <v/>
      </c>
      <c r="F748" s="6">
        <f>IF(ALLOCATIONS!A742="","",IF(ALLOCATIONS!D742="",0,ALLOCATIONS!D742))</f>
        <v/>
      </c>
      <c r="G748" s="6">
        <f>IF(ALLOCATIONS!A742="","",SUMIFS(RAW_004!$I$2:$I$10001,RAW_004!$D$2:$D$10001,ALLOCATIONS!A742,RAW_004!$H$2:$H$10001,ALLOCATIONS!B742,RAW_004!$N$2:$N$10001,ALLOCATIONS!C742))</f>
        <v/>
      </c>
      <c r="H748" s="6">
        <f>IF(A748="","",G748-F748)</f>
        <v/>
      </c>
    </row>
    <row r="749">
      <c r="A749" s="6">
        <f>IF(ALLOCATIONS!A743="","",IFERROR(VLOOKUP(ALLOCATIONS!A743,MAPPING!$A$3:$C$302,2,FALSE),"UNMAPPED"))</f>
        <v/>
      </c>
      <c r="B749" s="6">
        <f>IF(ALLOCATIONS!A743="","",IFERROR(VLOOKUP(ALLOCATIONS!A743,MAPPING!$A$3:$C$302,3,FALSE),ALLOCATIONS!A743))</f>
        <v/>
      </c>
      <c r="C749" s="6">
        <f>IF(ALLOCATIONS!A743="","",IFERROR(VLOOKUP(ALLOCATIONS!B743,MAPPING!$E$3:$G$302,2,FALSE),"UNMAPPED"))</f>
        <v/>
      </c>
      <c r="D749" s="6">
        <f>IF(ALLOCATIONS!A743="","",IFERROR(IF(VLOOKUP(ALLOCATIONS!B743,MAPPING!$E$3:$G$302,3,FALSE)="","",VLOOKUP(ALLOCATIONS!B743,MAPPING!$E$3:$G$302,3,FALSE)),""))</f>
        <v/>
      </c>
      <c r="E749" s="6">
        <f>IF(ALLOCATIONS!A743="","",ALLOCATIONS!C743)</f>
        <v/>
      </c>
      <c r="F749" s="6">
        <f>IF(ALLOCATIONS!A743="","",IF(ALLOCATIONS!D743="",0,ALLOCATIONS!D743))</f>
        <v/>
      </c>
      <c r="G749" s="6">
        <f>IF(ALLOCATIONS!A743="","",SUMIFS(RAW_004!$I$2:$I$10001,RAW_004!$D$2:$D$10001,ALLOCATIONS!A743,RAW_004!$H$2:$H$10001,ALLOCATIONS!B743,RAW_004!$N$2:$N$10001,ALLOCATIONS!C743))</f>
        <v/>
      </c>
      <c r="H749" s="6">
        <f>IF(A749="","",G749-F749)</f>
        <v/>
      </c>
    </row>
    <row r="750">
      <c r="A750" s="6">
        <f>IF(ALLOCATIONS!A744="","",IFERROR(VLOOKUP(ALLOCATIONS!A744,MAPPING!$A$3:$C$302,2,FALSE),"UNMAPPED"))</f>
        <v/>
      </c>
      <c r="B750" s="6">
        <f>IF(ALLOCATIONS!A744="","",IFERROR(VLOOKUP(ALLOCATIONS!A744,MAPPING!$A$3:$C$302,3,FALSE),ALLOCATIONS!A744))</f>
        <v/>
      </c>
      <c r="C750" s="6">
        <f>IF(ALLOCATIONS!A744="","",IFERROR(VLOOKUP(ALLOCATIONS!B744,MAPPING!$E$3:$G$302,2,FALSE),"UNMAPPED"))</f>
        <v/>
      </c>
      <c r="D750" s="6">
        <f>IF(ALLOCATIONS!A744="","",IFERROR(IF(VLOOKUP(ALLOCATIONS!B744,MAPPING!$E$3:$G$302,3,FALSE)="","",VLOOKUP(ALLOCATIONS!B744,MAPPING!$E$3:$G$302,3,FALSE)),""))</f>
        <v/>
      </c>
      <c r="E750" s="6">
        <f>IF(ALLOCATIONS!A744="","",ALLOCATIONS!C744)</f>
        <v/>
      </c>
      <c r="F750" s="6">
        <f>IF(ALLOCATIONS!A744="","",IF(ALLOCATIONS!D744="",0,ALLOCATIONS!D744))</f>
        <v/>
      </c>
      <c r="G750" s="6">
        <f>IF(ALLOCATIONS!A744="","",SUMIFS(RAW_004!$I$2:$I$10001,RAW_004!$D$2:$D$10001,ALLOCATIONS!A744,RAW_004!$H$2:$H$10001,ALLOCATIONS!B744,RAW_004!$N$2:$N$10001,ALLOCATIONS!C744))</f>
        <v/>
      </c>
      <c r="H750" s="6">
        <f>IF(A750="","",G750-F750)</f>
        <v/>
      </c>
    </row>
    <row r="751">
      <c r="A751" s="6">
        <f>IF(ALLOCATIONS!A745="","",IFERROR(VLOOKUP(ALLOCATIONS!A745,MAPPING!$A$3:$C$302,2,FALSE),"UNMAPPED"))</f>
        <v/>
      </c>
      <c r="B751" s="6">
        <f>IF(ALLOCATIONS!A745="","",IFERROR(VLOOKUP(ALLOCATIONS!A745,MAPPING!$A$3:$C$302,3,FALSE),ALLOCATIONS!A745))</f>
        <v/>
      </c>
      <c r="C751" s="6">
        <f>IF(ALLOCATIONS!A745="","",IFERROR(VLOOKUP(ALLOCATIONS!B745,MAPPING!$E$3:$G$302,2,FALSE),"UNMAPPED"))</f>
        <v/>
      </c>
      <c r="D751" s="6">
        <f>IF(ALLOCATIONS!A745="","",IFERROR(IF(VLOOKUP(ALLOCATIONS!B745,MAPPING!$E$3:$G$302,3,FALSE)="","",VLOOKUP(ALLOCATIONS!B745,MAPPING!$E$3:$G$302,3,FALSE)),""))</f>
        <v/>
      </c>
      <c r="E751" s="6">
        <f>IF(ALLOCATIONS!A745="","",ALLOCATIONS!C745)</f>
        <v/>
      </c>
      <c r="F751" s="6">
        <f>IF(ALLOCATIONS!A745="","",IF(ALLOCATIONS!D745="",0,ALLOCATIONS!D745))</f>
        <v/>
      </c>
      <c r="G751" s="6">
        <f>IF(ALLOCATIONS!A745="","",SUMIFS(RAW_004!$I$2:$I$10001,RAW_004!$D$2:$D$10001,ALLOCATIONS!A745,RAW_004!$H$2:$H$10001,ALLOCATIONS!B745,RAW_004!$N$2:$N$10001,ALLOCATIONS!C745))</f>
        <v/>
      </c>
      <c r="H751" s="6">
        <f>IF(A751="","",G751-F751)</f>
        <v/>
      </c>
    </row>
    <row r="752">
      <c r="A752" s="6">
        <f>IF(ALLOCATIONS!A746="","",IFERROR(VLOOKUP(ALLOCATIONS!A746,MAPPING!$A$3:$C$302,2,FALSE),"UNMAPPED"))</f>
        <v/>
      </c>
      <c r="B752" s="6">
        <f>IF(ALLOCATIONS!A746="","",IFERROR(VLOOKUP(ALLOCATIONS!A746,MAPPING!$A$3:$C$302,3,FALSE),ALLOCATIONS!A746))</f>
        <v/>
      </c>
      <c r="C752" s="6">
        <f>IF(ALLOCATIONS!A746="","",IFERROR(VLOOKUP(ALLOCATIONS!B746,MAPPING!$E$3:$G$302,2,FALSE),"UNMAPPED"))</f>
        <v/>
      </c>
      <c r="D752" s="6">
        <f>IF(ALLOCATIONS!A746="","",IFERROR(IF(VLOOKUP(ALLOCATIONS!B746,MAPPING!$E$3:$G$302,3,FALSE)="","",VLOOKUP(ALLOCATIONS!B746,MAPPING!$E$3:$G$302,3,FALSE)),""))</f>
        <v/>
      </c>
      <c r="E752" s="6">
        <f>IF(ALLOCATIONS!A746="","",ALLOCATIONS!C746)</f>
        <v/>
      </c>
      <c r="F752" s="6">
        <f>IF(ALLOCATIONS!A746="","",IF(ALLOCATIONS!D746="",0,ALLOCATIONS!D746))</f>
        <v/>
      </c>
      <c r="G752" s="6">
        <f>IF(ALLOCATIONS!A746="","",SUMIFS(RAW_004!$I$2:$I$10001,RAW_004!$D$2:$D$10001,ALLOCATIONS!A746,RAW_004!$H$2:$H$10001,ALLOCATIONS!B746,RAW_004!$N$2:$N$10001,ALLOCATIONS!C746))</f>
        <v/>
      </c>
      <c r="H752" s="6">
        <f>IF(A752="","",G752-F752)</f>
        <v/>
      </c>
    </row>
    <row r="753">
      <c r="A753" s="6">
        <f>IF(ALLOCATIONS!A747="","",IFERROR(VLOOKUP(ALLOCATIONS!A747,MAPPING!$A$3:$C$302,2,FALSE),"UNMAPPED"))</f>
        <v/>
      </c>
      <c r="B753" s="6">
        <f>IF(ALLOCATIONS!A747="","",IFERROR(VLOOKUP(ALLOCATIONS!A747,MAPPING!$A$3:$C$302,3,FALSE),ALLOCATIONS!A747))</f>
        <v/>
      </c>
      <c r="C753" s="6">
        <f>IF(ALLOCATIONS!A747="","",IFERROR(VLOOKUP(ALLOCATIONS!B747,MAPPING!$E$3:$G$302,2,FALSE),"UNMAPPED"))</f>
        <v/>
      </c>
      <c r="D753" s="6">
        <f>IF(ALLOCATIONS!A747="","",IFERROR(IF(VLOOKUP(ALLOCATIONS!B747,MAPPING!$E$3:$G$302,3,FALSE)="","",VLOOKUP(ALLOCATIONS!B747,MAPPING!$E$3:$G$302,3,FALSE)),""))</f>
        <v/>
      </c>
      <c r="E753" s="6">
        <f>IF(ALLOCATIONS!A747="","",ALLOCATIONS!C747)</f>
        <v/>
      </c>
      <c r="F753" s="6">
        <f>IF(ALLOCATIONS!A747="","",IF(ALLOCATIONS!D747="",0,ALLOCATIONS!D747))</f>
        <v/>
      </c>
      <c r="G753" s="6">
        <f>IF(ALLOCATIONS!A747="","",SUMIFS(RAW_004!$I$2:$I$10001,RAW_004!$D$2:$D$10001,ALLOCATIONS!A747,RAW_004!$H$2:$H$10001,ALLOCATIONS!B747,RAW_004!$N$2:$N$10001,ALLOCATIONS!C747))</f>
        <v/>
      </c>
      <c r="H753" s="6">
        <f>IF(A753="","",G753-F753)</f>
        <v/>
      </c>
    </row>
    <row r="754">
      <c r="A754" s="6">
        <f>IF(ALLOCATIONS!A748="","",IFERROR(VLOOKUP(ALLOCATIONS!A748,MAPPING!$A$3:$C$302,2,FALSE),"UNMAPPED"))</f>
        <v/>
      </c>
      <c r="B754" s="6">
        <f>IF(ALLOCATIONS!A748="","",IFERROR(VLOOKUP(ALLOCATIONS!A748,MAPPING!$A$3:$C$302,3,FALSE),ALLOCATIONS!A748))</f>
        <v/>
      </c>
      <c r="C754" s="6">
        <f>IF(ALLOCATIONS!A748="","",IFERROR(VLOOKUP(ALLOCATIONS!B748,MAPPING!$E$3:$G$302,2,FALSE),"UNMAPPED"))</f>
        <v/>
      </c>
      <c r="D754" s="6">
        <f>IF(ALLOCATIONS!A748="","",IFERROR(IF(VLOOKUP(ALLOCATIONS!B748,MAPPING!$E$3:$G$302,3,FALSE)="","",VLOOKUP(ALLOCATIONS!B748,MAPPING!$E$3:$G$302,3,FALSE)),""))</f>
        <v/>
      </c>
      <c r="E754" s="6">
        <f>IF(ALLOCATIONS!A748="","",ALLOCATIONS!C748)</f>
        <v/>
      </c>
      <c r="F754" s="6">
        <f>IF(ALLOCATIONS!A748="","",IF(ALLOCATIONS!D748="",0,ALLOCATIONS!D748))</f>
        <v/>
      </c>
      <c r="G754" s="6">
        <f>IF(ALLOCATIONS!A748="","",SUMIFS(RAW_004!$I$2:$I$10001,RAW_004!$D$2:$D$10001,ALLOCATIONS!A748,RAW_004!$H$2:$H$10001,ALLOCATIONS!B748,RAW_004!$N$2:$N$10001,ALLOCATIONS!C748))</f>
        <v/>
      </c>
      <c r="H754" s="6">
        <f>IF(A754="","",G754-F754)</f>
        <v/>
      </c>
    </row>
    <row r="755">
      <c r="A755" s="6">
        <f>IF(ALLOCATIONS!A749="","",IFERROR(VLOOKUP(ALLOCATIONS!A749,MAPPING!$A$3:$C$302,2,FALSE),"UNMAPPED"))</f>
        <v/>
      </c>
      <c r="B755" s="6">
        <f>IF(ALLOCATIONS!A749="","",IFERROR(VLOOKUP(ALLOCATIONS!A749,MAPPING!$A$3:$C$302,3,FALSE),ALLOCATIONS!A749))</f>
        <v/>
      </c>
      <c r="C755" s="6">
        <f>IF(ALLOCATIONS!A749="","",IFERROR(VLOOKUP(ALLOCATIONS!B749,MAPPING!$E$3:$G$302,2,FALSE),"UNMAPPED"))</f>
        <v/>
      </c>
      <c r="D755" s="6">
        <f>IF(ALLOCATIONS!A749="","",IFERROR(IF(VLOOKUP(ALLOCATIONS!B749,MAPPING!$E$3:$G$302,3,FALSE)="","",VLOOKUP(ALLOCATIONS!B749,MAPPING!$E$3:$G$302,3,FALSE)),""))</f>
        <v/>
      </c>
      <c r="E755" s="6">
        <f>IF(ALLOCATIONS!A749="","",ALLOCATIONS!C749)</f>
        <v/>
      </c>
      <c r="F755" s="6">
        <f>IF(ALLOCATIONS!A749="","",IF(ALLOCATIONS!D749="",0,ALLOCATIONS!D749))</f>
        <v/>
      </c>
      <c r="G755" s="6">
        <f>IF(ALLOCATIONS!A749="","",SUMIFS(RAW_004!$I$2:$I$10001,RAW_004!$D$2:$D$10001,ALLOCATIONS!A749,RAW_004!$H$2:$H$10001,ALLOCATIONS!B749,RAW_004!$N$2:$N$10001,ALLOCATIONS!C749))</f>
        <v/>
      </c>
      <c r="H755" s="6">
        <f>IF(A755="","",G755-F755)</f>
        <v/>
      </c>
    </row>
    <row r="756">
      <c r="A756" s="6">
        <f>IF(ALLOCATIONS!A750="","",IFERROR(VLOOKUP(ALLOCATIONS!A750,MAPPING!$A$3:$C$302,2,FALSE),"UNMAPPED"))</f>
        <v/>
      </c>
      <c r="B756" s="6">
        <f>IF(ALLOCATIONS!A750="","",IFERROR(VLOOKUP(ALLOCATIONS!A750,MAPPING!$A$3:$C$302,3,FALSE),ALLOCATIONS!A750))</f>
        <v/>
      </c>
      <c r="C756" s="6">
        <f>IF(ALLOCATIONS!A750="","",IFERROR(VLOOKUP(ALLOCATIONS!B750,MAPPING!$E$3:$G$302,2,FALSE),"UNMAPPED"))</f>
        <v/>
      </c>
      <c r="D756" s="6">
        <f>IF(ALLOCATIONS!A750="","",IFERROR(IF(VLOOKUP(ALLOCATIONS!B750,MAPPING!$E$3:$G$302,3,FALSE)="","",VLOOKUP(ALLOCATIONS!B750,MAPPING!$E$3:$G$302,3,FALSE)),""))</f>
        <v/>
      </c>
      <c r="E756" s="6">
        <f>IF(ALLOCATIONS!A750="","",ALLOCATIONS!C750)</f>
        <v/>
      </c>
      <c r="F756" s="6">
        <f>IF(ALLOCATIONS!A750="","",IF(ALLOCATIONS!D750="",0,ALLOCATIONS!D750))</f>
        <v/>
      </c>
      <c r="G756" s="6">
        <f>IF(ALLOCATIONS!A750="","",SUMIFS(RAW_004!$I$2:$I$10001,RAW_004!$D$2:$D$10001,ALLOCATIONS!A750,RAW_004!$H$2:$H$10001,ALLOCATIONS!B750,RAW_004!$N$2:$N$10001,ALLOCATIONS!C750))</f>
        <v/>
      </c>
      <c r="H756" s="6">
        <f>IF(A756="","",G756-F756)</f>
        <v/>
      </c>
    </row>
    <row r="757">
      <c r="A757" s="6">
        <f>IF(ALLOCATIONS!A751="","",IFERROR(VLOOKUP(ALLOCATIONS!A751,MAPPING!$A$3:$C$302,2,FALSE),"UNMAPPED"))</f>
        <v/>
      </c>
      <c r="B757" s="6">
        <f>IF(ALLOCATIONS!A751="","",IFERROR(VLOOKUP(ALLOCATIONS!A751,MAPPING!$A$3:$C$302,3,FALSE),ALLOCATIONS!A751))</f>
        <v/>
      </c>
      <c r="C757" s="6">
        <f>IF(ALLOCATIONS!A751="","",IFERROR(VLOOKUP(ALLOCATIONS!B751,MAPPING!$E$3:$G$302,2,FALSE),"UNMAPPED"))</f>
        <v/>
      </c>
      <c r="D757" s="6">
        <f>IF(ALLOCATIONS!A751="","",IFERROR(IF(VLOOKUP(ALLOCATIONS!B751,MAPPING!$E$3:$G$302,3,FALSE)="","",VLOOKUP(ALLOCATIONS!B751,MAPPING!$E$3:$G$302,3,FALSE)),""))</f>
        <v/>
      </c>
      <c r="E757" s="6">
        <f>IF(ALLOCATIONS!A751="","",ALLOCATIONS!C751)</f>
        <v/>
      </c>
      <c r="F757" s="6">
        <f>IF(ALLOCATIONS!A751="","",IF(ALLOCATIONS!D751="",0,ALLOCATIONS!D751))</f>
        <v/>
      </c>
      <c r="G757" s="6">
        <f>IF(ALLOCATIONS!A751="","",SUMIFS(RAW_004!$I$2:$I$10001,RAW_004!$D$2:$D$10001,ALLOCATIONS!A751,RAW_004!$H$2:$H$10001,ALLOCATIONS!B751,RAW_004!$N$2:$N$10001,ALLOCATIONS!C751))</f>
        <v/>
      </c>
      <c r="H757" s="6">
        <f>IF(A757="","",G757-F757)</f>
        <v/>
      </c>
    </row>
    <row r="758">
      <c r="A758" s="6">
        <f>IF(ALLOCATIONS!A752="","",IFERROR(VLOOKUP(ALLOCATIONS!A752,MAPPING!$A$3:$C$302,2,FALSE),"UNMAPPED"))</f>
        <v/>
      </c>
      <c r="B758" s="6">
        <f>IF(ALLOCATIONS!A752="","",IFERROR(VLOOKUP(ALLOCATIONS!A752,MAPPING!$A$3:$C$302,3,FALSE),ALLOCATIONS!A752))</f>
        <v/>
      </c>
      <c r="C758" s="6">
        <f>IF(ALLOCATIONS!A752="","",IFERROR(VLOOKUP(ALLOCATIONS!B752,MAPPING!$E$3:$G$302,2,FALSE),"UNMAPPED"))</f>
        <v/>
      </c>
      <c r="D758" s="6">
        <f>IF(ALLOCATIONS!A752="","",IFERROR(IF(VLOOKUP(ALLOCATIONS!B752,MAPPING!$E$3:$G$302,3,FALSE)="","",VLOOKUP(ALLOCATIONS!B752,MAPPING!$E$3:$G$302,3,FALSE)),""))</f>
        <v/>
      </c>
      <c r="E758" s="6">
        <f>IF(ALLOCATIONS!A752="","",ALLOCATIONS!C752)</f>
        <v/>
      </c>
      <c r="F758" s="6">
        <f>IF(ALLOCATIONS!A752="","",IF(ALLOCATIONS!D752="",0,ALLOCATIONS!D752))</f>
        <v/>
      </c>
      <c r="G758" s="6">
        <f>IF(ALLOCATIONS!A752="","",SUMIFS(RAW_004!$I$2:$I$10001,RAW_004!$D$2:$D$10001,ALLOCATIONS!A752,RAW_004!$H$2:$H$10001,ALLOCATIONS!B752,RAW_004!$N$2:$N$10001,ALLOCATIONS!C752))</f>
        <v/>
      </c>
      <c r="H758" s="6">
        <f>IF(A758="","",G758-F758)</f>
        <v/>
      </c>
    </row>
    <row r="759">
      <c r="A759" s="6">
        <f>IF(ALLOCATIONS!A753="","",IFERROR(VLOOKUP(ALLOCATIONS!A753,MAPPING!$A$3:$C$302,2,FALSE),"UNMAPPED"))</f>
        <v/>
      </c>
      <c r="B759" s="6">
        <f>IF(ALLOCATIONS!A753="","",IFERROR(VLOOKUP(ALLOCATIONS!A753,MAPPING!$A$3:$C$302,3,FALSE),ALLOCATIONS!A753))</f>
        <v/>
      </c>
      <c r="C759" s="6">
        <f>IF(ALLOCATIONS!A753="","",IFERROR(VLOOKUP(ALLOCATIONS!B753,MAPPING!$E$3:$G$302,2,FALSE),"UNMAPPED"))</f>
        <v/>
      </c>
      <c r="D759" s="6">
        <f>IF(ALLOCATIONS!A753="","",IFERROR(IF(VLOOKUP(ALLOCATIONS!B753,MAPPING!$E$3:$G$302,3,FALSE)="","",VLOOKUP(ALLOCATIONS!B753,MAPPING!$E$3:$G$302,3,FALSE)),""))</f>
        <v/>
      </c>
      <c r="E759" s="6">
        <f>IF(ALLOCATIONS!A753="","",ALLOCATIONS!C753)</f>
        <v/>
      </c>
      <c r="F759" s="6">
        <f>IF(ALLOCATIONS!A753="","",IF(ALLOCATIONS!D753="",0,ALLOCATIONS!D753))</f>
        <v/>
      </c>
      <c r="G759" s="6">
        <f>IF(ALLOCATIONS!A753="","",SUMIFS(RAW_004!$I$2:$I$10001,RAW_004!$D$2:$D$10001,ALLOCATIONS!A753,RAW_004!$H$2:$H$10001,ALLOCATIONS!B753,RAW_004!$N$2:$N$10001,ALLOCATIONS!C753))</f>
        <v/>
      </c>
      <c r="H759" s="6">
        <f>IF(A759="","",G759-F759)</f>
        <v/>
      </c>
    </row>
    <row r="760">
      <c r="A760" s="6">
        <f>IF(ALLOCATIONS!A754="","",IFERROR(VLOOKUP(ALLOCATIONS!A754,MAPPING!$A$3:$C$302,2,FALSE),"UNMAPPED"))</f>
        <v/>
      </c>
      <c r="B760" s="6">
        <f>IF(ALLOCATIONS!A754="","",IFERROR(VLOOKUP(ALLOCATIONS!A754,MAPPING!$A$3:$C$302,3,FALSE),ALLOCATIONS!A754))</f>
        <v/>
      </c>
      <c r="C760" s="6">
        <f>IF(ALLOCATIONS!A754="","",IFERROR(VLOOKUP(ALLOCATIONS!B754,MAPPING!$E$3:$G$302,2,FALSE),"UNMAPPED"))</f>
        <v/>
      </c>
      <c r="D760" s="6">
        <f>IF(ALLOCATIONS!A754="","",IFERROR(IF(VLOOKUP(ALLOCATIONS!B754,MAPPING!$E$3:$G$302,3,FALSE)="","",VLOOKUP(ALLOCATIONS!B754,MAPPING!$E$3:$G$302,3,FALSE)),""))</f>
        <v/>
      </c>
      <c r="E760" s="6">
        <f>IF(ALLOCATIONS!A754="","",ALLOCATIONS!C754)</f>
        <v/>
      </c>
      <c r="F760" s="6">
        <f>IF(ALLOCATIONS!A754="","",IF(ALLOCATIONS!D754="",0,ALLOCATIONS!D754))</f>
        <v/>
      </c>
      <c r="G760" s="6">
        <f>IF(ALLOCATIONS!A754="","",SUMIFS(RAW_004!$I$2:$I$10001,RAW_004!$D$2:$D$10001,ALLOCATIONS!A754,RAW_004!$H$2:$H$10001,ALLOCATIONS!B754,RAW_004!$N$2:$N$10001,ALLOCATIONS!C754))</f>
        <v/>
      </c>
      <c r="H760" s="6">
        <f>IF(A760="","",G760-F760)</f>
        <v/>
      </c>
    </row>
    <row r="761">
      <c r="A761" s="6">
        <f>IF(ALLOCATIONS!A755="","",IFERROR(VLOOKUP(ALLOCATIONS!A755,MAPPING!$A$3:$C$302,2,FALSE),"UNMAPPED"))</f>
        <v/>
      </c>
      <c r="B761" s="6">
        <f>IF(ALLOCATIONS!A755="","",IFERROR(VLOOKUP(ALLOCATIONS!A755,MAPPING!$A$3:$C$302,3,FALSE),ALLOCATIONS!A755))</f>
        <v/>
      </c>
      <c r="C761" s="6">
        <f>IF(ALLOCATIONS!A755="","",IFERROR(VLOOKUP(ALLOCATIONS!B755,MAPPING!$E$3:$G$302,2,FALSE),"UNMAPPED"))</f>
        <v/>
      </c>
      <c r="D761" s="6">
        <f>IF(ALLOCATIONS!A755="","",IFERROR(IF(VLOOKUP(ALLOCATIONS!B755,MAPPING!$E$3:$G$302,3,FALSE)="","",VLOOKUP(ALLOCATIONS!B755,MAPPING!$E$3:$G$302,3,FALSE)),""))</f>
        <v/>
      </c>
      <c r="E761" s="6">
        <f>IF(ALLOCATIONS!A755="","",ALLOCATIONS!C755)</f>
        <v/>
      </c>
      <c r="F761" s="6">
        <f>IF(ALLOCATIONS!A755="","",IF(ALLOCATIONS!D755="",0,ALLOCATIONS!D755))</f>
        <v/>
      </c>
      <c r="G761" s="6">
        <f>IF(ALLOCATIONS!A755="","",SUMIFS(RAW_004!$I$2:$I$10001,RAW_004!$D$2:$D$10001,ALLOCATIONS!A755,RAW_004!$H$2:$H$10001,ALLOCATIONS!B755,RAW_004!$N$2:$N$10001,ALLOCATIONS!C755))</f>
        <v/>
      </c>
      <c r="H761" s="6">
        <f>IF(A761="","",G761-F761)</f>
        <v/>
      </c>
    </row>
    <row r="762">
      <c r="A762" s="6">
        <f>IF(ALLOCATIONS!A756="","",IFERROR(VLOOKUP(ALLOCATIONS!A756,MAPPING!$A$3:$C$302,2,FALSE),"UNMAPPED"))</f>
        <v/>
      </c>
      <c r="B762" s="6">
        <f>IF(ALLOCATIONS!A756="","",IFERROR(VLOOKUP(ALLOCATIONS!A756,MAPPING!$A$3:$C$302,3,FALSE),ALLOCATIONS!A756))</f>
        <v/>
      </c>
      <c r="C762" s="6">
        <f>IF(ALLOCATIONS!A756="","",IFERROR(VLOOKUP(ALLOCATIONS!B756,MAPPING!$E$3:$G$302,2,FALSE),"UNMAPPED"))</f>
        <v/>
      </c>
      <c r="D762" s="6">
        <f>IF(ALLOCATIONS!A756="","",IFERROR(IF(VLOOKUP(ALLOCATIONS!B756,MAPPING!$E$3:$G$302,3,FALSE)="","",VLOOKUP(ALLOCATIONS!B756,MAPPING!$E$3:$G$302,3,FALSE)),""))</f>
        <v/>
      </c>
      <c r="E762" s="6">
        <f>IF(ALLOCATIONS!A756="","",ALLOCATIONS!C756)</f>
        <v/>
      </c>
      <c r="F762" s="6">
        <f>IF(ALLOCATIONS!A756="","",IF(ALLOCATIONS!D756="",0,ALLOCATIONS!D756))</f>
        <v/>
      </c>
      <c r="G762" s="6">
        <f>IF(ALLOCATIONS!A756="","",SUMIFS(RAW_004!$I$2:$I$10001,RAW_004!$D$2:$D$10001,ALLOCATIONS!A756,RAW_004!$H$2:$H$10001,ALLOCATIONS!B756,RAW_004!$N$2:$N$10001,ALLOCATIONS!C756))</f>
        <v/>
      </c>
      <c r="H762" s="6">
        <f>IF(A762="","",G762-F762)</f>
        <v/>
      </c>
    </row>
    <row r="763">
      <c r="A763" s="6">
        <f>IF(ALLOCATIONS!A757="","",IFERROR(VLOOKUP(ALLOCATIONS!A757,MAPPING!$A$3:$C$302,2,FALSE),"UNMAPPED"))</f>
        <v/>
      </c>
      <c r="B763" s="6">
        <f>IF(ALLOCATIONS!A757="","",IFERROR(VLOOKUP(ALLOCATIONS!A757,MAPPING!$A$3:$C$302,3,FALSE),ALLOCATIONS!A757))</f>
        <v/>
      </c>
      <c r="C763" s="6">
        <f>IF(ALLOCATIONS!A757="","",IFERROR(VLOOKUP(ALLOCATIONS!B757,MAPPING!$E$3:$G$302,2,FALSE),"UNMAPPED"))</f>
        <v/>
      </c>
      <c r="D763" s="6">
        <f>IF(ALLOCATIONS!A757="","",IFERROR(IF(VLOOKUP(ALLOCATIONS!B757,MAPPING!$E$3:$G$302,3,FALSE)="","",VLOOKUP(ALLOCATIONS!B757,MAPPING!$E$3:$G$302,3,FALSE)),""))</f>
        <v/>
      </c>
      <c r="E763" s="6">
        <f>IF(ALLOCATIONS!A757="","",ALLOCATIONS!C757)</f>
        <v/>
      </c>
      <c r="F763" s="6">
        <f>IF(ALLOCATIONS!A757="","",IF(ALLOCATIONS!D757="",0,ALLOCATIONS!D757))</f>
        <v/>
      </c>
      <c r="G763" s="6">
        <f>IF(ALLOCATIONS!A757="","",SUMIFS(RAW_004!$I$2:$I$10001,RAW_004!$D$2:$D$10001,ALLOCATIONS!A757,RAW_004!$H$2:$H$10001,ALLOCATIONS!B757,RAW_004!$N$2:$N$10001,ALLOCATIONS!C757))</f>
        <v/>
      </c>
      <c r="H763" s="6">
        <f>IF(A763="","",G763-F763)</f>
        <v/>
      </c>
    </row>
    <row r="764">
      <c r="A764" s="6">
        <f>IF(ALLOCATIONS!A758="","",IFERROR(VLOOKUP(ALLOCATIONS!A758,MAPPING!$A$3:$C$302,2,FALSE),"UNMAPPED"))</f>
        <v/>
      </c>
      <c r="B764" s="6">
        <f>IF(ALLOCATIONS!A758="","",IFERROR(VLOOKUP(ALLOCATIONS!A758,MAPPING!$A$3:$C$302,3,FALSE),ALLOCATIONS!A758))</f>
        <v/>
      </c>
      <c r="C764" s="6">
        <f>IF(ALLOCATIONS!A758="","",IFERROR(VLOOKUP(ALLOCATIONS!B758,MAPPING!$E$3:$G$302,2,FALSE),"UNMAPPED"))</f>
        <v/>
      </c>
      <c r="D764" s="6">
        <f>IF(ALLOCATIONS!A758="","",IFERROR(IF(VLOOKUP(ALLOCATIONS!B758,MAPPING!$E$3:$G$302,3,FALSE)="","",VLOOKUP(ALLOCATIONS!B758,MAPPING!$E$3:$G$302,3,FALSE)),""))</f>
        <v/>
      </c>
      <c r="E764" s="6">
        <f>IF(ALLOCATIONS!A758="","",ALLOCATIONS!C758)</f>
        <v/>
      </c>
      <c r="F764" s="6">
        <f>IF(ALLOCATIONS!A758="","",IF(ALLOCATIONS!D758="",0,ALLOCATIONS!D758))</f>
        <v/>
      </c>
      <c r="G764" s="6">
        <f>IF(ALLOCATIONS!A758="","",SUMIFS(RAW_004!$I$2:$I$10001,RAW_004!$D$2:$D$10001,ALLOCATIONS!A758,RAW_004!$H$2:$H$10001,ALLOCATIONS!B758,RAW_004!$N$2:$N$10001,ALLOCATIONS!C758))</f>
        <v/>
      </c>
      <c r="H764" s="6">
        <f>IF(A764="","",G764-F764)</f>
        <v/>
      </c>
    </row>
    <row r="765">
      <c r="A765" s="6">
        <f>IF(ALLOCATIONS!A759="","",IFERROR(VLOOKUP(ALLOCATIONS!A759,MAPPING!$A$3:$C$302,2,FALSE),"UNMAPPED"))</f>
        <v/>
      </c>
      <c r="B765" s="6">
        <f>IF(ALLOCATIONS!A759="","",IFERROR(VLOOKUP(ALLOCATIONS!A759,MAPPING!$A$3:$C$302,3,FALSE),ALLOCATIONS!A759))</f>
        <v/>
      </c>
      <c r="C765" s="6">
        <f>IF(ALLOCATIONS!A759="","",IFERROR(VLOOKUP(ALLOCATIONS!B759,MAPPING!$E$3:$G$302,2,FALSE),"UNMAPPED"))</f>
        <v/>
      </c>
      <c r="D765" s="6">
        <f>IF(ALLOCATIONS!A759="","",IFERROR(IF(VLOOKUP(ALLOCATIONS!B759,MAPPING!$E$3:$G$302,3,FALSE)="","",VLOOKUP(ALLOCATIONS!B759,MAPPING!$E$3:$G$302,3,FALSE)),""))</f>
        <v/>
      </c>
      <c r="E765" s="6">
        <f>IF(ALLOCATIONS!A759="","",ALLOCATIONS!C759)</f>
        <v/>
      </c>
      <c r="F765" s="6">
        <f>IF(ALLOCATIONS!A759="","",IF(ALLOCATIONS!D759="",0,ALLOCATIONS!D759))</f>
        <v/>
      </c>
      <c r="G765" s="6">
        <f>IF(ALLOCATIONS!A759="","",SUMIFS(RAW_004!$I$2:$I$10001,RAW_004!$D$2:$D$10001,ALLOCATIONS!A759,RAW_004!$H$2:$H$10001,ALLOCATIONS!B759,RAW_004!$N$2:$N$10001,ALLOCATIONS!C759))</f>
        <v/>
      </c>
      <c r="H765" s="6">
        <f>IF(A765="","",G765-F765)</f>
        <v/>
      </c>
    </row>
    <row r="766">
      <c r="A766" s="6">
        <f>IF(ALLOCATIONS!A760="","",IFERROR(VLOOKUP(ALLOCATIONS!A760,MAPPING!$A$3:$C$302,2,FALSE),"UNMAPPED"))</f>
        <v/>
      </c>
      <c r="B766" s="6">
        <f>IF(ALLOCATIONS!A760="","",IFERROR(VLOOKUP(ALLOCATIONS!A760,MAPPING!$A$3:$C$302,3,FALSE),ALLOCATIONS!A760))</f>
        <v/>
      </c>
      <c r="C766" s="6">
        <f>IF(ALLOCATIONS!A760="","",IFERROR(VLOOKUP(ALLOCATIONS!B760,MAPPING!$E$3:$G$302,2,FALSE),"UNMAPPED"))</f>
        <v/>
      </c>
      <c r="D766" s="6">
        <f>IF(ALLOCATIONS!A760="","",IFERROR(IF(VLOOKUP(ALLOCATIONS!B760,MAPPING!$E$3:$G$302,3,FALSE)="","",VLOOKUP(ALLOCATIONS!B760,MAPPING!$E$3:$G$302,3,FALSE)),""))</f>
        <v/>
      </c>
      <c r="E766" s="6">
        <f>IF(ALLOCATIONS!A760="","",ALLOCATIONS!C760)</f>
        <v/>
      </c>
      <c r="F766" s="6">
        <f>IF(ALLOCATIONS!A760="","",IF(ALLOCATIONS!D760="",0,ALLOCATIONS!D760))</f>
        <v/>
      </c>
      <c r="G766" s="6">
        <f>IF(ALLOCATIONS!A760="","",SUMIFS(RAW_004!$I$2:$I$10001,RAW_004!$D$2:$D$10001,ALLOCATIONS!A760,RAW_004!$H$2:$H$10001,ALLOCATIONS!B760,RAW_004!$N$2:$N$10001,ALLOCATIONS!C760))</f>
        <v/>
      </c>
      <c r="H766" s="6">
        <f>IF(A766="","",G766-F766)</f>
        <v/>
      </c>
    </row>
    <row r="767">
      <c r="A767" s="6">
        <f>IF(ALLOCATIONS!A761="","",IFERROR(VLOOKUP(ALLOCATIONS!A761,MAPPING!$A$3:$C$302,2,FALSE),"UNMAPPED"))</f>
        <v/>
      </c>
      <c r="B767" s="6">
        <f>IF(ALLOCATIONS!A761="","",IFERROR(VLOOKUP(ALLOCATIONS!A761,MAPPING!$A$3:$C$302,3,FALSE),ALLOCATIONS!A761))</f>
        <v/>
      </c>
      <c r="C767" s="6">
        <f>IF(ALLOCATIONS!A761="","",IFERROR(VLOOKUP(ALLOCATIONS!B761,MAPPING!$E$3:$G$302,2,FALSE),"UNMAPPED"))</f>
        <v/>
      </c>
      <c r="D767" s="6">
        <f>IF(ALLOCATIONS!A761="","",IFERROR(IF(VLOOKUP(ALLOCATIONS!B761,MAPPING!$E$3:$G$302,3,FALSE)="","",VLOOKUP(ALLOCATIONS!B761,MAPPING!$E$3:$G$302,3,FALSE)),""))</f>
        <v/>
      </c>
      <c r="E767" s="6">
        <f>IF(ALLOCATIONS!A761="","",ALLOCATIONS!C761)</f>
        <v/>
      </c>
      <c r="F767" s="6">
        <f>IF(ALLOCATIONS!A761="","",IF(ALLOCATIONS!D761="",0,ALLOCATIONS!D761))</f>
        <v/>
      </c>
      <c r="G767" s="6">
        <f>IF(ALLOCATIONS!A761="","",SUMIFS(RAW_004!$I$2:$I$10001,RAW_004!$D$2:$D$10001,ALLOCATIONS!A761,RAW_004!$H$2:$H$10001,ALLOCATIONS!B761,RAW_004!$N$2:$N$10001,ALLOCATIONS!C761))</f>
        <v/>
      </c>
      <c r="H767" s="6">
        <f>IF(A767="","",G767-F767)</f>
        <v/>
      </c>
    </row>
    <row r="768">
      <c r="A768" s="6">
        <f>IF(ALLOCATIONS!A762="","",IFERROR(VLOOKUP(ALLOCATIONS!A762,MAPPING!$A$3:$C$302,2,FALSE),"UNMAPPED"))</f>
        <v/>
      </c>
      <c r="B768" s="6">
        <f>IF(ALLOCATIONS!A762="","",IFERROR(VLOOKUP(ALLOCATIONS!A762,MAPPING!$A$3:$C$302,3,FALSE),ALLOCATIONS!A762))</f>
        <v/>
      </c>
      <c r="C768" s="6">
        <f>IF(ALLOCATIONS!A762="","",IFERROR(VLOOKUP(ALLOCATIONS!B762,MAPPING!$E$3:$G$302,2,FALSE),"UNMAPPED"))</f>
        <v/>
      </c>
      <c r="D768" s="6">
        <f>IF(ALLOCATIONS!A762="","",IFERROR(IF(VLOOKUP(ALLOCATIONS!B762,MAPPING!$E$3:$G$302,3,FALSE)="","",VLOOKUP(ALLOCATIONS!B762,MAPPING!$E$3:$G$302,3,FALSE)),""))</f>
        <v/>
      </c>
      <c r="E768" s="6">
        <f>IF(ALLOCATIONS!A762="","",ALLOCATIONS!C762)</f>
        <v/>
      </c>
      <c r="F768" s="6">
        <f>IF(ALLOCATIONS!A762="","",IF(ALLOCATIONS!D762="",0,ALLOCATIONS!D762))</f>
        <v/>
      </c>
      <c r="G768" s="6">
        <f>IF(ALLOCATIONS!A762="","",SUMIFS(RAW_004!$I$2:$I$10001,RAW_004!$D$2:$D$10001,ALLOCATIONS!A762,RAW_004!$H$2:$H$10001,ALLOCATIONS!B762,RAW_004!$N$2:$N$10001,ALLOCATIONS!C762))</f>
        <v/>
      </c>
      <c r="H768" s="6">
        <f>IF(A768="","",G768-F768)</f>
        <v/>
      </c>
    </row>
    <row r="769">
      <c r="A769" s="6">
        <f>IF(ALLOCATIONS!A763="","",IFERROR(VLOOKUP(ALLOCATIONS!A763,MAPPING!$A$3:$C$302,2,FALSE),"UNMAPPED"))</f>
        <v/>
      </c>
      <c r="B769" s="6">
        <f>IF(ALLOCATIONS!A763="","",IFERROR(VLOOKUP(ALLOCATIONS!A763,MAPPING!$A$3:$C$302,3,FALSE),ALLOCATIONS!A763))</f>
        <v/>
      </c>
      <c r="C769" s="6">
        <f>IF(ALLOCATIONS!A763="","",IFERROR(VLOOKUP(ALLOCATIONS!B763,MAPPING!$E$3:$G$302,2,FALSE),"UNMAPPED"))</f>
        <v/>
      </c>
      <c r="D769" s="6">
        <f>IF(ALLOCATIONS!A763="","",IFERROR(IF(VLOOKUP(ALLOCATIONS!B763,MAPPING!$E$3:$G$302,3,FALSE)="","",VLOOKUP(ALLOCATIONS!B763,MAPPING!$E$3:$G$302,3,FALSE)),""))</f>
        <v/>
      </c>
      <c r="E769" s="6">
        <f>IF(ALLOCATIONS!A763="","",ALLOCATIONS!C763)</f>
        <v/>
      </c>
      <c r="F769" s="6">
        <f>IF(ALLOCATIONS!A763="","",IF(ALLOCATIONS!D763="",0,ALLOCATIONS!D763))</f>
        <v/>
      </c>
      <c r="G769" s="6">
        <f>IF(ALLOCATIONS!A763="","",SUMIFS(RAW_004!$I$2:$I$10001,RAW_004!$D$2:$D$10001,ALLOCATIONS!A763,RAW_004!$H$2:$H$10001,ALLOCATIONS!B763,RAW_004!$N$2:$N$10001,ALLOCATIONS!C763))</f>
        <v/>
      </c>
      <c r="H769" s="6">
        <f>IF(A769="","",G769-F769)</f>
        <v/>
      </c>
    </row>
    <row r="770">
      <c r="A770" s="6">
        <f>IF(ALLOCATIONS!A764="","",IFERROR(VLOOKUP(ALLOCATIONS!A764,MAPPING!$A$3:$C$302,2,FALSE),"UNMAPPED"))</f>
        <v/>
      </c>
      <c r="B770" s="6">
        <f>IF(ALLOCATIONS!A764="","",IFERROR(VLOOKUP(ALLOCATIONS!A764,MAPPING!$A$3:$C$302,3,FALSE),ALLOCATIONS!A764))</f>
        <v/>
      </c>
      <c r="C770" s="6">
        <f>IF(ALLOCATIONS!A764="","",IFERROR(VLOOKUP(ALLOCATIONS!B764,MAPPING!$E$3:$G$302,2,FALSE),"UNMAPPED"))</f>
        <v/>
      </c>
      <c r="D770" s="6">
        <f>IF(ALLOCATIONS!A764="","",IFERROR(IF(VLOOKUP(ALLOCATIONS!B764,MAPPING!$E$3:$G$302,3,FALSE)="","",VLOOKUP(ALLOCATIONS!B764,MAPPING!$E$3:$G$302,3,FALSE)),""))</f>
        <v/>
      </c>
      <c r="E770" s="6">
        <f>IF(ALLOCATIONS!A764="","",ALLOCATIONS!C764)</f>
        <v/>
      </c>
      <c r="F770" s="6">
        <f>IF(ALLOCATIONS!A764="","",IF(ALLOCATIONS!D764="",0,ALLOCATIONS!D764))</f>
        <v/>
      </c>
      <c r="G770" s="6">
        <f>IF(ALLOCATIONS!A764="","",SUMIFS(RAW_004!$I$2:$I$10001,RAW_004!$D$2:$D$10001,ALLOCATIONS!A764,RAW_004!$H$2:$H$10001,ALLOCATIONS!B764,RAW_004!$N$2:$N$10001,ALLOCATIONS!C764))</f>
        <v/>
      </c>
      <c r="H770" s="6">
        <f>IF(A770="","",G770-F770)</f>
        <v/>
      </c>
    </row>
    <row r="771">
      <c r="A771" s="6">
        <f>IF(ALLOCATIONS!A765="","",IFERROR(VLOOKUP(ALLOCATIONS!A765,MAPPING!$A$3:$C$302,2,FALSE),"UNMAPPED"))</f>
        <v/>
      </c>
      <c r="B771" s="6">
        <f>IF(ALLOCATIONS!A765="","",IFERROR(VLOOKUP(ALLOCATIONS!A765,MAPPING!$A$3:$C$302,3,FALSE),ALLOCATIONS!A765))</f>
        <v/>
      </c>
      <c r="C771" s="6">
        <f>IF(ALLOCATIONS!A765="","",IFERROR(VLOOKUP(ALLOCATIONS!B765,MAPPING!$E$3:$G$302,2,FALSE),"UNMAPPED"))</f>
        <v/>
      </c>
      <c r="D771" s="6">
        <f>IF(ALLOCATIONS!A765="","",IFERROR(IF(VLOOKUP(ALLOCATIONS!B765,MAPPING!$E$3:$G$302,3,FALSE)="","",VLOOKUP(ALLOCATIONS!B765,MAPPING!$E$3:$G$302,3,FALSE)),""))</f>
        <v/>
      </c>
      <c r="E771" s="6">
        <f>IF(ALLOCATIONS!A765="","",ALLOCATIONS!C765)</f>
        <v/>
      </c>
      <c r="F771" s="6">
        <f>IF(ALLOCATIONS!A765="","",IF(ALLOCATIONS!D765="",0,ALLOCATIONS!D765))</f>
        <v/>
      </c>
      <c r="G771" s="6">
        <f>IF(ALLOCATIONS!A765="","",SUMIFS(RAW_004!$I$2:$I$10001,RAW_004!$D$2:$D$10001,ALLOCATIONS!A765,RAW_004!$H$2:$H$10001,ALLOCATIONS!B765,RAW_004!$N$2:$N$10001,ALLOCATIONS!C765))</f>
        <v/>
      </c>
      <c r="H771" s="6">
        <f>IF(A771="","",G771-F771)</f>
        <v/>
      </c>
    </row>
    <row r="772">
      <c r="A772" s="6">
        <f>IF(ALLOCATIONS!A766="","",IFERROR(VLOOKUP(ALLOCATIONS!A766,MAPPING!$A$3:$C$302,2,FALSE),"UNMAPPED"))</f>
        <v/>
      </c>
      <c r="B772" s="6">
        <f>IF(ALLOCATIONS!A766="","",IFERROR(VLOOKUP(ALLOCATIONS!A766,MAPPING!$A$3:$C$302,3,FALSE),ALLOCATIONS!A766))</f>
        <v/>
      </c>
      <c r="C772" s="6">
        <f>IF(ALLOCATIONS!A766="","",IFERROR(VLOOKUP(ALLOCATIONS!B766,MAPPING!$E$3:$G$302,2,FALSE),"UNMAPPED"))</f>
        <v/>
      </c>
      <c r="D772" s="6">
        <f>IF(ALLOCATIONS!A766="","",IFERROR(IF(VLOOKUP(ALLOCATIONS!B766,MAPPING!$E$3:$G$302,3,FALSE)="","",VLOOKUP(ALLOCATIONS!B766,MAPPING!$E$3:$G$302,3,FALSE)),""))</f>
        <v/>
      </c>
      <c r="E772" s="6">
        <f>IF(ALLOCATIONS!A766="","",ALLOCATIONS!C766)</f>
        <v/>
      </c>
      <c r="F772" s="6">
        <f>IF(ALLOCATIONS!A766="","",IF(ALLOCATIONS!D766="",0,ALLOCATIONS!D766))</f>
        <v/>
      </c>
      <c r="G772" s="6">
        <f>IF(ALLOCATIONS!A766="","",SUMIFS(RAW_004!$I$2:$I$10001,RAW_004!$D$2:$D$10001,ALLOCATIONS!A766,RAW_004!$H$2:$H$10001,ALLOCATIONS!B766,RAW_004!$N$2:$N$10001,ALLOCATIONS!C766))</f>
        <v/>
      </c>
      <c r="H772" s="6">
        <f>IF(A772="","",G772-F772)</f>
        <v/>
      </c>
    </row>
    <row r="773">
      <c r="A773" s="6">
        <f>IF(ALLOCATIONS!A767="","",IFERROR(VLOOKUP(ALLOCATIONS!A767,MAPPING!$A$3:$C$302,2,FALSE),"UNMAPPED"))</f>
        <v/>
      </c>
      <c r="B773" s="6">
        <f>IF(ALLOCATIONS!A767="","",IFERROR(VLOOKUP(ALLOCATIONS!A767,MAPPING!$A$3:$C$302,3,FALSE),ALLOCATIONS!A767))</f>
        <v/>
      </c>
      <c r="C773" s="6">
        <f>IF(ALLOCATIONS!A767="","",IFERROR(VLOOKUP(ALLOCATIONS!B767,MAPPING!$E$3:$G$302,2,FALSE),"UNMAPPED"))</f>
        <v/>
      </c>
      <c r="D773" s="6">
        <f>IF(ALLOCATIONS!A767="","",IFERROR(IF(VLOOKUP(ALLOCATIONS!B767,MAPPING!$E$3:$G$302,3,FALSE)="","",VLOOKUP(ALLOCATIONS!B767,MAPPING!$E$3:$G$302,3,FALSE)),""))</f>
        <v/>
      </c>
      <c r="E773" s="6">
        <f>IF(ALLOCATIONS!A767="","",ALLOCATIONS!C767)</f>
        <v/>
      </c>
      <c r="F773" s="6">
        <f>IF(ALLOCATIONS!A767="","",IF(ALLOCATIONS!D767="",0,ALLOCATIONS!D767))</f>
        <v/>
      </c>
      <c r="G773" s="6">
        <f>IF(ALLOCATIONS!A767="","",SUMIFS(RAW_004!$I$2:$I$10001,RAW_004!$D$2:$D$10001,ALLOCATIONS!A767,RAW_004!$H$2:$H$10001,ALLOCATIONS!B767,RAW_004!$N$2:$N$10001,ALLOCATIONS!C767))</f>
        <v/>
      </c>
      <c r="H773" s="6">
        <f>IF(A773="","",G773-F773)</f>
        <v/>
      </c>
    </row>
    <row r="774">
      <c r="A774" s="6">
        <f>IF(ALLOCATIONS!A768="","",IFERROR(VLOOKUP(ALLOCATIONS!A768,MAPPING!$A$3:$C$302,2,FALSE),"UNMAPPED"))</f>
        <v/>
      </c>
      <c r="B774" s="6">
        <f>IF(ALLOCATIONS!A768="","",IFERROR(VLOOKUP(ALLOCATIONS!A768,MAPPING!$A$3:$C$302,3,FALSE),ALLOCATIONS!A768))</f>
        <v/>
      </c>
      <c r="C774" s="6">
        <f>IF(ALLOCATIONS!A768="","",IFERROR(VLOOKUP(ALLOCATIONS!B768,MAPPING!$E$3:$G$302,2,FALSE),"UNMAPPED"))</f>
        <v/>
      </c>
      <c r="D774" s="6">
        <f>IF(ALLOCATIONS!A768="","",IFERROR(IF(VLOOKUP(ALLOCATIONS!B768,MAPPING!$E$3:$G$302,3,FALSE)="","",VLOOKUP(ALLOCATIONS!B768,MAPPING!$E$3:$G$302,3,FALSE)),""))</f>
        <v/>
      </c>
      <c r="E774" s="6">
        <f>IF(ALLOCATIONS!A768="","",ALLOCATIONS!C768)</f>
        <v/>
      </c>
      <c r="F774" s="6">
        <f>IF(ALLOCATIONS!A768="","",IF(ALLOCATIONS!D768="",0,ALLOCATIONS!D768))</f>
        <v/>
      </c>
      <c r="G774" s="6">
        <f>IF(ALLOCATIONS!A768="","",SUMIFS(RAW_004!$I$2:$I$10001,RAW_004!$D$2:$D$10001,ALLOCATIONS!A768,RAW_004!$H$2:$H$10001,ALLOCATIONS!B768,RAW_004!$N$2:$N$10001,ALLOCATIONS!C768))</f>
        <v/>
      </c>
      <c r="H774" s="6">
        <f>IF(A774="","",G774-F774)</f>
        <v/>
      </c>
    </row>
    <row r="775">
      <c r="A775" s="6">
        <f>IF(ALLOCATIONS!A769="","",IFERROR(VLOOKUP(ALLOCATIONS!A769,MAPPING!$A$3:$C$302,2,FALSE),"UNMAPPED"))</f>
        <v/>
      </c>
      <c r="B775" s="6">
        <f>IF(ALLOCATIONS!A769="","",IFERROR(VLOOKUP(ALLOCATIONS!A769,MAPPING!$A$3:$C$302,3,FALSE),ALLOCATIONS!A769))</f>
        <v/>
      </c>
      <c r="C775" s="6">
        <f>IF(ALLOCATIONS!A769="","",IFERROR(VLOOKUP(ALLOCATIONS!B769,MAPPING!$E$3:$G$302,2,FALSE),"UNMAPPED"))</f>
        <v/>
      </c>
      <c r="D775" s="6">
        <f>IF(ALLOCATIONS!A769="","",IFERROR(IF(VLOOKUP(ALLOCATIONS!B769,MAPPING!$E$3:$G$302,3,FALSE)="","",VLOOKUP(ALLOCATIONS!B769,MAPPING!$E$3:$G$302,3,FALSE)),""))</f>
        <v/>
      </c>
      <c r="E775" s="6">
        <f>IF(ALLOCATIONS!A769="","",ALLOCATIONS!C769)</f>
        <v/>
      </c>
      <c r="F775" s="6">
        <f>IF(ALLOCATIONS!A769="","",IF(ALLOCATIONS!D769="",0,ALLOCATIONS!D769))</f>
        <v/>
      </c>
      <c r="G775" s="6">
        <f>IF(ALLOCATIONS!A769="","",SUMIFS(RAW_004!$I$2:$I$10001,RAW_004!$D$2:$D$10001,ALLOCATIONS!A769,RAW_004!$H$2:$H$10001,ALLOCATIONS!B769,RAW_004!$N$2:$N$10001,ALLOCATIONS!C769))</f>
        <v/>
      </c>
      <c r="H775" s="6">
        <f>IF(A775="","",G775-F775)</f>
        <v/>
      </c>
    </row>
    <row r="776">
      <c r="A776" s="6">
        <f>IF(ALLOCATIONS!A770="","",IFERROR(VLOOKUP(ALLOCATIONS!A770,MAPPING!$A$3:$C$302,2,FALSE),"UNMAPPED"))</f>
        <v/>
      </c>
      <c r="B776" s="6">
        <f>IF(ALLOCATIONS!A770="","",IFERROR(VLOOKUP(ALLOCATIONS!A770,MAPPING!$A$3:$C$302,3,FALSE),ALLOCATIONS!A770))</f>
        <v/>
      </c>
      <c r="C776" s="6">
        <f>IF(ALLOCATIONS!A770="","",IFERROR(VLOOKUP(ALLOCATIONS!B770,MAPPING!$E$3:$G$302,2,FALSE),"UNMAPPED"))</f>
        <v/>
      </c>
      <c r="D776" s="6">
        <f>IF(ALLOCATIONS!A770="","",IFERROR(IF(VLOOKUP(ALLOCATIONS!B770,MAPPING!$E$3:$G$302,3,FALSE)="","",VLOOKUP(ALLOCATIONS!B770,MAPPING!$E$3:$G$302,3,FALSE)),""))</f>
        <v/>
      </c>
      <c r="E776" s="6">
        <f>IF(ALLOCATIONS!A770="","",ALLOCATIONS!C770)</f>
        <v/>
      </c>
      <c r="F776" s="6">
        <f>IF(ALLOCATIONS!A770="","",IF(ALLOCATIONS!D770="",0,ALLOCATIONS!D770))</f>
        <v/>
      </c>
      <c r="G776" s="6">
        <f>IF(ALLOCATIONS!A770="","",SUMIFS(RAW_004!$I$2:$I$10001,RAW_004!$D$2:$D$10001,ALLOCATIONS!A770,RAW_004!$H$2:$H$10001,ALLOCATIONS!B770,RAW_004!$N$2:$N$10001,ALLOCATIONS!C770))</f>
        <v/>
      </c>
      <c r="H776" s="6">
        <f>IF(A776="","",G776-F776)</f>
        <v/>
      </c>
    </row>
    <row r="777">
      <c r="A777" s="6">
        <f>IF(ALLOCATIONS!A771="","",IFERROR(VLOOKUP(ALLOCATIONS!A771,MAPPING!$A$3:$C$302,2,FALSE),"UNMAPPED"))</f>
        <v/>
      </c>
      <c r="B777" s="6">
        <f>IF(ALLOCATIONS!A771="","",IFERROR(VLOOKUP(ALLOCATIONS!A771,MAPPING!$A$3:$C$302,3,FALSE),ALLOCATIONS!A771))</f>
        <v/>
      </c>
      <c r="C777" s="6">
        <f>IF(ALLOCATIONS!A771="","",IFERROR(VLOOKUP(ALLOCATIONS!B771,MAPPING!$E$3:$G$302,2,FALSE),"UNMAPPED"))</f>
        <v/>
      </c>
      <c r="D777" s="6">
        <f>IF(ALLOCATIONS!A771="","",IFERROR(IF(VLOOKUP(ALLOCATIONS!B771,MAPPING!$E$3:$G$302,3,FALSE)="","",VLOOKUP(ALLOCATIONS!B771,MAPPING!$E$3:$G$302,3,FALSE)),""))</f>
        <v/>
      </c>
      <c r="E777" s="6">
        <f>IF(ALLOCATIONS!A771="","",ALLOCATIONS!C771)</f>
        <v/>
      </c>
      <c r="F777" s="6">
        <f>IF(ALLOCATIONS!A771="","",IF(ALLOCATIONS!D771="",0,ALLOCATIONS!D771))</f>
        <v/>
      </c>
      <c r="G777" s="6">
        <f>IF(ALLOCATIONS!A771="","",SUMIFS(RAW_004!$I$2:$I$10001,RAW_004!$D$2:$D$10001,ALLOCATIONS!A771,RAW_004!$H$2:$H$10001,ALLOCATIONS!B771,RAW_004!$N$2:$N$10001,ALLOCATIONS!C771))</f>
        <v/>
      </c>
      <c r="H777" s="6">
        <f>IF(A777="","",G777-F777)</f>
        <v/>
      </c>
    </row>
    <row r="778">
      <c r="A778" s="6">
        <f>IF(ALLOCATIONS!A772="","",IFERROR(VLOOKUP(ALLOCATIONS!A772,MAPPING!$A$3:$C$302,2,FALSE),"UNMAPPED"))</f>
        <v/>
      </c>
      <c r="B778" s="6">
        <f>IF(ALLOCATIONS!A772="","",IFERROR(VLOOKUP(ALLOCATIONS!A772,MAPPING!$A$3:$C$302,3,FALSE),ALLOCATIONS!A772))</f>
        <v/>
      </c>
      <c r="C778" s="6">
        <f>IF(ALLOCATIONS!A772="","",IFERROR(VLOOKUP(ALLOCATIONS!B772,MAPPING!$E$3:$G$302,2,FALSE),"UNMAPPED"))</f>
        <v/>
      </c>
      <c r="D778" s="6">
        <f>IF(ALLOCATIONS!A772="","",IFERROR(IF(VLOOKUP(ALLOCATIONS!B772,MAPPING!$E$3:$G$302,3,FALSE)="","",VLOOKUP(ALLOCATIONS!B772,MAPPING!$E$3:$G$302,3,FALSE)),""))</f>
        <v/>
      </c>
      <c r="E778" s="6">
        <f>IF(ALLOCATIONS!A772="","",ALLOCATIONS!C772)</f>
        <v/>
      </c>
      <c r="F778" s="6">
        <f>IF(ALLOCATIONS!A772="","",IF(ALLOCATIONS!D772="",0,ALLOCATIONS!D772))</f>
        <v/>
      </c>
      <c r="G778" s="6">
        <f>IF(ALLOCATIONS!A772="","",SUMIFS(RAW_004!$I$2:$I$10001,RAW_004!$D$2:$D$10001,ALLOCATIONS!A772,RAW_004!$H$2:$H$10001,ALLOCATIONS!B772,RAW_004!$N$2:$N$10001,ALLOCATIONS!C772))</f>
        <v/>
      </c>
      <c r="H778" s="6">
        <f>IF(A778="","",G778-F778)</f>
        <v/>
      </c>
    </row>
    <row r="779">
      <c r="A779" s="6">
        <f>IF(ALLOCATIONS!A773="","",IFERROR(VLOOKUP(ALLOCATIONS!A773,MAPPING!$A$3:$C$302,2,FALSE),"UNMAPPED"))</f>
        <v/>
      </c>
      <c r="B779" s="6">
        <f>IF(ALLOCATIONS!A773="","",IFERROR(VLOOKUP(ALLOCATIONS!A773,MAPPING!$A$3:$C$302,3,FALSE),ALLOCATIONS!A773))</f>
        <v/>
      </c>
      <c r="C779" s="6">
        <f>IF(ALLOCATIONS!A773="","",IFERROR(VLOOKUP(ALLOCATIONS!B773,MAPPING!$E$3:$G$302,2,FALSE),"UNMAPPED"))</f>
        <v/>
      </c>
      <c r="D779" s="6">
        <f>IF(ALLOCATIONS!A773="","",IFERROR(IF(VLOOKUP(ALLOCATIONS!B773,MAPPING!$E$3:$G$302,3,FALSE)="","",VLOOKUP(ALLOCATIONS!B773,MAPPING!$E$3:$G$302,3,FALSE)),""))</f>
        <v/>
      </c>
      <c r="E779" s="6">
        <f>IF(ALLOCATIONS!A773="","",ALLOCATIONS!C773)</f>
        <v/>
      </c>
      <c r="F779" s="6">
        <f>IF(ALLOCATIONS!A773="","",IF(ALLOCATIONS!D773="",0,ALLOCATIONS!D773))</f>
        <v/>
      </c>
      <c r="G779" s="6">
        <f>IF(ALLOCATIONS!A773="","",SUMIFS(RAW_004!$I$2:$I$10001,RAW_004!$D$2:$D$10001,ALLOCATIONS!A773,RAW_004!$H$2:$H$10001,ALLOCATIONS!B773,RAW_004!$N$2:$N$10001,ALLOCATIONS!C773))</f>
        <v/>
      </c>
      <c r="H779" s="6">
        <f>IF(A779="","",G779-F779)</f>
        <v/>
      </c>
    </row>
    <row r="780">
      <c r="A780" s="6">
        <f>IF(ALLOCATIONS!A774="","",IFERROR(VLOOKUP(ALLOCATIONS!A774,MAPPING!$A$3:$C$302,2,FALSE),"UNMAPPED"))</f>
        <v/>
      </c>
      <c r="B780" s="6">
        <f>IF(ALLOCATIONS!A774="","",IFERROR(VLOOKUP(ALLOCATIONS!A774,MAPPING!$A$3:$C$302,3,FALSE),ALLOCATIONS!A774))</f>
        <v/>
      </c>
      <c r="C780" s="6">
        <f>IF(ALLOCATIONS!A774="","",IFERROR(VLOOKUP(ALLOCATIONS!B774,MAPPING!$E$3:$G$302,2,FALSE),"UNMAPPED"))</f>
        <v/>
      </c>
      <c r="D780" s="6">
        <f>IF(ALLOCATIONS!A774="","",IFERROR(IF(VLOOKUP(ALLOCATIONS!B774,MAPPING!$E$3:$G$302,3,FALSE)="","",VLOOKUP(ALLOCATIONS!B774,MAPPING!$E$3:$G$302,3,FALSE)),""))</f>
        <v/>
      </c>
      <c r="E780" s="6">
        <f>IF(ALLOCATIONS!A774="","",ALLOCATIONS!C774)</f>
        <v/>
      </c>
      <c r="F780" s="6">
        <f>IF(ALLOCATIONS!A774="","",IF(ALLOCATIONS!D774="",0,ALLOCATIONS!D774))</f>
        <v/>
      </c>
      <c r="G780" s="6">
        <f>IF(ALLOCATIONS!A774="","",SUMIFS(RAW_004!$I$2:$I$10001,RAW_004!$D$2:$D$10001,ALLOCATIONS!A774,RAW_004!$H$2:$H$10001,ALLOCATIONS!B774,RAW_004!$N$2:$N$10001,ALLOCATIONS!C774))</f>
        <v/>
      </c>
      <c r="H780" s="6">
        <f>IF(A780="","",G780-F780)</f>
        <v/>
      </c>
    </row>
    <row r="781">
      <c r="A781" s="6">
        <f>IF(ALLOCATIONS!A775="","",IFERROR(VLOOKUP(ALLOCATIONS!A775,MAPPING!$A$3:$C$302,2,FALSE),"UNMAPPED"))</f>
        <v/>
      </c>
      <c r="B781" s="6">
        <f>IF(ALLOCATIONS!A775="","",IFERROR(VLOOKUP(ALLOCATIONS!A775,MAPPING!$A$3:$C$302,3,FALSE),ALLOCATIONS!A775))</f>
        <v/>
      </c>
      <c r="C781" s="6">
        <f>IF(ALLOCATIONS!A775="","",IFERROR(VLOOKUP(ALLOCATIONS!B775,MAPPING!$E$3:$G$302,2,FALSE),"UNMAPPED"))</f>
        <v/>
      </c>
      <c r="D781" s="6">
        <f>IF(ALLOCATIONS!A775="","",IFERROR(IF(VLOOKUP(ALLOCATIONS!B775,MAPPING!$E$3:$G$302,3,FALSE)="","",VLOOKUP(ALLOCATIONS!B775,MAPPING!$E$3:$G$302,3,FALSE)),""))</f>
        <v/>
      </c>
      <c r="E781" s="6">
        <f>IF(ALLOCATIONS!A775="","",ALLOCATIONS!C775)</f>
        <v/>
      </c>
      <c r="F781" s="6">
        <f>IF(ALLOCATIONS!A775="","",IF(ALLOCATIONS!D775="",0,ALLOCATIONS!D775))</f>
        <v/>
      </c>
      <c r="G781" s="6">
        <f>IF(ALLOCATIONS!A775="","",SUMIFS(RAW_004!$I$2:$I$10001,RAW_004!$D$2:$D$10001,ALLOCATIONS!A775,RAW_004!$H$2:$H$10001,ALLOCATIONS!B775,RAW_004!$N$2:$N$10001,ALLOCATIONS!C775))</f>
        <v/>
      </c>
      <c r="H781" s="6">
        <f>IF(A781="","",G781-F781)</f>
        <v/>
      </c>
    </row>
    <row r="782">
      <c r="A782" s="6">
        <f>IF(ALLOCATIONS!A776="","",IFERROR(VLOOKUP(ALLOCATIONS!A776,MAPPING!$A$3:$C$302,2,FALSE),"UNMAPPED"))</f>
        <v/>
      </c>
      <c r="B782" s="6">
        <f>IF(ALLOCATIONS!A776="","",IFERROR(VLOOKUP(ALLOCATIONS!A776,MAPPING!$A$3:$C$302,3,FALSE),ALLOCATIONS!A776))</f>
        <v/>
      </c>
      <c r="C782" s="6">
        <f>IF(ALLOCATIONS!A776="","",IFERROR(VLOOKUP(ALLOCATIONS!B776,MAPPING!$E$3:$G$302,2,FALSE),"UNMAPPED"))</f>
        <v/>
      </c>
      <c r="D782" s="6">
        <f>IF(ALLOCATIONS!A776="","",IFERROR(IF(VLOOKUP(ALLOCATIONS!B776,MAPPING!$E$3:$G$302,3,FALSE)="","",VLOOKUP(ALLOCATIONS!B776,MAPPING!$E$3:$G$302,3,FALSE)),""))</f>
        <v/>
      </c>
      <c r="E782" s="6">
        <f>IF(ALLOCATIONS!A776="","",ALLOCATIONS!C776)</f>
        <v/>
      </c>
      <c r="F782" s="6">
        <f>IF(ALLOCATIONS!A776="","",IF(ALLOCATIONS!D776="",0,ALLOCATIONS!D776))</f>
        <v/>
      </c>
      <c r="G782" s="6">
        <f>IF(ALLOCATIONS!A776="","",SUMIFS(RAW_004!$I$2:$I$10001,RAW_004!$D$2:$D$10001,ALLOCATIONS!A776,RAW_004!$H$2:$H$10001,ALLOCATIONS!B776,RAW_004!$N$2:$N$10001,ALLOCATIONS!C776))</f>
        <v/>
      </c>
      <c r="H782" s="6">
        <f>IF(A782="","",G782-F782)</f>
        <v/>
      </c>
    </row>
    <row r="783">
      <c r="A783" s="6">
        <f>IF(ALLOCATIONS!A777="","",IFERROR(VLOOKUP(ALLOCATIONS!A777,MAPPING!$A$3:$C$302,2,FALSE),"UNMAPPED"))</f>
        <v/>
      </c>
      <c r="B783" s="6">
        <f>IF(ALLOCATIONS!A777="","",IFERROR(VLOOKUP(ALLOCATIONS!A777,MAPPING!$A$3:$C$302,3,FALSE),ALLOCATIONS!A777))</f>
        <v/>
      </c>
      <c r="C783" s="6">
        <f>IF(ALLOCATIONS!A777="","",IFERROR(VLOOKUP(ALLOCATIONS!B777,MAPPING!$E$3:$G$302,2,FALSE),"UNMAPPED"))</f>
        <v/>
      </c>
      <c r="D783" s="6">
        <f>IF(ALLOCATIONS!A777="","",IFERROR(IF(VLOOKUP(ALLOCATIONS!B777,MAPPING!$E$3:$G$302,3,FALSE)="","",VLOOKUP(ALLOCATIONS!B777,MAPPING!$E$3:$G$302,3,FALSE)),""))</f>
        <v/>
      </c>
      <c r="E783" s="6">
        <f>IF(ALLOCATIONS!A777="","",ALLOCATIONS!C777)</f>
        <v/>
      </c>
      <c r="F783" s="6">
        <f>IF(ALLOCATIONS!A777="","",IF(ALLOCATIONS!D777="",0,ALLOCATIONS!D777))</f>
        <v/>
      </c>
      <c r="G783" s="6">
        <f>IF(ALLOCATIONS!A777="","",SUMIFS(RAW_004!$I$2:$I$10001,RAW_004!$D$2:$D$10001,ALLOCATIONS!A777,RAW_004!$H$2:$H$10001,ALLOCATIONS!B777,RAW_004!$N$2:$N$10001,ALLOCATIONS!C777))</f>
        <v/>
      </c>
      <c r="H783" s="6">
        <f>IF(A783="","",G783-F783)</f>
        <v/>
      </c>
    </row>
    <row r="784">
      <c r="A784" s="6">
        <f>IF(ALLOCATIONS!A778="","",IFERROR(VLOOKUP(ALLOCATIONS!A778,MAPPING!$A$3:$C$302,2,FALSE),"UNMAPPED"))</f>
        <v/>
      </c>
      <c r="B784" s="6">
        <f>IF(ALLOCATIONS!A778="","",IFERROR(VLOOKUP(ALLOCATIONS!A778,MAPPING!$A$3:$C$302,3,FALSE),ALLOCATIONS!A778))</f>
        <v/>
      </c>
      <c r="C784" s="6">
        <f>IF(ALLOCATIONS!A778="","",IFERROR(VLOOKUP(ALLOCATIONS!B778,MAPPING!$E$3:$G$302,2,FALSE),"UNMAPPED"))</f>
        <v/>
      </c>
      <c r="D784" s="6">
        <f>IF(ALLOCATIONS!A778="","",IFERROR(IF(VLOOKUP(ALLOCATIONS!B778,MAPPING!$E$3:$G$302,3,FALSE)="","",VLOOKUP(ALLOCATIONS!B778,MAPPING!$E$3:$G$302,3,FALSE)),""))</f>
        <v/>
      </c>
      <c r="E784" s="6">
        <f>IF(ALLOCATIONS!A778="","",ALLOCATIONS!C778)</f>
        <v/>
      </c>
      <c r="F784" s="6">
        <f>IF(ALLOCATIONS!A778="","",IF(ALLOCATIONS!D778="",0,ALLOCATIONS!D778))</f>
        <v/>
      </c>
      <c r="G784" s="6">
        <f>IF(ALLOCATIONS!A778="","",SUMIFS(RAW_004!$I$2:$I$10001,RAW_004!$D$2:$D$10001,ALLOCATIONS!A778,RAW_004!$H$2:$H$10001,ALLOCATIONS!B778,RAW_004!$N$2:$N$10001,ALLOCATIONS!C778))</f>
        <v/>
      </c>
      <c r="H784" s="6">
        <f>IF(A784="","",G784-F784)</f>
        <v/>
      </c>
    </row>
    <row r="785">
      <c r="A785" s="6">
        <f>IF(ALLOCATIONS!A779="","",IFERROR(VLOOKUP(ALLOCATIONS!A779,MAPPING!$A$3:$C$302,2,FALSE),"UNMAPPED"))</f>
        <v/>
      </c>
      <c r="B785" s="6">
        <f>IF(ALLOCATIONS!A779="","",IFERROR(VLOOKUP(ALLOCATIONS!A779,MAPPING!$A$3:$C$302,3,FALSE),ALLOCATIONS!A779))</f>
        <v/>
      </c>
      <c r="C785" s="6">
        <f>IF(ALLOCATIONS!A779="","",IFERROR(VLOOKUP(ALLOCATIONS!B779,MAPPING!$E$3:$G$302,2,FALSE),"UNMAPPED"))</f>
        <v/>
      </c>
      <c r="D785" s="6">
        <f>IF(ALLOCATIONS!A779="","",IFERROR(IF(VLOOKUP(ALLOCATIONS!B779,MAPPING!$E$3:$G$302,3,FALSE)="","",VLOOKUP(ALLOCATIONS!B779,MAPPING!$E$3:$G$302,3,FALSE)),""))</f>
        <v/>
      </c>
      <c r="E785" s="6">
        <f>IF(ALLOCATIONS!A779="","",ALLOCATIONS!C779)</f>
        <v/>
      </c>
      <c r="F785" s="6">
        <f>IF(ALLOCATIONS!A779="","",IF(ALLOCATIONS!D779="",0,ALLOCATIONS!D779))</f>
        <v/>
      </c>
      <c r="G785" s="6">
        <f>IF(ALLOCATIONS!A779="","",SUMIFS(RAW_004!$I$2:$I$10001,RAW_004!$D$2:$D$10001,ALLOCATIONS!A779,RAW_004!$H$2:$H$10001,ALLOCATIONS!B779,RAW_004!$N$2:$N$10001,ALLOCATIONS!C779))</f>
        <v/>
      </c>
      <c r="H785" s="6">
        <f>IF(A785="","",G785-F785)</f>
        <v/>
      </c>
    </row>
    <row r="786">
      <c r="A786" s="6">
        <f>IF(ALLOCATIONS!A780="","",IFERROR(VLOOKUP(ALLOCATIONS!A780,MAPPING!$A$3:$C$302,2,FALSE),"UNMAPPED"))</f>
        <v/>
      </c>
      <c r="B786" s="6">
        <f>IF(ALLOCATIONS!A780="","",IFERROR(VLOOKUP(ALLOCATIONS!A780,MAPPING!$A$3:$C$302,3,FALSE),ALLOCATIONS!A780))</f>
        <v/>
      </c>
      <c r="C786" s="6">
        <f>IF(ALLOCATIONS!A780="","",IFERROR(VLOOKUP(ALLOCATIONS!B780,MAPPING!$E$3:$G$302,2,FALSE),"UNMAPPED"))</f>
        <v/>
      </c>
      <c r="D786" s="6">
        <f>IF(ALLOCATIONS!A780="","",IFERROR(IF(VLOOKUP(ALLOCATIONS!B780,MAPPING!$E$3:$G$302,3,FALSE)="","",VLOOKUP(ALLOCATIONS!B780,MAPPING!$E$3:$G$302,3,FALSE)),""))</f>
        <v/>
      </c>
      <c r="E786" s="6">
        <f>IF(ALLOCATIONS!A780="","",ALLOCATIONS!C780)</f>
        <v/>
      </c>
      <c r="F786" s="6">
        <f>IF(ALLOCATIONS!A780="","",IF(ALLOCATIONS!D780="",0,ALLOCATIONS!D780))</f>
        <v/>
      </c>
      <c r="G786" s="6">
        <f>IF(ALLOCATIONS!A780="","",SUMIFS(RAW_004!$I$2:$I$10001,RAW_004!$D$2:$D$10001,ALLOCATIONS!A780,RAW_004!$H$2:$H$10001,ALLOCATIONS!B780,RAW_004!$N$2:$N$10001,ALLOCATIONS!C780))</f>
        <v/>
      </c>
      <c r="H786" s="6">
        <f>IF(A786="","",G786-F786)</f>
        <v/>
      </c>
    </row>
    <row r="787">
      <c r="A787" s="6">
        <f>IF(ALLOCATIONS!A781="","",IFERROR(VLOOKUP(ALLOCATIONS!A781,MAPPING!$A$3:$C$302,2,FALSE),"UNMAPPED"))</f>
        <v/>
      </c>
      <c r="B787" s="6">
        <f>IF(ALLOCATIONS!A781="","",IFERROR(VLOOKUP(ALLOCATIONS!A781,MAPPING!$A$3:$C$302,3,FALSE),ALLOCATIONS!A781))</f>
        <v/>
      </c>
      <c r="C787" s="6">
        <f>IF(ALLOCATIONS!A781="","",IFERROR(VLOOKUP(ALLOCATIONS!B781,MAPPING!$E$3:$G$302,2,FALSE),"UNMAPPED"))</f>
        <v/>
      </c>
      <c r="D787" s="6">
        <f>IF(ALLOCATIONS!A781="","",IFERROR(IF(VLOOKUP(ALLOCATIONS!B781,MAPPING!$E$3:$G$302,3,FALSE)="","",VLOOKUP(ALLOCATIONS!B781,MAPPING!$E$3:$G$302,3,FALSE)),""))</f>
        <v/>
      </c>
      <c r="E787" s="6">
        <f>IF(ALLOCATIONS!A781="","",ALLOCATIONS!C781)</f>
        <v/>
      </c>
      <c r="F787" s="6">
        <f>IF(ALLOCATIONS!A781="","",IF(ALLOCATIONS!D781="",0,ALLOCATIONS!D781))</f>
        <v/>
      </c>
      <c r="G787" s="6">
        <f>IF(ALLOCATIONS!A781="","",SUMIFS(RAW_004!$I$2:$I$10001,RAW_004!$D$2:$D$10001,ALLOCATIONS!A781,RAW_004!$H$2:$H$10001,ALLOCATIONS!B781,RAW_004!$N$2:$N$10001,ALLOCATIONS!C781))</f>
        <v/>
      </c>
      <c r="H787" s="6">
        <f>IF(A787="","",G787-F787)</f>
        <v/>
      </c>
    </row>
    <row r="788">
      <c r="A788" s="6">
        <f>IF(ALLOCATIONS!A782="","",IFERROR(VLOOKUP(ALLOCATIONS!A782,MAPPING!$A$3:$C$302,2,FALSE),"UNMAPPED"))</f>
        <v/>
      </c>
      <c r="B788" s="6">
        <f>IF(ALLOCATIONS!A782="","",IFERROR(VLOOKUP(ALLOCATIONS!A782,MAPPING!$A$3:$C$302,3,FALSE),ALLOCATIONS!A782))</f>
        <v/>
      </c>
      <c r="C788" s="6">
        <f>IF(ALLOCATIONS!A782="","",IFERROR(VLOOKUP(ALLOCATIONS!B782,MAPPING!$E$3:$G$302,2,FALSE),"UNMAPPED"))</f>
        <v/>
      </c>
      <c r="D788" s="6">
        <f>IF(ALLOCATIONS!A782="","",IFERROR(IF(VLOOKUP(ALLOCATIONS!B782,MAPPING!$E$3:$G$302,3,FALSE)="","",VLOOKUP(ALLOCATIONS!B782,MAPPING!$E$3:$G$302,3,FALSE)),""))</f>
        <v/>
      </c>
      <c r="E788" s="6">
        <f>IF(ALLOCATIONS!A782="","",ALLOCATIONS!C782)</f>
        <v/>
      </c>
      <c r="F788" s="6">
        <f>IF(ALLOCATIONS!A782="","",IF(ALLOCATIONS!D782="",0,ALLOCATIONS!D782))</f>
        <v/>
      </c>
      <c r="G788" s="6">
        <f>IF(ALLOCATIONS!A782="","",SUMIFS(RAW_004!$I$2:$I$10001,RAW_004!$D$2:$D$10001,ALLOCATIONS!A782,RAW_004!$H$2:$H$10001,ALLOCATIONS!B782,RAW_004!$N$2:$N$10001,ALLOCATIONS!C782))</f>
        <v/>
      </c>
      <c r="H788" s="6">
        <f>IF(A788="","",G788-F788)</f>
        <v/>
      </c>
    </row>
    <row r="789">
      <c r="A789" s="6">
        <f>IF(ALLOCATIONS!A783="","",IFERROR(VLOOKUP(ALLOCATIONS!A783,MAPPING!$A$3:$C$302,2,FALSE),"UNMAPPED"))</f>
        <v/>
      </c>
      <c r="B789" s="6">
        <f>IF(ALLOCATIONS!A783="","",IFERROR(VLOOKUP(ALLOCATIONS!A783,MAPPING!$A$3:$C$302,3,FALSE),ALLOCATIONS!A783))</f>
        <v/>
      </c>
      <c r="C789" s="6">
        <f>IF(ALLOCATIONS!A783="","",IFERROR(VLOOKUP(ALLOCATIONS!B783,MAPPING!$E$3:$G$302,2,FALSE),"UNMAPPED"))</f>
        <v/>
      </c>
      <c r="D789" s="6">
        <f>IF(ALLOCATIONS!A783="","",IFERROR(IF(VLOOKUP(ALLOCATIONS!B783,MAPPING!$E$3:$G$302,3,FALSE)="","",VLOOKUP(ALLOCATIONS!B783,MAPPING!$E$3:$G$302,3,FALSE)),""))</f>
        <v/>
      </c>
      <c r="E789" s="6">
        <f>IF(ALLOCATIONS!A783="","",ALLOCATIONS!C783)</f>
        <v/>
      </c>
      <c r="F789" s="6">
        <f>IF(ALLOCATIONS!A783="","",IF(ALLOCATIONS!D783="",0,ALLOCATIONS!D783))</f>
        <v/>
      </c>
      <c r="G789" s="6">
        <f>IF(ALLOCATIONS!A783="","",SUMIFS(RAW_004!$I$2:$I$10001,RAW_004!$D$2:$D$10001,ALLOCATIONS!A783,RAW_004!$H$2:$H$10001,ALLOCATIONS!B783,RAW_004!$N$2:$N$10001,ALLOCATIONS!C783))</f>
        <v/>
      </c>
      <c r="H789" s="6">
        <f>IF(A789="","",G789-F789)</f>
        <v/>
      </c>
    </row>
    <row r="790">
      <c r="A790" s="6">
        <f>IF(ALLOCATIONS!A784="","",IFERROR(VLOOKUP(ALLOCATIONS!A784,MAPPING!$A$3:$C$302,2,FALSE),"UNMAPPED"))</f>
        <v/>
      </c>
      <c r="B790" s="6">
        <f>IF(ALLOCATIONS!A784="","",IFERROR(VLOOKUP(ALLOCATIONS!A784,MAPPING!$A$3:$C$302,3,FALSE),ALLOCATIONS!A784))</f>
        <v/>
      </c>
      <c r="C790" s="6">
        <f>IF(ALLOCATIONS!A784="","",IFERROR(VLOOKUP(ALLOCATIONS!B784,MAPPING!$E$3:$G$302,2,FALSE),"UNMAPPED"))</f>
        <v/>
      </c>
      <c r="D790" s="6">
        <f>IF(ALLOCATIONS!A784="","",IFERROR(IF(VLOOKUP(ALLOCATIONS!B784,MAPPING!$E$3:$G$302,3,FALSE)="","",VLOOKUP(ALLOCATIONS!B784,MAPPING!$E$3:$G$302,3,FALSE)),""))</f>
        <v/>
      </c>
      <c r="E790" s="6">
        <f>IF(ALLOCATIONS!A784="","",ALLOCATIONS!C784)</f>
        <v/>
      </c>
      <c r="F790" s="6">
        <f>IF(ALLOCATIONS!A784="","",IF(ALLOCATIONS!D784="",0,ALLOCATIONS!D784))</f>
        <v/>
      </c>
      <c r="G790" s="6">
        <f>IF(ALLOCATIONS!A784="","",SUMIFS(RAW_004!$I$2:$I$10001,RAW_004!$D$2:$D$10001,ALLOCATIONS!A784,RAW_004!$H$2:$H$10001,ALLOCATIONS!B784,RAW_004!$N$2:$N$10001,ALLOCATIONS!C784))</f>
        <v/>
      </c>
      <c r="H790" s="6">
        <f>IF(A790="","",G790-F790)</f>
        <v/>
      </c>
    </row>
    <row r="791">
      <c r="A791" s="6">
        <f>IF(ALLOCATIONS!A785="","",IFERROR(VLOOKUP(ALLOCATIONS!A785,MAPPING!$A$3:$C$302,2,FALSE),"UNMAPPED"))</f>
        <v/>
      </c>
      <c r="B791" s="6">
        <f>IF(ALLOCATIONS!A785="","",IFERROR(VLOOKUP(ALLOCATIONS!A785,MAPPING!$A$3:$C$302,3,FALSE),ALLOCATIONS!A785))</f>
        <v/>
      </c>
      <c r="C791" s="6">
        <f>IF(ALLOCATIONS!A785="","",IFERROR(VLOOKUP(ALLOCATIONS!B785,MAPPING!$E$3:$G$302,2,FALSE),"UNMAPPED"))</f>
        <v/>
      </c>
      <c r="D791" s="6">
        <f>IF(ALLOCATIONS!A785="","",IFERROR(IF(VLOOKUP(ALLOCATIONS!B785,MAPPING!$E$3:$G$302,3,FALSE)="","",VLOOKUP(ALLOCATIONS!B785,MAPPING!$E$3:$G$302,3,FALSE)),""))</f>
        <v/>
      </c>
      <c r="E791" s="6">
        <f>IF(ALLOCATIONS!A785="","",ALLOCATIONS!C785)</f>
        <v/>
      </c>
      <c r="F791" s="6">
        <f>IF(ALLOCATIONS!A785="","",IF(ALLOCATIONS!D785="",0,ALLOCATIONS!D785))</f>
        <v/>
      </c>
      <c r="G791" s="6">
        <f>IF(ALLOCATIONS!A785="","",SUMIFS(RAW_004!$I$2:$I$10001,RAW_004!$D$2:$D$10001,ALLOCATIONS!A785,RAW_004!$H$2:$H$10001,ALLOCATIONS!B785,RAW_004!$N$2:$N$10001,ALLOCATIONS!C785))</f>
        <v/>
      </c>
      <c r="H791" s="6">
        <f>IF(A791="","",G791-F791)</f>
        <v/>
      </c>
    </row>
    <row r="792">
      <c r="A792" s="6">
        <f>IF(ALLOCATIONS!A786="","",IFERROR(VLOOKUP(ALLOCATIONS!A786,MAPPING!$A$3:$C$302,2,FALSE),"UNMAPPED"))</f>
        <v/>
      </c>
      <c r="B792" s="6">
        <f>IF(ALLOCATIONS!A786="","",IFERROR(VLOOKUP(ALLOCATIONS!A786,MAPPING!$A$3:$C$302,3,FALSE),ALLOCATIONS!A786))</f>
        <v/>
      </c>
      <c r="C792" s="6">
        <f>IF(ALLOCATIONS!A786="","",IFERROR(VLOOKUP(ALLOCATIONS!B786,MAPPING!$E$3:$G$302,2,FALSE),"UNMAPPED"))</f>
        <v/>
      </c>
      <c r="D792" s="6">
        <f>IF(ALLOCATIONS!A786="","",IFERROR(IF(VLOOKUP(ALLOCATIONS!B786,MAPPING!$E$3:$G$302,3,FALSE)="","",VLOOKUP(ALLOCATIONS!B786,MAPPING!$E$3:$G$302,3,FALSE)),""))</f>
        <v/>
      </c>
      <c r="E792" s="6">
        <f>IF(ALLOCATIONS!A786="","",ALLOCATIONS!C786)</f>
        <v/>
      </c>
      <c r="F792" s="6">
        <f>IF(ALLOCATIONS!A786="","",IF(ALLOCATIONS!D786="",0,ALLOCATIONS!D786))</f>
        <v/>
      </c>
      <c r="G792" s="6">
        <f>IF(ALLOCATIONS!A786="","",SUMIFS(RAW_004!$I$2:$I$10001,RAW_004!$D$2:$D$10001,ALLOCATIONS!A786,RAW_004!$H$2:$H$10001,ALLOCATIONS!B786,RAW_004!$N$2:$N$10001,ALLOCATIONS!C786))</f>
        <v/>
      </c>
      <c r="H792" s="6">
        <f>IF(A792="","",G792-F792)</f>
        <v/>
      </c>
    </row>
    <row r="793">
      <c r="A793" s="6">
        <f>IF(ALLOCATIONS!A787="","",IFERROR(VLOOKUP(ALLOCATIONS!A787,MAPPING!$A$3:$C$302,2,FALSE),"UNMAPPED"))</f>
        <v/>
      </c>
      <c r="B793" s="6">
        <f>IF(ALLOCATIONS!A787="","",IFERROR(VLOOKUP(ALLOCATIONS!A787,MAPPING!$A$3:$C$302,3,FALSE),ALLOCATIONS!A787))</f>
        <v/>
      </c>
      <c r="C793" s="6">
        <f>IF(ALLOCATIONS!A787="","",IFERROR(VLOOKUP(ALLOCATIONS!B787,MAPPING!$E$3:$G$302,2,FALSE),"UNMAPPED"))</f>
        <v/>
      </c>
      <c r="D793" s="6">
        <f>IF(ALLOCATIONS!A787="","",IFERROR(IF(VLOOKUP(ALLOCATIONS!B787,MAPPING!$E$3:$G$302,3,FALSE)="","",VLOOKUP(ALLOCATIONS!B787,MAPPING!$E$3:$G$302,3,FALSE)),""))</f>
        <v/>
      </c>
      <c r="E793" s="6">
        <f>IF(ALLOCATIONS!A787="","",ALLOCATIONS!C787)</f>
        <v/>
      </c>
      <c r="F793" s="6">
        <f>IF(ALLOCATIONS!A787="","",IF(ALLOCATIONS!D787="",0,ALLOCATIONS!D787))</f>
        <v/>
      </c>
      <c r="G793" s="6">
        <f>IF(ALLOCATIONS!A787="","",SUMIFS(RAW_004!$I$2:$I$10001,RAW_004!$D$2:$D$10001,ALLOCATIONS!A787,RAW_004!$H$2:$H$10001,ALLOCATIONS!B787,RAW_004!$N$2:$N$10001,ALLOCATIONS!C787))</f>
        <v/>
      </c>
      <c r="H793" s="6">
        <f>IF(A793="","",G793-F793)</f>
        <v/>
      </c>
    </row>
    <row r="794">
      <c r="A794" s="6">
        <f>IF(ALLOCATIONS!A788="","",IFERROR(VLOOKUP(ALLOCATIONS!A788,MAPPING!$A$3:$C$302,2,FALSE),"UNMAPPED"))</f>
        <v/>
      </c>
      <c r="B794" s="6">
        <f>IF(ALLOCATIONS!A788="","",IFERROR(VLOOKUP(ALLOCATIONS!A788,MAPPING!$A$3:$C$302,3,FALSE),ALLOCATIONS!A788))</f>
        <v/>
      </c>
      <c r="C794" s="6">
        <f>IF(ALLOCATIONS!A788="","",IFERROR(VLOOKUP(ALLOCATIONS!B788,MAPPING!$E$3:$G$302,2,FALSE),"UNMAPPED"))</f>
        <v/>
      </c>
      <c r="D794" s="6">
        <f>IF(ALLOCATIONS!A788="","",IFERROR(IF(VLOOKUP(ALLOCATIONS!B788,MAPPING!$E$3:$G$302,3,FALSE)="","",VLOOKUP(ALLOCATIONS!B788,MAPPING!$E$3:$G$302,3,FALSE)),""))</f>
        <v/>
      </c>
      <c r="E794" s="6">
        <f>IF(ALLOCATIONS!A788="","",ALLOCATIONS!C788)</f>
        <v/>
      </c>
      <c r="F794" s="6">
        <f>IF(ALLOCATIONS!A788="","",IF(ALLOCATIONS!D788="",0,ALLOCATIONS!D788))</f>
        <v/>
      </c>
      <c r="G794" s="6">
        <f>IF(ALLOCATIONS!A788="","",SUMIFS(RAW_004!$I$2:$I$10001,RAW_004!$D$2:$D$10001,ALLOCATIONS!A788,RAW_004!$H$2:$H$10001,ALLOCATIONS!B788,RAW_004!$N$2:$N$10001,ALLOCATIONS!C788))</f>
        <v/>
      </c>
      <c r="H794" s="6">
        <f>IF(A794="","",G794-F794)</f>
        <v/>
      </c>
    </row>
    <row r="795">
      <c r="A795" s="6">
        <f>IF(ALLOCATIONS!A789="","",IFERROR(VLOOKUP(ALLOCATIONS!A789,MAPPING!$A$3:$C$302,2,FALSE),"UNMAPPED"))</f>
        <v/>
      </c>
      <c r="B795" s="6">
        <f>IF(ALLOCATIONS!A789="","",IFERROR(VLOOKUP(ALLOCATIONS!A789,MAPPING!$A$3:$C$302,3,FALSE),ALLOCATIONS!A789))</f>
        <v/>
      </c>
      <c r="C795" s="6">
        <f>IF(ALLOCATIONS!A789="","",IFERROR(VLOOKUP(ALLOCATIONS!B789,MAPPING!$E$3:$G$302,2,FALSE),"UNMAPPED"))</f>
        <v/>
      </c>
      <c r="D795" s="6">
        <f>IF(ALLOCATIONS!A789="","",IFERROR(IF(VLOOKUP(ALLOCATIONS!B789,MAPPING!$E$3:$G$302,3,FALSE)="","",VLOOKUP(ALLOCATIONS!B789,MAPPING!$E$3:$G$302,3,FALSE)),""))</f>
        <v/>
      </c>
      <c r="E795" s="6">
        <f>IF(ALLOCATIONS!A789="","",ALLOCATIONS!C789)</f>
        <v/>
      </c>
      <c r="F795" s="6">
        <f>IF(ALLOCATIONS!A789="","",IF(ALLOCATIONS!D789="",0,ALLOCATIONS!D789))</f>
        <v/>
      </c>
      <c r="G795" s="6">
        <f>IF(ALLOCATIONS!A789="","",SUMIFS(RAW_004!$I$2:$I$10001,RAW_004!$D$2:$D$10001,ALLOCATIONS!A789,RAW_004!$H$2:$H$10001,ALLOCATIONS!B789,RAW_004!$N$2:$N$10001,ALLOCATIONS!C789))</f>
        <v/>
      </c>
      <c r="H795" s="6">
        <f>IF(A795="","",G795-F795)</f>
        <v/>
      </c>
    </row>
    <row r="796">
      <c r="A796" s="6">
        <f>IF(ALLOCATIONS!A790="","",IFERROR(VLOOKUP(ALLOCATIONS!A790,MAPPING!$A$3:$C$302,2,FALSE),"UNMAPPED"))</f>
        <v/>
      </c>
      <c r="B796" s="6">
        <f>IF(ALLOCATIONS!A790="","",IFERROR(VLOOKUP(ALLOCATIONS!A790,MAPPING!$A$3:$C$302,3,FALSE),ALLOCATIONS!A790))</f>
        <v/>
      </c>
      <c r="C796" s="6">
        <f>IF(ALLOCATIONS!A790="","",IFERROR(VLOOKUP(ALLOCATIONS!B790,MAPPING!$E$3:$G$302,2,FALSE),"UNMAPPED"))</f>
        <v/>
      </c>
      <c r="D796" s="6">
        <f>IF(ALLOCATIONS!A790="","",IFERROR(IF(VLOOKUP(ALLOCATIONS!B790,MAPPING!$E$3:$G$302,3,FALSE)="","",VLOOKUP(ALLOCATIONS!B790,MAPPING!$E$3:$G$302,3,FALSE)),""))</f>
        <v/>
      </c>
      <c r="E796" s="6">
        <f>IF(ALLOCATIONS!A790="","",ALLOCATIONS!C790)</f>
        <v/>
      </c>
      <c r="F796" s="6">
        <f>IF(ALLOCATIONS!A790="","",IF(ALLOCATIONS!D790="",0,ALLOCATIONS!D790))</f>
        <v/>
      </c>
      <c r="G796" s="6">
        <f>IF(ALLOCATIONS!A790="","",SUMIFS(RAW_004!$I$2:$I$10001,RAW_004!$D$2:$D$10001,ALLOCATIONS!A790,RAW_004!$H$2:$H$10001,ALLOCATIONS!B790,RAW_004!$N$2:$N$10001,ALLOCATIONS!C790))</f>
        <v/>
      </c>
      <c r="H796" s="6">
        <f>IF(A796="","",G796-F796)</f>
        <v/>
      </c>
    </row>
    <row r="797">
      <c r="A797" s="6">
        <f>IF(ALLOCATIONS!A791="","",IFERROR(VLOOKUP(ALLOCATIONS!A791,MAPPING!$A$3:$C$302,2,FALSE),"UNMAPPED"))</f>
        <v/>
      </c>
      <c r="B797" s="6">
        <f>IF(ALLOCATIONS!A791="","",IFERROR(VLOOKUP(ALLOCATIONS!A791,MAPPING!$A$3:$C$302,3,FALSE),ALLOCATIONS!A791))</f>
        <v/>
      </c>
      <c r="C797" s="6">
        <f>IF(ALLOCATIONS!A791="","",IFERROR(VLOOKUP(ALLOCATIONS!B791,MAPPING!$E$3:$G$302,2,FALSE),"UNMAPPED"))</f>
        <v/>
      </c>
      <c r="D797" s="6">
        <f>IF(ALLOCATIONS!A791="","",IFERROR(IF(VLOOKUP(ALLOCATIONS!B791,MAPPING!$E$3:$G$302,3,FALSE)="","",VLOOKUP(ALLOCATIONS!B791,MAPPING!$E$3:$G$302,3,FALSE)),""))</f>
        <v/>
      </c>
      <c r="E797" s="6">
        <f>IF(ALLOCATIONS!A791="","",ALLOCATIONS!C791)</f>
        <v/>
      </c>
      <c r="F797" s="6">
        <f>IF(ALLOCATIONS!A791="","",IF(ALLOCATIONS!D791="",0,ALLOCATIONS!D791))</f>
        <v/>
      </c>
      <c r="G797" s="6">
        <f>IF(ALLOCATIONS!A791="","",SUMIFS(RAW_004!$I$2:$I$10001,RAW_004!$D$2:$D$10001,ALLOCATIONS!A791,RAW_004!$H$2:$H$10001,ALLOCATIONS!B791,RAW_004!$N$2:$N$10001,ALLOCATIONS!C791))</f>
        <v/>
      </c>
      <c r="H797" s="6">
        <f>IF(A797="","",G797-F797)</f>
        <v/>
      </c>
    </row>
    <row r="798">
      <c r="A798" s="6">
        <f>IF(ALLOCATIONS!A792="","",IFERROR(VLOOKUP(ALLOCATIONS!A792,MAPPING!$A$3:$C$302,2,FALSE),"UNMAPPED"))</f>
        <v/>
      </c>
      <c r="B798" s="6">
        <f>IF(ALLOCATIONS!A792="","",IFERROR(VLOOKUP(ALLOCATIONS!A792,MAPPING!$A$3:$C$302,3,FALSE),ALLOCATIONS!A792))</f>
        <v/>
      </c>
      <c r="C798" s="6">
        <f>IF(ALLOCATIONS!A792="","",IFERROR(VLOOKUP(ALLOCATIONS!B792,MAPPING!$E$3:$G$302,2,FALSE),"UNMAPPED"))</f>
        <v/>
      </c>
      <c r="D798" s="6">
        <f>IF(ALLOCATIONS!A792="","",IFERROR(IF(VLOOKUP(ALLOCATIONS!B792,MAPPING!$E$3:$G$302,3,FALSE)="","",VLOOKUP(ALLOCATIONS!B792,MAPPING!$E$3:$G$302,3,FALSE)),""))</f>
        <v/>
      </c>
      <c r="E798" s="6">
        <f>IF(ALLOCATIONS!A792="","",ALLOCATIONS!C792)</f>
        <v/>
      </c>
      <c r="F798" s="6">
        <f>IF(ALLOCATIONS!A792="","",IF(ALLOCATIONS!D792="",0,ALLOCATIONS!D792))</f>
        <v/>
      </c>
      <c r="G798" s="6">
        <f>IF(ALLOCATIONS!A792="","",SUMIFS(RAW_004!$I$2:$I$10001,RAW_004!$D$2:$D$10001,ALLOCATIONS!A792,RAW_004!$H$2:$H$10001,ALLOCATIONS!B792,RAW_004!$N$2:$N$10001,ALLOCATIONS!C792))</f>
        <v/>
      </c>
      <c r="H798" s="6">
        <f>IF(A798="","",G798-F798)</f>
        <v/>
      </c>
    </row>
    <row r="799">
      <c r="A799" s="6">
        <f>IF(ALLOCATIONS!A793="","",IFERROR(VLOOKUP(ALLOCATIONS!A793,MAPPING!$A$3:$C$302,2,FALSE),"UNMAPPED"))</f>
        <v/>
      </c>
      <c r="B799" s="6">
        <f>IF(ALLOCATIONS!A793="","",IFERROR(VLOOKUP(ALLOCATIONS!A793,MAPPING!$A$3:$C$302,3,FALSE),ALLOCATIONS!A793))</f>
        <v/>
      </c>
      <c r="C799" s="6">
        <f>IF(ALLOCATIONS!A793="","",IFERROR(VLOOKUP(ALLOCATIONS!B793,MAPPING!$E$3:$G$302,2,FALSE),"UNMAPPED"))</f>
        <v/>
      </c>
      <c r="D799" s="6">
        <f>IF(ALLOCATIONS!A793="","",IFERROR(IF(VLOOKUP(ALLOCATIONS!B793,MAPPING!$E$3:$G$302,3,FALSE)="","",VLOOKUP(ALLOCATIONS!B793,MAPPING!$E$3:$G$302,3,FALSE)),""))</f>
        <v/>
      </c>
      <c r="E799" s="6">
        <f>IF(ALLOCATIONS!A793="","",ALLOCATIONS!C793)</f>
        <v/>
      </c>
      <c r="F799" s="6">
        <f>IF(ALLOCATIONS!A793="","",IF(ALLOCATIONS!D793="",0,ALLOCATIONS!D793))</f>
        <v/>
      </c>
      <c r="G799" s="6">
        <f>IF(ALLOCATIONS!A793="","",SUMIFS(RAW_004!$I$2:$I$10001,RAW_004!$D$2:$D$10001,ALLOCATIONS!A793,RAW_004!$H$2:$H$10001,ALLOCATIONS!B793,RAW_004!$N$2:$N$10001,ALLOCATIONS!C793))</f>
        <v/>
      </c>
      <c r="H799" s="6">
        <f>IF(A799="","",G799-F799)</f>
        <v/>
      </c>
    </row>
    <row r="800">
      <c r="A800" s="6">
        <f>IF(ALLOCATIONS!A794="","",IFERROR(VLOOKUP(ALLOCATIONS!A794,MAPPING!$A$3:$C$302,2,FALSE),"UNMAPPED"))</f>
        <v/>
      </c>
      <c r="B800" s="6">
        <f>IF(ALLOCATIONS!A794="","",IFERROR(VLOOKUP(ALLOCATIONS!A794,MAPPING!$A$3:$C$302,3,FALSE),ALLOCATIONS!A794))</f>
        <v/>
      </c>
      <c r="C800" s="6">
        <f>IF(ALLOCATIONS!A794="","",IFERROR(VLOOKUP(ALLOCATIONS!B794,MAPPING!$E$3:$G$302,2,FALSE),"UNMAPPED"))</f>
        <v/>
      </c>
      <c r="D800" s="6">
        <f>IF(ALLOCATIONS!A794="","",IFERROR(IF(VLOOKUP(ALLOCATIONS!B794,MAPPING!$E$3:$G$302,3,FALSE)="","",VLOOKUP(ALLOCATIONS!B794,MAPPING!$E$3:$G$302,3,FALSE)),""))</f>
        <v/>
      </c>
      <c r="E800" s="6">
        <f>IF(ALLOCATIONS!A794="","",ALLOCATIONS!C794)</f>
        <v/>
      </c>
      <c r="F800" s="6">
        <f>IF(ALLOCATIONS!A794="","",IF(ALLOCATIONS!D794="",0,ALLOCATIONS!D794))</f>
        <v/>
      </c>
      <c r="G800" s="6">
        <f>IF(ALLOCATIONS!A794="","",SUMIFS(RAW_004!$I$2:$I$10001,RAW_004!$D$2:$D$10001,ALLOCATIONS!A794,RAW_004!$H$2:$H$10001,ALLOCATIONS!B794,RAW_004!$N$2:$N$10001,ALLOCATIONS!C794))</f>
        <v/>
      </c>
      <c r="H800" s="6">
        <f>IF(A800="","",G800-F800)</f>
        <v/>
      </c>
    </row>
    <row r="801">
      <c r="A801" s="6">
        <f>IF(ALLOCATIONS!A795="","",IFERROR(VLOOKUP(ALLOCATIONS!A795,MAPPING!$A$3:$C$302,2,FALSE),"UNMAPPED"))</f>
        <v/>
      </c>
      <c r="B801" s="6">
        <f>IF(ALLOCATIONS!A795="","",IFERROR(VLOOKUP(ALLOCATIONS!A795,MAPPING!$A$3:$C$302,3,FALSE),ALLOCATIONS!A795))</f>
        <v/>
      </c>
      <c r="C801" s="6">
        <f>IF(ALLOCATIONS!A795="","",IFERROR(VLOOKUP(ALLOCATIONS!B795,MAPPING!$E$3:$G$302,2,FALSE),"UNMAPPED"))</f>
        <v/>
      </c>
      <c r="D801" s="6">
        <f>IF(ALLOCATIONS!A795="","",IFERROR(IF(VLOOKUP(ALLOCATIONS!B795,MAPPING!$E$3:$G$302,3,FALSE)="","",VLOOKUP(ALLOCATIONS!B795,MAPPING!$E$3:$G$302,3,FALSE)),""))</f>
        <v/>
      </c>
      <c r="E801" s="6">
        <f>IF(ALLOCATIONS!A795="","",ALLOCATIONS!C795)</f>
        <v/>
      </c>
      <c r="F801" s="6">
        <f>IF(ALLOCATIONS!A795="","",IF(ALLOCATIONS!D795="",0,ALLOCATIONS!D795))</f>
        <v/>
      </c>
      <c r="G801" s="6">
        <f>IF(ALLOCATIONS!A795="","",SUMIFS(RAW_004!$I$2:$I$10001,RAW_004!$D$2:$D$10001,ALLOCATIONS!A795,RAW_004!$H$2:$H$10001,ALLOCATIONS!B795,RAW_004!$N$2:$N$10001,ALLOCATIONS!C795))</f>
        <v/>
      </c>
      <c r="H801" s="6">
        <f>IF(A801="","",G801-F801)</f>
        <v/>
      </c>
    </row>
    <row r="802">
      <c r="A802" s="6">
        <f>IF(ALLOCATIONS!A796="","",IFERROR(VLOOKUP(ALLOCATIONS!A796,MAPPING!$A$3:$C$302,2,FALSE),"UNMAPPED"))</f>
        <v/>
      </c>
      <c r="B802" s="6">
        <f>IF(ALLOCATIONS!A796="","",IFERROR(VLOOKUP(ALLOCATIONS!A796,MAPPING!$A$3:$C$302,3,FALSE),ALLOCATIONS!A796))</f>
        <v/>
      </c>
      <c r="C802" s="6">
        <f>IF(ALLOCATIONS!A796="","",IFERROR(VLOOKUP(ALLOCATIONS!B796,MAPPING!$E$3:$G$302,2,FALSE),"UNMAPPED"))</f>
        <v/>
      </c>
      <c r="D802" s="6">
        <f>IF(ALLOCATIONS!A796="","",IFERROR(IF(VLOOKUP(ALLOCATIONS!B796,MAPPING!$E$3:$G$302,3,FALSE)="","",VLOOKUP(ALLOCATIONS!B796,MAPPING!$E$3:$G$302,3,FALSE)),""))</f>
        <v/>
      </c>
      <c r="E802" s="6">
        <f>IF(ALLOCATIONS!A796="","",ALLOCATIONS!C796)</f>
        <v/>
      </c>
      <c r="F802" s="6">
        <f>IF(ALLOCATIONS!A796="","",IF(ALLOCATIONS!D796="",0,ALLOCATIONS!D796))</f>
        <v/>
      </c>
      <c r="G802" s="6">
        <f>IF(ALLOCATIONS!A796="","",SUMIFS(RAW_004!$I$2:$I$10001,RAW_004!$D$2:$D$10001,ALLOCATIONS!A796,RAW_004!$H$2:$H$10001,ALLOCATIONS!B796,RAW_004!$N$2:$N$10001,ALLOCATIONS!C796))</f>
        <v/>
      </c>
      <c r="H802" s="6">
        <f>IF(A802="","",G802-F802)</f>
        <v/>
      </c>
    </row>
    <row r="803">
      <c r="A803" s="6">
        <f>IF(ALLOCATIONS!A797="","",IFERROR(VLOOKUP(ALLOCATIONS!A797,MAPPING!$A$3:$C$302,2,FALSE),"UNMAPPED"))</f>
        <v/>
      </c>
      <c r="B803" s="6">
        <f>IF(ALLOCATIONS!A797="","",IFERROR(VLOOKUP(ALLOCATIONS!A797,MAPPING!$A$3:$C$302,3,FALSE),ALLOCATIONS!A797))</f>
        <v/>
      </c>
      <c r="C803" s="6">
        <f>IF(ALLOCATIONS!A797="","",IFERROR(VLOOKUP(ALLOCATIONS!B797,MAPPING!$E$3:$G$302,2,FALSE),"UNMAPPED"))</f>
        <v/>
      </c>
      <c r="D803" s="6">
        <f>IF(ALLOCATIONS!A797="","",IFERROR(IF(VLOOKUP(ALLOCATIONS!B797,MAPPING!$E$3:$G$302,3,FALSE)="","",VLOOKUP(ALLOCATIONS!B797,MAPPING!$E$3:$G$302,3,FALSE)),""))</f>
        <v/>
      </c>
      <c r="E803" s="6">
        <f>IF(ALLOCATIONS!A797="","",ALLOCATIONS!C797)</f>
        <v/>
      </c>
      <c r="F803" s="6">
        <f>IF(ALLOCATIONS!A797="","",IF(ALLOCATIONS!D797="",0,ALLOCATIONS!D797))</f>
        <v/>
      </c>
      <c r="G803" s="6">
        <f>IF(ALLOCATIONS!A797="","",SUMIFS(RAW_004!$I$2:$I$10001,RAW_004!$D$2:$D$10001,ALLOCATIONS!A797,RAW_004!$H$2:$H$10001,ALLOCATIONS!B797,RAW_004!$N$2:$N$10001,ALLOCATIONS!C797))</f>
        <v/>
      </c>
      <c r="H803" s="6">
        <f>IF(A803="","",G803-F803)</f>
        <v/>
      </c>
    </row>
    <row r="804">
      <c r="A804" s="6">
        <f>IF(ALLOCATIONS!A798="","",IFERROR(VLOOKUP(ALLOCATIONS!A798,MAPPING!$A$3:$C$302,2,FALSE),"UNMAPPED"))</f>
        <v/>
      </c>
      <c r="B804" s="6">
        <f>IF(ALLOCATIONS!A798="","",IFERROR(VLOOKUP(ALLOCATIONS!A798,MAPPING!$A$3:$C$302,3,FALSE),ALLOCATIONS!A798))</f>
        <v/>
      </c>
      <c r="C804" s="6">
        <f>IF(ALLOCATIONS!A798="","",IFERROR(VLOOKUP(ALLOCATIONS!B798,MAPPING!$E$3:$G$302,2,FALSE),"UNMAPPED"))</f>
        <v/>
      </c>
      <c r="D804" s="6">
        <f>IF(ALLOCATIONS!A798="","",IFERROR(IF(VLOOKUP(ALLOCATIONS!B798,MAPPING!$E$3:$G$302,3,FALSE)="","",VLOOKUP(ALLOCATIONS!B798,MAPPING!$E$3:$G$302,3,FALSE)),""))</f>
        <v/>
      </c>
      <c r="E804" s="6">
        <f>IF(ALLOCATIONS!A798="","",ALLOCATIONS!C798)</f>
        <v/>
      </c>
      <c r="F804" s="6">
        <f>IF(ALLOCATIONS!A798="","",IF(ALLOCATIONS!D798="",0,ALLOCATIONS!D798))</f>
        <v/>
      </c>
      <c r="G804" s="6">
        <f>IF(ALLOCATIONS!A798="","",SUMIFS(RAW_004!$I$2:$I$10001,RAW_004!$D$2:$D$10001,ALLOCATIONS!A798,RAW_004!$H$2:$H$10001,ALLOCATIONS!B798,RAW_004!$N$2:$N$10001,ALLOCATIONS!C798))</f>
        <v/>
      </c>
      <c r="H804" s="6">
        <f>IF(A804="","",G804-F804)</f>
        <v/>
      </c>
    </row>
    <row r="805">
      <c r="A805" s="6">
        <f>IF(ALLOCATIONS!A799="","",IFERROR(VLOOKUP(ALLOCATIONS!A799,MAPPING!$A$3:$C$302,2,FALSE),"UNMAPPED"))</f>
        <v/>
      </c>
      <c r="B805" s="6">
        <f>IF(ALLOCATIONS!A799="","",IFERROR(VLOOKUP(ALLOCATIONS!A799,MAPPING!$A$3:$C$302,3,FALSE),ALLOCATIONS!A799))</f>
        <v/>
      </c>
      <c r="C805" s="6">
        <f>IF(ALLOCATIONS!A799="","",IFERROR(VLOOKUP(ALLOCATIONS!B799,MAPPING!$E$3:$G$302,2,FALSE),"UNMAPPED"))</f>
        <v/>
      </c>
      <c r="D805" s="6">
        <f>IF(ALLOCATIONS!A799="","",IFERROR(IF(VLOOKUP(ALLOCATIONS!B799,MAPPING!$E$3:$G$302,3,FALSE)="","",VLOOKUP(ALLOCATIONS!B799,MAPPING!$E$3:$G$302,3,FALSE)),""))</f>
        <v/>
      </c>
      <c r="E805" s="6">
        <f>IF(ALLOCATIONS!A799="","",ALLOCATIONS!C799)</f>
        <v/>
      </c>
      <c r="F805" s="6">
        <f>IF(ALLOCATIONS!A799="","",IF(ALLOCATIONS!D799="",0,ALLOCATIONS!D799))</f>
        <v/>
      </c>
      <c r="G805" s="6">
        <f>IF(ALLOCATIONS!A799="","",SUMIFS(RAW_004!$I$2:$I$10001,RAW_004!$D$2:$D$10001,ALLOCATIONS!A799,RAW_004!$H$2:$H$10001,ALLOCATIONS!B799,RAW_004!$N$2:$N$10001,ALLOCATIONS!C799))</f>
        <v/>
      </c>
      <c r="H805" s="6">
        <f>IF(A805="","",G805-F805)</f>
        <v/>
      </c>
    </row>
    <row r="806">
      <c r="A806" s="6">
        <f>IF(ALLOCATIONS!A800="","",IFERROR(VLOOKUP(ALLOCATIONS!A800,MAPPING!$A$3:$C$302,2,FALSE),"UNMAPPED"))</f>
        <v/>
      </c>
      <c r="B806" s="6">
        <f>IF(ALLOCATIONS!A800="","",IFERROR(VLOOKUP(ALLOCATIONS!A800,MAPPING!$A$3:$C$302,3,FALSE),ALLOCATIONS!A800))</f>
        <v/>
      </c>
      <c r="C806" s="6">
        <f>IF(ALLOCATIONS!A800="","",IFERROR(VLOOKUP(ALLOCATIONS!B800,MAPPING!$E$3:$G$302,2,FALSE),"UNMAPPED"))</f>
        <v/>
      </c>
      <c r="D806" s="6">
        <f>IF(ALLOCATIONS!A800="","",IFERROR(IF(VLOOKUP(ALLOCATIONS!B800,MAPPING!$E$3:$G$302,3,FALSE)="","",VLOOKUP(ALLOCATIONS!B800,MAPPING!$E$3:$G$302,3,FALSE)),""))</f>
        <v/>
      </c>
      <c r="E806" s="6">
        <f>IF(ALLOCATIONS!A800="","",ALLOCATIONS!C800)</f>
        <v/>
      </c>
      <c r="F806" s="6">
        <f>IF(ALLOCATIONS!A800="","",IF(ALLOCATIONS!D800="",0,ALLOCATIONS!D800))</f>
        <v/>
      </c>
      <c r="G806" s="6">
        <f>IF(ALLOCATIONS!A800="","",SUMIFS(RAW_004!$I$2:$I$10001,RAW_004!$D$2:$D$10001,ALLOCATIONS!A800,RAW_004!$H$2:$H$10001,ALLOCATIONS!B800,RAW_004!$N$2:$N$10001,ALLOCATIONS!C800))</f>
        <v/>
      </c>
      <c r="H806" s="6">
        <f>IF(A806="","",G806-F806)</f>
        <v/>
      </c>
    </row>
    <row r="807">
      <c r="A807" s="6">
        <f>IF(ALLOCATIONS!A801="","",IFERROR(VLOOKUP(ALLOCATIONS!A801,MAPPING!$A$3:$C$302,2,FALSE),"UNMAPPED"))</f>
        <v/>
      </c>
      <c r="B807" s="6">
        <f>IF(ALLOCATIONS!A801="","",IFERROR(VLOOKUP(ALLOCATIONS!A801,MAPPING!$A$3:$C$302,3,FALSE),ALLOCATIONS!A801))</f>
        <v/>
      </c>
      <c r="C807" s="6">
        <f>IF(ALLOCATIONS!A801="","",IFERROR(VLOOKUP(ALLOCATIONS!B801,MAPPING!$E$3:$G$302,2,FALSE),"UNMAPPED"))</f>
        <v/>
      </c>
      <c r="D807" s="6">
        <f>IF(ALLOCATIONS!A801="","",IFERROR(IF(VLOOKUP(ALLOCATIONS!B801,MAPPING!$E$3:$G$302,3,FALSE)="","",VLOOKUP(ALLOCATIONS!B801,MAPPING!$E$3:$G$302,3,FALSE)),""))</f>
        <v/>
      </c>
      <c r="E807" s="6">
        <f>IF(ALLOCATIONS!A801="","",ALLOCATIONS!C801)</f>
        <v/>
      </c>
      <c r="F807" s="6">
        <f>IF(ALLOCATIONS!A801="","",IF(ALLOCATIONS!D801="",0,ALLOCATIONS!D801))</f>
        <v/>
      </c>
      <c r="G807" s="6">
        <f>IF(ALLOCATIONS!A801="","",SUMIFS(RAW_004!$I$2:$I$10001,RAW_004!$D$2:$D$10001,ALLOCATIONS!A801,RAW_004!$H$2:$H$10001,ALLOCATIONS!B801,RAW_004!$N$2:$N$10001,ALLOCATIONS!C801))</f>
        <v/>
      </c>
      <c r="H807" s="6">
        <f>IF(A807="","",G807-F807)</f>
        <v/>
      </c>
    </row>
    <row r="808">
      <c r="A808" s="6">
        <f>IF(ALLOCATIONS!A802="","",IFERROR(VLOOKUP(ALLOCATIONS!A802,MAPPING!$A$3:$C$302,2,FALSE),"UNMAPPED"))</f>
        <v/>
      </c>
      <c r="B808" s="6">
        <f>IF(ALLOCATIONS!A802="","",IFERROR(VLOOKUP(ALLOCATIONS!A802,MAPPING!$A$3:$C$302,3,FALSE),ALLOCATIONS!A802))</f>
        <v/>
      </c>
      <c r="C808" s="6">
        <f>IF(ALLOCATIONS!A802="","",IFERROR(VLOOKUP(ALLOCATIONS!B802,MAPPING!$E$3:$G$302,2,FALSE),"UNMAPPED"))</f>
        <v/>
      </c>
      <c r="D808" s="6">
        <f>IF(ALLOCATIONS!A802="","",IFERROR(IF(VLOOKUP(ALLOCATIONS!B802,MAPPING!$E$3:$G$302,3,FALSE)="","",VLOOKUP(ALLOCATIONS!B802,MAPPING!$E$3:$G$302,3,FALSE)),""))</f>
        <v/>
      </c>
      <c r="E808" s="6">
        <f>IF(ALLOCATIONS!A802="","",ALLOCATIONS!C802)</f>
        <v/>
      </c>
      <c r="F808" s="6">
        <f>IF(ALLOCATIONS!A802="","",IF(ALLOCATIONS!D802="",0,ALLOCATIONS!D802))</f>
        <v/>
      </c>
      <c r="G808" s="6">
        <f>IF(ALLOCATIONS!A802="","",SUMIFS(RAW_004!$I$2:$I$10001,RAW_004!$D$2:$D$10001,ALLOCATIONS!A802,RAW_004!$H$2:$H$10001,ALLOCATIONS!B802,RAW_004!$N$2:$N$10001,ALLOCATIONS!C802))</f>
        <v/>
      </c>
      <c r="H808" s="6">
        <f>IF(A808="","",G808-F808)</f>
        <v/>
      </c>
    </row>
    <row r="809">
      <c r="A809" s="6">
        <f>IF(ALLOCATIONS!A803="","",IFERROR(VLOOKUP(ALLOCATIONS!A803,MAPPING!$A$3:$C$302,2,FALSE),"UNMAPPED"))</f>
        <v/>
      </c>
      <c r="B809" s="6">
        <f>IF(ALLOCATIONS!A803="","",IFERROR(VLOOKUP(ALLOCATIONS!A803,MAPPING!$A$3:$C$302,3,FALSE),ALLOCATIONS!A803))</f>
        <v/>
      </c>
      <c r="C809" s="6">
        <f>IF(ALLOCATIONS!A803="","",IFERROR(VLOOKUP(ALLOCATIONS!B803,MAPPING!$E$3:$G$302,2,FALSE),"UNMAPPED"))</f>
        <v/>
      </c>
      <c r="D809" s="6">
        <f>IF(ALLOCATIONS!A803="","",IFERROR(IF(VLOOKUP(ALLOCATIONS!B803,MAPPING!$E$3:$G$302,3,FALSE)="","",VLOOKUP(ALLOCATIONS!B803,MAPPING!$E$3:$G$302,3,FALSE)),""))</f>
        <v/>
      </c>
      <c r="E809" s="6">
        <f>IF(ALLOCATIONS!A803="","",ALLOCATIONS!C803)</f>
        <v/>
      </c>
      <c r="F809" s="6">
        <f>IF(ALLOCATIONS!A803="","",IF(ALLOCATIONS!D803="",0,ALLOCATIONS!D803))</f>
        <v/>
      </c>
      <c r="G809" s="6">
        <f>IF(ALLOCATIONS!A803="","",SUMIFS(RAW_004!$I$2:$I$10001,RAW_004!$D$2:$D$10001,ALLOCATIONS!A803,RAW_004!$H$2:$H$10001,ALLOCATIONS!B803,RAW_004!$N$2:$N$10001,ALLOCATIONS!C803))</f>
        <v/>
      </c>
      <c r="H809" s="6">
        <f>IF(A809="","",G809-F809)</f>
        <v/>
      </c>
    </row>
    <row r="810">
      <c r="A810" s="6">
        <f>IF(ALLOCATIONS!A804="","",IFERROR(VLOOKUP(ALLOCATIONS!A804,MAPPING!$A$3:$C$302,2,FALSE),"UNMAPPED"))</f>
        <v/>
      </c>
      <c r="B810" s="6">
        <f>IF(ALLOCATIONS!A804="","",IFERROR(VLOOKUP(ALLOCATIONS!A804,MAPPING!$A$3:$C$302,3,FALSE),ALLOCATIONS!A804))</f>
        <v/>
      </c>
      <c r="C810" s="6">
        <f>IF(ALLOCATIONS!A804="","",IFERROR(VLOOKUP(ALLOCATIONS!B804,MAPPING!$E$3:$G$302,2,FALSE),"UNMAPPED"))</f>
        <v/>
      </c>
      <c r="D810" s="6">
        <f>IF(ALLOCATIONS!A804="","",IFERROR(IF(VLOOKUP(ALLOCATIONS!B804,MAPPING!$E$3:$G$302,3,FALSE)="","",VLOOKUP(ALLOCATIONS!B804,MAPPING!$E$3:$G$302,3,FALSE)),""))</f>
        <v/>
      </c>
      <c r="E810" s="6">
        <f>IF(ALLOCATIONS!A804="","",ALLOCATIONS!C804)</f>
        <v/>
      </c>
      <c r="F810" s="6">
        <f>IF(ALLOCATIONS!A804="","",IF(ALLOCATIONS!D804="",0,ALLOCATIONS!D804))</f>
        <v/>
      </c>
      <c r="G810" s="6">
        <f>IF(ALLOCATIONS!A804="","",SUMIFS(RAW_004!$I$2:$I$10001,RAW_004!$D$2:$D$10001,ALLOCATIONS!A804,RAW_004!$H$2:$H$10001,ALLOCATIONS!B804,RAW_004!$N$2:$N$10001,ALLOCATIONS!C804))</f>
        <v/>
      </c>
      <c r="H810" s="6">
        <f>IF(A810="","",G810-F810)</f>
        <v/>
      </c>
    </row>
    <row r="811">
      <c r="A811" s="6">
        <f>IF(ALLOCATIONS!A805="","",IFERROR(VLOOKUP(ALLOCATIONS!A805,MAPPING!$A$3:$C$302,2,FALSE),"UNMAPPED"))</f>
        <v/>
      </c>
      <c r="B811" s="6">
        <f>IF(ALLOCATIONS!A805="","",IFERROR(VLOOKUP(ALLOCATIONS!A805,MAPPING!$A$3:$C$302,3,FALSE),ALLOCATIONS!A805))</f>
        <v/>
      </c>
      <c r="C811" s="6">
        <f>IF(ALLOCATIONS!A805="","",IFERROR(VLOOKUP(ALLOCATIONS!B805,MAPPING!$E$3:$G$302,2,FALSE),"UNMAPPED"))</f>
        <v/>
      </c>
      <c r="D811" s="6">
        <f>IF(ALLOCATIONS!A805="","",IFERROR(IF(VLOOKUP(ALLOCATIONS!B805,MAPPING!$E$3:$G$302,3,FALSE)="","",VLOOKUP(ALLOCATIONS!B805,MAPPING!$E$3:$G$302,3,FALSE)),""))</f>
        <v/>
      </c>
      <c r="E811" s="6">
        <f>IF(ALLOCATIONS!A805="","",ALLOCATIONS!C805)</f>
        <v/>
      </c>
      <c r="F811" s="6">
        <f>IF(ALLOCATIONS!A805="","",IF(ALLOCATIONS!D805="",0,ALLOCATIONS!D805))</f>
        <v/>
      </c>
      <c r="G811" s="6">
        <f>IF(ALLOCATIONS!A805="","",SUMIFS(RAW_004!$I$2:$I$10001,RAW_004!$D$2:$D$10001,ALLOCATIONS!A805,RAW_004!$H$2:$H$10001,ALLOCATIONS!B805,RAW_004!$N$2:$N$10001,ALLOCATIONS!C805))</f>
        <v/>
      </c>
      <c r="H811" s="6">
        <f>IF(A811="","",G811-F811)</f>
        <v/>
      </c>
    </row>
    <row r="812">
      <c r="A812" s="6">
        <f>IF(ALLOCATIONS!A806="","",IFERROR(VLOOKUP(ALLOCATIONS!A806,MAPPING!$A$3:$C$302,2,FALSE),"UNMAPPED"))</f>
        <v/>
      </c>
      <c r="B812" s="6">
        <f>IF(ALLOCATIONS!A806="","",IFERROR(VLOOKUP(ALLOCATIONS!A806,MAPPING!$A$3:$C$302,3,FALSE),ALLOCATIONS!A806))</f>
        <v/>
      </c>
      <c r="C812" s="6">
        <f>IF(ALLOCATIONS!A806="","",IFERROR(VLOOKUP(ALLOCATIONS!B806,MAPPING!$E$3:$G$302,2,FALSE),"UNMAPPED"))</f>
        <v/>
      </c>
      <c r="D812" s="6">
        <f>IF(ALLOCATIONS!A806="","",IFERROR(IF(VLOOKUP(ALLOCATIONS!B806,MAPPING!$E$3:$G$302,3,FALSE)="","",VLOOKUP(ALLOCATIONS!B806,MAPPING!$E$3:$G$302,3,FALSE)),""))</f>
        <v/>
      </c>
      <c r="E812" s="6">
        <f>IF(ALLOCATIONS!A806="","",ALLOCATIONS!C806)</f>
        <v/>
      </c>
      <c r="F812" s="6">
        <f>IF(ALLOCATIONS!A806="","",IF(ALLOCATIONS!D806="",0,ALLOCATIONS!D806))</f>
        <v/>
      </c>
      <c r="G812" s="6">
        <f>IF(ALLOCATIONS!A806="","",SUMIFS(RAW_004!$I$2:$I$10001,RAW_004!$D$2:$D$10001,ALLOCATIONS!A806,RAW_004!$H$2:$H$10001,ALLOCATIONS!B806,RAW_004!$N$2:$N$10001,ALLOCATIONS!C806))</f>
        <v/>
      </c>
      <c r="H812" s="6">
        <f>IF(A812="","",G812-F812)</f>
        <v/>
      </c>
    </row>
    <row r="813">
      <c r="A813" s="6">
        <f>IF(ALLOCATIONS!A807="","",IFERROR(VLOOKUP(ALLOCATIONS!A807,MAPPING!$A$3:$C$302,2,FALSE),"UNMAPPED"))</f>
        <v/>
      </c>
      <c r="B813" s="6">
        <f>IF(ALLOCATIONS!A807="","",IFERROR(VLOOKUP(ALLOCATIONS!A807,MAPPING!$A$3:$C$302,3,FALSE),ALLOCATIONS!A807))</f>
        <v/>
      </c>
      <c r="C813" s="6">
        <f>IF(ALLOCATIONS!A807="","",IFERROR(VLOOKUP(ALLOCATIONS!B807,MAPPING!$E$3:$G$302,2,FALSE),"UNMAPPED"))</f>
        <v/>
      </c>
      <c r="D813" s="6">
        <f>IF(ALLOCATIONS!A807="","",IFERROR(IF(VLOOKUP(ALLOCATIONS!B807,MAPPING!$E$3:$G$302,3,FALSE)="","",VLOOKUP(ALLOCATIONS!B807,MAPPING!$E$3:$G$302,3,FALSE)),""))</f>
        <v/>
      </c>
      <c r="E813" s="6">
        <f>IF(ALLOCATIONS!A807="","",ALLOCATIONS!C807)</f>
        <v/>
      </c>
      <c r="F813" s="6">
        <f>IF(ALLOCATIONS!A807="","",IF(ALLOCATIONS!D807="",0,ALLOCATIONS!D807))</f>
        <v/>
      </c>
      <c r="G813" s="6">
        <f>IF(ALLOCATIONS!A807="","",SUMIFS(RAW_004!$I$2:$I$10001,RAW_004!$D$2:$D$10001,ALLOCATIONS!A807,RAW_004!$H$2:$H$10001,ALLOCATIONS!B807,RAW_004!$N$2:$N$10001,ALLOCATIONS!C807))</f>
        <v/>
      </c>
      <c r="H813" s="6">
        <f>IF(A813="","",G813-F813)</f>
        <v/>
      </c>
    </row>
    <row r="814">
      <c r="A814" s="6">
        <f>IF(ALLOCATIONS!A808="","",IFERROR(VLOOKUP(ALLOCATIONS!A808,MAPPING!$A$3:$C$302,2,FALSE),"UNMAPPED"))</f>
        <v/>
      </c>
      <c r="B814" s="6">
        <f>IF(ALLOCATIONS!A808="","",IFERROR(VLOOKUP(ALLOCATIONS!A808,MAPPING!$A$3:$C$302,3,FALSE),ALLOCATIONS!A808))</f>
        <v/>
      </c>
      <c r="C814" s="6">
        <f>IF(ALLOCATIONS!A808="","",IFERROR(VLOOKUP(ALLOCATIONS!B808,MAPPING!$E$3:$G$302,2,FALSE),"UNMAPPED"))</f>
        <v/>
      </c>
      <c r="D814" s="6">
        <f>IF(ALLOCATIONS!A808="","",IFERROR(IF(VLOOKUP(ALLOCATIONS!B808,MAPPING!$E$3:$G$302,3,FALSE)="","",VLOOKUP(ALLOCATIONS!B808,MAPPING!$E$3:$G$302,3,FALSE)),""))</f>
        <v/>
      </c>
      <c r="E814" s="6">
        <f>IF(ALLOCATIONS!A808="","",ALLOCATIONS!C808)</f>
        <v/>
      </c>
      <c r="F814" s="6">
        <f>IF(ALLOCATIONS!A808="","",IF(ALLOCATIONS!D808="",0,ALLOCATIONS!D808))</f>
        <v/>
      </c>
      <c r="G814" s="6">
        <f>IF(ALLOCATIONS!A808="","",SUMIFS(RAW_004!$I$2:$I$10001,RAW_004!$D$2:$D$10001,ALLOCATIONS!A808,RAW_004!$H$2:$H$10001,ALLOCATIONS!B808,RAW_004!$N$2:$N$10001,ALLOCATIONS!C808))</f>
        <v/>
      </c>
      <c r="H814" s="6">
        <f>IF(A814="","",G814-F814)</f>
        <v/>
      </c>
    </row>
    <row r="815">
      <c r="A815" s="6">
        <f>IF(ALLOCATIONS!A809="","",IFERROR(VLOOKUP(ALLOCATIONS!A809,MAPPING!$A$3:$C$302,2,FALSE),"UNMAPPED"))</f>
        <v/>
      </c>
      <c r="B815" s="6">
        <f>IF(ALLOCATIONS!A809="","",IFERROR(VLOOKUP(ALLOCATIONS!A809,MAPPING!$A$3:$C$302,3,FALSE),ALLOCATIONS!A809))</f>
        <v/>
      </c>
      <c r="C815" s="6">
        <f>IF(ALLOCATIONS!A809="","",IFERROR(VLOOKUP(ALLOCATIONS!B809,MAPPING!$E$3:$G$302,2,FALSE),"UNMAPPED"))</f>
        <v/>
      </c>
      <c r="D815" s="6">
        <f>IF(ALLOCATIONS!A809="","",IFERROR(IF(VLOOKUP(ALLOCATIONS!B809,MAPPING!$E$3:$G$302,3,FALSE)="","",VLOOKUP(ALLOCATIONS!B809,MAPPING!$E$3:$G$302,3,FALSE)),""))</f>
        <v/>
      </c>
      <c r="E815" s="6">
        <f>IF(ALLOCATIONS!A809="","",ALLOCATIONS!C809)</f>
        <v/>
      </c>
      <c r="F815" s="6">
        <f>IF(ALLOCATIONS!A809="","",IF(ALLOCATIONS!D809="",0,ALLOCATIONS!D809))</f>
        <v/>
      </c>
      <c r="G815" s="6">
        <f>IF(ALLOCATIONS!A809="","",SUMIFS(RAW_004!$I$2:$I$10001,RAW_004!$D$2:$D$10001,ALLOCATIONS!A809,RAW_004!$H$2:$H$10001,ALLOCATIONS!B809,RAW_004!$N$2:$N$10001,ALLOCATIONS!C809))</f>
        <v/>
      </c>
      <c r="H815" s="6">
        <f>IF(A815="","",G815-F815)</f>
        <v/>
      </c>
    </row>
    <row r="816">
      <c r="A816" s="6">
        <f>IF(ALLOCATIONS!A810="","",IFERROR(VLOOKUP(ALLOCATIONS!A810,MAPPING!$A$3:$C$302,2,FALSE),"UNMAPPED"))</f>
        <v/>
      </c>
      <c r="B816" s="6">
        <f>IF(ALLOCATIONS!A810="","",IFERROR(VLOOKUP(ALLOCATIONS!A810,MAPPING!$A$3:$C$302,3,FALSE),ALLOCATIONS!A810))</f>
        <v/>
      </c>
      <c r="C816" s="6">
        <f>IF(ALLOCATIONS!A810="","",IFERROR(VLOOKUP(ALLOCATIONS!B810,MAPPING!$E$3:$G$302,2,FALSE),"UNMAPPED"))</f>
        <v/>
      </c>
      <c r="D816" s="6">
        <f>IF(ALLOCATIONS!A810="","",IFERROR(IF(VLOOKUP(ALLOCATIONS!B810,MAPPING!$E$3:$G$302,3,FALSE)="","",VLOOKUP(ALLOCATIONS!B810,MAPPING!$E$3:$G$302,3,FALSE)),""))</f>
        <v/>
      </c>
      <c r="E816" s="6">
        <f>IF(ALLOCATIONS!A810="","",ALLOCATIONS!C810)</f>
        <v/>
      </c>
      <c r="F816" s="6">
        <f>IF(ALLOCATIONS!A810="","",IF(ALLOCATIONS!D810="",0,ALLOCATIONS!D810))</f>
        <v/>
      </c>
      <c r="G816" s="6">
        <f>IF(ALLOCATIONS!A810="","",SUMIFS(RAW_004!$I$2:$I$10001,RAW_004!$D$2:$D$10001,ALLOCATIONS!A810,RAW_004!$H$2:$H$10001,ALLOCATIONS!B810,RAW_004!$N$2:$N$10001,ALLOCATIONS!C810))</f>
        <v/>
      </c>
      <c r="H816" s="6">
        <f>IF(A816="","",G816-F816)</f>
        <v/>
      </c>
    </row>
    <row r="817">
      <c r="A817" s="6">
        <f>IF(ALLOCATIONS!A811="","",IFERROR(VLOOKUP(ALLOCATIONS!A811,MAPPING!$A$3:$C$302,2,FALSE),"UNMAPPED"))</f>
        <v/>
      </c>
      <c r="B817" s="6">
        <f>IF(ALLOCATIONS!A811="","",IFERROR(VLOOKUP(ALLOCATIONS!A811,MAPPING!$A$3:$C$302,3,FALSE),ALLOCATIONS!A811))</f>
        <v/>
      </c>
      <c r="C817" s="6">
        <f>IF(ALLOCATIONS!A811="","",IFERROR(VLOOKUP(ALLOCATIONS!B811,MAPPING!$E$3:$G$302,2,FALSE),"UNMAPPED"))</f>
        <v/>
      </c>
      <c r="D817" s="6">
        <f>IF(ALLOCATIONS!A811="","",IFERROR(IF(VLOOKUP(ALLOCATIONS!B811,MAPPING!$E$3:$G$302,3,FALSE)="","",VLOOKUP(ALLOCATIONS!B811,MAPPING!$E$3:$G$302,3,FALSE)),""))</f>
        <v/>
      </c>
      <c r="E817" s="6">
        <f>IF(ALLOCATIONS!A811="","",ALLOCATIONS!C811)</f>
        <v/>
      </c>
      <c r="F817" s="6">
        <f>IF(ALLOCATIONS!A811="","",IF(ALLOCATIONS!D811="",0,ALLOCATIONS!D811))</f>
        <v/>
      </c>
      <c r="G817" s="6">
        <f>IF(ALLOCATIONS!A811="","",SUMIFS(RAW_004!$I$2:$I$10001,RAW_004!$D$2:$D$10001,ALLOCATIONS!A811,RAW_004!$H$2:$H$10001,ALLOCATIONS!B811,RAW_004!$N$2:$N$10001,ALLOCATIONS!C811))</f>
        <v/>
      </c>
      <c r="H817" s="6">
        <f>IF(A817="","",G817-F817)</f>
        <v/>
      </c>
    </row>
    <row r="818">
      <c r="A818" s="6">
        <f>IF(ALLOCATIONS!A812="","",IFERROR(VLOOKUP(ALLOCATIONS!A812,MAPPING!$A$3:$C$302,2,FALSE),"UNMAPPED"))</f>
        <v/>
      </c>
      <c r="B818" s="6">
        <f>IF(ALLOCATIONS!A812="","",IFERROR(VLOOKUP(ALLOCATIONS!A812,MAPPING!$A$3:$C$302,3,FALSE),ALLOCATIONS!A812))</f>
        <v/>
      </c>
      <c r="C818" s="6">
        <f>IF(ALLOCATIONS!A812="","",IFERROR(VLOOKUP(ALLOCATIONS!B812,MAPPING!$E$3:$G$302,2,FALSE),"UNMAPPED"))</f>
        <v/>
      </c>
      <c r="D818" s="6">
        <f>IF(ALLOCATIONS!A812="","",IFERROR(IF(VLOOKUP(ALLOCATIONS!B812,MAPPING!$E$3:$G$302,3,FALSE)="","",VLOOKUP(ALLOCATIONS!B812,MAPPING!$E$3:$G$302,3,FALSE)),""))</f>
        <v/>
      </c>
      <c r="E818" s="6">
        <f>IF(ALLOCATIONS!A812="","",ALLOCATIONS!C812)</f>
        <v/>
      </c>
      <c r="F818" s="6">
        <f>IF(ALLOCATIONS!A812="","",IF(ALLOCATIONS!D812="",0,ALLOCATIONS!D812))</f>
        <v/>
      </c>
      <c r="G818" s="6">
        <f>IF(ALLOCATIONS!A812="","",SUMIFS(RAW_004!$I$2:$I$10001,RAW_004!$D$2:$D$10001,ALLOCATIONS!A812,RAW_004!$H$2:$H$10001,ALLOCATIONS!B812,RAW_004!$N$2:$N$10001,ALLOCATIONS!C812))</f>
        <v/>
      </c>
      <c r="H818" s="6">
        <f>IF(A818="","",G818-F818)</f>
        <v/>
      </c>
    </row>
    <row r="819">
      <c r="A819" s="6">
        <f>IF(ALLOCATIONS!A813="","",IFERROR(VLOOKUP(ALLOCATIONS!A813,MAPPING!$A$3:$C$302,2,FALSE),"UNMAPPED"))</f>
        <v/>
      </c>
      <c r="B819" s="6">
        <f>IF(ALLOCATIONS!A813="","",IFERROR(VLOOKUP(ALLOCATIONS!A813,MAPPING!$A$3:$C$302,3,FALSE),ALLOCATIONS!A813))</f>
        <v/>
      </c>
      <c r="C819" s="6">
        <f>IF(ALLOCATIONS!A813="","",IFERROR(VLOOKUP(ALLOCATIONS!B813,MAPPING!$E$3:$G$302,2,FALSE),"UNMAPPED"))</f>
        <v/>
      </c>
      <c r="D819" s="6">
        <f>IF(ALLOCATIONS!A813="","",IFERROR(IF(VLOOKUP(ALLOCATIONS!B813,MAPPING!$E$3:$G$302,3,FALSE)="","",VLOOKUP(ALLOCATIONS!B813,MAPPING!$E$3:$G$302,3,FALSE)),""))</f>
        <v/>
      </c>
      <c r="E819" s="6">
        <f>IF(ALLOCATIONS!A813="","",ALLOCATIONS!C813)</f>
        <v/>
      </c>
      <c r="F819" s="6">
        <f>IF(ALLOCATIONS!A813="","",IF(ALLOCATIONS!D813="",0,ALLOCATIONS!D813))</f>
        <v/>
      </c>
      <c r="G819" s="6">
        <f>IF(ALLOCATIONS!A813="","",SUMIFS(RAW_004!$I$2:$I$10001,RAW_004!$D$2:$D$10001,ALLOCATIONS!A813,RAW_004!$H$2:$H$10001,ALLOCATIONS!B813,RAW_004!$N$2:$N$10001,ALLOCATIONS!C813))</f>
        <v/>
      </c>
      <c r="H819" s="6">
        <f>IF(A819="","",G819-F819)</f>
        <v/>
      </c>
    </row>
    <row r="820">
      <c r="A820" s="6">
        <f>IF(ALLOCATIONS!A814="","",IFERROR(VLOOKUP(ALLOCATIONS!A814,MAPPING!$A$3:$C$302,2,FALSE),"UNMAPPED"))</f>
        <v/>
      </c>
      <c r="B820" s="6">
        <f>IF(ALLOCATIONS!A814="","",IFERROR(VLOOKUP(ALLOCATIONS!A814,MAPPING!$A$3:$C$302,3,FALSE),ALLOCATIONS!A814))</f>
        <v/>
      </c>
      <c r="C820" s="6">
        <f>IF(ALLOCATIONS!A814="","",IFERROR(VLOOKUP(ALLOCATIONS!B814,MAPPING!$E$3:$G$302,2,FALSE),"UNMAPPED"))</f>
        <v/>
      </c>
      <c r="D820" s="6">
        <f>IF(ALLOCATIONS!A814="","",IFERROR(IF(VLOOKUP(ALLOCATIONS!B814,MAPPING!$E$3:$G$302,3,FALSE)="","",VLOOKUP(ALLOCATIONS!B814,MAPPING!$E$3:$G$302,3,FALSE)),""))</f>
        <v/>
      </c>
      <c r="E820" s="6">
        <f>IF(ALLOCATIONS!A814="","",ALLOCATIONS!C814)</f>
        <v/>
      </c>
      <c r="F820" s="6">
        <f>IF(ALLOCATIONS!A814="","",IF(ALLOCATIONS!D814="",0,ALLOCATIONS!D814))</f>
        <v/>
      </c>
      <c r="G820" s="6">
        <f>IF(ALLOCATIONS!A814="","",SUMIFS(RAW_004!$I$2:$I$10001,RAW_004!$D$2:$D$10001,ALLOCATIONS!A814,RAW_004!$H$2:$H$10001,ALLOCATIONS!B814,RAW_004!$N$2:$N$10001,ALLOCATIONS!C814))</f>
        <v/>
      </c>
      <c r="H820" s="6">
        <f>IF(A820="","",G820-F820)</f>
        <v/>
      </c>
    </row>
    <row r="821">
      <c r="A821" s="6">
        <f>IF(ALLOCATIONS!A815="","",IFERROR(VLOOKUP(ALLOCATIONS!A815,MAPPING!$A$3:$C$302,2,FALSE),"UNMAPPED"))</f>
        <v/>
      </c>
      <c r="B821" s="6">
        <f>IF(ALLOCATIONS!A815="","",IFERROR(VLOOKUP(ALLOCATIONS!A815,MAPPING!$A$3:$C$302,3,FALSE),ALLOCATIONS!A815))</f>
        <v/>
      </c>
      <c r="C821" s="6">
        <f>IF(ALLOCATIONS!A815="","",IFERROR(VLOOKUP(ALLOCATIONS!B815,MAPPING!$E$3:$G$302,2,FALSE),"UNMAPPED"))</f>
        <v/>
      </c>
      <c r="D821" s="6">
        <f>IF(ALLOCATIONS!A815="","",IFERROR(IF(VLOOKUP(ALLOCATIONS!B815,MAPPING!$E$3:$G$302,3,FALSE)="","",VLOOKUP(ALLOCATIONS!B815,MAPPING!$E$3:$G$302,3,FALSE)),""))</f>
        <v/>
      </c>
      <c r="E821" s="6">
        <f>IF(ALLOCATIONS!A815="","",ALLOCATIONS!C815)</f>
        <v/>
      </c>
      <c r="F821" s="6">
        <f>IF(ALLOCATIONS!A815="","",IF(ALLOCATIONS!D815="",0,ALLOCATIONS!D815))</f>
        <v/>
      </c>
      <c r="G821" s="6">
        <f>IF(ALLOCATIONS!A815="","",SUMIFS(RAW_004!$I$2:$I$10001,RAW_004!$D$2:$D$10001,ALLOCATIONS!A815,RAW_004!$H$2:$H$10001,ALLOCATIONS!B815,RAW_004!$N$2:$N$10001,ALLOCATIONS!C815))</f>
        <v/>
      </c>
      <c r="H821" s="6">
        <f>IF(A821="","",G821-F821)</f>
        <v/>
      </c>
    </row>
    <row r="822">
      <c r="A822" s="6">
        <f>IF(ALLOCATIONS!A816="","",IFERROR(VLOOKUP(ALLOCATIONS!A816,MAPPING!$A$3:$C$302,2,FALSE),"UNMAPPED"))</f>
        <v/>
      </c>
      <c r="B822" s="6">
        <f>IF(ALLOCATIONS!A816="","",IFERROR(VLOOKUP(ALLOCATIONS!A816,MAPPING!$A$3:$C$302,3,FALSE),ALLOCATIONS!A816))</f>
        <v/>
      </c>
      <c r="C822" s="6">
        <f>IF(ALLOCATIONS!A816="","",IFERROR(VLOOKUP(ALLOCATIONS!B816,MAPPING!$E$3:$G$302,2,FALSE),"UNMAPPED"))</f>
        <v/>
      </c>
      <c r="D822" s="6">
        <f>IF(ALLOCATIONS!A816="","",IFERROR(IF(VLOOKUP(ALLOCATIONS!B816,MAPPING!$E$3:$G$302,3,FALSE)="","",VLOOKUP(ALLOCATIONS!B816,MAPPING!$E$3:$G$302,3,FALSE)),""))</f>
        <v/>
      </c>
      <c r="E822" s="6">
        <f>IF(ALLOCATIONS!A816="","",ALLOCATIONS!C816)</f>
        <v/>
      </c>
      <c r="F822" s="6">
        <f>IF(ALLOCATIONS!A816="","",IF(ALLOCATIONS!D816="",0,ALLOCATIONS!D816))</f>
        <v/>
      </c>
      <c r="G822" s="6">
        <f>IF(ALLOCATIONS!A816="","",SUMIFS(RAW_004!$I$2:$I$10001,RAW_004!$D$2:$D$10001,ALLOCATIONS!A816,RAW_004!$H$2:$H$10001,ALLOCATIONS!B816,RAW_004!$N$2:$N$10001,ALLOCATIONS!C816))</f>
        <v/>
      </c>
      <c r="H822" s="6">
        <f>IF(A822="","",G822-F822)</f>
        <v/>
      </c>
    </row>
    <row r="823">
      <c r="A823" s="6">
        <f>IF(ALLOCATIONS!A817="","",IFERROR(VLOOKUP(ALLOCATIONS!A817,MAPPING!$A$3:$C$302,2,FALSE),"UNMAPPED"))</f>
        <v/>
      </c>
      <c r="B823" s="6">
        <f>IF(ALLOCATIONS!A817="","",IFERROR(VLOOKUP(ALLOCATIONS!A817,MAPPING!$A$3:$C$302,3,FALSE),ALLOCATIONS!A817))</f>
        <v/>
      </c>
      <c r="C823" s="6">
        <f>IF(ALLOCATIONS!A817="","",IFERROR(VLOOKUP(ALLOCATIONS!B817,MAPPING!$E$3:$G$302,2,FALSE),"UNMAPPED"))</f>
        <v/>
      </c>
      <c r="D823" s="6">
        <f>IF(ALLOCATIONS!A817="","",IFERROR(IF(VLOOKUP(ALLOCATIONS!B817,MAPPING!$E$3:$G$302,3,FALSE)="","",VLOOKUP(ALLOCATIONS!B817,MAPPING!$E$3:$G$302,3,FALSE)),""))</f>
        <v/>
      </c>
      <c r="E823" s="6">
        <f>IF(ALLOCATIONS!A817="","",ALLOCATIONS!C817)</f>
        <v/>
      </c>
      <c r="F823" s="6">
        <f>IF(ALLOCATIONS!A817="","",IF(ALLOCATIONS!D817="",0,ALLOCATIONS!D817))</f>
        <v/>
      </c>
      <c r="G823" s="6">
        <f>IF(ALLOCATIONS!A817="","",SUMIFS(RAW_004!$I$2:$I$10001,RAW_004!$D$2:$D$10001,ALLOCATIONS!A817,RAW_004!$H$2:$H$10001,ALLOCATIONS!B817,RAW_004!$N$2:$N$10001,ALLOCATIONS!C817))</f>
        <v/>
      </c>
      <c r="H823" s="6">
        <f>IF(A823="","",G823-F823)</f>
        <v/>
      </c>
    </row>
    <row r="824">
      <c r="A824" s="6">
        <f>IF(ALLOCATIONS!A818="","",IFERROR(VLOOKUP(ALLOCATIONS!A818,MAPPING!$A$3:$C$302,2,FALSE),"UNMAPPED"))</f>
        <v/>
      </c>
      <c r="B824" s="6">
        <f>IF(ALLOCATIONS!A818="","",IFERROR(VLOOKUP(ALLOCATIONS!A818,MAPPING!$A$3:$C$302,3,FALSE),ALLOCATIONS!A818))</f>
        <v/>
      </c>
      <c r="C824" s="6">
        <f>IF(ALLOCATIONS!A818="","",IFERROR(VLOOKUP(ALLOCATIONS!B818,MAPPING!$E$3:$G$302,2,FALSE),"UNMAPPED"))</f>
        <v/>
      </c>
      <c r="D824" s="6">
        <f>IF(ALLOCATIONS!A818="","",IFERROR(IF(VLOOKUP(ALLOCATIONS!B818,MAPPING!$E$3:$G$302,3,FALSE)="","",VLOOKUP(ALLOCATIONS!B818,MAPPING!$E$3:$G$302,3,FALSE)),""))</f>
        <v/>
      </c>
      <c r="E824" s="6">
        <f>IF(ALLOCATIONS!A818="","",ALLOCATIONS!C818)</f>
        <v/>
      </c>
      <c r="F824" s="6">
        <f>IF(ALLOCATIONS!A818="","",IF(ALLOCATIONS!D818="",0,ALLOCATIONS!D818))</f>
        <v/>
      </c>
      <c r="G824" s="6">
        <f>IF(ALLOCATIONS!A818="","",SUMIFS(RAW_004!$I$2:$I$10001,RAW_004!$D$2:$D$10001,ALLOCATIONS!A818,RAW_004!$H$2:$H$10001,ALLOCATIONS!B818,RAW_004!$N$2:$N$10001,ALLOCATIONS!C818))</f>
        <v/>
      </c>
      <c r="H824" s="6">
        <f>IF(A824="","",G824-F824)</f>
        <v/>
      </c>
    </row>
    <row r="825">
      <c r="A825" s="6">
        <f>IF(ALLOCATIONS!A819="","",IFERROR(VLOOKUP(ALLOCATIONS!A819,MAPPING!$A$3:$C$302,2,FALSE),"UNMAPPED"))</f>
        <v/>
      </c>
      <c r="B825" s="6">
        <f>IF(ALLOCATIONS!A819="","",IFERROR(VLOOKUP(ALLOCATIONS!A819,MAPPING!$A$3:$C$302,3,FALSE),ALLOCATIONS!A819))</f>
        <v/>
      </c>
      <c r="C825" s="6">
        <f>IF(ALLOCATIONS!A819="","",IFERROR(VLOOKUP(ALLOCATIONS!B819,MAPPING!$E$3:$G$302,2,FALSE),"UNMAPPED"))</f>
        <v/>
      </c>
      <c r="D825" s="6">
        <f>IF(ALLOCATIONS!A819="","",IFERROR(IF(VLOOKUP(ALLOCATIONS!B819,MAPPING!$E$3:$G$302,3,FALSE)="","",VLOOKUP(ALLOCATIONS!B819,MAPPING!$E$3:$G$302,3,FALSE)),""))</f>
        <v/>
      </c>
      <c r="E825" s="6">
        <f>IF(ALLOCATIONS!A819="","",ALLOCATIONS!C819)</f>
        <v/>
      </c>
      <c r="F825" s="6">
        <f>IF(ALLOCATIONS!A819="","",IF(ALLOCATIONS!D819="",0,ALLOCATIONS!D819))</f>
        <v/>
      </c>
      <c r="G825" s="6">
        <f>IF(ALLOCATIONS!A819="","",SUMIFS(RAW_004!$I$2:$I$10001,RAW_004!$D$2:$D$10001,ALLOCATIONS!A819,RAW_004!$H$2:$H$10001,ALLOCATIONS!B819,RAW_004!$N$2:$N$10001,ALLOCATIONS!C819))</f>
        <v/>
      </c>
      <c r="H825" s="6">
        <f>IF(A825="","",G825-F825)</f>
        <v/>
      </c>
    </row>
    <row r="826">
      <c r="A826" s="6">
        <f>IF(ALLOCATIONS!A820="","",IFERROR(VLOOKUP(ALLOCATIONS!A820,MAPPING!$A$3:$C$302,2,FALSE),"UNMAPPED"))</f>
        <v/>
      </c>
      <c r="B826" s="6">
        <f>IF(ALLOCATIONS!A820="","",IFERROR(VLOOKUP(ALLOCATIONS!A820,MAPPING!$A$3:$C$302,3,FALSE),ALLOCATIONS!A820))</f>
        <v/>
      </c>
      <c r="C826" s="6">
        <f>IF(ALLOCATIONS!A820="","",IFERROR(VLOOKUP(ALLOCATIONS!B820,MAPPING!$E$3:$G$302,2,FALSE),"UNMAPPED"))</f>
        <v/>
      </c>
      <c r="D826" s="6">
        <f>IF(ALLOCATIONS!A820="","",IFERROR(IF(VLOOKUP(ALLOCATIONS!B820,MAPPING!$E$3:$G$302,3,FALSE)="","",VLOOKUP(ALLOCATIONS!B820,MAPPING!$E$3:$G$302,3,FALSE)),""))</f>
        <v/>
      </c>
      <c r="E826" s="6">
        <f>IF(ALLOCATIONS!A820="","",ALLOCATIONS!C820)</f>
        <v/>
      </c>
      <c r="F826" s="6">
        <f>IF(ALLOCATIONS!A820="","",IF(ALLOCATIONS!D820="",0,ALLOCATIONS!D820))</f>
        <v/>
      </c>
      <c r="G826" s="6">
        <f>IF(ALLOCATIONS!A820="","",SUMIFS(RAW_004!$I$2:$I$10001,RAW_004!$D$2:$D$10001,ALLOCATIONS!A820,RAW_004!$H$2:$H$10001,ALLOCATIONS!B820,RAW_004!$N$2:$N$10001,ALLOCATIONS!C820))</f>
        <v/>
      </c>
      <c r="H826" s="6">
        <f>IF(A826="","",G826-F826)</f>
        <v/>
      </c>
    </row>
    <row r="827">
      <c r="A827" s="6">
        <f>IF(ALLOCATIONS!A821="","",IFERROR(VLOOKUP(ALLOCATIONS!A821,MAPPING!$A$3:$C$302,2,FALSE),"UNMAPPED"))</f>
        <v/>
      </c>
      <c r="B827" s="6">
        <f>IF(ALLOCATIONS!A821="","",IFERROR(VLOOKUP(ALLOCATIONS!A821,MAPPING!$A$3:$C$302,3,FALSE),ALLOCATIONS!A821))</f>
        <v/>
      </c>
      <c r="C827" s="6">
        <f>IF(ALLOCATIONS!A821="","",IFERROR(VLOOKUP(ALLOCATIONS!B821,MAPPING!$E$3:$G$302,2,FALSE),"UNMAPPED"))</f>
        <v/>
      </c>
      <c r="D827" s="6">
        <f>IF(ALLOCATIONS!A821="","",IFERROR(IF(VLOOKUP(ALLOCATIONS!B821,MAPPING!$E$3:$G$302,3,FALSE)="","",VLOOKUP(ALLOCATIONS!B821,MAPPING!$E$3:$G$302,3,FALSE)),""))</f>
        <v/>
      </c>
      <c r="E827" s="6">
        <f>IF(ALLOCATIONS!A821="","",ALLOCATIONS!C821)</f>
        <v/>
      </c>
      <c r="F827" s="6">
        <f>IF(ALLOCATIONS!A821="","",IF(ALLOCATIONS!D821="",0,ALLOCATIONS!D821))</f>
        <v/>
      </c>
      <c r="G827" s="6">
        <f>IF(ALLOCATIONS!A821="","",SUMIFS(RAW_004!$I$2:$I$10001,RAW_004!$D$2:$D$10001,ALLOCATIONS!A821,RAW_004!$H$2:$H$10001,ALLOCATIONS!B821,RAW_004!$N$2:$N$10001,ALLOCATIONS!C821))</f>
        <v/>
      </c>
      <c r="H827" s="6">
        <f>IF(A827="","",G827-F827)</f>
        <v/>
      </c>
    </row>
    <row r="828">
      <c r="A828" s="6">
        <f>IF(ALLOCATIONS!A822="","",IFERROR(VLOOKUP(ALLOCATIONS!A822,MAPPING!$A$3:$C$302,2,FALSE),"UNMAPPED"))</f>
        <v/>
      </c>
      <c r="B828" s="6">
        <f>IF(ALLOCATIONS!A822="","",IFERROR(VLOOKUP(ALLOCATIONS!A822,MAPPING!$A$3:$C$302,3,FALSE),ALLOCATIONS!A822))</f>
        <v/>
      </c>
      <c r="C828" s="6">
        <f>IF(ALLOCATIONS!A822="","",IFERROR(VLOOKUP(ALLOCATIONS!B822,MAPPING!$E$3:$G$302,2,FALSE),"UNMAPPED"))</f>
        <v/>
      </c>
      <c r="D828" s="6">
        <f>IF(ALLOCATIONS!A822="","",IFERROR(IF(VLOOKUP(ALLOCATIONS!B822,MAPPING!$E$3:$G$302,3,FALSE)="","",VLOOKUP(ALLOCATIONS!B822,MAPPING!$E$3:$G$302,3,FALSE)),""))</f>
        <v/>
      </c>
      <c r="E828" s="6">
        <f>IF(ALLOCATIONS!A822="","",ALLOCATIONS!C822)</f>
        <v/>
      </c>
      <c r="F828" s="6">
        <f>IF(ALLOCATIONS!A822="","",IF(ALLOCATIONS!D822="",0,ALLOCATIONS!D822))</f>
        <v/>
      </c>
      <c r="G828" s="6">
        <f>IF(ALLOCATIONS!A822="","",SUMIFS(RAW_004!$I$2:$I$10001,RAW_004!$D$2:$D$10001,ALLOCATIONS!A822,RAW_004!$H$2:$H$10001,ALLOCATIONS!B822,RAW_004!$N$2:$N$10001,ALLOCATIONS!C822))</f>
        <v/>
      </c>
      <c r="H828" s="6">
        <f>IF(A828="","",G828-F828)</f>
        <v/>
      </c>
    </row>
    <row r="829">
      <c r="A829" s="6">
        <f>IF(ALLOCATIONS!A823="","",IFERROR(VLOOKUP(ALLOCATIONS!A823,MAPPING!$A$3:$C$302,2,FALSE),"UNMAPPED"))</f>
        <v/>
      </c>
      <c r="B829" s="6">
        <f>IF(ALLOCATIONS!A823="","",IFERROR(VLOOKUP(ALLOCATIONS!A823,MAPPING!$A$3:$C$302,3,FALSE),ALLOCATIONS!A823))</f>
        <v/>
      </c>
      <c r="C829" s="6">
        <f>IF(ALLOCATIONS!A823="","",IFERROR(VLOOKUP(ALLOCATIONS!B823,MAPPING!$E$3:$G$302,2,FALSE),"UNMAPPED"))</f>
        <v/>
      </c>
      <c r="D829" s="6">
        <f>IF(ALLOCATIONS!A823="","",IFERROR(IF(VLOOKUP(ALLOCATIONS!B823,MAPPING!$E$3:$G$302,3,FALSE)="","",VLOOKUP(ALLOCATIONS!B823,MAPPING!$E$3:$G$302,3,FALSE)),""))</f>
        <v/>
      </c>
      <c r="E829" s="6">
        <f>IF(ALLOCATIONS!A823="","",ALLOCATIONS!C823)</f>
        <v/>
      </c>
      <c r="F829" s="6">
        <f>IF(ALLOCATIONS!A823="","",IF(ALLOCATIONS!D823="",0,ALLOCATIONS!D823))</f>
        <v/>
      </c>
      <c r="G829" s="6">
        <f>IF(ALLOCATIONS!A823="","",SUMIFS(RAW_004!$I$2:$I$10001,RAW_004!$D$2:$D$10001,ALLOCATIONS!A823,RAW_004!$H$2:$H$10001,ALLOCATIONS!B823,RAW_004!$N$2:$N$10001,ALLOCATIONS!C823))</f>
        <v/>
      </c>
      <c r="H829" s="6">
        <f>IF(A829="","",G829-F829)</f>
        <v/>
      </c>
    </row>
    <row r="830">
      <c r="A830" s="6">
        <f>IF(ALLOCATIONS!A824="","",IFERROR(VLOOKUP(ALLOCATIONS!A824,MAPPING!$A$3:$C$302,2,FALSE),"UNMAPPED"))</f>
        <v/>
      </c>
      <c r="B830" s="6">
        <f>IF(ALLOCATIONS!A824="","",IFERROR(VLOOKUP(ALLOCATIONS!A824,MAPPING!$A$3:$C$302,3,FALSE),ALLOCATIONS!A824))</f>
        <v/>
      </c>
      <c r="C830" s="6">
        <f>IF(ALLOCATIONS!A824="","",IFERROR(VLOOKUP(ALLOCATIONS!B824,MAPPING!$E$3:$G$302,2,FALSE),"UNMAPPED"))</f>
        <v/>
      </c>
      <c r="D830" s="6">
        <f>IF(ALLOCATIONS!A824="","",IFERROR(IF(VLOOKUP(ALLOCATIONS!B824,MAPPING!$E$3:$G$302,3,FALSE)="","",VLOOKUP(ALLOCATIONS!B824,MAPPING!$E$3:$G$302,3,FALSE)),""))</f>
        <v/>
      </c>
      <c r="E830" s="6">
        <f>IF(ALLOCATIONS!A824="","",ALLOCATIONS!C824)</f>
        <v/>
      </c>
      <c r="F830" s="6">
        <f>IF(ALLOCATIONS!A824="","",IF(ALLOCATIONS!D824="",0,ALLOCATIONS!D824))</f>
        <v/>
      </c>
      <c r="G830" s="6">
        <f>IF(ALLOCATIONS!A824="","",SUMIFS(RAW_004!$I$2:$I$10001,RAW_004!$D$2:$D$10001,ALLOCATIONS!A824,RAW_004!$H$2:$H$10001,ALLOCATIONS!B824,RAW_004!$N$2:$N$10001,ALLOCATIONS!C824))</f>
        <v/>
      </c>
      <c r="H830" s="6">
        <f>IF(A830="","",G830-F830)</f>
        <v/>
      </c>
    </row>
    <row r="831">
      <c r="A831" s="6">
        <f>IF(ALLOCATIONS!A825="","",IFERROR(VLOOKUP(ALLOCATIONS!A825,MAPPING!$A$3:$C$302,2,FALSE),"UNMAPPED"))</f>
        <v/>
      </c>
      <c r="B831" s="6">
        <f>IF(ALLOCATIONS!A825="","",IFERROR(VLOOKUP(ALLOCATIONS!A825,MAPPING!$A$3:$C$302,3,FALSE),ALLOCATIONS!A825))</f>
        <v/>
      </c>
      <c r="C831" s="6">
        <f>IF(ALLOCATIONS!A825="","",IFERROR(VLOOKUP(ALLOCATIONS!B825,MAPPING!$E$3:$G$302,2,FALSE),"UNMAPPED"))</f>
        <v/>
      </c>
      <c r="D831" s="6">
        <f>IF(ALLOCATIONS!A825="","",IFERROR(IF(VLOOKUP(ALLOCATIONS!B825,MAPPING!$E$3:$G$302,3,FALSE)="","",VLOOKUP(ALLOCATIONS!B825,MAPPING!$E$3:$G$302,3,FALSE)),""))</f>
        <v/>
      </c>
      <c r="E831" s="6">
        <f>IF(ALLOCATIONS!A825="","",ALLOCATIONS!C825)</f>
        <v/>
      </c>
      <c r="F831" s="6">
        <f>IF(ALLOCATIONS!A825="","",IF(ALLOCATIONS!D825="",0,ALLOCATIONS!D825))</f>
        <v/>
      </c>
      <c r="G831" s="6">
        <f>IF(ALLOCATIONS!A825="","",SUMIFS(RAW_004!$I$2:$I$10001,RAW_004!$D$2:$D$10001,ALLOCATIONS!A825,RAW_004!$H$2:$H$10001,ALLOCATIONS!B825,RAW_004!$N$2:$N$10001,ALLOCATIONS!C825))</f>
        <v/>
      </c>
      <c r="H831" s="6">
        <f>IF(A831="","",G831-F831)</f>
        <v/>
      </c>
    </row>
    <row r="832">
      <c r="A832" s="6">
        <f>IF(ALLOCATIONS!A826="","",IFERROR(VLOOKUP(ALLOCATIONS!A826,MAPPING!$A$3:$C$302,2,FALSE),"UNMAPPED"))</f>
        <v/>
      </c>
      <c r="B832" s="6">
        <f>IF(ALLOCATIONS!A826="","",IFERROR(VLOOKUP(ALLOCATIONS!A826,MAPPING!$A$3:$C$302,3,FALSE),ALLOCATIONS!A826))</f>
        <v/>
      </c>
      <c r="C832" s="6">
        <f>IF(ALLOCATIONS!A826="","",IFERROR(VLOOKUP(ALLOCATIONS!B826,MAPPING!$E$3:$G$302,2,FALSE),"UNMAPPED"))</f>
        <v/>
      </c>
      <c r="D832" s="6">
        <f>IF(ALLOCATIONS!A826="","",IFERROR(IF(VLOOKUP(ALLOCATIONS!B826,MAPPING!$E$3:$G$302,3,FALSE)="","",VLOOKUP(ALLOCATIONS!B826,MAPPING!$E$3:$G$302,3,FALSE)),""))</f>
        <v/>
      </c>
      <c r="E832" s="6">
        <f>IF(ALLOCATIONS!A826="","",ALLOCATIONS!C826)</f>
        <v/>
      </c>
      <c r="F832" s="6">
        <f>IF(ALLOCATIONS!A826="","",IF(ALLOCATIONS!D826="",0,ALLOCATIONS!D826))</f>
        <v/>
      </c>
      <c r="G832" s="6">
        <f>IF(ALLOCATIONS!A826="","",SUMIFS(RAW_004!$I$2:$I$10001,RAW_004!$D$2:$D$10001,ALLOCATIONS!A826,RAW_004!$H$2:$H$10001,ALLOCATIONS!B826,RAW_004!$N$2:$N$10001,ALLOCATIONS!C826))</f>
        <v/>
      </c>
      <c r="H832" s="6">
        <f>IF(A832="","",G832-F832)</f>
        <v/>
      </c>
    </row>
    <row r="833">
      <c r="A833" s="6">
        <f>IF(ALLOCATIONS!A827="","",IFERROR(VLOOKUP(ALLOCATIONS!A827,MAPPING!$A$3:$C$302,2,FALSE),"UNMAPPED"))</f>
        <v/>
      </c>
      <c r="B833" s="6">
        <f>IF(ALLOCATIONS!A827="","",IFERROR(VLOOKUP(ALLOCATIONS!A827,MAPPING!$A$3:$C$302,3,FALSE),ALLOCATIONS!A827))</f>
        <v/>
      </c>
      <c r="C833" s="6">
        <f>IF(ALLOCATIONS!A827="","",IFERROR(VLOOKUP(ALLOCATIONS!B827,MAPPING!$E$3:$G$302,2,FALSE),"UNMAPPED"))</f>
        <v/>
      </c>
      <c r="D833" s="6">
        <f>IF(ALLOCATIONS!A827="","",IFERROR(IF(VLOOKUP(ALLOCATIONS!B827,MAPPING!$E$3:$G$302,3,FALSE)="","",VLOOKUP(ALLOCATIONS!B827,MAPPING!$E$3:$G$302,3,FALSE)),""))</f>
        <v/>
      </c>
      <c r="E833" s="6">
        <f>IF(ALLOCATIONS!A827="","",ALLOCATIONS!C827)</f>
        <v/>
      </c>
      <c r="F833" s="6">
        <f>IF(ALLOCATIONS!A827="","",IF(ALLOCATIONS!D827="",0,ALLOCATIONS!D827))</f>
        <v/>
      </c>
      <c r="G833" s="6">
        <f>IF(ALLOCATIONS!A827="","",SUMIFS(RAW_004!$I$2:$I$10001,RAW_004!$D$2:$D$10001,ALLOCATIONS!A827,RAW_004!$H$2:$H$10001,ALLOCATIONS!B827,RAW_004!$N$2:$N$10001,ALLOCATIONS!C827))</f>
        <v/>
      </c>
      <c r="H833" s="6">
        <f>IF(A833="","",G833-F833)</f>
        <v/>
      </c>
    </row>
    <row r="834">
      <c r="A834" s="6">
        <f>IF(ALLOCATIONS!A828="","",IFERROR(VLOOKUP(ALLOCATIONS!A828,MAPPING!$A$3:$C$302,2,FALSE),"UNMAPPED"))</f>
        <v/>
      </c>
      <c r="B834" s="6">
        <f>IF(ALLOCATIONS!A828="","",IFERROR(VLOOKUP(ALLOCATIONS!A828,MAPPING!$A$3:$C$302,3,FALSE),ALLOCATIONS!A828))</f>
        <v/>
      </c>
      <c r="C834" s="6">
        <f>IF(ALLOCATIONS!A828="","",IFERROR(VLOOKUP(ALLOCATIONS!B828,MAPPING!$E$3:$G$302,2,FALSE),"UNMAPPED"))</f>
        <v/>
      </c>
      <c r="D834" s="6">
        <f>IF(ALLOCATIONS!A828="","",IFERROR(IF(VLOOKUP(ALLOCATIONS!B828,MAPPING!$E$3:$G$302,3,FALSE)="","",VLOOKUP(ALLOCATIONS!B828,MAPPING!$E$3:$G$302,3,FALSE)),""))</f>
        <v/>
      </c>
      <c r="E834" s="6">
        <f>IF(ALLOCATIONS!A828="","",ALLOCATIONS!C828)</f>
        <v/>
      </c>
      <c r="F834" s="6">
        <f>IF(ALLOCATIONS!A828="","",IF(ALLOCATIONS!D828="",0,ALLOCATIONS!D828))</f>
        <v/>
      </c>
      <c r="G834" s="6">
        <f>IF(ALLOCATIONS!A828="","",SUMIFS(RAW_004!$I$2:$I$10001,RAW_004!$D$2:$D$10001,ALLOCATIONS!A828,RAW_004!$H$2:$H$10001,ALLOCATIONS!B828,RAW_004!$N$2:$N$10001,ALLOCATIONS!C828))</f>
        <v/>
      </c>
      <c r="H834" s="6">
        <f>IF(A834="","",G834-F834)</f>
        <v/>
      </c>
    </row>
    <row r="835">
      <c r="A835" s="6">
        <f>IF(ALLOCATIONS!A829="","",IFERROR(VLOOKUP(ALLOCATIONS!A829,MAPPING!$A$3:$C$302,2,FALSE),"UNMAPPED"))</f>
        <v/>
      </c>
      <c r="B835" s="6">
        <f>IF(ALLOCATIONS!A829="","",IFERROR(VLOOKUP(ALLOCATIONS!A829,MAPPING!$A$3:$C$302,3,FALSE),ALLOCATIONS!A829))</f>
        <v/>
      </c>
      <c r="C835" s="6">
        <f>IF(ALLOCATIONS!A829="","",IFERROR(VLOOKUP(ALLOCATIONS!B829,MAPPING!$E$3:$G$302,2,FALSE),"UNMAPPED"))</f>
        <v/>
      </c>
      <c r="D835" s="6">
        <f>IF(ALLOCATIONS!A829="","",IFERROR(IF(VLOOKUP(ALLOCATIONS!B829,MAPPING!$E$3:$G$302,3,FALSE)="","",VLOOKUP(ALLOCATIONS!B829,MAPPING!$E$3:$G$302,3,FALSE)),""))</f>
        <v/>
      </c>
      <c r="E835" s="6">
        <f>IF(ALLOCATIONS!A829="","",ALLOCATIONS!C829)</f>
        <v/>
      </c>
      <c r="F835" s="6">
        <f>IF(ALLOCATIONS!A829="","",IF(ALLOCATIONS!D829="",0,ALLOCATIONS!D829))</f>
        <v/>
      </c>
      <c r="G835" s="6">
        <f>IF(ALLOCATIONS!A829="","",SUMIFS(RAW_004!$I$2:$I$10001,RAW_004!$D$2:$D$10001,ALLOCATIONS!A829,RAW_004!$H$2:$H$10001,ALLOCATIONS!B829,RAW_004!$N$2:$N$10001,ALLOCATIONS!C829))</f>
        <v/>
      </c>
      <c r="H835" s="6">
        <f>IF(A835="","",G835-F835)</f>
        <v/>
      </c>
    </row>
    <row r="836">
      <c r="A836" s="6">
        <f>IF(ALLOCATIONS!A830="","",IFERROR(VLOOKUP(ALLOCATIONS!A830,MAPPING!$A$3:$C$302,2,FALSE),"UNMAPPED"))</f>
        <v/>
      </c>
      <c r="B836" s="6">
        <f>IF(ALLOCATIONS!A830="","",IFERROR(VLOOKUP(ALLOCATIONS!A830,MAPPING!$A$3:$C$302,3,FALSE),ALLOCATIONS!A830))</f>
        <v/>
      </c>
      <c r="C836" s="6">
        <f>IF(ALLOCATIONS!A830="","",IFERROR(VLOOKUP(ALLOCATIONS!B830,MAPPING!$E$3:$G$302,2,FALSE),"UNMAPPED"))</f>
        <v/>
      </c>
      <c r="D836" s="6">
        <f>IF(ALLOCATIONS!A830="","",IFERROR(IF(VLOOKUP(ALLOCATIONS!B830,MAPPING!$E$3:$G$302,3,FALSE)="","",VLOOKUP(ALLOCATIONS!B830,MAPPING!$E$3:$G$302,3,FALSE)),""))</f>
        <v/>
      </c>
      <c r="E836" s="6">
        <f>IF(ALLOCATIONS!A830="","",ALLOCATIONS!C830)</f>
        <v/>
      </c>
      <c r="F836" s="6">
        <f>IF(ALLOCATIONS!A830="","",IF(ALLOCATIONS!D830="",0,ALLOCATIONS!D830))</f>
        <v/>
      </c>
      <c r="G836" s="6">
        <f>IF(ALLOCATIONS!A830="","",SUMIFS(RAW_004!$I$2:$I$10001,RAW_004!$D$2:$D$10001,ALLOCATIONS!A830,RAW_004!$H$2:$H$10001,ALLOCATIONS!B830,RAW_004!$N$2:$N$10001,ALLOCATIONS!C830))</f>
        <v/>
      </c>
      <c r="H836" s="6">
        <f>IF(A836="","",G836-F836)</f>
        <v/>
      </c>
    </row>
    <row r="837">
      <c r="A837" s="6">
        <f>IF(ALLOCATIONS!A831="","",IFERROR(VLOOKUP(ALLOCATIONS!A831,MAPPING!$A$3:$C$302,2,FALSE),"UNMAPPED"))</f>
        <v/>
      </c>
      <c r="B837" s="6">
        <f>IF(ALLOCATIONS!A831="","",IFERROR(VLOOKUP(ALLOCATIONS!A831,MAPPING!$A$3:$C$302,3,FALSE),ALLOCATIONS!A831))</f>
        <v/>
      </c>
      <c r="C837" s="6">
        <f>IF(ALLOCATIONS!A831="","",IFERROR(VLOOKUP(ALLOCATIONS!B831,MAPPING!$E$3:$G$302,2,FALSE),"UNMAPPED"))</f>
        <v/>
      </c>
      <c r="D837" s="6">
        <f>IF(ALLOCATIONS!A831="","",IFERROR(IF(VLOOKUP(ALLOCATIONS!B831,MAPPING!$E$3:$G$302,3,FALSE)="","",VLOOKUP(ALLOCATIONS!B831,MAPPING!$E$3:$G$302,3,FALSE)),""))</f>
        <v/>
      </c>
      <c r="E837" s="6">
        <f>IF(ALLOCATIONS!A831="","",ALLOCATIONS!C831)</f>
        <v/>
      </c>
      <c r="F837" s="6">
        <f>IF(ALLOCATIONS!A831="","",IF(ALLOCATIONS!D831="",0,ALLOCATIONS!D831))</f>
        <v/>
      </c>
      <c r="G837" s="6">
        <f>IF(ALLOCATIONS!A831="","",SUMIFS(RAW_004!$I$2:$I$10001,RAW_004!$D$2:$D$10001,ALLOCATIONS!A831,RAW_004!$H$2:$H$10001,ALLOCATIONS!B831,RAW_004!$N$2:$N$10001,ALLOCATIONS!C831))</f>
        <v/>
      </c>
      <c r="H837" s="6">
        <f>IF(A837="","",G837-F837)</f>
        <v/>
      </c>
    </row>
    <row r="838">
      <c r="A838" s="6">
        <f>IF(ALLOCATIONS!A832="","",IFERROR(VLOOKUP(ALLOCATIONS!A832,MAPPING!$A$3:$C$302,2,FALSE),"UNMAPPED"))</f>
        <v/>
      </c>
      <c r="B838" s="6">
        <f>IF(ALLOCATIONS!A832="","",IFERROR(VLOOKUP(ALLOCATIONS!A832,MAPPING!$A$3:$C$302,3,FALSE),ALLOCATIONS!A832))</f>
        <v/>
      </c>
      <c r="C838" s="6">
        <f>IF(ALLOCATIONS!A832="","",IFERROR(VLOOKUP(ALLOCATIONS!B832,MAPPING!$E$3:$G$302,2,FALSE),"UNMAPPED"))</f>
        <v/>
      </c>
      <c r="D838" s="6">
        <f>IF(ALLOCATIONS!A832="","",IFERROR(IF(VLOOKUP(ALLOCATIONS!B832,MAPPING!$E$3:$G$302,3,FALSE)="","",VLOOKUP(ALLOCATIONS!B832,MAPPING!$E$3:$G$302,3,FALSE)),""))</f>
        <v/>
      </c>
      <c r="E838" s="6">
        <f>IF(ALLOCATIONS!A832="","",ALLOCATIONS!C832)</f>
        <v/>
      </c>
      <c r="F838" s="6">
        <f>IF(ALLOCATIONS!A832="","",IF(ALLOCATIONS!D832="",0,ALLOCATIONS!D832))</f>
        <v/>
      </c>
      <c r="G838" s="6">
        <f>IF(ALLOCATIONS!A832="","",SUMIFS(RAW_004!$I$2:$I$10001,RAW_004!$D$2:$D$10001,ALLOCATIONS!A832,RAW_004!$H$2:$H$10001,ALLOCATIONS!B832,RAW_004!$N$2:$N$10001,ALLOCATIONS!C832))</f>
        <v/>
      </c>
      <c r="H838" s="6">
        <f>IF(A838="","",G838-F838)</f>
        <v/>
      </c>
    </row>
    <row r="839">
      <c r="A839" s="6">
        <f>IF(ALLOCATIONS!A833="","",IFERROR(VLOOKUP(ALLOCATIONS!A833,MAPPING!$A$3:$C$302,2,FALSE),"UNMAPPED"))</f>
        <v/>
      </c>
      <c r="B839" s="6">
        <f>IF(ALLOCATIONS!A833="","",IFERROR(VLOOKUP(ALLOCATIONS!A833,MAPPING!$A$3:$C$302,3,FALSE),ALLOCATIONS!A833))</f>
        <v/>
      </c>
      <c r="C839" s="6">
        <f>IF(ALLOCATIONS!A833="","",IFERROR(VLOOKUP(ALLOCATIONS!B833,MAPPING!$E$3:$G$302,2,FALSE),"UNMAPPED"))</f>
        <v/>
      </c>
      <c r="D839" s="6">
        <f>IF(ALLOCATIONS!A833="","",IFERROR(IF(VLOOKUP(ALLOCATIONS!B833,MAPPING!$E$3:$G$302,3,FALSE)="","",VLOOKUP(ALLOCATIONS!B833,MAPPING!$E$3:$G$302,3,FALSE)),""))</f>
        <v/>
      </c>
      <c r="E839" s="6">
        <f>IF(ALLOCATIONS!A833="","",ALLOCATIONS!C833)</f>
        <v/>
      </c>
      <c r="F839" s="6">
        <f>IF(ALLOCATIONS!A833="","",IF(ALLOCATIONS!D833="",0,ALLOCATIONS!D833))</f>
        <v/>
      </c>
      <c r="G839" s="6">
        <f>IF(ALLOCATIONS!A833="","",SUMIFS(RAW_004!$I$2:$I$10001,RAW_004!$D$2:$D$10001,ALLOCATIONS!A833,RAW_004!$H$2:$H$10001,ALLOCATIONS!B833,RAW_004!$N$2:$N$10001,ALLOCATIONS!C833))</f>
        <v/>
      </c>
      <c r="H839" s="6">
        <f>IF(A839="","",G839-F839)</f>
        <v/>
      </c>
    </row>
    <row r="840">
      <c r="A840" s="6">
        <f>IF(ALLOCATIONS!A834="","",IFERROR(VLOOKUP(ALLOCATIONS!A834,MAPPING!$A$3:$C$302,2,FALSE),"UNMAPPED"))</f>
        <v/>
      </c>
      <c r="B840" s="6">
        <f>IF(ALLOCATIONS!A834="","",IFERROR(VLOOKUP(ALLOCATIONS!A834,MAPPING!$A$3:$C$302,3,FALSE),ALLOCATIONS!A834))</f>
        <v/>
      </c>
      <c r="C840" s="6">
        <f>IF(ALLOCATIONS!A834="","",IFERROR(VLOOKUP(ALLOCATIONS!B834,MAPPING!$E$3:$G$302,2,FALSE),"UNMAPPED"))</f>
        <v/>
      </c>
      <c r="D840" s="6">
        <f>IF(ALLOCATIONS!A834="","",IFERROR(IF(VLOOKUP(ALLOCATIONS!B834,MAPPING!$E$3:$G$302,3,FALSE)="","",VLOOKUP(ALLOCATIONS!B834,MAPPING!$E$3:$G$302,3,FALSE)),""))</f>
        <v/>
      </c>
      <c r="E840" s="6">
        <f>IF(ALLOCATIONS!A834="","",ALLOCATIONS!C834)</f>
        <v/>
      </c>
      <c r="F840" s="6">
        <f>IF(ALLOCATIONS!A834="","",IF(ALLOCATIONS!D834="",0,ALLOCATIONS!D834))</f>
        <v/>
      </c>
      <c r="G840" s="6">
        <f>IF(ALLOCATIONS!A834="","",SUMIFS(RAW_004!$I$2:$I$10001,RAW_004!$D$2:$D$10001,ALLOCATIONS!A834,RAW_004!$H$2:$H$10001,ALLOCATIONS!B834,RAW_004!$N$2:$N$10001,ALLOCATIONS!C834))</f>
        <v/>
      </c>
      <c r="H840" s="6">
        <f>IF(A840="","",G840-F840)</f>
        <v/>
      </c>
    </row>
    <row r="841">
      <c r="A841" s="6">
        <f>IF(ALLOCATIONS!A835="","",IFERROR(VLOOKUP(ALLOCATIONS!A835,MAPPING!$A$3:$C$302,2,FALSE),"UNMAPPED"))</f>
        <v/>
      </c>
      <c r="B841" s="6">
        <f>IF(ALLOCATIONS!A835="","",IFERROR(VLOOKUP(ALLOCATIONS!A835,MAPPING!$A$3:$C$302,3,FALSE),ALLOCATIONS!A835))</f>
        <v/>
      </c>
      <c r="C841" s="6">
        <f>IF(ALLOCATIONS!A835="","",IFERROR(VLOOKUP(ALLOCATIONS!B835,MAPPING!$E$3:$G$302,2,FALSE),"UNMAPPED"))</f>
        <v/>
      </c>
      <c r="D841" s="6">
        <f>IF(ALLOCATIONS!A835="","",IFERROR(IF(VLOOKUP(ALLOCATIONS!B835,MAPPING!$E$3:$G$302,3,FALSE)="","",VLOOKUP(ALLOCATIONS!B835,MAPPING!$E$3:$G$302,3,FALSE)),""))</f>
        <v/>
      </c>
      <c r="E841" s="6">
        <f>IF(ALLOCATIONS!A835="","",ALLOCATIONS!C835)</f>
        <v/>
      </c>
      <c r="F841" s="6">
        <f>IF(ALLOCATIONS!A835="","",IF(ALLOCATIONS!D835="",0,ALLOCATIONS!D835))</f>
        <v/>
      </c>
      <c r="G841" s="6">
        <f>IF(ALLOCATIONS!A835="","",SUMIFS(RAW_004!$I$2:$I$10001,RAW_004!$D$2:$D$10001,ALLOCATIONS!A835,RAW_004!$H$2:$H$10001,ALLOCATIONS!B835,RAW_004!$N$2:$N$10001,ALLOCATIONS!C835))</f>
        <v/>
      </c>
      <c r="H841" s="6">
        <f>IF(A841="","",G841-F841)</f>
        <v/>
      </c>
    </row>
    <row r="842">
      <c r="A842" s="6">
        <f>IF(ALLOCATIONS!A836="","",IFERROR(VLOOKUP(ALLOCATIONS!A836,MAPPING!$A$3:$C$302,2,FALSE),"UNMAPPED"))</f>
        <v/>
      </c>
      <c r="B842" s="6">
        <f>IF(ALLOCATIONS!A836="","",IFERROR(VLOOKUP(ALLOCATIONS!A836,MAPPING!$A$3:$C$302,3,FALSE),ALLOCATIONS!A836))</f>
        <v/>
      </c>
      <c r="C842" s="6">
        <f>IF(ALLOCATIONS!A836="","",IFERROR(VLOOKUP(ALLOCATIONS!B836,MAPPING!$E$3:$G$302,2,FALSE),"UNMAPPED"))</f>
        <v/>
      </c>
      <c r="D842" s="6">
        <f>IF(ALLOCATIONS!A836="","",IFERROR(IF(VLOOKUP(ALLOCATIONS!B836,MAPPING!$E$3:$G$302,3,FALSE)="","",VLOOKUP(ALLOCATIONS!B836,MAPPING!$E$3:$G$302,3,FALSE)),""))</f>
        <v/>
      </c>
      <c r="E842" s="6">
        <f>IF(ALLOCATIONS!A836="","",ALLOCATIONS!C836)</f>
        <v/>
      </c>
      <c r="F842" s="6">
        <f>IF(ALLOCATIONS!A836="","",IF(ALLOCATIONS!D836="",0,ALLOCATIONS!D836))</f>
        <v/>
      </c>
      <c r="G842" s="6">
        <f>IF(ALLOCATIONS!A836="","",SUMIFS(RAW_004!$I$2:$I$10001,RAW_004!$D$2:$D$10001,ALLOCATIONS!A836,RAW_004!$H$2:$H$10001,ALLOCATIONS!B836,RAW_004!$N$2:$N$10001,ALLOCATIONS!C836))</f>
        <v/>
      </c>
      <c r="H842" s="6">
        <f>IF(A842="","",G842-F842)</f>
        <v/>
      </c>
    </row>
    <row r="843">
      <c r="A843" s="6">
        <f>IF(ALLOCATIONS!A837="","",IFERROR(VLOOKUP(ALLOCATIONS!A837,MAPPING!$A$3:$C$302,2,FALSE),"UNMAPPED"))</f>
        <v/>
      </c>
      <c r="B843" s="6">
        <f>IF(ALLOCATIONS!A837="","",IFERROR(VLOOKUP(ALLOCATIONS!A837,MAPPING!$A$3:$C$302,3,FALSE),ALLOCATIONS!A837))</f>
        <v/>
      </c>
      <c r="C843" s="6">
        <f>IF(ALLOCATIONS!A837="","",IFERROR(VLOOKUP(ALLOCATIONS!B837,MAPPING!$E$3:$G$302,2,FALSE),"UNMAPPED"))</f>
        <v/>
      </c>
      <c r="D843" s="6">
        <f>IF(ALLOCATIONS!A837="","",IFERROR(IF(VLOOKUP(ALLOCATIONS!B837,MAPPING!$E$3:$G$302,3,FALSE)="","",VLOOKUP(ALLOCATIONS!B837,MAPPING!$E$3:$G$302,3,FALSE)),""))</f>
        <v/>
      </c>
      <c r="E843" s="6">
        <f>IF(ALLOCATIONS!A837="","",ALLOCATIONS!C837)</f>
        <v/>
      </c>
      <c r="F843" s="6">
        <f>IF(ALLOCATIONS!A837="","",IF(ALLOCATIONS!D837="",0,ALLOCATIONS!D837))</f>
        <v/>
      </c>
      <c r="G843" s="6">
        <f>IF(ALLOCATIONS!A837="","",SUMIFS(RAW_004!$I$2:$I$10001,RAW_004!$D$2:$D$10001,ALLOCATIONS!A837,RAW_004!$H$2:$H$10001,ALLOCATIONS!B837,RAW_004!$N$2:$N$10001,ALLOCATIONS!C837))</f>
        <v/>
      </c>
      <c r="H843" s="6">
        <f>IF(A843="","",G843-F843)</f>
        <v/>
      </c>
    </row>
    <row r="844">
      <c r="A844" s="6">
        <f>IF(ALLOCATIONS!A838="","",IFERROR(VLOOKUP(ALLOCATIONS!A838,MAPPING!$A$3:$C$302,2,FALSE),"UNMAPPED"))</f>
        <v/>
      </c>
      <c r="B844" s="6">
        <f>IF(ALLOCATIONS!A838="","",IFERROR(VLOOKUP(ALLOCATIONS!A838,MAPPING!$A$3:$C$302,3,FALSE),ALLOCATIONS!A838))</f>
        <v/>
      </c>
      <c r="C844" s="6">
        <f>IF(ALLOCATIONS!A838="","",IFERROR(VLOOKUP(ALLOCATIONS!B838,MAPPING!$E$3:$G$302,2,FALSE),"UNMAPPED"))</f>
        <v/>
      </c>
      <c r="D844" s="6">
        <f>IF(ALLOCATIONS!A838="","",IFERROR(IF(VLOOKUP(ALLOCATIONS!B838,MAPPING!$E$3:$G$302,3,FALSE)="","",VLOOKUP(ALLOCATIONS!B838,MAPPING!$E$3:$G$302,3,FALSE)),""))</f>
        <v/>
      </c>
      <c r="E844" s="6">
        <f>IF(ALLOCATIONS!A838="","",ALLOCATIONS!C838)</f>
        <v/>
      </c>
      <c r="F844" s="6">
        <f>IF(ALLOCATIONS!A838="","",IF(ALLOCATIONS!D838="",0,ALLOCATIONS!D838))</f>
        <v/>
      </c>
      <c r="G844" s="6">
        <f>IF(ALLOCATIONS!A838="","",SUMIFS(RAW_004!$I$2:$I$10001,RAW_004!$D$2:$D$10001,ALLOCATIONS!A838,RAW_004!$H$2:$H$10001,ALLOCATIONS!B838,RAW_004!$N$2:$N$10001,ALLOCATIONS!C838))</f>
        <v/>
      </c>
      <c r="H844" s="6">
        <f>IF(A844="","",G844-F844)</f>
        <v/>
      </c>
    </row>
    <row r="845">
      <c r="A845" s="6">
        <f>IF(ALLOCATIONS!A839="","",IFERROR(VLOOKUP(ALLOCATIONS!A839,MAPPING!$A$3:$C$302,2,FALSE),"UNMAPPED"))</f>
        <v/>
      </c>
      <c r="B845" s="6">
        <f>IF(ALLOCATIONS!A839="","",IFERROR(VLOOKUP(ALLOCATIONS!A839,MAPPING!$A$3:$C$302,3,FALSE),ALLOCATIONS!A839))</f>
        <v/>
      </c>
      <c r="C845" s="6">
        <f>IF(ALLOCATIONS!A839="","",IFERROR(VLOOKUP(ALLOCATIONS!B839,MAPPING!$E$3:$G$302,2,FALSE),"UNMAPPED"))</f>
        <v/>
      </c>
      <c r="D845" s="6">
        <f>IF(ALLOCATIONS!A839="","",IFERROR(IF(VLOOKUP(ALLOCATIONS!B839,MAPPING!$E$3:$G$302,3,FALSE)="","",VLOOKUP(ALLOCATIONS!B839,MAPPING!$E$3:$G$302,3,FALSE)),""))</f>
        <v/>
      </c>
      <c r="E845" s="6">
        <f>IF(ALLOCATIONS!A839="","",ALLOCATIONS!C839)</f>
        <v/>
      </c>
      <c r="F845" s="6">
        <f>IF(ALLOCATIONS!A839="","",IF(ALLOCATIONS!D839="",0,ALLOCATIONS!D839))</f>
        <v/>
      </c>
      <c r="G845" s="6">
        <f>IF(ALLOCATIONS!A839="","",SUMIFS(RAW_004!$I$2:$I$10001,RAW_004!$D$2:$D$10001,ALLOCATIONS!A839,RAW_004!$H$2:$H$10001,ALLOCATIONS!B839,RAW_004!$N$2:$N$10001,ALLOCATIONS!C839))</f>
        <v/>
      </c>
      <c r="H845" s="6">
        <f>IF(A845="","",G845-F845)</f>
        <v/>
      </c>
    </row>
    <row r="846">
      <c r="A846" s="6">
        <f>IF(ALLOCATIONS!A840="","",IFERROR(VLOOKUP(ALLOCATIONS!A840,MAPPING!$A$3:$C$302,2,FALSE),"UNMAPPED"))</f>
        <v/>
      </c>
      <c r="B846" s="6">
        <f>IF(ALLOCATIONS!A840="","",IFERROR(VLOOKUP(ALLOCATIONS!A840,MAPPING!$A$3:$C$302,3,FALSE),ALLOCATIONS!A840))</f>
        <v/>
      </c>
      <c r="C846" s="6">
        <f>IF(ALLOCATIONS!A840="","",IFERROR(VLOOKUP(ALLOCATIONS!B840,MAPPING!$E$3:$G$302,2,FALSE),"UNMAPPED"))</f>
        <v/>
      </c>
      <c r="D846" s="6">
        <f>IF(ALLOCATIONS!A840="","",IFERROR(IF(VLOOKUP(ALLOCATIONS!B840,MAPPING!$E$3:$G$302,3,FALSE)="","",VLOOKUP(ALLOCATIONS!B840,MAPPING!$E$3:$G$302,3,FALSE)),""))</f>
        <v/>
      </c>
      <c r="E846" s="6">
        <f>IF(ALLOCATIONS!A840="","",ALLOCATIONS!C840)</f>
        <v/>
      </c>
      <c r="F846" s="6">
        <f>IF(ALLOCATIONS!A840="","",IF(ALLOCATIONS!D840="",0,ALLOCATIONS!D840))</f>
        <v/>
      </c>
      <c r="G846" s="6">
        <f>IF(ALLOCATIONS!A840="","",SUMIFS(RAW_004!$I$2:$I$10001,RAW_004!$D$2:$D$10001,ALLOCATIONS!A840,RAW_004!$H$2:$H$10001,ALLOCATIONS!B840,RAW_004!$N$2:$N$10001,ALLOCATIONS!C840))</f>
        <v/>
      </c>
      <c r="H846" s="6">
        <f>IF(A846="","",G846-F846)</f>
        <v/>
      </c>
    </row>
    <row r="847">
      <c r="A847" s="6">
        <f>IF(ALLOCATIONS!A841="","",IFERROR(VLOOKUP(ALLOCATIONS!A841,MAPPING!$A$3:$C$302,2,FALSE),"UNMAPPED"))</f>
        <v/>
      </c>
      <c r="B847" s="6">
        <f>IF(ALLOCATIONS!A841="","",IFERROR(VLOOKUP(ALLOCATIONS!A841,MAPPING!$A$3:$C$302,3,FALSE),ALLOCATIONS!A841))</f>
        <v/>
      </c>
      <c r="C847" s="6">
        <f>IF(ALLOCATIONS!A841="","",IFERROR(VLOOKUP(ALLOCATIONS!B841,MAPPING!$E$3:$G$302,2,FALSE),"UNMAPPED"))</f>
        <v/>
      </c>
      <c r="D847" s="6">
        <f>IF(ALLOCATIONS!A841="","",IFERROR(IF(VLOOKUP(ALLOCATIONS!B841,MAPPING!$E$3:$G$302,3,FALSE)="","",VLOOKUP(ALLOCATIONS!B841,MAPPING!$E$3:$G$302,3,FALSE)),""))</f>
        <v/>
      </c>
      <c r="E847" s="6">
        <f>IF(ALLOCATIONS!A841="","",ALLOCATIONS!C841)</f>
        <v/>
      </c>
      <c r="F847" s="6">
        <f>IF(ALLOCATIONS!A841="","",IF(ALLOCATIONS!D841="",0,ALLOCATIONS!D841))</f>
        <v/>
      </c>
      <c r="G847" s="6">
        <f>IF(ALLOCATIONS!A841="","",SUMIFS(RAW_004!$I$2:$I$10001,RAW_004!$D$2:$D$10001,ALLOCATIONS!A841,RAW_004!$H$2:$H$10001,ALLOCATIONS!B841,RAW_004!$N$2:$N$10001,ALLOCATIONS!C841))</f>
        <v/>
      </c>
      <c r="H847" s="6">
        <f>IF(A847="","",G847-F847)</f>
        <v/>
      </c>
    </row>
    <row r="848">
      <c r="A848" s="6">
        <f>IF(ALLOCATIONS!A842="","",IFERROR(VLOOKUP(ALLOCATIONS!A842,MAPPING!$A$3:$C$302,2,FALSE),"UNMAPPED"))</f>
        <v/>
      </c>
      <c r="B848" s="6">
        <f>IF(ALLOCATIONS!A842="","",IFERROR(VLOOKUP(ALLOCATIONS!A842,MAPPING!$A$3:$C$302,3,FALSE),ALLOCATIONS!A842))</f>
        <v/>
      </c>
      <c r="C848" s="6">
        <f>IF(ALLOCATIONS!A842="","",IFERROR(VLOOKUP(ALLOCATIONS!B842,MAPPING!$E$3:$G$302,2,FALSE),"UNMAPPED"))</f>
        <v/>
      </c>
      <c r="D848" s="6">
        <f>IF(ALLOCATIONS!A842="","",IFERROR(IF(VLOOKUP(ALLOCATIONS!B842,MAPPING!$E$3:$G$302,3,FALSE)="","",VLOOKUP(ALLOCATIONS!B842,MAPPING!$E$3:$G$302,3,FALSE)),""))</f>
        <v/>
      </c>
      <c r="E848" s="6">
        <f>IF(ALLOCATIONS!A842="","",ALLOCATIONS!C842)</f>
        <v/>
      </c>
      <c r="F848" s="6">
        <f>IF(ALLOCATIONS!A842="","",IF(ALLOCATIONS!D842="",0,ALLOCATIONS!D842))</f>
        <v/>
      </c>
      <c r="G848" s="6">
        <f>IF(ALLOCATIONS!A842="","",SUMIFS(RAW_004!$I$2:$I$10001,RAW_004!$D$2:$D$10001,ALLOCATIONS!A842,RAW_004!$H$2:$H$10001,ALLOCATIONS!B842,RAW_004!$N$2:$N$10001,ALLOCATIONS!C842))</f>
        <v/>
      </c>
      <c r="H848" s="6">
        <f>IF(A848="","",G848-F848)</f>
        <v/>
      </c>
    </row>
    <row r="849">
      <c r="A849" s="6">
        <f>IF(ALLOCATIONS!A843="","",IFERROR(VLOOKUP(ALLOCATIONS!A843,MAPPING!$A$3:$C$302,2,FALSE),"UNMAPPED"))</f>
        <v/>
      </c>
      <c r="B849" s="6">
        <f>IF(ALLOCATIONS!A843="","",IFERROR(VLOOKUP(ALLOCATIONS!A843,MAPPING!$A$3:$C$302,3,FALSE),ALLOCATIONS!A843))</f>
        <v/>
      </c>
      <c r="C849" s="6">
        <f>IF(ALLOCATIONS!A843="","",IFERROR(VLOOKUP(ALLOCATIONS!B843,MAPPING!$E$3:$G$302,2,FALSE),"UNMAPPED"))</f>
        <v/>
      </c>
      <c r="D849" s="6">
        <f>IF(ALLOCATIONS!A843="","",IFERROR(IF(VLOOKUP(ALLOCATIONS!B843,MAPPING!$E$3:$G$302,3,FALSE)="","",VLOOKUP(ALLOCATIONS!B843,MAPPING!$E$3:$G$302,3,FALSE)),""))</f>
        <v/>
      </c>
      <c r="E849" s="6">
        <f>IF(ALLOCATIONS!A843="","",ALLOCATIONS!C843)</f>
        <v/>
      </c>
      <c r="F849" s="6">
        <f>IF(ALLOCATIONS!A843="","",IF(ALLOCATIONS!D843="",0,ALLOCATIONS!D843))</f>
        <v/>
      </c>
      <c r="G849" s="6">
        <f>IF(ALLOCATIONS!A843="","",SUMIFS(RAW_004!$I$2:$I$10001,RAW_004!$D$2:$D$10001,ALLOCATIONS!A843,RAW_004!$H$2:$H$10001,ALLOCATIONS!B843,RAW_004!$N$2:$N$10001,ALLOCATIONS!C843))</f>
        <v/>
      </c>
      <c r="H849" s="6">
        <f>IF(A849="","",G849-F849)</f>
        <v/>
      </c>
    </row>
    <row r="850">
      <c r="A850" s="6">
        <f>IF(ALLOCATIONS!A844="","",IFERROR(VLOOKUP(ALLOCATIONS!A844,MAPPING!$A$3:$C$302,2,FALSE),"UNMAPPED"))</f>
        <v/>
      </c>
      <c r="B850" s="6">
        <f>IF(ALLOCATIONS!A844="","",IFERROR(VLOOKUP(ALLOCATIONS!A844,MAPPING!$A$3:$C$302,3,FALSE),ALLOCATIONS!A844))</f>
        <v/>
      </c>
      <c r="C850" s="6">
        <f>IF(ALLOCATIONS!A844="","",IFERROR(VLOOKUP(ALLOCATIONS!B844,MAPPING!$E$3:$G$302,2,FALSE),"UNMAPPED"))</f>
        <v/>
      </c>
      <c r="D850" s="6">
        <f>IF(ALLOCATIONS!A844="","",IFERROR(IF(VLOOKUP(ALLOCATIONS!B844,MAPPING!$E$3:$G$302,3,FALSE)="","",VLOOKUP(ALLOCATIONS!B844,MAPPING!$E$3:$G$302,3,FALSE)),""))</f>
        <v/>
      </c>
      <c r="E850" s="6">
        <f>IF(ALLOCATIONS!A844="","",ALLOCATIONS!C844)</f>
        <v/>
      </c>
      <c r="F850" s="6">
        <f>IF(ALLOCATIONS!A844="","",IF(ALLOCATIONS!D844="",0,ALLOCATIONS!D844))</f>
        <v/>
      </c>
      <c r="G850" s="6">
        <f>IF(ALLOCATIONS!A844="","",SUMIFS(RAW_004!$I$2:$I$10001,RAW_004!$D$2:$D$10001,ALLOCATIONS!A844,RAW_004!$H$2:$H$10001,ALLOCATIONS!B844,RAW_004!$N$2:$N$10001,ALLOCATIONS!C844))</f>
        <v/>
      </c>
      <c r="H850" s="6">
        <f>IF(A850="","",G850-F850)</f>
        <v/>
      </c>
    </row>
    <row r="851">
      <c r="A851" s="6">
        <f>IF(ALLOCATIONS!A845="","",IFERROR(VLOOKUP(ALLOCATIONS!A845,MAPPING!$A$3:$C$302,2,FALSE),"UNMAPPED"))</f>
        <v/>
      </c>
      <c r="B851" s="6">
        <f>IF(ALLOCATIONS!A845="","",IFERROR(VLOOKUP(ALLOCATIONS!A845,MAPPING!$A$3:$C$302,3,FALSE),ALLOCATIONS!A845))</f>
        <v/>
      </c>
      <c r="C851" s="6">
        <f>IF(ALLOCATIONS!A845="","",IFERROR(VLOOKUP(ALLOCATIONS!B845,MAPPING!$E$3:$G$302,2,FALSE),"UNMAPPED"))</f>
        <v/>
      </c>
      <c r="D851" s="6">
        <f>IF(ALLOCATIONS!A845="","",IFERROR(IF(VLOOKUP(ALLOCATIONS!B845,MAPPING!$E$3:$G$302,3,FALSE)="","",VLOOKUP(ALLOCATIONS!B845,MAPPING!$E$3:$G$302,3,FALSE)),""))</f>
        <v/>
      </c>
      <c r="E851" s="6">
        <f>IF(ALLOCATIONS!A845="","",ALLOCATIONS!C845)</f>
        <v/>
      </c>
      <c r="F851" s="6">
        <f>IF(ALLOCATIONS!A845="","",IF(ALLOCATIONS!D845="",0,ALLOCATIONS!D845))</f>
        <v/>
      </c>
      <c r="G851" s="6">
        <f>IF(ALLOCATIONS!A845="","",SUMIFS(RAW_004!$I$2:$I$10001,RAW_004!$D$2:$D$10001,ALLOCATIONS!A845,RAW_004!$H$2:$H$10001,ALLOCATIONS!B845,RAW_004!$N$2:$N$10001,ALLOCATIONS!C845))</f>
        <v/>
      </c>
      <c r="H851" s="6">
        <f>IF(A851="","",G851-F851)</f>
        <v/>
      </c>
    </row>
    <row r="852">
      <c r="A852" s="6">
        <f>IF(ALLOCATIONS!A846="","",IFERROR(VLOOKUP(ALLOCATIONS!A846,MAPPING!$A$3:$C$302,2,FALSE),"UNMAPPED"))</f>
        <v/>
      </c>
      <c r="B852" s="6">
        <f>IF(ALLOCATIONS!A846="","",IFERROR(VLOOKUP(ALLOCATIONS!A846,MAPPING!$A$3:$C$302,3,FALSE),ALLOCATIONS!A846))</f>
        <v/>
      </c>
      <c r="C852" s="6">
        <f>IF(ALLOCATIONS!A846="","",IFERROR(VLOOKUP(ALLOCATIONS!B846,MAPPING!$E$3:$G$302,2,FALSE),"UNMAPPED"))</f>
        <v/>
      </c>
      <c r="D852" s="6">
        <f>IF(ALLOCATIONS!A846="","",IFERROR(IF(VLOOKUP(ALLOCATIONS!B846,MAPPING!$E$3:$G$302,3,FALSE)="","",VLOOKUP(ALLOCATIONS!B846,MAPPING!$E$3:$G$302,3,FALSE)),""))</f>
        <v/>
      </c>
      <c r="E852" s="6">
        <f>IF(ALLOCATIONS!A846="","",ALLOCATIONS!C846)</f>
        <v/>
      </c>
      <c r="F852" s="6">
        <f>IF(ALLOCATIONS!A846="","",IF(ALLOCATIONS!D846="",0,ALLOCATIONS!D846))</f>
        <v/>
      </c>
      <c r="G852" s="6">
        <f>IF(ALLOCATIONS!A846="","",SUMIFS(RAW_004!$I$2:$I$10001,RAW_004!$D$2:$D$10001,ALLOCATIONS!A846,RAW_004!$H$2:$H$10001,ALLOCATIONS!B846,RAW_004!$N$2:$N$10001,ALLOCATIONS!C846))</f>
        <v/>
      </c>
      <c r="H852" s="6">
        <f>IF(A852="","",G852-F852)</f>
        <v/>
      </c>
    </row>
    <row r="853">
      <c r="A853" s="6">
        <f>IF(ALLOCATIONS!A847="","",IFERROR(VLOOKUP(ALLOCATIONS!A847,MAPPING!$A$3:$C$302,2,FALSE),"UNMAPPED"))</f>
        <v/>
      </c>
      <c r="B853" s="6">
        <f>IF(ALLOCATIONS!A847="","",IFERROR(VLOOKUP(ALLOCATIONS!A847,MAPPING!$A$3:$C$302,3,FALSE),ALLOCATIONS!A847))</f>
        <v/>
      </c>
      <c r="C853" s="6">
        <f>IF(ALLOCATIONS!A847="","",IFERROR(VLOOKUP(ALLOCATIONS!B847,MAPPING!$E$3:$G$302,2,FALSE),"UNMAPPED"))</f>
        <v/>
      </c>
      <c r="D853" s="6">
        <f>IF(ALLOCATIONS!A847="","",IFERROR(IF(VLOOKUP(ALLOCATIONS!B847,MAPPING!$E$3:$G$302,3,FALSE)="","",VLOOKUP(ALLOCATIONS!B847,MAPPING!$E$3:$G$302,3,FALSE)),""))</f>
        <v/>
      </c>
      <c r="E853" s="6">
        <f>IF(ALLOCATIONS!A847="","",ALLOCATIONS!C847)</f>
        <v/>
      </c>
      <c r="F853" s="6">
        <f>IF(ALLOCATIONS!A847="","",IF(ALLOCATIONS!D847="",0,ALLOCATIONS!D847))</f>
        <v/>
      </c>
      <c r="G853" s="6">
        <f>IF(ALLOCATIONS!A847="","",SUMIFS(RAW_004!$I$2:$I$10001,RAW_004!$D$2:$D$10001,ALLOCATIONS!A847,RAW_004!$H$2:$H$10001,ALLOCATIONS!B847,RAW_004!$N$2:$N$10001,ALLOCATIONS!C847))</f>
        <v/>
      </c>
      <c r="H853" s="6">
        <f>IF(A853="","",G853-F853)</f>
        <v/>
      </c>
    </row>
    <row r="854">
      <c r="A854" s="6">
        <f>IF(ALLOCATIONS!A848="","",IFERROR(VLOOKUP(ALLOCATIONS!A848,MAPPING!$A$3:$C$302,2,FALSE),"UNMAPPED"))</f>
        <v/>
      </c>
      <c r="B854" s="6">
        <f>IF(ALLOCATIONS!A848="","",IFERROR(VLOOKUP(ALLOCATIONS!A848,MAPPING!$A$3:$C$302,3,FALSE),ALLOCATIONS!A848))</f>
        <v/>
      </c>
      <c r="C854" s="6">
        <f>IF(ALLOCATIONS!A848="","",IFERROR(VLOOKUP(ALLOCATIONS!B848,MAPPING!$E$3:$G$302,2,FALSE),"UNMAPPED"))</f>
        <v/>
      </c>
      <c r="D854" s="6">
        <f>IF(ALLOCATIONS!A848="","",IFERROR(IF(VLOOKUP(ALLOCATIONS!B848,MAPPING!$E$3:$G$302,3,FALSE)="","",VLOOKUP(ALLOCATIONS!B848,MAPPING!$E$3:$G$302,3,FALSE)),""))</f>
        <v/>
      </c>
      <c r="E854" s="6">
        <f>IF(ALLOCATIONS!A848="","",ALLOCATIONS!C848)</f>
        <v/>
      </c>
      <c r="F854" s="6">
        <f>IF(ALLOCATIONS!A848="","",IF(ALLOCATIONS!D848="",0,ALLOCATIONS!D848))</f>
        <v/>
      </c>
      <c r="G854" s="6">
        <f>IF(ALLOCATIONS!A848="","",SUMIFS(RAW_004!$I$2:$I$10001,RAW_004!$D$2:$D$10001,ALLOCATIONS!A848,RAW_004!$H$2:$H$10001,ALLOCATIONS!B848,RAW_004!$N$2:$N$10001,ALLOCATIONS!C848))</f>
        <v/>
      </c>
      <c r="H854" s="6">
        <f>IF(A854="","",G854-F854)</f>
        <v/>
      </c>
    </row>
    <row r="855">
      <c r="A855" s="6">
        <f>IF(ALLOCATIONS!A849="","",IFERROR(VLOOKUP(ALLOCATIONS!A849,MAPPING!$A$3:$C$302,2,FALSE),"UNMAPPED"))</f>
        <v/>
      </c>
      <c r="B855" s="6">
        <f>IF(ALLOCATIONS!A849="","",IFERROR(VLOOKUP(ALLOCATIONS!A849,MAPPING!$A$3:$C$302,3,FALSE),ALLOCATIONS!A849))</f>
        <v/>
      </c>
      <c r="C855" s="6">
        <f>IF(ALLOCATIONS!A849="","",IFERROR(VLOOKUP(ALLOCATIONS!B849,MAPPING!$E$3:$G$302,2,FALSE),"UNMAPPED"))</f>
        <v/>
      </c>
      <c r="D855" s="6">
        <f>IF(ALLOCATIONS!A849="","",IFERROR(IF(VLOOKUP(ALLOCATIONS!B849,MAPPING!$E$3:$G$302,3,FALSE)="","",VLOOKUP(ALLOCATIONS!B849,MAPPING!$E$3:$G$302,3,FALSE)),""))</f>
        <v/>
      </c>
      <c r="E855" s="6">
        <f>IF(ALLOCATIONS!A849="","",ALLOCATIONS!C849)</f>
        <v/>
      </c>
      <c r="F855" s="6">
        <f>IF(ALLOCATIONS!A849="","",IF(ALLOCATIONS!D849="",0,ALLOCATIONS!D849))</f>
        <v/>
      </c>
      <c r="G855" s="6">
        <f>IF(ALLOCATIONS!A849="","",SUMIFS(RAW_004!$I$2:$I$10001,RAW_004!$D$2:$D$10001,ALLOCATIONS!A849,RAW_004!$H$2:$H$10001,ALLOCATIONS!B849,RAW_004!$N$2:$N$10001,ALLOCATIONS!C849))</f>
        <v/>
      </c>
      <c r="H855" s="6">
        <f>IF(A855="","",G855-F855)</f>
        <v/>
      </c>
    </row>
    <row r="856">
      <c r="A856" s="6">
        <f>IF(ALLOCATIONS!A850="","",IFERROR(VLOOKUP(ALLOCATIONS!A850,MAPPING!$A$3:$C$302,2,FALSE),"UNMAPPED"))</f>
        <v/>
      </c>
      <c r="B856" s="6">
        <f>IF(ALLOCATIONS!A850="","",IFERROR(VLOOKUP(ALLOCATIONS!A850,MAPPING!$A$3:$C$302,3,FALSE),ALLOCATIONS!A850))</f>
        <v/>
      </c>
      <c r="C856" s="6">
        <f>IF(ALLOCATIONS!A850="","",IFERROR(VLOOKUP(ALLOCATIONS!B850,MAPPING!$E$3:$G$302,2,FALSE),"UNMAPPED"))</f>
        <v/>
      </c>
      <c r="D856" s="6">
        <f>IF(ALLOCATIONS!A850="","",IFERROR(IF(VLOOKUP(ALLOCATIONS!B850,MAPPING!$E$3:$G$302,3,FALSE)="","",VLOOKUP(ALLOCATIONS!B850,MAPPING!$E$3:$G$302,3,FALSE)),""))</f>
        <v/>
      </c>
      <c r="E856" s="6">
        <f>IF(ALLOCATIONS!A850="","",ALLOCATIONS!C850)</f>
        <v/>
      </c>
      <c r="F856" s="6">
        <f>IF(ALLOCATIONS!A850="","",IF(ALLOCATIONS!D850="",0,ALLOCATIONS!D850))</f>
        <v/>
      </c>
      <c r="G856" s="6">
        <f>IF(ALLOCATIONS!A850="","",SUMIFS(RAW_004!$I$2:$I$10001,RAW_004!$D$2:$D$10001,ALLOCATIONS!A850,RAW_004!$H$2:$H$10001,ALLOCATIONS!B850,RAW_004!$N$2:$N$10001,ALLOCATIONS!C850))</f>
        <v/>
      </c>
      <c r="H856" s="6">
        <f>IF(A856="","",G856-F856)</f>
        <v/>
      </c>
    </row>
    <row r="857">
      <c r="A857" s="6">
        <f>IF(ALLOCATIONS!A851="","",IFERROR(VLOOKUP(ALLOCATIONS!A851,MAPPING!$A$3:$C$302,2,FALSE),"UNMAPPED"))</f>
        <v/>
      </c>
      <c r="B857" s="6">
        <f>IF(ALLOCATIONS!A851="","",IFERROR(VLOOKUP(ALLOCATIONS!A851,MAPPING!$A$3:$C$302,3,FALSE),ALLOCATIONS!A851))</f>
        <v/>
      </c>
      <c r="C857" s="6">
        <f>IF(ALLOCATIONS!A851="","",IFERROR(VLOOKUP(ALLOCATIONS!B851,MAPPING!$E$3:$G$302,2,FALSE),"UNMAPPED"))</f>
        <v/>
      </c>
      <c r="D857" s="6">
        <f>IF(ALLOCATIONS!A851="","",IFERROR(IF(VLOOKUP(ALLOCATIONS!B851,MAPPING!$E$3:$G$302,3,FALSE)="","",VLOOKUP(ALLOCATIONS!B851,MAPPING!$E$3:$G$302,3,FALSE)),""))</f>
        <v/>
      </c>
      <c r="E857" s="6">
        <f>IF(ALLOCATIONS!A851="","",ALLOCATIONS!C851)</f>
        <v/>
      </c>
      <c r="F857" s="6">
        <f>IF(ALLOCATIONS!A851="","",IF(ALLOCATIONS!D851="",0,ALLOCATIONS!D851))</f>
        <v/>
      </c>
      <c r="G857" s="6">
        <f>IF(ALLOCATIONS!A851="","",SUMIFS(RAW_004!$I$2:$I$10001,RAW_004!$D$2:$D$10001,ALLOCATIONS!A851,RAW_004!$H$2:$H$10001,ALLOCATIONS!B851,RAW_004!$N$2:$N$10001,ALLOCATIONS!C851))</f>
        <v/>
      </c>
      <c r="H857" s="6">
        <f>IF(A857="","",G857-F857)</f>
        <v/>
      </c>
    </row>
    <row r="858">
      <c r="A858" s="6">
        <f>IF(ALLOCATIONS!A852="","",IFERROR(VLOOKUP(ALLOCATIONS!A852,MAPPING!$A$3:$C$302,2,FALSE),"UNMAPPED"))</f>
        <v/>
      </c>
      <c r="B858" s="6">
        <f>IF(ALLOCATIONS!A852="","",IFERROR(VLOOKUP(ALLOCATIONS!A852,MAPPING!$A$3:$C$302,3,FALSE),ALLOCATIONS!A852))</f>
        <v/>
      </c>
      <c r="C858" s="6">
        <f>IF(ALLOCATIONS!A852="","",IFERROR(VLOOKUP(ALLOCATIONS!B852,MAPPING!$E$3:$G$302,2,FALSE),"UNMAPPED"))</f>
        <v/>
      </c>
      <c r="D858" s="6">
        <f>IF(ALLOCATIONS!A852="","",IFERROR(IF(VLOOKUP(ALLOCATIONS!B852,MAPPING!$E$3:$G$302,3,FALSE)="","",VLOOKUP(ALLOCATIONS!B852,MAPPING!$E$3:$G$302,3,FALSE)),""))</f>
        <v/>
      </c>
      <c r="E858" s="6">
        <f>IF(ALLOCATIONS!A852="","",ALLOCATIONS!C852)</f>
        <v/>
      </c>
      <c r="F858" s="6">
        <f>IF(ALLOCATIONS!A852="","",IF(ALLOCATIONS!D852="",0,ALLOCATIONS!D852))</f>
        <v/>
      </c>
      <c r="G858" s="6">
        <f>IF(ALLOCATIONS!A852="","",SUMIFS(RAW_004!$I$2:$I$10001,RAW_004!$D$2:$D$10001,ALLOCATIONS!A852,RAW_004!$H$2:$H$10001,ALLOCATIONS!B852,RAW_004!$N$2:$N$10001,ALLOCATIONS!C852))</f>
        <v/>
      </c>
      <c r="H858" s="6">
        <f>IF(A858="","",G858-F858)</f>
        <v/>
      </c>
    </row>
    <row r="859">
      <c r="A859" s="6">
        <f>IF(ALLOCATIONS!A853="","",IFERROR(VLOOKUP(ALLOCATIONS!A853,MAPPING!$A$3:$C$302,2,FALSE),"UNMAPPED"))</f>
        <v/>
      </c>
      <c r="B859" s="6">
        <f>IF(ALLOCATIONS!A853="","",IFERROR(VLOOKUP(ALLOCATIONS!A853,MAPPING!$A$3:$C$302,3,FALSE),ALLOCATIONS!A853))</f>
        <v/>
      </c>
      <c r="C859" s="6">
        <f>IF(ALLOCATIONS!A853="","",IFERROR(VLOOKUP(ALLOCATIONS!B853,MAPPING!$E$3:$G$302,2,FALSE),"UNMAPPED"))</f>
        <v/>
      </c>
      <c r="D859" s="6">
        <f>IF(ALLOCATIONS!A853="","",IFERROR(IF(VLOOKUP(ALLOCATIONS!B853,MAPPING!$E$3:$G$302,3,FALSE)="","",VLOOKUP(ALLOCATIONS!B853,MAPPING!$E$3:$G$302,3,FALSE)),""))</f>
        <v/>
      </c>
      <c r="E859" s="6">
        <f>IF(ALLOCATIONS!A853="","",ALLOCATIONS!C853)</f>
        <v/>
      </c>
      <c r="F859" s="6">
        <f>IF(ALLOCATIONS!A853="","",IF(ALLOCATIONS!D853="",0,ALLOCATIONS!D853))</f>
        <v/>
      </c>
      <c r="G859" s="6">
        <f>IF(ALLOCATIONS!A853="","",SUMIFS(RAW_004!$I$2:$I$10001,RAW_004!$D$2:$D$10001,ALLOCATIONS!A853,RAW_004!$H$2:$H$10001,ALLOCATIONS!B853,RAW_004!$N$2:$N$10001,ALLOCATIONS!C853))</f>
        <v/>
      </c>
      <c r="H859" s="6">
        <f>IF(A859="","",G859-F859)</f>
        <v/>
      </c>
    </row>
    <row r="860">
      <c r="A860" s="6">
        <f>IF(ALLOCATIONS!A854="","",IFERROR(VLOOKUP(ALLOCATIONS!A854,MAPPING!$A$3:$C$302,2,FALSE),"UNMAPPED"))</f>
        <v/>
      </c>
      <c r="B860" s="6">
        <f>IF(ALLOCATIONS!A854="","",IFERROR(VLOOKUP(ALLOCATIONS!A854,MAPPING!$A$3:$C$302,3,FALSE),ALLOCATIONS!A854))</f>
        <v/>
      </c>
      <c r="C860" s="6">
        <f>IF(ALLOCATIONS!A854="","",IFERROR(VLOOKUP(ALLOCATIONS!B854,MAPPING!$E$3:$G$302,2,FALSE),"UNMAPPED"))</f>
        <v/>
      </c>
      <c r="D860" s="6">
        <f>IF(ALLOCATIONS!A854="","",IFERROR(IF(VLOOKUP(ALLOCATIONS!B854,MAPPING!$E$3:$G$302,3,FALSE)="","",VLOOKUP(ALLOCATIONS!B854,MAPPING!$E$3:$G$302,3,FALSE)),""))</f>
        <v/>
      </c>
      <c r="E860" s="6">
        <f>IF(ALLOCATIONS!A854="","",ALLOCATIONS!C854)</f>
        <v/>
      </c>
      <c r="F860" s="6">
        <f>IF(ALLOCATIONS!A854="","",IF(ALLOCATIONS!D854="",0,ALLOCATIONS!D854))</f>
        <v/>
      </c>
      <c r="G860" s="6">
        <f>IF(ALLOCATIONS!A854="","",SUMIFS(RAW_004!$I$2:$I$10001,RAW_004!$D$2:$D$10001,ALLOCATIONS!A854,RAW_004!$H$2:$H$10001,ALLOCATIONS!B854,RAW_004!$N$2:$N$10001,ALLOCATIONS!C854))</f>
        <v/>
      </c>
      <c r="H860" s="6">
        <f>IF(A860="","",G860-F860)</f>
        <v/>
      </c>
    </row>
    <row r="861">
      <c r="A861" s="6">
        <f>IF(ALLOCATIONS!A855="","",IFERROR(VLOOKUP(ALLOCATIONS!A855,MAPPING!$A$3:$C$302,2,FALSE),"UNMAPPED"))</f>
        <v/>
      </c>
      <c r="B861" s="6">
        <f>IF(ALLOCATIONS!A855="","",IFERROR(VLOOKUP(ALLOCATIONS!A855,MAPPING!$A$3:$C$302,3,FALSE),ALLOCATIONS!A855))</f>
        <v/>
      </c>
      <c r="C861" s="6">
        <f>IF(ALLOCATIONS!A855="","",IFERROR(VLOOKUP(ALLOCATIONS!B855,MAPPING!$E$3:$G$302,2,FALSE),"UNMAPPED"))</f>
        <v/>
      </c>
      <c r="D861" s="6">
        <f>IF(ALLOCATIONS!A855="","",IFERROR(IF(VLOOKUP(ALLOCATIONS!B855,MAPPING!$E$3:$G$302,3,FALSE)="","",VLOOKUP(ALLOCATIONS!B855,MAPPING!$E$3:$G$302,3,FALSE)),""))</f>
        <v/>
      </c>
      <c r="E861" s="6">
        <f>IF(ALLOCATIONS!A855="","",ALLOCATIONS!C855)</f>
        <v/>
      </c>
      <c r="F861" s="6">
        <f>IF(ALLOCATIONS!A855="","",IF(ALLOCATIONS!D855="",0,ALLOCATIONS!D855))</f>
        <v/>
      </c>
      <c r="G861" s="6">
        <f>IF(ALLOCATIONS!A855="","",SUMIFS(RAW_004!$I$2:$I$10001,RAW_004!$D$2:$D$10001,ALLOCATIONS!A855,RAW_004!$H$2:$H$10001,ALLOCATIONS!B855,RAW_004!$N$2:$N$10001,ALLOCATIONS!C855))</f>
        <v/>
      </c>
      <c r="H861" s="6">
        <f>IF(A861="","",G861-F861)</f>
        <v/>
      </c>
    </row>
    <row r="862">
      <c r="A862" s="6">
        <f>IF(ALLOCATIONS!A856="","",IFERROR(VLOOKUP(ALLOCATIONS!A856,MAPPING!$A$3:$C$302,2,FALSE),"UNMAPPED"))</f>
        <v/>
      </c>
      <c r="B862" s="6">
        <f>IF(ALLOCATIONS!A856="","",IFERROR(VLOOKUP(ALLOCATIONS!A856,MAPPING!$A$3:$C$302,3,FALSE),ALLOCATIONS!A856))</f>
        <v/>
      </c>
      <c r="C862" s="6">
        <f>IF(ALLOCATIONS!A856="","",IFERROR(VLOOKUP(ALLOCATIONS!B856,MAPPING!$E$3:$G$302,2,FALSE),"UNMAPPED"))</f>
        <v/>
      </c>
      <c r="D862" s="6">
        <f>IF(ALLOCATIONS!A856="","",IFERROR(IF(VLOOKUP(ALLOCATIONS!B856,MAPPING!$E$3:$G$302,3,FALSE)="","",VLOOKUP(ALLOCATIONS!B856,MAPPING!$E$3:$G$302,3,FALSE)),""))</f>
        <v/>
      </c>
      <c r="E862" s="6">
        <f>IF(ALLOCATIONS!A856="","",ALLOCATIONS!C856)</f>
        <v/>
      </c>
      <c r="F862" s="6">
        <f>IF(ALLOCATIONS!A856="","",IF(ALLOCATIONS!D856="",0,ALLOCATIONS!D856))</f>
        <v/>
      </c>
      <c r="G862" s="6">
        <f>IF(ALLOCATIONS!A856="","",SUMIFS(RAW_004!$I$2:$I$10001,RAW_004!$D$2:$D$10001,ALLOCATIONS!A856,RAW_004!$H$2:$H$10001,ALLOCATIONS!B856,RAW_004!$N$2:$N$10001,ALLOCATIONS!C856))</f>
        <v/>
      </c>
      <c r="H862" s="6">
        <f>IF(A862="","",G862-F862)</f>
        <v/>
      </c>
    </row>
    <row r="863">
      <c r="A863" s="6">
        <f>IF(ALLOCATIONS!A857="","",IFERROR(VLOOKUP(ALLOCATIONS!A857,MAPPING!$A$3:$C$302,2,FALSE),"UNMAPPED"))</f>
        <v/>
      </c>
      <c r="B863" s="6">
        <f>IF(ALLOCATIONS!A857="","",IFERROR(VLOOKUP(ALLOCATIONS!A857,MAPPING!$A$3:$C$302,3,FALSE),ALLOCATIONS!A857))</f>
        <v/>
      </c>
      <c r="C863" s="6">
        <f>IF(ALLOCATIONS!A857="","",IFERROR(VLOOKUP(ALLOCATIONS!B857,MAPPING!$E$3:$G$302,2,FALSE),"UNMAPPED"))</f>
        <v/>
      </c>
      <c r="D863" s="6">
        <f>IF(ALLOCATIONS!A857="","",IFERROR(IF(VLOOKUP(ALLOCATIONS!B857,MAPPING!$E$3:$G$302,3,FALSE)="","",VLOOKUP(ALLOCATIONS!B857,MAPPING!$E$3:$G$302,3,FALSE)),""))</f>
        <v/>
      </c>
      <c r="E863" s="6">
        <f>IF(ALLOCATIONS!A857="","",ALLOCATIONS!C857)</f>
        <v/>
      </c>
      <c r="F863" s="6">
        <f>IF(ALLOCATIONS!A857="","",IF(ALLOCATIONS!D857="",0,ALLOCATIONS!D857))</f>
        <v/>
      </c>
      <c r="G863" s="6">
        <f>IF(ALLOCATIONS!A857="","",SUMIFS(RAW_004!$I$2:$I$10001,RAW_004!$D$2:$D$10001,ALLOCATIONS!A857,RAW_004!$H$2:$H$10001,ALLOCATIONS!B857,RAW_004!$N$2:$N$10001,ALLOCATIONS!C857))</f>
        <v/>
      </c>
      <c r="H863" s="6">
        <f>IF(A863="","",G863-F863)</f>
        <v/>
      </c>
    </row>
    <row r="864">
      <c r="A864" s="6">
        <f>IF(ALLOCATIONS!A858="","",IFERROR(VLOOKUP(ALLOCATIONS!A858,MAPPING!$A$3:$C$302,2,FALSE),"UNMAPPED"))</f>
        <v/>
      </c>
      <c r="B864" s="6">
        <f>IF(ALLOCATIONS!A858="","",IFERROR(VLOOKUP(ALLOCATIONS!A858,MAPPING!$A$3:$C$302,3,FALSE),ALLOCATIONS!A858))</f>
        <v/>
      </c>
      <c r="C864" s="6">
        <f>IF(ALLOCATIONS!A858="","",IFERROR(VLOOKUP(ALLOCATIONS!B858,MAPPING!$E$3:$G$302,2,FALSE),"UNMAPPED"))</f>
        <v/>
      </c>
      <c r="D864" s="6">
        <f>IF(ALLOCATIONS!A858="","",IFERROR(IF(VLOOKUP(ALLOCATIONS!B858,MAPPING!$E$3:$G$302,3,FALSE)="","",VLOOKUP(ALLOCATIONS!B858,MAPPING!$E$3:$G$302,3,FALSE)),""))</f>
        <v/>
      </c>
      <c r="E864" s="6">
        <f>IF(ALLOCATIONS!A858="","",ALLOCATIONS!C858)</f>
        <v/>
      </c>
      <c r="F864" s="6">
        <f>IF(ALLOCATIONS!A858="","",IF(ALLOCATIONS!D858="",0,ALLOCATIONS!D858))</f>
        <v/>
      </c>
      <c r="G864" s="6">
        <f>IF(ALLOCATIONS!A858="","",SUMIFS(RAW_004!$I$2:$I$10001,RAW_004!$D$2:$D$10001,ALLOCATIONS!A858,RAW_004!$H$2:$H$10001,ALLOCATIONS!B858,RAW_004!$N$2:$N$10001,ALLOCATIONS!C858))</f>
        <v/>
      </c>
      <c r="H864" s="6">
        <f>IF(A864="","",G864-F864)</f>
        <v/>
      </c>
    </row>
    <row r="865">
      <c r="A865" s="6">
        <f>IF(ALLOCATIONS!A859="","",IFERROR(VLOOKUP(ALLOCATIONS!A859,MAPPING!$A$3:$C$302,2,FALSE),"UNMAPPED"))</f>
        <v/>
      </c>
      <c r="B865" s="6">
        <f>IF(ALLOCATIONS!A859="","",IFERROR(VLOOKUP(ALLOCATIONS!A859,MAPPING!$A$3:$C$302,3,FALSE),ALLOCATIONS!A859))</f>
        <v/>
      </c>
      <c r="C865" s="6">
        <f>IF(ALLOCATIONS!A859="","",IFERROR(VLOOKUP(ALLOCATIONS!B859,MAPPING!$E$3:$G$302,2,FALSE),"UNMAPPED"))</f>
        <v/>
      </c>
      <c r="D865" s="6">
        <f>IF(ALLOCATIONS!A859="","",IFERROR(IF(VLOOKUP(ALLOCATIONS!B859,MAPPING!$E$3:$G$302,3,FALSE)="","",VLOOKUP(ALLOCATIONS!B859,MAPPING!$E$3:$G$302,3,FALSE)),""))</f>
        <v/>
      </c>
      <c r="E865" s="6">
        <f>IF(ALLOCATIONS!A859="","",ALLOCATIONS!C859)</f>
        <v/>
      </c>
      <c r="F865" s="6">
        <f>IF(ALLOCATIONS!A859="","",IF(ALLOCATIONS!D859="",0,ALLOCATIONS!D859))</f>
        <v/>
      </c>
      <c r="G865" s="6">
        <f>IF(ALLOCATIONS!A859="","",SUMIFS(RAW_004!$I$2:$I$10001,RAW_004!$D$2:$D$10001,ALLOCATIONS!A859,RAW_004!$H$2:$H$10001,ALLOCATIONS!B859,RAW_004!$N$2:$N$10001,ALLOCATIONS!C859))</f>
        <v/>
      </c>
      <c r="H865" s="6">
        <f>IF(A865="","",G865-F865)</f>
        <v/>
      </c>
    </row>
    <row r="866">
      <c r="A866" s="6">
        <f>IF(ALLOCATIONS!A860="","",IFERROR(VLOOKUP(ALLOCATIONS!A860,MAPPING!$A$3:$C$302,2,FALSE),"UNMAPPED"))</f>
        <v/>
      </c>
      <c r="B866" s="6">
        <f>IF(ALLOCATIONS!A860="","",IFERROR(VLOOKUP(ALLOCATIONS!A860,MAPPING!$A$3:$C$302,3,FALSE),ALLOCATIONS!A860))</f>
        <v/>
      </c>
      <c r="C866" s="6">
        <f>IF(ALLOCATIONS!A860="","",IFERROR(VLOOKUP(ALLOCATIONS!B860,MAPPING!$E$3:$G$302,2,FALSE),"UNMAPPED"))</f>
        <v/>
      </c>
      <c r="D866" s="6">
        <f>IF(ALLOCATIONS!A860="","",IFERROR(IF(VLOOKUP(ALLOCATIONS!B860,MAPPING!$E$3:$G$302,3,FALSE)="","",VLOOKUP(ALLOCATIONS!B860,MAPPING!$E$3:$G$302,3,FALSE)),""))</f>
        <v/>
      </c>
      <c r="E866" s="6">
        <f>IF(ALLOCATIONS!A860="","",ALLOCATIONS!C860)</f>
        <v/>
      </c>
      <c r="F866" s="6">
        <f>IF(ALLOCATIONS!A860="","",IF(ALLOCATIONS!D860="",0,ALLOCATIONS!D860))</f>
        <v/>
      </c>
      <c r="G866" s="6">
        <f>IF(ALLOCATIONS!A860="","",SUMIFS(RAW_004!$I$2:$I$10001,RAW_004!$D$2:$D$10001,ALLOCATIONS!A860,RAW_004!$H$2:$H$10001,ALLOCATIONS!B860,RAW_004!$N$2:$N$10001,ALLOCATIONS!C860))</f>
        <v/>
      </c>
      <c r="H866" s="6">
        <f>IF(A866="","",G866-F866)</f>
        <v/>
      </c>
    </row>
    <row r="867">
      <c r="A867" s="6">
        <f>IF(ALLOCATIONS!A861="","",IFERROR(VLOOKUP(ALLOCATIONS!A861,MAPPING!$A$3:$C$302,2,FALSE),"UNMAPPED"))</f>
        <v/>
      </c>
      <c r="B867" s="6">
        <f>IF(ALLOCATIONS!A861="","",IFERROR(VLOOKUP(ALLOCATIONS!A861,MAPPING!$A$3:$C$302,3,FALSE),ALLOCATIONS!A861))</f>
        <v/>
      </c>
      <c r="C867" s="6">
        <f>IF(ALLOCATIONS!A861="","",IFERROR(VLOOKUP(ALLOCATIONS!B861,MAPPING!$E$3:$G$302,2,FALSE),"UNMAPPED"))</f>
        <v/>
      </c>
      <c r="D867" s="6">
        <f>IF(ALLOCATIONS!A861="","",IFERROR(IF(VLOOKUP(ALLOCATIONS!B861,MAPPING!$E$3:$G$302,3,FALSE)="","",VLOOKUP(ALLOCATIONS!B861,MAPPING!$E$3:$G$302,3,FALSE)),""))</f>
        <v/>
      </c>
      <c r="E867" s="6">
        <f>IF(ALLOCATIONS!A861="","",ALLOCATIONS!C861)</f>
        <v/>
      </c>
      <c r="F867" s="6">
        <f>IF(ALLOCATIONS!A861="","",IF(ALLOCATIONS!D861="",0,ALLOCATIONS!D861))</f>
        <v/>
      </c>
      <c r="G867" s="6">
        <f>IF(ALLOCATIONS!A861="","",SUMIFS(RAW_004!$I$2:$I$10001,RAW_004!$D$2:$D$10001,ALLOCATIONS!A861,RAW_004!$H$2:$H$10001,ALLOCATIONS!B861,RAW_004!$N$2:$N$10001,ALLOCATIONS!C861))</f>
        <v/>
      </c>
      <c r="H867" s="6">
        <f>IF(A867="","",G867-F867)</f>
        <v/>
      </c>
    </row>
    <row r="868">
      <c r="A868" s="6">
        <f>IF(ALLOCATIONS!A862="","",IFERROR(VLOOKUP(ALLOCATIONS!A862,MAPPING!$A$3:$C$302,2,FALSE),"UNMAPPED"))</f>
        <v/>
      </c>
      <c r="B868" s="6">
        <f>IF(ALLOCATIONS!A862="","",IFERROR(VLOOKUP(ALLOCATIONS!A862,MAPPING!$A$3:$C$302,3,FALSE),ALLOCATIONS!A862))</f>
        <v/>
      </c>
      <c r="C868" s="6">
        <f>IF(ALLOCATIONS!A862="","",IFERROR(VLOOKUP(ALLOCATIONS!B862,MAPPING!$E$3:$G$302,2,FALSE),"UNMAPPED"))</f>
        <v/>
      </c>
      <c r="D868" s="6">
        <f>IF(ALLOCATIONS!A862="","",IFERROR(IF(VLOOKUP(ALLOCATIONS!B862,MAPPING!$E$3:$G$302,3,FALSE)="","",VLOOKUP(ALLOCATIONS!B862,MAPPING!$E$3:$G$302,3,FALSE)),""))</f>
        <v/>
      </c>
      <c r="E868" s="6">
        <f>IF(ALLOCATIONS!A862="","",ALLOCATIONS!C862)</f>
        <v/>
      </c>
      <c r="F868" s="6">
        <f>IF(ALLOCATIONS!A862="","",IF(ALLOCATIONS!D862="",0,ALLOCATIONS!D862))</f>
        <v/>
      </c>
      <c r="G868" s="6">
        <f>IF(ALLOCATIONS!A862="","",SUMIFS(RAW_004!$I$2:$I$10001,RAW_004!$D$2:$D$10001,ALLOCATIONS!A862,RAW_004!$H$2:$H$10001,ALLOCATIONS!B862,RAW_004!$N$2:$N$10001,ALLOCATIONS!C862))</f>
        <v/>
      </c>
      <c r="H868" s="6">
        <f>IF(A868="","",G868-F868)</f>
        <v/>
      </c>
    </row>
    <row r="869">
      <c r="A869" s="6">
        <f>IF(ALLOCATIONS!A863="","",IFERROR(VLOOKUP(ALLOCATIONS!A863,MAPPING!$A$3:$C$302,2,FALSE),"UNMAPPED"))</f>
        <v/>
      </c>
      <c r="B869" s="6">
        <f>IF(ALLOCATIONS!A863="","",IFERROR(VLOOKUP(ALLOCATIONS!A863,MAPPING!$A$3:$C$302,3,FALSE),ALLOCATIONS!A863))</f>
        <v/>
      </c>
      <c r="C869" s="6">
        <f>IF(ALLOCATIONS!A863="","",IFERROR(VLOOKUP(ALLOCATIONS!B863,MAPPING!$E$3:$G$302,2,FALSE),"UNMAPPED"))</f>
        <v/>
      </c>
      <c r="D869" s="6">
        <f>IF(ALLOCATIONS!A863="","",IFERROR(IF(VLOOKUP(ALLOCATIONS!B863,MAPPING!$E$3:$G$302,3,FALSE)="","",VLOOKUP(ALLOCATIONS!B863,MAPPING!$E$3:$G$302,3,FALSE)),""))</f>
        <v/>
      </c>
      <c r="E869" s="6">
        <f>IF(ALLOCATIONS!A863="","",ALLOCATIONS!C863)</f>
        <v/>
      </c>
      <c r="F869" s="6">
        <f>IF(ALLOCATIONS!A863="","",IF(ALLOCATIONS!D863="",0,ALLOCATIONS!D863))</f>
        <v/>
      </c>
      <c r="G869" s="6">
        <f>IF(ALLOCATIONS!A863="","",SUMIFS(RAW_004!$I$2:$I$10001,RAW_004!$D$2:$D$10001,ALLOCATIONS!A863,RAW_004!$H$2:$H$10001,ALLOCATIONS!B863,RAW_004!$N$2:$N$10001,ALLOCATIONS!C863))</f>
        <v/>
      </c>
      <c r="H869" s="6">
        <f>IF(A869="","",G869-F869)</f>
        <v/>
      </c>
    </row>
    <row r="870">
      <c r="A870" s="6">
        <f>IF(ALLOCATIONS!A864="","",IFERROR(VLOOKUP(ALLOCATIONS!A864,MAPPING!$A$3:$C$302,2,FALSE),"UNMAPPED"))</f>
        <v/>
      </c>
      <c r="B870" s="6">
        <f>IF(ALLOCATIONS!A864="","",IFERROR(VLOOKUP(ALLOCATIONS!A864,MAPPING!$A$3:$C$302,3,FALSE),ALLOCATIONS!A864))</f>
        <v/>
      </c>
      <c r="C870" s="6">
        <f>IF(ALLOCATIONS!A864="","",IFERROR(VLOOKUP(ALLOCATIONS!B864,MAPPING!$E$3:$G$302,2,FALSE),"UNMAPPED"))</f>
        <v/>
      </c>
      <c r="D870" s="6">
        <f>IF(ALLOCATIONS!A864="","",IFERROR(IF(VLOOKUP(ALLOCATIONS!B864,MAPPING!$E$3:$G$302,3,FALSE)="","",VLOOKUP(ALLOCATIONS!B864,MAPPING!$E$3:$G$302,3,FALSE)),""))</f>
        <v/>
      </c>
      <c r="E870" s="6">
        <f>IF(ALLOCATIONS!A864="","",ALLOCATIONS!C864)</f>
        <v/>
      </c>
      <c r="F870" s="6">
        <f>IF(ALLOCATIONS!A864="","",IF(ALLOCATIONS!D864="",0,ALLOCATIONS!D864))</f>
        <v/>
      </c>
      <c r="G870" s="6">
        <f>IF(ALLOCATIONS!A864="","",SUMIFS(RAW_004!$I$2:$I$10001,RAW_004!$D$2:$D$10001,ALLOCATIONS!A864,RAW_004!$H$2:$H$10001,ALLOCATIONS!B864,RAW_004!$N$2:$N$10001,ALLOCATIONS!C864))</f>
        <v/>
      </c>
      <c r="H870" s="6">
        <f>IF(A870="","",G870-F870)</f>
        <v/>
      </c>
    </row>
    <row r="871">
      <c r="A871" s="6">
        <f>IF(ALLOCATIONS!A865="","",IFERROR(VLOOKUP(ALLOCATIONS!A865,MAPPING!$A$3:$C$302,2,FALSE),"UNMAPPED"))</f>
        <v/>
      </c>
      <c r="B871" s="6">
        <f>IF(ALLOCATIONS!A865="","",IFERROR(VLOOKUP(ALLOCATIONS!A865,MAPPING!$A$3:$C$302,3,FALSE),ALLOCATIONS!A865))</f>
        <v/>
      </c>
      <c r="C871" s="6">
        <f>IF(ALLOCATIONS!A865="","",IFERROR(VLOOKUP(ALLOCATIONS!B865,MAPPING!$E$3:$G$302,2,FALSE),"UNMAPPED"))</f>
        <v/>
      </c>
      <c r="D871" s="6">
        <f>IF(ALLOCATIONS!A865="","",IFERROR(IF(VLOOKUP(ALLOCATIONS!B865,MAPPING!$E$3:$G$302,3,FALSE)="","",VLOOKUP(ALLOCATIONS!B865,MAPPING!$E$3:$G$302,3,FALSE)),""))</f>
        <v/>
      </c>
      <c r="E871" s="6">
        <f>IF(ALLOCATIONS!A865="","",ALLOCATIONS!C865)</f>
        <v/>
      </c>
      <c r="F871" s="6">
        <f>IF(ALLOCATIONS!A865="","",IF(ALLOCATIONS!D865="",0,ALLOCATIONS!D865))</f>
        <v/>
      </c>
      <c r="G871" s="6">
        <f>IF(ALLOCATIONS!A865="","",SUMIFS(RAW_004!$I$2:$I$10001,RAW_004!$D$2:$D$10001,ALLOCATIONS!A865,RAW_004!$H$2:$H$10001,ALLOCATIONS!B865,RAW_004!$N$2:$N$10001,ALLOCATIONS!C865))</f>
        <v/>
      </c>
      <c r="H871" s="6">
        <f>IF(A871="","",G871-F871)</f>
        <v/>
      </c>
    </row>
    <row r="872">
      <c r="A872" s="6">
        <f>IF(ALLOCATIONS!A866="","",IFERROR(VLOOKUP(ALLOCATIONS!A866,MAPPING!$A$3:$C$302,2,FALSE),"UNMAPPED"))</f>
        <v/>
      </c>
      <c r="B872" s="6">
        <f>IF(ALLOCATIONS!A866="","",IFERROR(VLOOKUP(ALLOCATIONS!A866,MAPPING!$A$3:$C$302,3,FALSE),ALLOCATIONS!A866))</f>
        <v/>
      </c>
      <c r="C872" s="6">
        <f>IF(ALLOCATIONS!A866="","",IFERROR(VLOOKUP(ALLOCATIONS!B866,MAPPING!$E$3:$G$302,2,FALSE),"UNMAPPED"))</f>
        <v/>
      </c>
      <c r="D872" s="6">
        <f>IF(ALLOCATIONS!A866="","",IFERROR(IF(VLOOKUP(ALLOCATIONS!B866,MAPPING!$E$3:$G$302,3,FALSE)="","",VLOOKUP(ALLOCATIONS!B866,MAPPING!$E$3:$G$302,3,FALSE)),""))</f>
        <v/>
      </c>
      <c r="E872" s="6">
        <f>IF(ALLOCATIONS!A866="","",ALLOCATIONS!C866)</f>
        <v/>
      </c>
      <c r="F872" s="6">
        <f>IF(ALLOCATIONS!A866="","",IF(ALLOCATIONS!D866="",0,ALLOCATIONS!D866))</f>
        <v/>
      </c>
      <c r="G872" s="6">
        <f>IF(ALLOCATIONS!A866="","",SUMIFS(RAW_004!$I$2:$I$10001,RAW_004!$D$2:$D$10001,ALLOCATIONS!A866,RAW_004!$H$2:$H$10001,ALLOCATIONS!B866,RAW_004!$N$2:$N$10001,ALLOCATIONS!C866))</f>
        <v/>
      </c>
      <c r="H872" s="6">
        <f>IF(A872="","",G872-F872)</f>
        <v/>
      </c>
    </row>
    <row r="873">
      <c r="A873" s="6">
        <f>IF(ALLOCATIONS!A867="","",IFERROR(VLOOKUP(ALLOCATIONS!A867,MAPPING!$A$3:$C$302,2,FALSE),"UNMAPPED"))</f>
        <v/>
      </c>
      <c r="B873" s="6">
        <f>IF(ALLOCATIONS!A867="","",IFERROR(VLOOKUP(ALLOCATIONS!A867,MAPPING!$A$3:$C$302,3,FALSE),ALLOCATIONS!A867))</f>
        <v/>
      </c>
      <c r="C873" s="6">
        <f>IF(ALLOCATIONS!A867="","",IFERROR(VLOOKUP(ALLOCATIONS!B867,MAPPING!$E$3:$G$302,2,FALSE),"UNMAPPED"))</f>
        <v/>
      </c>
      <c r="D873" s="6">
        <f>IF(ALLOCATIONS!A867="","",IFERROR(IF(VLOOKUP(ALLOCATIONS!B867,MAPPING!$E$3:$G$302,3,FALSE)="","",VLOOKUP(ALLOCATIONS!B867,MAPPING!$E$3:$G$302,3,FALSE)),""))</f>
        <v/>
      </c>
      <c r="E873" s="6">
        <f>IF(ALLOCATIONS!A867="","",ALLOCATIONS!C867)</f>
        <v/>
      </c>
      <c r="F873" s="6">
        <f>IF(ALLOCATIONS!A867="","",IF(ALLOCATIONS!D867="",0,ALLOCATIONS!D867))</f>
        <v/>
      </c>
      <c r="G873" s="6">
        <f>IF(ALLOCATIONS!A867="","",SUMIFS(RAW_004!$I$2:$I$10001,RAW_004!$D$2:$D$10001,ALLOCATIONS!A867,RAW_004!$H$2:$H$10001,ALLOCATIONS!B867,RAW_004!$N$2:$N$10001,ALLOCATIONS!C867))</f>
        <v/>
      </c>
      <c r="H873" s="6">
        <f>IF(A873="","",G873-F873)</f>
        <v/>
      </c>
    </row>
    <row r="874">
      <c r="A874" s="6">
        <f>IF(ALLOCATIONS!A868="","",IFERROR(VLOOKUP(ALLOCATIONS!A868,MAPPING!$A$3:$C$302,2,FALSE),"UNMAPPED"))</f>
        <v/>
      </c>
      <c r="B874" s="6">
        <f>IF(ALLOCATIONS!A868="","",IFERROR(VLOOKUP(ALLOCATIONS!A868,MAPPING!$A$3:$C$302,3,FALSE),ALLOCATIONS!A868))</f>
        <v/>
      </c>
      <c r="C874" s="6">
        <f>IF(ALLOCATIONS!A868="","",IFERROR(VLOOKUP(ALLOCATIONS!B868,MAPPING!$E$3:$G$302,2,FALSE),"UNMAPPED"))</f>
        <v/>
      </c>
      <c r="D874" s="6">
        <f>IF(ALLOCATIONS!A868="","",IFERROR(IF(VLOOKUP(ALLOCATIONS!B868,MAPPING!$E$3:$G$302,3,FALSE)="","",VLOOKUP(ALLOCATIONS!B868,MAPPING!$E$3:$G$302,3,FALSE)),""))</f>
        <v/>
      </c>
      <c r="E874" s="6">
        <f>IF(ALLOCATIONS!A868="","",ALLOCATIONS!C868)</f>
        <v/>
      </c>
      <c r="F874" s="6">
        <f>IF(ALLOCATIONS!A868="","",IF(ALLOCATIONS!D868="",0,ALLOCATIONS!D868))</f>
        <v/>
      </c>
      <c r="G874" s="6">
        <f>IF(ALLOCATIONS!A868="","",SUMIFS(RAW_004!$I$2:$I$10001,RAW_004!$D$2:$D$10001,ALLOCATIONS!A868,RAW_004!$H$2:$H$10001,ALLOCATIONS!B868,RAW_004!$N$2:$N$10001,ALLOCATIONS!C868))</f>
        <v/>
      </c>
      <c r="H874" s="6">
        <f>IF(A874="","",G874-F874)</f>
        <v/>
      </c>
    </row>
    <row r="875">
      <c r="A875" s="6">
        <f>IF(ALLOCATIONS!A869="","",IFERROR(VLOOKUP(ALLOCATIONS!A869,MAPPING!$A$3:$C$302,2,FALSE),"UNMAPPED"))</f>
        <v/>
      </c>
      <c r="B875" s="6">
        <f>IF(ALLOCATIONS!A869="","",IFERROR(VLOOKUP(ALLOCATIONS!A869,MAPPING!$A$3:$C$302,3,FALSE),ALLOCATIONS!A869))</f>
        <v/>
      </c>
      <c r="C875" s="6">
        <f>IF(ALLOCATIONS!A869="","",IFERROR(VLOOKUP(ALLOCATIONS!B869,MAPPING!$E$3:$G$302,2,FALSE),"UNMAPPED"))</f>
        <v/>
      </c>
      <c r="D875" s="6">
        <f>IF(ALLOCATIONS!A869="","",IFERROR(IF(VLOOKUP(ALLOCATIONS!B869,MAPPING!$E$3:$G$302,3,FALSE)="","",VLOOKUP(ALLOCATIONS!B869,MAPPING!$E$3:$G$302,3,FALSE)),""))</f>
        <v/>
      </c>
      <c r="E875" s="6">
        <f>IF(ALLOCATIONS!A869="","",ALLOCATIONS!C869)</f>
        <v/>
      </c>
      <c r="F875" s="6">
        <f>IF(ALLOCATIONS!A869="","",IF(ALLOCATIONS!D869="",0,ALLOCATIONS!D869))</f>
        <v/>
      </c>
      <c r="G875" s="6">
        <f>IF(ALLOCATIONS!A869="","",SUMIFS(RAW_004!$I$2:$I$10001,RAW_004!$D$2:$D$10001,ALLOCATIONS!A869,RAW_004!$H$2:$H$10001,ALLOCATIONS!B869,RAW_004!$N$2:$N$10001,ALLOCATIONS!C869))</f>
        <v/>
      </c>
      <c r="H875" s="6">
        <f>IF(A875="","",G875-F875)</f>
        <v/>
      </c>
    </row>
    <row r="876">
      <c r="A876" s="6">
        <f>IF(ALLOCATIONS!A870="","",IFERROR(VLOOKUP(ALLOCATIONS!A870,MAPPING!$A$3:$C$302,2,FALSE),"UNMAPPED"))</f>
        <v/>
      </c>
      <c r="B876" s="6">
        <f>IF(ALLOCATIONS!A870="","",IFERROR(VLOOKUP(ALLOCATIONS!A870,MAPPING!$A$3:$C$302,3,FALSE),ALLOCATIONS!A870))</f>
        <v/>
      </c>
      <c r="C876" s="6">
        <f>IF(ALLOCATIONS!A870="","",IFERROR(VLOOKUP(ALLOCATIONS!B870,MAPPING!$E$3:$G$302,2,FALSE),"UNMAPPED"))</f>
        <v/>
      </c>
      <c r="D876" s="6">
        <f>IF(ALLOCATIONS!A870="","",IFERROR(IF(VLOOKUP(ALLOCATIONS!B870,MAPPING!$E$3:$G$302,3,FALSE)="","",VLOOKUP(ALLOCATIONS!B870,MAPPING!$E$3:$G$302,3,FALSE)),""))</f>
        <v/>
      </c>
      <c r="E876" s="6">
        <f>IF(ALLOCATIONS!A870="","",ALLOCATIONS!C870)</f>
        <v/>
      </c>
      <c r="F876" s="6">
        <f>IF(ALLOCATIONS!A870="","",IF(ALLOCATIONS!D870="",0,ALLOCATIONS!D870))</f>
        <v/>
      </c>
      <c r="G876" s="6">
        <f>IF(ALLOCATIONS!A870="","",SUMIFS(RAW_004!$I$2:$I$10001,RAW_004!$D$2:$D$10001,ALLOCATIONS!A870,RAW_004!$H$2:$H$10001,ALLOCATIONS!B870,RAW_004!$N$2:$N$10001,ALLOCATIONS!C870))</f>
        <v/>
      </c>
      <c r="H876" s="6">
        <f>IF(A876="","",G876-F876)</f>
        <v/>
      </c>
    </row>
    <row r="877">
      <c r="A877" s="6">
        <f>IF(ALLOCATIONS!A871="","",IFERROR(VLOOKUP(ALLOCATIONS!A871,MAPPING!$A$3:$C$302,2,FALSE),"UNMAPPED"))</f>
        <v/>
      </c>
      <c r="B877" s="6">
        <f>IF(ALLOCATIONS!A871="","",IFERROR(VLOOKUP(ALLOCATIONS!A871,MAPPING!$A$3:$C$302,3,FALSE),ALLOCATIONS!A871))</f>
        <v/>
      </c>
      <c r="C877" s="6">
        <f>IF(ALLOCATIONS!A871="","",IFERROR(VLOOKUP(ALLOCATIONS!B871,MAPPING!$E$3:$G$302,2,FALSE),"UNMAPPED"))</f>
        <v/>
      </c>
      <c r="D877" s="6">
        <f>IF(ALLOCATIONS!A871="","",IFERROR(IF(VLOOKUP(ALLOCATIONS!B871,MAPPING!$E$3:$G$302,3,FALSE)="","",VLOOKUP(ALLOCATIONS!B871,MAPPING!$E$3:$G$302,3,FALSE)),""))</f>
        <v/>
      </c>
      <c r="E877" s="6">
        <f>IF(ALLOCATIONS!A871="","",ALLOCATIONS!C871)</f>
        <v/>
      </c>
      <c r="F877" s="6">
        <f>IF(ALLOCATIONS!A871="","",IF(ALLOCATIONS!D871="",0,ALLOCATIONS!D871))</f>
        <v/>
      </c>
      <c r="G877" s="6">
        <f>IF(ALLOCATIONS!A871="","",SUMIFS(RAW_004!$I$2:$I$10001,RAW_004!$D$2:$D$10001,ALLOCATIONS!A871,RAW_004!$H$2:$H$10001,ALLOCATIONS!B871,RAW_004!$N$2:$N$10001,ALLOCATIONS!C871))</f>
        <v/>
      </c>
      <c r="H877" s="6">
        <f>IF(A877="","",G877-F877)</f>
        <v/>
      </c>
    </row>
    <row r="878">
      <c r="A878" s="6">
        <f>IF(ALLOCATIONS!A872="","",IFERROR(VLOOKUP(ALLOCATIONS!A872,MAPPING!$A$3:$C$302,2,FALSE),"UNMAPPED"))</f>
        <v/>
      </c>
      <c r="B878" s="6">
        <f>IF(ALLOCATIONS!A872="","",IFERROR(VLOOKUP(ALLOCATIONS!A872,MAPPING!$A$3:$C$302,3,FALSE),ALLOCATIONS!A872))</f>
        <v/>
      </c>
      <c r="C878" s="6">
        <f>IF(ALLOCATIONS!A872="","",IFERROR(VLOOKUP(ALLOCATIONS!B872,MAPPING!$E$3:$G$302,2,FALSE),"UNMAPPED"))</f>
        <v/>
      </c>
      <c r="D878" s="6">
        <f>IF(ALLOCATIONS!A872="","",IFERROR(IF(VLOOKUP(ALLOCATIONS!B872,MAPPING!$E$3:$G$302,3,FALSE)="","",VLOOKUP(ALLOCATIONS!B872,MAPPING!$E$3:$G$302,3,FALSE)),""))</f>
        <v/>
      </c>
      <c r="E878" s="6">
        <f>IF(ALLOCATIONS!A872="","",ALLOCATIONS!C872)</f>
        <v/>
      </c>
      <c r="F878" s="6">
        <f>IF(ALLOCATIONS!A872="","",IF(ALLOCATIONS!D872="",0,ALLOCATIONS!D872))</f>
        <v/>
      </c>
      <c r="G878" s="6">
        <f>IF(ALLOCATIONS!A872="","",SUMIFS(RAW_004!$I$2:$I$10001,RAW_004!$D$2:$D$10001,ALLOCATIONS!A872,RAW_004!$H$2:$H$10001,ALLOCATIONS!B872,RAW_004!$N$2:$N$10001,ALLOCATIONS!C872))</f>
        <v/>
      </c>
      <c r="H878" s="6">
        <f>IF(A878="","",G878-F878)</f>
        <v/>
      </c>
    </row>
    <row r="879">
      <c r="A879" s="6">
        <f>IF(ALLOCATIONS!A873="","",IFERROR(VLOOKUP(ALLOCATIONS!A873,MAPPING!$A$3:$C$302,2,FALSE),"UNMAPPED"))</f>
        <v/>
      </c>
      <c r="B879" s="6">
        <f>IF(ALLOCATIONS!A873="","",IFERROR(VLOOKUP(ALLOCATIONS!A873,MAPPING!$A$3:$C$302,3,FALSE),ALLOCATIONS!A873))</f>
        <v/>
      </c>
      <c r="C879" s="6">
        <f>IF(ALLOCATIONS!A873="","",IFERROR(VLOOKUP(ALLOCATIONS!B873,MAPPING!$E$3:$G$302,2,FALSE),"UNMAPPED"))</f>
        <v/>
      </c>
      <c r="D879" s="6">
        <f>IF(ALLOCATIONS!A873="","",IFERROR(IF(VLOOKUP(ALLOCATIONS!B873,MAPPING!$E$3:$G$302,3,FALSE)="","",VLOOKUP(ALLOCATIONS!B873,MAPPING!$E$3:$G$302,3,FALSE)),""))</f>
        <v/>
      </c>
      <c r="E879" s="6">
        <f>IF(ALLOCATIONS!A873="","",ALLOCATIONS!C873)</f>
        <v/>
      </c>
      <c r="F879" s="6">
        <f>IF(ALLOCATIONS!A873="","",IF(ALLOCATIONS!D873="",0,ALLOCATIONS!D873))</f>
        <v/>
      </c>
      <c r="G879" s="6">
        <f>IF(ALLOCATIONS!A873="","",SUMIFS(RAW_004!$I$2:$I$10001,RAW_004!$D$2:$D$10001,ALLOCATIONS!A873,RAW_004!$H$2:$H$10001,ALLOCATIONS!B873,RAW_004!$N$2:$N$10001,ALLOCATIONS!C873))</f>
        <v/>
      </c>
      <c r="H879" s="6">
        <f>IF(A879="","",G879-F879)</f>
        <v/>
      </c>
    </row>
    <row r="880">
      <c r="A880" s="6">
        <f>IF(ALLOCATIONS!A874="","",IFERROR(VLOOKUP(ALLOCATIONS!A874,MAPPING!$A$3:$C$302,2,FALSE),"UNMAPPED"))</f>
        <v/>
      </c>
      <c r="B880" s="6">
        <f>IF(ALLOCATIONS!A874="","",IFERROR(VLOOKUP(ALLOCATIONS!A874,MAPPING!$A$3:$C$302,3,FALSE),ALLOCATIONS!A874))</f>
        <v/>
      </c>
      <c r="C880" s="6">
        <f>IF(ALLOCATIONS!A874="","",IFERROR(VLOOKUP(ALLOCATIONS!B874,MAPPING!$E$3:$G$302,2,FALSE),"UNMAPPED"))</f>
        <v/>
      </c>
      <c r="D880" s="6">
        <f>IF(ALLOCATIONS!A874="","",IFERROR(IF(VLOOKUP(ALLOCATIONS!B874,MAPPING!$E$3:$G$302,3,FALSE)="","",VLOOKUP(ALLOCATIONS!B874,MAPPING!$E$3:$G$302,3,FALSE)),""))</f>
        <v/>
      </c>
      <c r="E880" s="6">
        <f>IF(ALLOCATIONS!A874="","",ALLOCATIONS!C874)</f>
        <v/>
      </c>
      <c r="F880" s="6">
        <f>IF(ALLOCATIONS!A874="","",IF(ALLOCATIONS!D874="",0,ALLOCATIONS!D874))</f>
        <v/>
      </c>
      <c r="G880" s="6">
        <f>IF(ALLOCATIONS!A874="","",SUMIFS(RAW_004!$I$2:$I$10001,RAW_004!$D$2:$D$10001,ALLOCATIONS!A874,RAW_004!$H$2:$H$10001,ALLOCATIONS!B874,RAW_004!$N$2:$N$10001,ALLOCATIONS!C874))</f>
        <v/>
      </c>
      <c r="H880" s="6">
        <f>IF(A880="","",G880-F880)</f>
        <v/>
      </c>
    </row>
    <row r="881">
      <c r="A881" s="6">
        <f>IF(ALLOCATIONS!A875="","",IFERROR(VLOOKUP(ALLOCATIONS!A875,MAPPING!$A$3:$C$302,2,FALSE),"UNMAPPED"))</f>
        <v/>
      </c>
      <c r="B881" s="6">
        <f>IF(ALLOCATIONS!A875="","",IFERROR(VLOOKUP(ALLOCATIONS!A875,MAPPING!$A$3:$C$302,3,FALSE),ALLOCATIONS!A875))</f>
        <v/>
      </c>
      <c r="C881" s="6">
        <f>IF(ALLOCATIONS!A875="","",IFERROR(VLOOKUP(ALLOCATIONS!B875,MAPPING!$E$3:$G$302,2,FALSE),"UNMAPPED"))</f>
        <v/>
      </c>
      <c r="D881" s="6">
        <f>IF(ALLOCATIONS!A875="","",IFERROR(IF(VLOOKUP(ALLOCATIONS!B875,MAPPING!$E$3:$G$302,3,FALSE)="","",VLOOKUP(ALLOCATIONS!B875,MAPPING!$E$3:$G$302,3,FALSE)),""))</f>
        <v/>
      </c>
      <c r="E881" s="6">
        <f>IF(ALLOCATIONS!A875="","",ALLOCATIONS!C875)</f>
        <v/>
      </c>
      <c r="F881" s="6">
        <f>IF(ALLOCATIONS!A875="","",IF(ALLOCATIONS!D875="",0,ALLOCATIONS!D875))</f>
        <v/>
      </c>
      <c r="G881" s="6">
        <f>IF(ALLOCATIONS!A875="","",SUMIFS(RAW_004!$I$2:$I$10001,RAW_004!$D$2:$D$10001,ALLOCATIONS!A875,RAW_004!$H$2:$H$10001,ALLOCATIONS!B875,RAW_004!$N$2:$N$10001,ALLOCATIONS!C875))</f>
        <v/>
      </c>
      <c r="H881" s="6">
        <f>IF(A881="","",G881-F881)</f>
        <v/>
      </c>
    </row>
    <row r="882">
      <c r="A882" s="6">
        <f>IF(ALLOCATIONS!A876="","",IFERROR(VLOOKUP(ALLOCATIONS!A876,MAPPING!$A$3:$C$302,2,FALSE),"UNMAPPED"))</f>
        <v/>
      </c>
      <c r="B882" s="6">
        <f>IF(ALLOCATIONS!A876="","",IFERROR(VLOOKUP(ALLOCATIONS!A876,MAPPING!$A$3:$C$302,3,FALSE),ALLOCATIONS!A876))</f>
        <v/>
      </c>
      <c r="C882" s="6">
        <f>IF(ALLOCATIONS!A876="","",IFERROR(VLOOKUP(ALLOCATIONS!B876,MAPPING!$E$3:$G$302,2,FALSE),"UNMAPPED"))</f>
        <v/>
      </c>
      <c r="D882" s="6">
        <f>IF(ALLOCATIONS!A876="","",IFERROR(IF(VLOOKUP(ALLOCATIONS!B876,MAPPING!$E$3:$G$302,3,FALSE)="","",VLOOKUP(ALLOCATIONS!B876,MAPPING!$E$3:$G$302,3,FALSE)),""))</f>
        <v/>
      </c>
      <c r="E882" s="6">
        <f>IF(ALLOCATIONS!A876="","",ALLOCATIONS!C876)</f>
        <v/>
      </c>
      <c r="F882" s="6">
        <f>IF(ALLOCATIONS!A876="","",IF(ALLOCATIONS!D876="",0,ALLOCATIONS!D876))</f>
        <v/>
      </c>
      <c r="G882" s="6">
        <f>IF(ALLOCATIONS!A876="","",SUMIFS(RAW_004!$I$2:$I$10001,RAW_004!$D$2:$D$10001,ALLOCATIONS!A876,RAW_004!$H$2:$H$10001,ALLOCATIONS!B876,RAW_004!$N$2:$N$10001,ALLOCATIONS!C876))</f>
        <v/>
      </c>
      <c r="H882" s="6">
        <f>IF(A882="","",G882-F882)</f>
        <v/>
      </c>
    </row>
    <row r="883">
      <c r="A883" s="6">
        <f>IF(ALLOCATIONS!A877="","",IFERROR(VLOOKUP(ALLOCATIONS!A877,MAPPING!$A$3:$C$302,2,FALSE),"UNMAPPED"))</f>
        <v/>
      </c>
      <c r="B883" s="6">
        <f>IF(ALLOCATIONS!A877="","",IFERROR(VLOOKUP(ALLOCATIONS!A877,MAPPING!$A$3:$C$302,3,FALSE),ALLOCATIONS!A877))</f>
        <v/>
      </c>
      <c r="C883" s="6">
        <f>IF(ALLOCATIONS!A877="","",IFERROR(VLOOKUP(ALLOCATIONS!B877,MAPPING!$E$3:$G$302,2,FALSE),"UNMAPPED"))</f>
        <v/>
      </c>
      <c r="D883" s="6">
        <f>IF(ALLOCATIONS!A877="","",IFERROR(IF(VLOOKUP(ALLOCATIONS!B877,MAPPING!$E$3:$G$302,3,FALSE)="","",VLOOKUP(ALLOCATIONS!B877,MAPPING!$E$3:$G$302,3,FALSE)),""))</f>
        <v/>
      </c>
      <c r="E883" s="6">
        <f>IF(ALLOCATIONS!A877="","",ALLOCATIONS!C877)</f>
        <v/>
      </c>
      <c r="F883" s="6">
        <f>IF(ALLOCATIONS!A877="","",IF(ALLOCATIONS!D877="",0,ALLOCATIONS!D877))</f>
        <v/>
      </c>
      <c r="G883" s="6">
        <f>IF(ALLOCATIONS!A877="","",SUMIFS(RAW_004!$I$2:$I$10001,RAW_004!$D$2:$D$10001,ALLOCATIONS!A877,RAW_004!$H$2:$H$10001,ALLOCATIONS!B877,RAW_004!$N$2:$N$10001,ALLOCATIONS!C877))</f>
        <v/>
      </c>
      <c r="H883" s="6">
        <f>IF(A883="","",G883-F883)</f>
        <v/>
      </c>
    </row>
    <row r="884">
      <c r="A884" s="6">
        <f>IF(ALLOCATIONS!A878="","",IFERROR(VLOOKUP(ALLOCATIONS!A878,MAPPING!$A$3:$C$302,2,FALSE),"UNMAPPED"))</f>
        <v/>
      </c>
      <c r="B884" s="6">
        <f>IF(ALLOCATIONS!A878="","",IFERROR(VLOOKUP(ALLOCATIONS!A878,MAPPING!$A$3:$C$302,3,FALSE),ALLOCATIONS!A878))</f>
        <v/>
      </c>
      <c r="C884" s="6">
        <f>IF(ALLOCATIONS!A878="","",IFERROR(VLOOKUP(ALLOCATIONS!B878,MAPPING!$E$3:$G$302,2,FALSE),"UNMAPPED"))</f>
        <v/>
      </c>
      <c r="D884" s="6">
        <f>IF(ALLOCATIONS!A878="","",IFERROR(IF(VLOOKUP(ALLOCATIONS!B878,MAPPING!$E$3:$G$302,3,FALSE)="","",VLOOKUP(ALLOCATIONS!B878,MAPPING!$E$3:$G$302,3,FALSE)),""))</f>
        <v/>
      </c>
      <c r="E884" s="6">
        <f>IF(ALLOCATIONS!A878="","",ALLOCATIONS!C878)</f>
        <v/>
      </c>
      <c r="F884" s="6">
        <f>IF(ALLOCATIONS!A878="","",IF(ALLOCATIONS!D878="",0,ALLOCATIONS!D878))</f>
        <v/>
      </c>
      <c r="G884" s="6">
        <f>IF(ALLOCATIONS!A878="","",SUMIFS(RAW_004!$I$2:$I$10001,RAW_004!$D$2:$D$10001,ALLOCATIONS!A878,RAW_004!$H$2:$H$10001,ALLOCATIONS!B878,RAW_004!$N$2:$N$10001,ALLOCATIONS!C878))</f>
        <v/>
      </c>
      <c r="H884" s="6">
        <f>IF(A884="","",G884-F884)</f>
        <v/>
      </c>
    </row>
    <row r="885">
      <c r="A885" s="6">
        <f>IF(ALLOCATIONS!A879="","",IFERROR(VLOOKUP(ALLOCATIONS!A879,MAPPING!$A$3:$C$302,2,FALSE),"UNMAPPED"))</f>
        <v/>
      </c>
      <c r="B885" s="6">
        <f>IF(ALLOCATIONS!A879="","",IFERROR(VLOOKUP(ALLOCATIONS!A879,MAPPING!$A$3:$C$302,3,FALSE),ALLOCATIONS!A879))</f>
        <v/>
      </c>
      <c r="C885" s="6">
        <f>IF(ALLOCATIONS!A879="","",IFERROR(VLOOKUP(ALLOCATIONS!B879,MAPPING!$E$3:$G$302,2,FALSE),"UNMAPPED"))</f>
        <v/>
      </c>
      <c r="D885" s="6">
        <f>IF(ALLOCATIONS!A879="","",IFERROR(IF(VLOOKUP(ALLOCATIONS!B879,MAPPING!$E$3:$G$302,3,FALSE)="","",VLOOKUP(ALLOCATIONS!B879,MAPPING!$E$3:$G$302,3,FALSE)),""))</f>
        <v/>
      </c>
      <c r="E885" s="6">
        <f>IF(ALLOCATIONS!A879="","",ALLOCATIONS!C879)</f>
        <v/>
      </c>
      <c r="F885" s="6">
        <f>IF(ALLOCATIONS!A879="","",IF(ALLOCATIONS!D879="",0,ALLOCATIONS!D879))</f>
        <v/>
      </c>
      <c r="G885" s="6">
        <f>IF(ALLOCATIONS!A879="","",SUMIFS(RAW_004!$I$2:$I$10001,RAW_004!$D$2:$D$10001,ALLOCATIONS!A879,RAW_004!$H$2:$H$10001,ALLOCATIONS!B879,RAW_004!$N$2:$N$10001,ALLOCATIONS!C879))</f>
        <v/>
      </c>
      <c r="H885" s="6">
        <f>IF(A885="","",G885-F885)</f>
        <v/>
      </c>
    </row>
    <row r="886">
      <c r="A886" s="6">
        <f>IF(ALLOCATIONS!A880="","",IFERROR(VLOOKUP(ALLOCATIONS!A880,MAPPING!$A$3:$C$302,2,FALSE),"UNMAPPED"))</f>
        <v/>
      </c>
      <c r="B886" s="6">
        <f>IF(ALLOCATIONS!A880="","",IFERROR(VLOOKUP(ALLOCATIONS!A880,MAPPING!$A$3:$C$302,3,FALSE),ALLOCATIONS!A880))</f>
        <v/>
      </c>
      <c r="C886" s="6">
        <f>IF(ALLOCATIONS!A880="","",IFERROR(VLOOKUP(ALLOCATIONS!B880,MAPPING!$E$3:$G$302,2,FALSE),"UNMAPPED"))</f>
        <v/>
      </c>
      <c r="D886" s="6">
        <f>IF(ALLOCATIONS!A880="","",IFERROR(IF(VLOOKUP(ALLOCATIONS!B880,MAPPING!$E$3:$G$302,3,FALSE)="","",VLOOKUP(ALLOCATIONS!B880,MAPPING!$E$3:$G$302,3,FALSE)),""))</f>
        <v/>
      </c>
      <c r="E886" s="6">
        <f>IF(ALLOCATIONS!A880="","",ALLOCATIONS!C880)</f>
        <v/>
      </c>
      <c r="F886" s="6">
        <f>IF(ALLOCATIONS!A880="","",IF(ALLOCATIONS!D880="",0,ALLOCATIONS!D880))</f>
        <v/>
      </c>
      <c r="G886" s="6">
        <f>IF(ALLOCATIONS!A880="","",SUMIFS(RAW_004!$I$2:$I$10001,RAW_004!$D$2:$D$10001,ALLOCATIONS!A880,RAW_004!$H$2:$H$10001,ALLOCATIONS!B880,RAW_004!$N$2:$N$10001,ALLOCATIONS!C880))</f>
        <v/>
      </c>
      <c r="H886" s="6">
        <f>IF(A886="","",G886-F886)</f>
        <v/>
      </c>
    </row>
    <row r="887">
      <c r="A887" s="6">
        <f>IF(ALLOCATIONS!A881="","",IFERROR(VLOOKUP(ALLOCATIONS!A881,MAPPING!$A$3:$C$302,2,FALSE),"UNMAPPED"))</f>
        <v/>
      </c>
      <c r="B887" s="6">
        <f>IF(ALLOCATIONS!A881="","",IFERROR(VLOOKUP(ALLOCATIONS!A881,MAPPING!$A$3:$C$302,3,FALSE),ALLOCATIONS!A881))</f>
        <v/>
      </c>
      <c r="C887" s="6">
        <f>IF(ALLOCATIONS!A881="","",IFERROR(VLOOKUP(ALLOCATIONS!B881,MAPPING!$E$3:$G$302,2,FALSE),"UNMAPPED"))</f>
        <v/>
      </c>
      <c r="D887" s="6">
        <f>IF(ALLOCATIONS!A881="","",IFERROR(IF(VLOOKUP(ALLOCATIONS!B881,MAPPING!$E$3:$G$302,3,FALSE)="","",VLOOKUP(ALLOCATIONS!B881,MAPPING!$E$3:$G$302,3,FALSE)),""))</f>
        <v/>
      </c>
      <c r="E887" s="6">
        <f>IF(ALLOCATIONS!A881="","",ALLOCATIONS!C881)</f>
        <v/>
      </c>
      <c r="F887" s="6">
        <f>IF(ALLOCATIONS!A881="","",IF(ALLOCATIONS!D881="",0,ALLOCATIONS!D881))</f>
        <v/>
      </c>
      <c r="G887" s="6">
        <f>IF(ALLOCATIONS!A881="","",SUMIFS(RAW_004!$I$2:$I$10001,RAW_004!$D$2:$D$10001,ALLOCATIONS!A881,RAW_004!$H$2:$H$10001,ALLOCATIONS!B881,RAW_004!$N$2:$N$10001,ALLOCATIONS!C881))</f>
        <v/>
      </c>
      <c r="H887" s="6">
        <f>IF(A887="","",G887-F887)</f>
        <v/>
      </c>
    </row>
    <row r="888">
      <c r="A888" s="6">
        <f>IF(ALLOCATIONS!A882="","",IFERROR(VLOOKUP(ALLOCATIONS!A882,MAPPING!$A$3:$C$302,2,FALSE),"UNMAPPED"))</f>
        <v/>
      </c>
      <c r="B888" s="6">
        <f>IF(ALLOCATIONS!A882="","",IFERROR(VLOOKUP(ALLOCATIONS!A882,MAPPING!$A$3:$C$302,3,FALSE),ALLOCATIONS!A882))</f>
        <v/>
      </c>
      <c r="C888" s="6">
        <f>IF(ALLOCATIONS!A882="","",IFERROR(VLOOKUP(ALLOCATIONS!B882,MAPPING!$E$3:$G$302,2,FALSE),"UNMAPPED"))</f>
        <v/>
      </c>
      <c r="D888" s="6">
        <f>IF(ALLOCATIONS!A882="","",IFERROR(IF(VLOOKUP(ALLOCATIONS!B882,MAPPING!$E$3:$G$302,3,FALSE)="","",VLOOKUP(ALLOCATIONS!B882,MAPPING!$E$3:$G$302,3,FALSE)),""))</f>
        <v/>
      </c>
      <c r="E888" s="6">
        <f>IF(ALLOCATIONS!A882="","",ALLOCATIONS!C882)</f>
        <v/>
      </c>
      <c r="F888" s="6">
        <f>IF(ALLOCATIONS!A882="","",IF(ALLOCATIONS!D882="",0,ALLOCATIONS!D882))</f>
        <v/>
      </c>
      <c r="G888" s="6">
        <f>IF(ALLOCATIONS!A882="","",SUMIFS(RAW_004!$I$2:$I$10001,RAW_004!$D$2:$D$10001,ALLOCATIONS!A882,RAW_004!$H$2:$H$10001,ALLOCATIONS!B882,RAW_004!$N$2:$N$10001,ALLOCATIONS!C882))</f>
        <v/>
      </c>
      <c r="H888" s="6">
        <f>IF(A888="","",G888-F888)</f>
        <v/>
      </c>
    </row>
    <row r="889">
      <c r="A889" s="6">
        <f>IF(ALLOCATIONS!A883="","",IFERROR(VLOOKUP(ALLOCATIONS!A883,MAPPING!$A$3:$C$302,2,FALSE),"UNMAPPED"))</f>
        <v/>
      </c>
      <c r="B889" s="6">
        <f>IF(ALLOCATIONS!A883="","",IFERROR(VLOOKUP(ALLOCATIONS!A883,MAPPING!$A$3:$C$302,3,FALSE),ALLOCATIONS!A883))</f>
        <v/>
      </c>
      <c r="C889" s="6">
        <f>IF(ALLOCATIONS!A883="","",IFERROR(VLOOKUP(ALLOCATIONS!B883,MAPPING!$E$3:$G$302,2,FALSE),"UNMAPPED"))</f>
        <v/>
      </c>
      <c r="D889" s="6">
        <f>IF(ALLOCATIONS!A883="","",IFERROR(IF(VLOOKUP(ALLOCATIONS!B883,MAPPING!$E$3:$G$302,3,FALSE)="","",VLOOKUP(ALLOCATIONS!B883,MAPPING!$E$3:$G$302,3,FALSE)),""))</f>
        <v/>
      </c>
      <c r="E889" s="6">
        <f>IF(ALLOCATIONS!A883="","",ALLOCATIONS!C883)</f>
        <v/>
      </c>
      <c r="F889" s="6">
        <f>IF(ALLOCATIONS!A883="","",IF(ALLOCATIONS!D883="",0,ALLOCATIONS!D883))</f>
        <v/>
      </c>
      <c r="G889" s="6">
        <f>IF(ALLOCATIONS!A883="","",SUMIFS(RAW_004!$I$2:$I$10001,RAW_004!$D$2:$D$10001,ALLOCATIONS!A883,RAW_004!$H$2:$H$10001,ALLOCATIONS!B883,RAW_004!$N$2:$N$10001,ALLOCATIONS!C883))</f>
        <v/>
      </c>
      <c r="H889" s="6">
        <f>IF(A889="","",G889-F889)</f>
        <v/>
      </c>
    </row>
    <row r="890">
      <c r="A890" s="6">
        <f>IF(ALLOCATIONS!A884="","",IFERROR(VLOOKUP(ALLOCATIONS!A884,MAPPING!$A$3:$C$302,2,FALSE),"UNMAPPED"))</f>
        <v/>
      </c>
      <c r="B890" s="6">
        <f>IF(ALLOCATIONS!A884="","",IFERROR(VLOOKUP(ALLOCATIONS!A884,MAPPING!$A$3:$C$302,3,FALSE),ALLOCATIONS!A884))</f>
        <v/>
      </c>
      <c r="C890" s="6">
        <f>IF(ALLOCATIONS!A884="","",IFERROR(VLOOKUP(ALLOCATIONS!B884,MAPPING!$E$3:$G$302,2,FALSE),"UNMAPPED"))</f>
        <v/>
      </c>
      <c r="D890" s="6">
        <f>IF(ALLOCATIONS!A884="","",IFERROR(IF(VLOOKUP(ALLOCATIONS!B884,MAPPING!$E$3:$G$302,3,FALSE)="","",VLOOKUP(ALLOCATIONS!B884,MAPPING!$E$3:$G$302,3,FALSE)),""))</f>
        <v/>
      </c>
      <c r="E890" s="6">
        <f>IF(ALLOCATIONS!A884="","",ALLOCATIONS!C884)</f>
        <v/>
      </c>
      <c r="F890" s="6">
        <f>IF(ALLOCATIONS!A884="","",IF(ALLOCATIONS!D884="",0,ALLOCATIONS!D884))</f>
        <v/>
      </c>
      <c r="G890" s="6">
        <f>IF(ALLOCATIONS!A884="","",SUMIFS(RAW_004!$I$2:$I$10001,RAW_004!$D$2:$D$10001,ALLOCATIONS!A884,RAW_004!$H$2:$H$10001,ALLOCATIONS!B884,RAW_004!$N$2:$N$10001,ALLOCATIONS!C884))</f>
        <v/>
      </c>
      <c r="H890" s="6">
        <f>IF(A890="","",G890-F890)</f>
        <v/>
      </c>
    </row>
    <row r="891">
      <c r="A891" s="6">
        <f>IF(ALLOCATIONS!A885="","",IFERROR(VLOOKUP(ALLOCATIONS!A885,MAPPING!$A$3:$C$302,2,FALSE),"UNMAPPED"))</f>
        <v/>
      </c>
      <c r="B891" s="6">
        <f>IF(ALLOCATIONS!A885="","",IFERROR(VLOOKUP(ALLOCATIONS!A885,MAPPING!$A$3:$C$302,3,FALSE),ALLOCATIONS!A885))</f>
        <v/>
      </c>
      <c r="C891" s="6">
        <f>IF(ALLOCATIONS!A885="","",IFERROR(VLOOKUP(ALLOCATIONS!B885,MAPPING!$E$3:$G$302,2,FALSE),"UNMAPPED"))</f>
        <v/>
      </c>
      <c r="D891" s="6">
        <f>IF(ALLOCATIONS!A885="","",IFERROR(IF(VLOOKUP(ALLOCATIONS!B885,MAPPING!$E$3:$G$302,3,FALSE)="","",VLOOKUP(ALLOCATIONS!B885,MAPPING!$E$3:$G$302,3,FALSE)),""))</f>
        <v/>
      </c>
      <c r="E891" s="6">
        <f>IF(ALLOCATIONS!A885="","",ALLOCATIONS!C885)</f>
        <v/>
      </c>
      <c r="F891" s="6">
        <f>IF(ALLOCATIONS!A885="","",IF(ALLOCATIONS!D885="",0,ALLOCATIONS!D885))</f>
        <v/>
      </c>
      <c r="G891" s="6">
        <f>IF(ALLOCATIONS!A885="","",SUMIFS(RAW_004!$I$2:$I$10001,RAW_004!$D$2:$D$10001,ALLOCATIONS!A885,RAW_004!$H$2:$H$10001,ALLOCATIONS!B885,RAW_004!$N$2:$N$10001,ALLOCATIONS!C885))</f>
        <v/>
      </c>
      <c r="H891" s="6">
        <f>IF(A891="","",G891-F891)</f>
        <v/>
      </c>
    </row>
    <row r="892">
      <c r="A892" s="6">
        <f>IF(ALLOCATIONS!A886="","",IFERROR(VLOOKUP(ALLOCATIONS!A886,MAPPING!$A$3:$C$302,2,FALSE),"UNMAPPED"))</f>
        <v/>
      </c>
      <c r="B892" s="6">
        <f>IF(ALLOCATIONS!A886="","",IFERROR(VLOOKUP(ALLOCATIONS!A886,MAPPING!$A$3:$C$302,3,FALSE),ALLOCATIONS!A886))</f>
        <v/>
      </c>
      <c r="C892" s="6">
        <f>IF(ALLOCATIONS!A886="","",IFERROR(VLOOKUP(ALLOCATIONS!B886,MAPPING!$E$3:$G$302,2,FALSE),"UNMAPPED"))</f>
        <v/>
      </c>
      <c r="D892" s="6">
        <f>IF(ALLOCATIONS!A886="","",IFERROR(IF(VLOOKUP(ALLOCATIONS!B886,MAPPING!$E$3:$G$302,3,FALSE)="","",VLOOKUP(ALLOCATIONS!B886,MAPPING!$E$3:$G$302,3,FALSE)),""))</f>
        <v/>
      </c>
      <c r="E892" s="6">
        <f>IF(ALLOCATIONS!A886="","",ALLOCATIONS!C886)</f>
        <v/>
      </c>
      <c r="F892" s="6">
        <f>IF(ALLOCATIONS!A886="","",IF(ALLOCATIONS!D886="",0,ALLOCATIONS!D886))</f>
        <v/>
      </c>
      <c r="G892" s="6">
        <f>IF(ALLOCATIONS!A886="","",SUMIFS(RAW_004!$I$2:$I$10001,RAW_004!$D$2:$D$10001,ALLOCATIONS!A886,RAW_004!$H$2:$H$10001,ALLOCATIONS!B886,RAW_004!$N$2:$N$10001,ALLOCATIONS!C886))</f>
        <v/>
      </c>
      <c r="H892" s="6">
        <f>IF(A892="","",G892-F892)</f>
        <v/>
      </c>
    </row>
    <row r="893">
      <c r="A893" s="6">
        <f>IF(ALLOCATIONS!A887="","",IFERROR(VLOOKUP(ALLOCATIONS!A887,MAPPING!$A$3:$C$302,2,FALSE),"UNMAPPED"))</f>
        <v/>
      </c>
      <c r="B893" s="6">
        <f>IF(ALLOCATIONS!A887="","",IFERROR(VLOOKUP(ALLOCATIONS!A887,MAPPING!$A$3:$C$302,3,FALSE),ALLOCATIONS!A887))</f>
        <v/>
      </c>
      <c r="C893" s="6">
        <f>IF(ALLOCATIONS!A887="","",IFERROR(VLOOKUP(ALLOCATIONS!B887,MAPPING!$E$3:$G$302,2,FALSE),"UNMAPPED"))</f>
        <v/>
      </c>
      <c r="D893" s="6">
        <f>IF(ALLOCATIONS!A887="","",IFERROR(IF(VLOOKUP(ALLOCATIONS!B887,MAPPING!$E$3:$G$302,3,FALSE)="","",VLOOKUP(ALLOCATIONS!B887,MAPPING!$E$3:$G$302,3,FALSE)),""))</f>
        <v/>
      </c>
      <c r="E893" s="6">
        <f>IF(ALLOCATIONS!A887="","",ALLOCATIONS!C887)</f>
        <v/>
      </c>
      <c r="F893" s="6">
        <f>IF(ALLOCATIONS!A887="","",IF(ALLOCATIONS!D887="",0,ALLOCATIONS!D887))</f>
        <v/>
      </c>
      <c r="G893" s="6">
        <f>IF(ALLOCATIONS!A887="","",SUMIFS(RAW_004!$I$2:$I$10001,RAW_004!$D$2:$D$10001,ALLOCATIONS!A887,RAW_004!$H$2:$H$10001,ALLOCATIONS!B887,RAW_004!$N$2:$N$10001,ALLOCATIONS!C887))</f>
        <v/>
      </c>
      <c r="H893" s="6">
        <f>IF(A893="","",G893-F893)</f>
        <v/>
      </c>
    </row>
    <row r="894">
      <c r="A894" s="6">
        <f>IF(ALLOCATIONS!A888="","",IFERROR(VLOOKUP(ALLOCATIONS!A888,MAPPING!$A$3:$C$302,2,FALSE),"UNMAPPED"))</f>
        <v/>
      </c>
      <c r="B894" s="6">
        <f>IF(ALLOCATIONS!A888="","",IFERROR(VLOOKUP(ALLOCATIONS!A888,MAPPING!$A$3:$C$302,3,FALSE),ALLOCATIONS!A888))</f>
        <v/>
      </c>
      <c r="C894" s="6">
        <f>IF(ALLOCATIONS!A888="","",IFERROR(VLOOKUP(ALLOCATIONS!B888,MAPPING!$E$3:$G$302,2,FALSE),"UNMAPPED"))</f>
        <v/>
      </c>
      <c r="D894" s="6">
        <f>IF(ALLOCATIONS!A888="","",IFERROR(IF(VLOOKUP(ALLOCATIONS!B888,MAPPING!$E$3:$G$302,3,FALSE)="","",VLOOKUP(ALLOCATIONS!B888,MAPPING!$E$3:$G$302,3,FALSE)),""))</f>
        <v/>
      </c>
      <c r="E894" s="6">
        <f>IF(ALLOCATIONS!A888="","",ALLOCATIONS!C888)</f>
        <v/>
      </c>
      <c r="F894" s="6">
        <f>IF(ALLOCATIONS!A888="","",IF(ALLOCATIONS!D888="",0,ALLOCATIONS!D888))</f>
        <v/>
      </c>
      <c r="G894" s="6">
        <f>IF(ALLOCATIONS!A888="","",SUMIFS(RAW_004!$I$2:$I$10001,RAW_004!$D$2:$D$10001,ALLOCATIONS!A888,RAW_004!$H$2:$H$10001,ALLOCATIONS!B888,RAW_004!$N$2:$N$10001,ALLOCATIONS!C888))</f>
        <v/>
      </c>
      <c r="H894" s="6">
        <f>IF(A894="","",G894-F894)</f>
        <v/>
      </c>
    </row>
    <row r="895">
      <c r="A895" s="6">
        <f>IF(ALLOCATIONS!A889="","",IFERROR(VLOOKUP(ALLOCATIONS!A889,MAPPING!$A$3:$C$302,2,FALSE),"UNMAPPED"))</f>
        <v/>
      </c>
      <c r="B895" s="6">
        <f>IF(ALLOCATIONS!A889="","",IFERROR(VLOOKUP(ALLOCATIONS!A889,MAPPING!$A$3:$C$302,3,FALSE),ALLOCATIONS!A889))</f>
        <v/>
      </c>
      <c r="C895" s="6">
        <f>IF(ALLOCATIONS!A889="","",IFERROR(VLOOKUP(ALLOCATIONS!B889,MAPPING!$E$3:$G$302,2,FALSE),"UNMAPPED"))</f>
        <v/>
      </c>
      <c r="D895" s="6">
        <f>IF(ALLOCATIONS!A889="","",IFERROR(IF(VLOOKUP(ALLOCATIONS!B889,MAPPING!$E$3:$G$302,3,FALSE)="","",VLOOKUP(ALLOCATIONS!B889,MAPPING!$E$3:$G$302,3,FALSE)),""))</f>
        <v/>
      </c>
      <c r="E895" s="6">
        <f>IF(ALLOCATIONS!A889="","",ALLOCATIONS!C889)</f>
        <v/>
      </c>
      <c r="F895" s="6">
        <f>IF(ALLOCATIONS!A889="","",IF(ALLOCATIONS!D889="",0,ALLOCATIONS!D889))</f>
        <v/>
      </c>
      <c r="G895" s="6">
        <f>IF(ALLOCATIONS!A889="","",SUMIFS(RAW_004!$I$2:$I$10001,RAW_004!$D$2:$D$10001,ALLOCATIONS!A889,RAW_004!$H$2:$H$10001,ALLOCATIONS!B889,RAW_004!$N$2:$N$10001,ALLOCATIONS!C889))</f>
        <v/>
      </c>
      <c r="H895" s="6">
        <f>IF(A895="","",G895-F895)</f>
        <v/>
      </c>
    </row>
    <row r="896">
      <c r="A896" s="6">
        <f>IF(ALLOCATIONS!A890="","",IFERROR(VLOOKUP(ALLOCATIONS!A890,MAPPING!$A$3:$C$302,2,FALSE),"UNMAPPED"))</f>
        <v/>
      </c>
      <c r="B896" s="6">
        <f>IF(ALLOCATIONS!A890="","",IFERROR(VLOOKUP(ALLOCATIONS!A890,MAPPING!$A$3:$C$302,3,FALSE),ALLOCATIONS!A890))</f>
        <v/>
      </c>
      <c r="C896" s="6">
        <f>IF(ALLOCATIONS!A890="","",IFERROR(VLOOKUP(ALLOCATIONS!B890,MAPPING!$E$3:$G$302,2,FALSE),"UNMAPPED"))</f>
        <v/>
      </c>
      <c r="D896" s="6">
        <f>IF(ALLOCATIONS!A890="","",IFERROR(IF(VLOOKUP(ALLOCATIONS!B890,MAPPING!$E$3:$G$302,3,FALSE)="","",VLOOKUP(ALLOCATIONS!B890,MAPPING!$E$3:$G$302,3,FALSE)),""))</f>
        <v/>
      </c>
      <c r="E896" s="6">
        <f>IF(ALLOCATIONS!A890="","",ALLOCATIONS!C890)</f>
        <v/>
      </c>
      <c r="F896" s="6">
        <f>IF(ALLOCATIONS!A890="","",IF(ALLOCATIONS!D890="",0,ALLOCATIONS!D890))</f>
        <v/>
      </c>
      <c r="G896" s="6">
        <f>IF(ALLOCATIONS!A890="","",SUMIFS(RAW_004!$I$2:$I$10001,RAW_004!$D$2:$D$10001,ALLOCATIONS!A890,RAW_004!$H$2:$H$10001,ALLOCATIONS!B890,RAW_004!$N$2:$N$10001,ALLOCATIONS!C890))</f>
        <v/>
      </c>
      <c r="H896" s="6">
        <f>IF(A896="","",G896-F896)</f>
        <v/>
      </c>
    </row>
    <row r="897">
      <c r="A897" s="6">
        <f>IF(ALLOCATIONS!A891="","",IFERROR(VLOOKUP(ALLOCATIONS!A891,MAPPING!$A$3:$C$302,2,FALSE),"UNMAPPED"))</f>
        <v/>
      </c>
      <c r="B897" s="6">
        <f>IF(ALLOCATIONS!A891="","",IFERROR(VLOOKUP(ALLOCATIONS!A891,MAPPING!$A$3:$C$302,3,FALSE),ALLOCATIONS!A891))</f>
        <v/>
      </c>
      <c r="C897" s="6">
        <f>IF(ALLOCATIONS!A891="","",IFERROR(VLOOKUP(ALLOCATIONS!B891,MAPPING!$E$3:$G$302,2,FALSE),"UNMAPPED"))</f>
        <v/>
      </c>
      <c r="D897" s="6">
        <f>IF(ALLOCATIONS!A891="","",IFERROR(IF(VLOOKUP(ALLOCATIONS!B891,MAPPING!$E$3:$G$302,3,FALSE)="","",VLOOKUP(ALLOCATIONS!B891,MAPPING!$E$3:$G$302,3,FALSE)),""))</f>
        <v/>
      </c>
      <c r="E897" s="6">
        <f>IF(ALLOCATIONS!A891="","",ALLOCATIONS!C891)</f>
        <v/>
      </c>
      <c r="F897" s="6">
        <f>IF(ALLOCATIONS!A891="","",IF(ALLOCATIONS!D891="",0,ALLOCATIONS!D891))</f>
        <v/>
      </c>
      <c r="G897" s="6">
        <f>IF(ALLOCATIONS!A891="","",SUMIFS(RAW_004!$I$2:$I$10001,RAW_004!$D$2:$D$10001,ALLOCATIONS!A891,RAW_004!$H$2:$H$10001,ALLOCATIONS!B891,RAW_004!$N$2:$N$10001,ALLOCATIONS!C891))</f>
        <v/>
      </c>
      <c r="H897" s="6">
        <f>IF(A897="","",G897-F897)</f>
        <v/>
      </c>
    </row>
    <row r="898">
      <c r="A898" s="6">
        <f>IF(ALLOCATIONS!A892="","",IFERROR(VLOOKUP(ALLOCATIONS!A892,MAPPING!$A$3:$C$302,2,FALSE),"UNMAPPED"))</f>
        <v/>
      </c>
      <c r="B898" s="6">
        <f>IF(ALLOCATIONS!A892="","",IFERROR(VLOOKUP(ALLOCATIONS!A892,MAPPING!$A$3:$C$302,3,FALSE),ALLOCATIONS!A892))</f>
        <v/>
      </c>
      <c r="C898" s="6">
        <f>IF(ALLOCATIONS!A892="","",IFERROR(VLOOKUP(ALLOCATIONS!B892,MAPPING!$E$3:$G$302,2,FALSE),"UNMAPPED"))</f>
        <v/>
      </c>
      <c r="D898" s="6">
        <f>IF(ALLOCATIONS!A892="","",IFERROR(IF(VLOOKUP(ALLOCATIONS!B892,MAPPING!$E$3:$G$302,3,FALSE)="","",VLOOKUP(ALLOCATIONS!B892,MAPPING!$E$3:$G$302,3,FALSE)),""))</f>
        <v/>
      </c>
      <c r="E898" s="6">
        <f>IF(ALLOCATIONS!A892="","",ALLOCATIONS!C892)</f>
        <v/>
      </c>
      <c r="F898" s="6">
        <f>IF(ALLOCATIONS!A892="","",IF(ALLOCATIONS!D892="",0,ALLOCATIONS!D892))</f>
        <v/>
      </c>
      <c r="G898" s="6">
        <f>IF(ALLOCATIONS!A892="","",SUMIFS(RAW_004!$I$2:$I$10001,RAW_004!$D$2:$D$10001,ALLOCATIONS!A892,RAW_004!$H$2:$H$10001,ALLOCATIONS!B892,RAW_004!$N$2:$N$10001,ALLOCATIONS!C892))</f>
        <v/>
      </c>
      <c r="H898" s="6">
        <f>IF(A898="","",G898-F898)</f>
        <v/>
      </c>
    </row>
    <row r="899">
      <c r="A899" s="6">
        <f>IF(ALLOCATIONS!A893="","",IFERROR(VLOOKUP(ALLOCATIONS!A893,MAPPING!$A$3:$C$302,2,FALSE),"UNMAPPED"))</f>
        <v/>
      </c>
      <c r="B899" s="6">
        <f>IF(ALLOCATIONS!A893="","",IFERROR(VLOOKUP(ALLOCATIONS!A893,MAPPING!$A$3:$C$302,3,FALSE),ALLOCATIONS!A893))</f>
        <v/>
      </c>
      <c r="C899" s="6">
        <f>IF(ALLOCATIONS!A893="","",IFERROR(VLOOKUP(ALLOCATIONS!B893,MAPPING!$E$3:$G$302,2,FALSE),"UNMAPPED"))</f>
        <v/>
      </c>
      <c r="D899" s="6">
        <f>IF(ALLOCATIONS!A893="","",IFERROR(IF(VLOOKUP(ALLOCATIONS!B893,MAPPING!$E$3:$G$302,3,FALSE)="","",VLOOKUP(ALLOCATIONS!B893,MAPPING!$E$3:$G$302,3,FALSE)),""))</f>
        <v/>
      </c>
      <c r="E899" s="6">
        <f>IF(ALLOCATIONS!A893="","",ALLOCATIONS!C893)</f>
        <v/>
      </c>
      <c r="F899" s="6">
        <f>IF(ALLOCATIONS!A893="","",IF(ALLOCATIONS!D893="",0,ALLOCATIONS!D893))</f>
        <v/>
      </c>
      <c r="G899" s="6">
        <f>IF(ALLOCATIONS!A893="","",SUMIFS(RAW_004!$I$2:$I$10001,RAW_004!$D$2:$D$10001,ALLOCATIONS!A893,RAW_004!$H$2:$H$10001,ALLOCATIONS!B893,RAW_004!$N$2:$N$10001,ALLOCATIONS!C893))</f>
        <v/>
      </c>
      <c r="H899" s="6">
        <f>IF(A899="","",G899-F899)</f>
        <v/>
      </c>
    </row>
    <row r="900">
      <c r="A900" s="6">
        <f>IF(ALLOCATIONS!A894="","",IFERROR(VLOOKUP(ALLOCATIONS!A894,MAPPING!$A$3:$C$302,2,FALSE),"UNMAPPED"))</f>
        <v/>
      </c>
      <c r="B900" s="6">
        <f>IF(ALLOCATIONS!A894="","",IFERROR(VLOOKUP(ALLOCATIONS!A894,MAPPING!$A$3:$C$302,3,FALSE),ALLOCATIONS!A894))</f>
        <v/>
      </c>
      <c r="C900" s="6">
        <f>IF(ALLOCATIONS!A894="","",IFERROR(VLOOKUP(ALLOCATIONS!B894,MAPPING!$E$3:$G$302,2,FALSE),"UNMAPPED"))</f>
        <v/>
      </c>
      <c r="D900" s="6">
        <f>IF(ALLOCATIONS!A894="","",IFERROR(IF(VLOOKUP(ALLOCATIONS!B894,MAPPING!$E$3:$G$302,3,FALSE)="","",VLOOKUP(ALLOCATIONS!B894,MAPPING!$E$3:$G$302,3,FALSE)),""))</f>
        <v/>
      </c>
      <c r="E900" s="6">
        <f>IF(ALLOCATIONS!A894="","",ALLOCATIONS!C894)</f>
        <v/>
      </c>
      <c r="F900" s="6">
        <f>IF(ALLOCATIONS!A894="","",IF(ALLOCATIONS!D894="",0,ALLOCATIONS!D894))</f>
        <v/>
      </c>
      <c r="G900" s="6">
        <f>IF(ALLOCATIONS!A894="","",SUMIFS(RAW_004!$I$2:$I$10001,RAW_004!$D$2:$D$10001,ALLOCATIONS!A894,RAW_004!$H$2:$H$10001,ALLOCATIONS!B894,RAW_004!$N$2:$N$10001,ALLOCATIONS!C894))</f>
        <v/>
      </c>
      <c r="H900" s="6">
        <f>IF(A900="","",G900-F900)</f>
        <v/>
      </c>
    </row>
    <row r="901">
      <c r="A901" s="6">
        <f>IF(ALLOCATIONS!A895="","",IFERROR(VLOOKUP(ALLOCATIONS!A895,MAPPING!$A$3:$C$302,2,FALSE),"UNMAPPED"))</f>
        <v/>
      </c>
      <c r="B901" s="6">
        <f>IF(ALLOCATIONS!A895="","",IFERROR(VLOOKUP(ALLOCATIONS!A895,MAPPING!$A$3:$C$302,3,FALSE),ALLOCATIONS!A895))</f>
        <v/>
      </c>
      <c r="C901" s="6">
        <f>IF(ALLOCATIONS!A895="","",IFERROR(VLOOKUP(ALLOCATIONS!B895,MAPPING!$E$3:$G$302,2,FALSE),"UNMAPPED"))</f>
        <v/>
      </c>
      <c r="D901" s="6">
        <f>IF(ALLOCATIONS!A895="","",IFERROR(IF(VLOOKUP(ALLOCATIONS!B895,MAPPING!$E$3:$G$302,3,FALSE)="","",VLOOKUP(ALLOCATIONS!B895,MAPPING!$E$3:$G$302,3,FALSE)),""))</f>
        <v/>
      </c>
      <c r="E901" s="6">
        <f>IF(ALLOCATIONS!A895="","",ALLOCATIONS!C895)</f>
        <v/>
      </c>
      <c r="F901" s="6">
        <f>IF(ALLOCATIONS!A895="","",IF(ALLOCATIONS!D895="",0,ALLOCATIONS!D895))</f>
        <v/>
      </c>
      <c r="G901" s="6">
        <f>IF(ALLOCATIONS!A895="","",SUMIFS(RAW_004!$I$2:$I$10001,RAW_004!$D$2:$D$10001,ALLOCATIONS!A895,RAW_004!$H$2:$H$10001,ALLOCATIONS!B895,RAW_004!$N$2:$N$10001,ALLOCATIONS!C895))</f>
        <v/>
      </c>
      <c r="H901" s="6">
        <f>IF(A901="","",G901-F901)</f>
        <v/>
      </c>
    </row>
    <row r="902">
      <c r="A902" s="6">
        <f>IF(ALLOCATIONS!A896="","",IFERROR(VLOOKUP(ALLOCATIONS!A896,MAPPING!$A$3:$C$302,2,FALSE),"UNMAPPED"))</f>
        <v/>
      </c>
      <c r="B902" s="6">
        <f>IF(ALLOCATIONS!A896="","",IFERROR(VLOOKUP(ALLOCATIONS!A896,MAPPING!$A$3:$C$302,3,FALSE),ALLOCATIONS!A896))</f>
        <v/>
      </c>
      <c r="C902" s="6">
        <f>IF(ALLOCATIONS!A896="","",IFERROR(VLOOKUP(ALLOCATIONS!B896,MAPPING!$E$3:$G$302,2,FALSE),"UNMAPPED"))</f>
        <v/>
      </c>
      <c r="D902" s="6">
        <f>IF(ALLOCATIONS!A896="","",IFERROR(IF(VLOOKUP(ALLOCATIONS!B896,MAPPING!$E$3:$G$302,3,FALSE)="","",VLOOKUP(ALLOCATIONS!B896,MAPPING!$E$3:$G$302,3,FALSE)),""))</f>
        <v/>
      </c>
      <c r="E902" s="6">
        <f>IF(ALLOCATIONS!A896="","",ALLOCATIONS!C896)</f>
        <v/>
      </c>
      <c r="F902" s="6">
        <f>IF(ALLOCATIONS!A896="","",IF(ALLOCATIONS!D896="",0,ALLOCATIONS!D896))</f>
        <v/>
      </c>
      <c r="G902" s="6">
        <f>IF(ALLOCATIONS!A896="","",SUMIFS(RAW_004!$I$2:$I$10001,RAW_004!$D$2:$D$10001,ALLOCATIONS!A896,RAW_004!$H$2:$H$10001,ALLOCATIONS!B896,RAW_004!$N$2:$N$10001,ALLOCATIONS!C896))</f>
        <v/>
      </c>
      <c r="H902" s="6">
        <f>IF(A902="","",G902-F902)</f>
        <v/>
      </c>
    </row>
    <row r="903">
      <c r="A903" s="6">
        <f>IF(ALLOCATIONS!A897="","",IFERROR(VLOOKUP(ALLOCATIONS!A897,MAPPING!$A$3:$C$302,2,FALSE),"UNMAPPED"))</f>
        <v/>
      </c>
      <c r="B903" s="6">
        <f>IF(ALLOCATIONS!A897="","",IFERROR(VLOOKUP(ALLOCATIONS!A897,MAPPING!$A$3:$C$302,3,FALSE),ALLOCATIONS!A897))</f>
        <v/>
      </c>
      <c r="C903" s="6">
        <f>IF(ALLOCATIONS!A897="","",IFERROR(VLOOKUP(ALLOCATIONS!B897,MAPPING!$E$3:$G$302,2,FALSE),"UNMAPPED"))</f>
        <v/>
      </c>
      <c r="D903" s="6">
        <f>IF(ALLOCATIONS!A897="","",IFERROR(IF(VLOOKUP(ALLOCATIONS!B897,MAPPING!$E$3:$G$302,3,FALSE)="","",VLOOKUP(ALLOCATIONS!B897,MAPPING!$E$3:$G$302,3,FALSE)),""))</f>
        <v/>
      </c>
      <c r="E903" s="6">
        <f>IF(ALLOCATIONS!A897="","",ALLOCATIONS!C897)</f>
        <v/>
      </c>
      <c r="F903" s="6">
        <f>IF(ALLOCATIONS!A897="","",IF(ALLOCATIONS!D897="",0,ALLOCATIONS!D897))</f>
        <v/>
      </c>
      <c r="G903" s="6">
        <f>IF(ALLOCATIONS!A897="","",SUMIFS(RAW_004!$I$2:$I$10001,RAW_004!$D$2:$D$10001,ALLOCATIONS!A897,RAW_004!$H$2:$H$10001,ALLOCATIONS!B897,RAW_004!$N$2:$N$10001,ALLOCATIONS!C897))</f>
        <v/>
      </c>
      <c r="H903" s="6">
        <f>IF(A903="","",G903-F903)</f>
        <v/>
      </c>
    </row>
    <row r="904">
      <c r="A904" s="6">
        <f>IF(ALLOCATIONS!A898="","",IFERROR(VLOOKUP(ALLOCATIONS!A898,MAPPING!$A$3:$C$302,2,FALSE),"UNMAPPED"))</f>
        <v/>
      </c>
      <c r="B904" s="6">
        <f>IF(ALLOCATIONS!A898="","",IFERROR(VLOOKUP(ALLOCATIONS!A898,MAPPING!$A$3:$C$302,3,FALSE),ALLOCATIONS!A898))</f>
        <v/>
      </c>
      <c r="C904" s="6">
        <f>IF(ALLOCATIONS!A898="","",IFERROR(VLOOKUP(ALLOCATIONS!B898,MAPPING!$E$3:$G$302,2,FALSE),"UNMAPPED"))</f>
        <v/>
      </c>
      <c r="D904" s="6">
        <f>IF(ALLOCATIONS!A898="","",IFERROR(IF(VLOOKUP(ALLOCATIONS!B898,MAPPING!$E$3:$G$302,3,FALSE)="","",VLOOKUP(ALLOCATIONS!B898,MAPPING!$E$3:$G$302,3,FALSE)),""))</f>
        <v/>
      </c>
      <c r="E904" s="6">
        <f>IF(ALLOCATIONS!A898="","",ALLOCATIONS!C898)</f>
        <v/>
      </c>
      <c r="F904" s="6">
        <f>IF(ALLOCATIONS!A898="","",IF(ALLOCATIONS!D898="",0,ALLOCATIONS!D898))</f>
        <v/>
      </c>
      <c r="G904" s="6">
        <f>IF(ALLOCATIONS!A898="","",SUMIFS(RAW_004!$I$2:$I$10001,RAW_004!$D$2:$D$10001,ALLOCATIONS!A898,RAW_004!$H$2:$H$10001,ALLOCATIONS!B898,RAW_004!$N$2:$N$10001,ALLOCATIONS!C898))</f>
        <v/>
      </c>
      <c r="H904" s="6">
        <f>IF(A904="","",G904-F904)</f>
        <v/>
      </c>
    </row>
    <row r="905">
      <c r="A905" s="6">
        <f>IF(ALLOCATIONS!A899="","",IFERROR(VLOOKUP(ALLOCATIONS!A899,MAPPING!$A$3:$C$302,2,FALSE),"UNMAPPED"))</f>
        <v/>
      </c>
      <c r="B905" s="6">
        <f>IF(ALLOCATIONS!A899="","",IFERROR(VLOOKUP(ALLOCATIONS!A899,MAPPING!$A$3:$C$302,3,FALSE),ALLOCATIONS!A899))</f>
        <v/>
      </c>
      <c r="C905" s="6">
        <f>IF(ALLOCATIONS!A899="","",IFERROR(VLOOKUP(ALLOCATIONS!B899,MAPPING!$E$3:$G$302,2,FALSE),"UNMAPPED"))</f>
        <v/>
      </c>
      <c r="D905" s="6">
        <f>IF(ALLOCATIONS!A899="","",IFERROR(IF(VLOOKUP(ALLOCATIONS!B899,MAPPING!$E$3:$G$302,3,FALSE)="","",VLOOKUP(ALLOCATIONS!B899,MAPPING!$E$3:$G$302,3,FALSE)),""))</f>
        <v/>
      </c>
      <c r="E905" s="6">
        <f>IF(ALLOCATIONS!A899="","",ALLOCATIONS!C899)</f>
        <v/>
      </c>
      <c r="F905" s="6">
        <f>IF(ALLOCATIONS!A899="","",IF(ALLOCATIONS!D899="",0,ALLOCATIONS!D899))</f>
        <v/>
      </c>
      <c r="G905" s="6">
        <f>IF(ALLOCATIONS!A899="","",SUMIFS(RAW_004!$I$2:$I$10001,RAW_004!$D$2:$D$10001,ALLOCATIONS!A899,RAW_004!$H$2:$H$10001,ALLOCATIONS!B899,RAW_004!$N$2:$N$10001,ALLOCATIONS!C899))</f>
        <v/>
      </c>
      <c r="H905" s="6">
        <f>IF(A905="","",G905-F905)</f>
        <v/>
      </c>
    </row>
    <row r="906">
      <c r="A906" s="6">
        <f>IF(ALLOCATIONS!A900="","",IFERROR(VLOOKUP(ALLOCATIONS!A900,MAPPING!$A$3:$C$302,2,FALSE),"UNMAPPED"))</f>
        <v/>
      </c>
      <c r="B906" s="6">
        <f>IF(ALLOCATIONS!A900="","",IFERROR(VLOOKUP(ALLOCATIONS!A900,MAPPING!$A$3:$C$302,3,FALSE),ALLOCATIONS!A900))</f>
        <v/>
      </c>
      <c r="C906" s="6">
        <f>IF(ALLOCATIONS!A900="","",IFERROR(VLOOKUP(ALLOCATIONS!B900,MAPPING!$E$3:$G$302,2,FALSE),"UNMAPPED"))</f>
        <v/>
      </c>
      <c r="D906" s="6">
        <f>IF(ALLOCATIONS!A900="","",IFERROR(IF(VLOOKUP(ALLOCATIONS!B900,MAPPING!$E$3:$G$302,3,FALSE)="","",VLOOKUP(ALLOCATIONS!B900,MAPPING!$E$3:$G$302,3,FALSE)),""))</f>
        <v/>
      </c>
      <c r="E906" s="6">
        <f>IF(ALLOCATIONS!A900="","",ALLOCATIONS!C900)</f>
        <v/>
      </c>
      <c r="F906" s="6">
        <f>IF(ALLOCATIONS!A900="","",IF(ALLOCATIONS!D900="",0,ALLOCATIONS!D900))</f>
        <v/>
      </c>
      <c r="G906" s="6">
        <f>IF(ALLOCATIONS!A900="","",SUMIFS(RAW_004!$I$2:$I$10001,RAW_004!$D$2:$D$10001,ALLOCATIONS!A900,RAW_004!$H$2:$H$10001,ALLOCATIONS!B900,RAW_004!$N$2:$N$10001,ALLOCATIONS!C900))</f>
        <v/>
      </c>
      <c r="H906" s="6">
        <f>IF(A906="","",G906-F906)</f>
        <v/>
      </c>
    </row>
    <row r="907">
      <c r="A907" s="6">
        <f>IF(ALLOCATIONS!A901="","",IFERROR(VLOOKUP(ALLOCATIONS!A901,MAPPING!$A$3:$C$302,2,FALSE),"UNMAPPED"))</f>
        <v/>
      </c>
      <c r="B907" s="6">
        <f>IF(ALLOCATIONS!A901="","",IFERROR(VLOOKUP(ALLOCATIONS!A901,MAPPING!$A$3:$C$302,3,FALSE),ALLOCATIONS!A901))</f>
        <v/>
      </c>
      <c r="C907" s="6">
        <f>IF(ALLOCATIONS!A901="","",IFERROR(VLOOKUP(ALLOCATIONS!B901,MAPPING!$E$3:$G$302,2,FALSE),"UNMAPPED"))</f>
        <v/>
      </c>
      <c r="D907" s="6">
        <f>IF(ALLOCATIONS!A901="","",IFERROR(IF(VLOOKUP(ALLOCATIONS!B901,MAPPING!$E$3:$G$302,3,FALSE)="","",VLOOKUP(ALLOCATIONS!B901,MAPPING!$E$3:$G$302,3,FALSE)),""))</f>
        <v/>
      </c>
      <c r="E907" s="6">
        <f>IF(ALLOCATIONS!A901="","",ALLOCATIONS!C901)</f>
        <v/>
      </c>
      <c r="F907" s="6">
        <f>IF(ALLOCATIONS!A901="","",IF(ALLOCATIONS!D901="",0,ALLOCATIONS!D901))</f>
        <v/>
      </c>
      <c r="G907" s="6">
        <f>IF(ALLOCATIONS!A901="","",SUMIFS(RAW_004!$I$2:$I$10001,RAW_004!$D$2:$D$10001,ALLOCATIONS!A901,RAW_004!$H$2:$H$10001,ALLOCATIONS!B901,RAW_004!$N$2:$N$10001,ALLOCATIONS!C901))</f>
        <v/>
      </c>
      <c r="H907" s="6">
        <f>IF(A907="","",G907-F907)</f>
        <v/>
      </c>
    </row>
    <row r="908">
      <c r="A908" s="6">
        <f>IF(ALLOCATIONS!A902="","",IFERROR(VLOOKUP(ALLOCATIONS!A902,MAPPING!$A$3:$C$302,2,FALSE),"UNMAPPED"))</f>
        <v/>
      </c>
      <c r="B908" s="6">
        <f>IF(ALLOCATIONS!A902="","",IFERROR(VLOOKUP(ALLOCATIONS!A902,MAPPING!$A$3:$C$302,3,FALSE),ALLOCATIONS!A902))</f>
        <v/>
      </c>
      <c r="C908" s="6">
        <f>IF(ALLOCATIONS!A902="","",IFERROR(VLOOKUP(ALLOCATIONS!B902,MAPPING!$E$3:$G$302,2,FALSE),"UNMAPPED"))</f>
        <v/>
      </c>
      <c r="D908" s="6">
        <f>IF(ALLOCATIONS!A902="","",IFERROR(IF(VLOOKUP(ALLOCATIONS!B902,MAPPING!$E$3:$G$302,3,FALSE)="","",VLOOKUP(ALLOCATIONS!B902,MAPPING!$E$3:$G$302,3,FALSE)),""))</f>
        <v/>
      </c>
      <c r="E908" s="6">
        <f>IF(ALLOCATIONS!A902="","",ALLOCATIONS!C902)</f>
        <v/>
      </c>
      <c r="F908" s="6">
        <f>IF(ALLOCATIONS!A902="","",IF(ALLOCATIONS!D902="",0,ALLOCATIONS!D902))</f>
        <v/>
      </c>
      <c r="G908" s="6">
        <f>IF(ALLOCATIONS!A902="","",SUMIFS(RAW_004!$I$2:$I$10001,RAW_004!$D$2:$D$10001,ALLOCATIONS!A902,RAW_004!$H$2:$H$10001,ALLOCATIONS!B902,RAW_004!$N$2:$N$10001,ALLOCATIONS!C902))</f>
        <v/>
      </c>
      <c r="H908" s="6">
        <f>IF(A908="","",G908-F908)</f>
        <v/>
      </c>
    </row>
    <row r="909">
      <c r="A909" s="6">
        <f>IF(ALLOCATIONS!A903="","",IFERROR(VLOOKUP(ALLOCATIONS!A903,MAPPING!$A$3:$C$302,2,FALSE),"UNMAPPED"))</f>
        <v/>
      </c>
      <c r="B909" s="6">
        <f>IF(ALLOCATIONS!A903="","",IFERROR(VLOOKUP(ALLOCATIONS!A903,MAPPING!$A$3:$C$302,3,FALSE),ALLOCATIONS!A903))</f>
        <v/>
      </c>
      <c r="C909" s="6">
        <f>IF(ALLOCATIONS!A903="","",IFERROR(VLOOKUP(ALLOCATIONS!B903,MAPPING!$E$3:$G$302,2,FALSE),"UNMAPPED"))</f>
        <v/>
      </c>
      <c r="D909" s="6">
        <f>IF(ALLOCATIONS!A903="","",IFERROR(IF(VLOOKUP(ALLOCATIONS!B903,MAPPING!$E$3:$G$302,3,FALSE)="","",VLOOKUP(ALLOCATIONS!B903,MAPPING!$E$3:$G$302,3,FALSE)),""))</f>
        <v/>
      </c>
      <c r="E909" s="6">
        <f>IF(ALLOCATIONS!A903="","",ALLOCATIONS!C903)</f>
        <v/>
      </c>
      <c r="F909" s="6">
        <f>IF(ALLOCATIONS!A903="","",IF(ALLOCATIONS!D903="",0,ALLOCATIONS!D903))</f>
        <v/>
      </c>
      <c r="G909" s="6">
        <f>IF(ALLOCATIONS!A903="","",SUMIFS(RAW_004!$I$2:$I$10001,RAW_004!$D$2:$D$10001,ALLOCATIONS!A903,RAW_004!$H$2:$H$10001,ALLOCATIONS!B903,RAW_004!$N$2:$N$10001,ALLOCATIONS!C903))</f>
        <v/>
      </c>
      <c r="H909" s="6">
        <f>IF(A909="","",G909-F909)</f>
        <v/>
      </c>
    </row>
    <row r="910">
      <c r="A910" s="6">
        <f>IF(ALLOCATIONS!A904="","",IFERROR(VLOOKUP(ALLOCATIONS!A904,MAPPING!$A$3:$C$302,2,FALSE),"UNMAPPED"))</f>
        <v/>
      </c>
      <c r="B910" s="6">
        <f>IF(ALLOCATIONS!A904="","",IFERROR(VLOOKUP(ALLOCATIONS!A904,MAPPING!$A$3:$C$302,3,FALSE),ALLOCATIONS!A904))</f>
        <v/>
      </c>
      <c r="C910" s="6">
        <f>IF(ALLOCATIONS!A904="","",IFERROR(VLOOKUP(ALLOCATIONS!B904,MAPPING!$E$3:$G$302,2,FALSE),"UNMAPPED"))</f>
        <v/>
      </c>
      <c r="D910" s="6">
        <f>IF(ALLOCATIONS!A904="","",IFERROR(IF(VLOOKUP(ALLOCATIONS!B904,MAPPING!$E$3:$G$302,3,FALSE)="","",VLOOKUP(ALLOCATIONS!B904,MAPPING!$E$3:$G$302,3,FALSE)),""))</f>
        <v/>
      </c>
      <c r="E910" s="6">
        <f>IF(ALLOCATIONS!A904="","",ALLOCATIONS!C904)</f>
        <v/>
      </c>
      <c r="F910" s="6">
        <f>IF(ALLOCATIONS!A904="","",IF(ALLOCATIONS!D904="",0,ALLOCATIONS!D904))</f>
        <v/>
      </c>
      <c r="G910" s="6">
        <f>IF(ALLOCATIONS!A904="","",SUMIFS(RAW_004!$I$2:$I$10001,RAW_004!$D$2:$D$10001,ALLOCATIONS!A904,RAW_004!$H$2:$H$10001,ALLOCATIONS!B904,RAW_004!$N$2:$N$10001,ALLOCATIONS!C904))</f>
        <v/>
      </c>
      <c r="H910" s="6">
        <f>IF(A910="","",G910-F910)</f>
        <v/>
      </c>
    </row>
    <row r="911">
      <c r="A911" s="6">
        <f>IF(ALLOCATIONS!A905="","",IFERROR(VLOOKUP(ALLOCATIONS!A905,MAPPING!$A$3:$C$302,2,FALSE),"UNMAPPED"))</f>
        <v/>
      </c>
      <c r="B911" s="6">
        <f>IF(ALLOCATIONS!A905="","",IFERROR(VLOOKUP(ALLOCATIONS!A905,MAPPING!$A$3:$C$302,3,FALSE),ALLOCATIONS!A905))</f>
        <v/>
      </c>
      <c r="C911" s="6">
        <f>IF(ALLOCATIONS!A905="","",IFERROR(VLOOKUP(ALLOCATIONS!B905,MAPPING!$E$3:$G$302,2,FALSE),"UNMAPPED"))</f>
        <v/>
      </c>
      <c r="D911" s="6">
        <f>IF(ALLOCATIONS!A905="","",IFERROR(IF(VLOOKUP(ALLOCATIONS!B905,MAPPING!$E$3:$G$302,3,FALSE)="","",VLOOKUP(ALLOCATIONS!B905,MAPPING!$E$3:$G$302,3,FALSE)),""))</f>
        <v/>
      </c>
      <c r="E911" s="6">
        <f>IF(ALLOCATIONS!A905="","",ALLOCATIONS!C905)</f>
        <v/>
      </c>
      <c r="F911" s="6">
        <f>IF(ALLOCATIONS!A905="","",IF(ALLOCATIONS!D905="",0,ALLOCATIONS!D905))</f>
        <v/>
      </c>
      <c r="G911" s="6">
        <f>IF(ALLOCATIONS!A905="","",SUMIFS(RAW_004!$I$2:$I$10001,RAW_004!$D$2:$D$10001,ALLOCATIONS!A905,RAW_004!$H$2:$H$10001,ALLOCATIONS!B905,RAW_004!$N$2:$N$10001,ALLOCATIONS!C905))</f>
        <v/>
      </c>
      <c r="H911" s="6">
        <f>IF(A911="","",G911-F911)</f>
        <v/>
      </c>
    </row>
    <row r="912">
      <c r="A912" s="6">
        <f>IF(ALLOCATIONS!A906="","",IFERROR(VLOOKUP(ALLOCATIONS!A906,MAPPING!$A$3:$C$302,2,FALSE),"UNMAPPED"))</f>
        <v/>
      </c>
      <c r="B912" s="6">
        <f>IF(ALLOCATIONS!A906="","",IFERROR(VLOOKUP(ALLOCATIONS!A906,MAPPING!$A$3:$C$302,3,FALSE),ALLOCATIONS!A906))</f>
        <v/>
      </c>
      <c r="C912" s="6">
        <f>IF(ALLOCATIONS!A906="","",IFERROR(VLOOKUP(ALLOCATIONS!B906,MAPPING!$E$3:$G$302,2,FALSE),"UNMAPPED"))</f>
        <v/>
      </c>
      <c r="D912" s="6">
        <f>IF(ALLOCATIONS!A906="","",IFERROR(IF(VLOOKUP(ALLOCATIONS!B906,MAPPING!$E$3:$G$302,3,FALSE)="","",VLOOKUP(ALLOCATIONS!B906,MAPPING!$E$3:$G$302,3,FALSE)),""))</f>
        <v/>
      </c>
      <c r="E912" s="6">
        <f>IF(ALLOCATIONS!A906="","",ALLOCATIONS!C906)</f>
        <v/>
      </c>
      <c r="F912" s="6">
        <f>IF(ALLOCATIONS!A906="","",IF(ALLOCATIONS!D906="",0,ALLOCATIONS!D906))</f>
        <v/>
      </c>
      <c r="G912" s="6">
        <f>IF(ALLOCATIONS!A906="","",SUMIFS(RAW_004!$I$2:$I$10001,RAW_004!$D$2:$D$10001,ALLOCATIONS!A906,RAW_004!$H$2:$H$10001,ALLOCATIONS!B906,RAW_004!$N$2:$N$10001,ALLOCATIONS!C906))</f>
        <v/>
      </c>
      <c r="H912" s="6">
        <f>IF(A912="","",G912-F912)</f>
        <v/>
      </c>
    </row>
    <row r="913">
      <c r="A913" s="6">
        <f>IF(ALLOCATIONS!A907="","",IFERROR(VLOOKUP(ALLOCATIONS!A907,MAPPING!$A$3:$C$302,2,FALSE),"UNMAPPED"))</f>
        <v/>
      </c>
      <c r="B913" s="6">
        <f>IF(ALLOCATIONS!A907="","",IFERROR(VLOOKUP(ALLOCATIONS!A907,MAPPING!$A$3:$C$302,3,FALSE),ALLOCATIONS!A907))</f>
        <v/>
      </c>
      <c r="C913" s="6">
        <f>IF(ALLOCATIONS!A907="","",IFERROR(VLOOKUP(ALLOCATIONS!B907,MAPPING!$E$3:$G$302,2,FALSE),"UNMAPPED"))</f>
        <v/>
      </c>
      <c r="D913" s="6">
        <f>IF(ALLOCATIONS!A907="","",IFERROR(IF(VLOOKUP(ALLOCATIONS!B907,MAPPING!$E$3:$G$302,3,FALSE)="","",VLOOKUP(ALLOCATIONS!B907,MAPPING!$E$3:$G$302,3,FALSE)),""))</f>
        <v/>
      </c>
      <c r="E913" s="6">
        <f>IF(ALLOCATIONS!A907="","",ALLOCATIONS!C907)</f>
        <v/>
      </c>
      <c r="F913" s="6">
        <f>IF(ALLOCATIONS!A907="","",IF(ALLOCATIONS!D907="",0,ALLOCATIONS!D907))</f>
        <v/>
      </c>
      <c r="G913" s="6">
        <f>IF(ALLOCATIONS!A907="","",SUMIFS(RAW_004!$I$2:$I$10001,RAW_004!$D$2:$D$10001,ALLOCATIONS!A907,RAW_004!$H$2:$H$10001,ALLOCATIONS!B907,RAW_004!$N$2:$N$10001,ALLOCATIONS!C907))</f>
        <v/>
      </c>
      <c r="H913" s="6">
        <f>IF(A913="","",G913-F913)</f>
        <v/>
      </c>
    </row>
    <row r="914">
      <c r="A914" s="6">
        <f>IF(ALLOCATIONS!A908="","",IFERROR(VLOOKUP(ALLOCATIONS!A908,MAPPING!$A$3:$C$302,2,FALSE),"UNMAPPED"))</f>
        <v/>
      </c>
      <c r="B914" s="6">
        <f>IF(ALLOCATIONS!A908="","",IFERROR(VLOOKUP(ALLOCATIONS!A908,MAPPING!$A$3:$C$302,3,FALSE),ALLOCATIONS!A908))</f>
        <v/>
      </c>
      <c r="C914" s="6">
        <f>IF(ALLOCATIONS!A908="","",IFERROR(VLOOKUP(ALLOCATIONS!B908,MAPPING!$E$3:$G$302,2,FALSE),"UNMAPPED"))</f>
        <v/>
      </c>
      <c r="D914" s="6">
        <f>IF(ALLOCATIONS!A908="","",IFERROR(IF(VLOOKUP(ALLOCATIONS!B908,MAPPING!$E$3:$G$302,3,FALSE)="","",VLOOKUP(ALLOCATIONS!B908,MAPPING!$E$3:$G$302,3,FALSE)),""))</f>
        <v/>
      </c>
      <c r="E914" s="6">
        <f>IF(ALLOCATIONS!A908="","",ALLOCATIONS!C908)</f>
        <v/>
      </c>
      <c r="F914" s="6">
        <f>IF(ALLOCATIONS!A908="","",IF(ALLOCATIONS!D908="",0,ALLOCATIONS!D908))</f>
        <v/>
      </c>
      <c r="G914" s="6">
        <f>IF(ALLOCATIONS!A908="","",SUMIFS(RAW_004!$I$2:$I$10001,RAW_004!$D$2:$D$10001,ALLOCATIONS!A908,RAW_004!$H$2:$H$10001,ALLOCATIONS!B908,RAW_004!$N$2:$N$10001,ALLOCATIONS!C908))</f>
        <v/>
      </c>
      <c r="H914" s="6">
        <f>IF(A914="","",G914-F914)</f>
        <v/>
      </c>
    </row>
    <row r="915">
      <c r="A915" s="6">
        <f>IF(ALLOCATIONS!A909="","",IFERROR(VLOOKUP(ALLOCATIONS!A909,MAPPING!$A$3:$C$302,2,FALSE),"UNMAPPED"))</f>
        <v/>
      </c>
      <c r="B915" s="6">
        <f>IF(ALLOCATIONS!A909="","",IFERROR(VLOOKUP(ALLOCATIONS!A909,MAPPING!$A$3:$C$302,3,FALSE),ALLOCATIONS!A909))</f>
        <v/>
      </c>
      <c r="C915" s="6">
        <f>IF(ALLOCATIONS!A909="","",IFERROR(VLOOKUP(ALLOCATIONS!B909,MAPPING!$E$3:$G$302,2,FALSE),"UNMAPPED"))</f>
        <v/>
      </c>
      <c r="D915" s="6">
        <f>IF(ALLOCATIONS!A909="","",IFERROR(IF(VLOOKUP(ALLOCATIONS!B909,MAPPING!$E$3:$G$302,3,FALSE)="","",VLOOKUP(ALLOCATIONS!B909,MAPPING!$E$3:$G$302,3,FALSE)),""))</f>
        <v/>
      </c>
      <c r="E915" s="6">
        <f>IF(ALLOCATIONS!A909="","",ALLOCATIONS!C909)</f>
        <v/>
      </c>
      <c r="F915" s="6">
        <f>IF(ALLOCATIONS!A909="","",IF(ALLOCATIONS!D909="",0,ALLOCATIONS!D909))</f>
        <v/>
      </c>
      <c r="G915" s="6">
        <f>IF(ALLOCATIONS!A909="","",SUMIFS(RAW_004!$I$2:$I$10001,RAW_004!$D$2:$D$10001,ALLOCATIONS!A909,RAW_004!$H$2:$H$10001,ALLOCATIONS!B909,RAW_004!$N$2:$N$10001,ALLOCATIONS!C909))</f>
        <v/>
      </c>
      <c r="H915" s="6">
        <f>IF(A915="","",G915-F915)</f>
        <v/>
      </c>
    </row>
    <row r="916">
      <c r="A916" s="6">
        <f>IF(ALLOCATIONS!A910="","",IFERROR(VLOOKUP(ALLOCATIONS!A910,MAPPING!$A$3:$C$302,2,FALSE),"UNMAPPED"))</f>
        <v/>
      </c>
      <c r="B916" s="6">
        <f>IF(ALLOCATIONS!A910="","",IFERROR(VLOOKUP(ALLOCATIONS!A910,MAPPING!$A$3:$C$302,3,FALSE),ALLOCATIONS!A910))</f>
        <v/>
      </c>
      <c r="C916" s="6">
        <f>IF(ALLOCATIONS!A910="","",IFERROR(VLOOKUP(ALLOCATIONS!B910,MAPPING!$E$3:$G$302,2,FALSE),"UNMAPPED"))</f>
        <v/>
      </c>
      <c r="D916" s="6">
        <f>IF(ALLOCATIONS!A910="","",IFERROR(IF(VLOOKUP(ALLOCATIONS!B910,MAPPING!$E$3:$G$302,3,FALSE)="","",VLOOKUP(ALLOCATIONS!B910,MAPPING!$E$3:$G$302,3,FALSE)),""))</f>
        <v/>
      </c>
      <c r="E916" s="6">
        <f>IF(ALLOCATIONS!A910="","",ALLOCATIONS!C910)</f>
        <v/>
      </c>
      <c r="F916" s="6">
        <f>IF(ALLOCATIONS!A910="","",IF(ALLOCATIONS!D910="",0,ALLOCATIONS!D910))</f>
        <v/>
      </c>
      <c r="G916" s="6">
        <f>IF(ALLOCATIONS!A910="","",SUMIFS(RAW_004!$I$2:$I$10001,RAW_004!$D$2:$D$10001,ALLOCATIONS!A910,RAW_004!$H$2:$H$10001,ALLOCATIONS!B910,RAW_004!$N$2:$N$10001,ALLOCATIONS!C910))</f>
        <v/>
      </c>
      <c r="H916" s="6">
        <f>IF(A916="","",G916-F916)</f>
        <v/>
      </c>
    </row>
    <row r="917">
      <c r="A917" s="6">
        <f>IF(ALLOCATIONS!A911="","",IFERROR(VLOOKUP(ALLOCATIONS!A911,MAPPING!$A$3:$C$302,2,FALSE),"UNMAPPED"))</f>
        <v/>
      </c>
      <c r="B917" s="6">
        <f>IF(ALLOCATIONS!A911="","",IFERROR(VLOOKUP(ALLOCATIONS!A911,MAPPING!$A$3:$C$302,3,FALSE),ALLOCATIONS!A911))</f>
        <v/>
      </c>
      <c r="C917" s="6">
        <f>IF(ALLOCATIONS!A911="","",IFERROR(VLOOKUP(ALLOCATIONS!B911,MAPPING!$E$3:$G$302,2,FALSE),"UNMAPPED"))</f>
        <v/>
      </c>
      <c r="D917" s="6">
        <f>IF(ALLOCATIONS!A911="","",IFERROR(IF(VLOOKUP(ALLOCATIONS!B911,MAPPING!$E$3:$G$302,3,FALSE)="","",VLOOKUP(ALLOCATIONS!B911,MAPPING!$E$3:$G$302,3,FALSE)),""))</f>
        <v/>
      </c>
      <c r="E917" s="6">
        <f>IF(ALLOCATIONS!A911="","",ALLOCATIONS!C911)</f>
        <v/>
      </c>
      <c r="F917" s="6">
        <f>IF(ALLOCATIONS!A911="","",IF(ALLOCATIONS!D911="",0,ALLOCATIONS!D911))</f>
        <v/>
      </c>
      <c r="G917" s="6">
        <f>IF(ALLOCATIONS!A911="","",SUMIFS(RAW_004!$I$2:$I$10001,RAW_004!$D$2:$D$10001,ALLOCATIONS!A911,RAW_004!$H$2:$H$10001,ALLOCATIONS!B911,RAW_004!$N$2:$N$10001,ALLOCATIONS!C911))</f>
        <v/>
      </c>
      <c r="H917" s="6">
        <f>IF(A917="","",G917-F917)</f>
        <v/>
      </c>
    </row>
    <row r="918">
      <c r="A918" s="6">
        <f>IF(ALLOCATIONS!A912="","",IFERROR(VLOOKUP(ALLOCATIONS!A912,MAPPING!$A$3:$C$302,2,FALSE),"UNMAPPED"))</f>
        <v/>
      </c>
      <c r="B918" s="6">
        <f>IF(ALLOCATIONS!A912="","",IFERROR(VLOOKUP(ALLOCATIONS!A912,MAPPING!$A$3:$C$302,3,FALSE),ALLOCATIONS!A912))</f>
        <v/>
      </c>
      <c r="C918" s="6">
        <f>IF(ALLOCATIONS!A912="","",IFERROR(VLOOKUP(ALLOCATIONS!B912,MAPPING!$E$3:$G$302,2,FALSE),"UNMAPPED"))</f>
        <v/>
      </c>
      <c r="D918" s="6">
        <f>IF(ALLOCATIONS!A912="","",IFERROR(IF(VLOOKUP(ALLOCATIONS!B912,MAPPING!$E$3:$G$302,3,FALSE)="","",VLOOKUP(ALLOCATIONS!B912,MAPPING!$E$3:$G$302,3,FALSE)),""))</f>
        <v/>
      </c>
      <c r="E918" s="6">
        <f>IF(ALLOCATIONS!A912="","",ALLOCATIONS!C912)</f>
        <v/>
      </c>
      <c r="F918" s="6">
        <f>IF(ALLOCATIONS!A912="","",IF(ALLOCATIONS!D912="",0,ALLOCATIONS!D912))</f>
        <v/>
      </c>
      <c r="G918" s="6">
        <f>IF(ALLOCATIONS!A912="","",SUMIFS(RAW_004!$I$2:$I$10001,RAW_004!$D$2:$D$10001,ALLOCATIONS!A912,RAW_004!$H$2:$H$10001,ALLOCATIONS!B912,RAW_004!$N$2:$N$10001,ALLOCATIONS!C912))</f>
        <v/>
      </c>
      <c r="H918" s="6">
        <f>IF(A918="","",G918-F918)</f>
        <v/>
      </c>
    </row>
    <row r="919">
      <c r="A919" s="6">
        <f>IF(ALLOCATIONS!A913="","",IFERROR(VLOOKUP(ALLOCATIONS!A913,MAPPING!$A$3:$C$302,2,FALSE),"UNMAPPED"))</f>
        <v/>
      </c>
      <c r="B919" s="6">
        <f>IF(ALLOCATIONS!A913="","",IFERROR(VLOOKUP(ALLOCATIONS!A913,MAPPING!$A$3:$C$302,3,FALSE),ALLOCATIONS!A913))</f>
        <v/>
      </c>
      <c r="C919" s="6">
        <f>IF(ALLOCATIONS!A913="","",IFERROR(VLOOKUP(ALLOCATIONS!B913,MAPPING!$E$3:$G$302,2,FALSE),"UNMAPPED"))</f>
        <v/>
      </c>
      <c r="D919" s="6">
        <f>IF(ALLOCATIONS!A913="","",IFERROR(IF(VLOOKUP(ALLOCATIONS!B913,MAPPING!$E$3:$G$302,3,FALSE)="","",VLOOKUP(ALLOCATIONS!B913,MAPPING!$E$3:$G$302,3,FALSE)),""))</f>
        <v/>
      </c>
      <c r="E919" s="6">
        <f>IF(ALLOCATIONS!A913="","",ALLOCATIONS!C913)</f>
        <v/>
      </c>
      <c r="F919" s="6">
        <f>IF(ALLOCATIONS!A913="","",IF(ALLOCATIONS!D913="",0,ALLOCATIONS!D913))</f>
        <v/>
      </c>
      <c r="G919" s="6">
        <f>IF(ALLOCATIONS!A913="","",SUMIFS(RAW_004!$I$2:$I$10001,RAW_004!$D$2:$D$10001,ALLOCATIONS!A913,RAW_004!$H$2:$H$10001,ALLOCATIONS!B913,RAW_004!$N$2:$N$10001,ALLOCATIONS!C913))</f>
        <v/>
      </c>
      <c r="H919" s="6">
        <f>IF(A919="","",G919-F919)</f>
        <v/>
      </c>
    </row>
    <row r="920">
      <c r="A920" s="6">
        <f>IF(ALLOCATIONS!A914="","",IFERROR(VLOOKUP(ALLOCATIONS!A914,MAPPING!$A$3:$C$302,2,FALSE),"UNMAPPED"))</f>
        <v/>
      </c>
      <c r="B920" s="6">
        <f>IF(ALLOCATIONS!A914="","",IFERROR(VLOOKUP(ALLOCATIONS!A914,MAPPING!$A$3:$C$302,3,FALSE),ALLOCATIONS!A914))</f>
        <v/>
      </c>
      <c r="C920" s="6">
        <f>IF(ALLOCATIONS!A914="","",IFERROR(VLOOKUP(ALLOCATIONS!B914,MAPPING!$E$3:$G$302,2,FALSE),"UNMAPPED"))</f>
        <v/>
      </c>
      <c r="D920" s="6">
        <f>IF(ALLOCATIONS!A914="","",IFERROR(IF(VLOOKUP(ALLOCATIONS!B914,MAPPING!$E$3:$G$302,3,FALSE)="","",VLOOKUP(ALLOCATIONS!B914,MAPPING!$E$3:$G$302,3,FALSE)),""))</f>
        <v/>
      </c>
      <c r="E920" s="6">
        <f>IF(ALLOCATIONS!A914="","",ALLOCATIONS!C914)</f>
        <v/>
      </c>
      <c r="F920" s="6">
        <f>IF(ALLOCATIONS!A914="","",IF(ALLOCATIONS!D914="",0,ALLOCATIONS!D914))</f>
        <v/>
      </c>
      <c r="G920" s="6">
        <f>IF(ALLOCATIONS!A914="","",SUMIFS(RAW_004!$I$2:$I$10001,RAW_004!$D$2:$D$10001,ALLOCATIONS!A914,RAW_004!$H$2:$H$10001,ALLOCATIONS!B914,RAW_004!$N$2:$N$10001,ALLOCATIONS!C914))</f>
        <v/>
      </c>
      <c r="H920" s="6">
        <f>IF(A920="","",G920-F920)</f>
        <v/>
      </c>
    </row>
    <row r="921">
      <c r="A921" s="6">
        <f>IF(ALLOCATIONS!A915="","",IFERROR(VLOOKUP(ALLOCATIONS!A915,MAPPING!$A$3:$C$302,2,FALSE),"UNMAPPED"))</f>
        <v/>
      </c>
      <c r="B921" s="6">
        <f>IF(ALLOCATIONS!A915="","",IFERROR(VLOOKUP(ALLOCATIONS!A915,MAPPING!$A$3:$C$302,3,FALSE),ALLOCATIONS!A915))</f>
        <v/>
      </c>
      <c r="C921" s="6">
        <f>IF(ALLOCATIONS!A915="","",IFERROR(VLOOKUP(ALLOCATIONS!B915,MAPPING!$E$3:$G$302,2,FALSE),"UNMAPPED"))</f>
        <v/>
      </c>
      <c r="D921" s="6">
        <f>IF(ALLOCATIONS!A915="","",IFERROR(IF(VLOOKUP(ALLOCATIONS!B915,MAPPING!$E$3:$G$302,3,FALSE)="","",VLOOKUP(ALLOCATIONS!B915,MAPPING!$E$3:$G$302,3,FALSE)),""))</f>
        <v/>
      </c>
      <c r="E921" s="6">
        <f>IF(ALLOCATIONS!A915="","",ALLOCATIONS!C915)</f>
        <v/>
      </c>
      <c r="F921" s="6">
        <f>IF(ALLOCATIONS!A915="","",IF(ALLOCATIONS!D915="",0,ALLOCATIONS!D915))</f>
        <v/>
      </c>
      <c r="G921" s="6">
        <f>IF(ALLOCATIONS!A915="","",SUMIFS(RAW_004!$I$2:$I$10001,RAW_004!$D$2:$D$10001,ALLOCATIONS!A915,RAW_004!$H$2:$H$10001,ALLOCATIONS!B915,RAW_004!$N$2:$N$10001,ALLOCATIONS!C915))</f>
        <v/>
      </c>
      <c r="H921" s="6">
        <f>IF(A921="","",G921-F921)</f>
        <v/>
      </c>
    </row>
    <row r="922">
      <c r="A922" s="6">
        <f>IF(ALLOCATIONS!A916="","",IFERROR(VLOOKUP(ALLOCATIONS!A916,MAPPING!$A$3:$C$302,2,FALSE),"UNMAPPED"))</f>
        <v/>
      </c>
      <c r="B922" s="6">
        <f>IF(ALLOCATIONS!A916="","",IFERROR(VLOOKUP(ALLOCATIONS!A916,MAPPING!$A$3:$C$302,3,FALSE),ALLOCATIONS!A916))</f>
        <v/>
      </c>
      <c r="C922" s="6">
        <f>IF(ALLOCATIONS!A916="","",IFERROR(VLOOKUP(ALLOCATIONS!B916,MAPPING!$E$3:$G$302,2,FALSE),"UNMAPPED"))</f>
        <v/>
      </c>
      <c r="D922" s="6">
        <f>IF(ALLOCATIONS!A916="","",IFERROR(IF(VLOOKUP(ALLOCATIONS!B916,MAPPING!$E$3:$G$302,3,FALSE)="","",VLOOKUP(ALLOCATIONS!B916,MAPPING!$E$3:$G$302,3,FALSE)),""))</f>
        <v/>
      </c>
      <c r="E922" s="6">
        <f>IF(ALLOCATIONS!A916="","",ALLOCATIONS!C916)</f>
        <v/>
      </c>
      <c r="F922" s="6">
        <f>IF(ALLOCATIONS!A916="","",IF(ALLOCATIONS!D916="",0,ALLOCATIONS!D916))</f>
        <v/>
      </c>
      <c r="G922" s="6">
        <f>IF(ALLOCATIONS!A916="","",SUMIFS(RAW_004!$I$2:$I$10001,RAW_004!$D$2:$D$10001,ALLOCATIONS!A916,RAW_004!$H$2:$H$10001,ALLOCATIONS!B916,RAW_004!$N$2:$N$10001,ALLOCATIONS!C916))</f>
        <v/>
      </c>
      <c r="H922" s="6">
        <f>IF(A922="","",G922-F922)</f>
        <v/>
      </c>
    </row>
    <row r="923">
      <c r="A923" s="6">
        <f>IF(ALLOCATIONS!A917="","",IFERROR(VLOOKUP(ALLOCATIONS!A917,MAPPING!$A$3:$C$302,2,FALSE),"UNMAPPED"))</f>
        <v/>
      </c>
      <c r="B923" s="6">
        <f>IF(ALLOCATIONS!A917="","",IFERROR(VLOOKUP(ALLOCATIONS!A917,MAPPING!$A$3:$C$302,3,FALSE),ALLOCATIONS!A917))</f>
        <v/>
      </c>
      <c r="C923" s="6">
        <f>IF(ALLOCATIONS!A917="","",IFERROR(VLOOKUP(ALLOCATIONS!B917,MAPPING!$E$3:$G$302,2,FALSE),"UNMAPPED"))</f>
        <v/>
      </c>
      <c r="D923" s="6">
        <f>IF(ALLOCATIONS!A917="","",IFERROR(IF(VLOOKUP(ALLOCATIONS!B917,MAPPING!$E$3:$G$302,3,FALSE)="","",VLOOKUP(ALLOCATIONS!B917,MAPPING!$E$3:$G$302,3,FALSE)),""))</f>
        <v/>
      </c>
      <c r="E923" s="6">
        <f>IF(ALLOCATIONS!A917="","",ALLOCATIONS!C917)</f>
        <v/>
      </c>
      <c r="F923" s="6">
        <f>IF(ALLOCATIONS!A917="","",IF(ALLOCATIONS!D917="",0,ALLOCATIONS!D917))</f>
        <v/>
      </c>
      <c r="G923" s="6">
        <f>IF(ALLOCATIONS!A917="","",SUMIFS(RAW_004!$I$2:$I$10001,RAW_004!$D$2:$D$10001,ALLOCATIONS!A917,RAW_004!$H$2:$H$10001,ALLOCATIONS!B917,RAW_004!$N$2:$N$10001,ALLOCATIONS!C917))</f>
        <v/>
      </c>
      <c r="H923" s="6">
        <f>IF(A923="","",G923-F923)</f>
        <v/>
      </c>
    </row>
    <row r="924">
      <c r="A924" s="6">
        <f>IF(ALLOCATIONS!A918="","",IFERROR(VLOOKUP(ALLOCATIONS!A918,MAPPING!$A$3:$C$302,2,FALSE),"UNMAPPED"))</f>
        <v/>
      </c>
      <c r="B924" s="6">
        <f>IF(ALLOCATIONS!A918="","",IFERROR(VLOOKUP(ALLOCATIONS!A918,MAPPING!$A$3:$C$302,3,FALSE),ALLOCATIONS!A918))</f>
        <v/>
      </c>
      <c r="C924" s="6">
        <f>IF(ALLOCATIONS!A918="","",IFERROR(VLOOKUP(ALLOCATIONS!B918,MAPPING!$E$3:$G$302,2,FALSE),"UNMAPPED"))</f>
        <v/>
      </c>
      <c r="D924" s="6">
        <f>IF(ALLOCATIONS!A918="","",IFERROR(IF(VLOOKUP(ALLOCATIONS!B918,MAPPING!$E$3:$G$302,3,FALSE)="","",VLOOKUP(ALLOCATIONS!B918,MAPPING!$E$3:$G$302,3,FALSE)),""))</f>
        <v/>
      </c>
      <c r="E924" s="6">
        <f>IF(ALLOCATIONS!A918="","",ALLOCATIONS!C918)</f>
        <v/>
      </c>
      <c r="F924" s="6">
        <f>IF(ALLOCATIONS!A918="","",IF(ALLOCATIONS!D918="",0,ALLOCATIONS!D918))</f>
        <v/>
      </c>
      <c r="G924" s="6">
        <f>IF(ALLOCATIONS!A918="","",SUMIFS(RAW_004!$I$2:$I$10001,RAW_004!$D$2:$D$10001,ALLOCATIONS!A918,RAW_004!$H$2:$H$10001,ALLOCATIONS!B918,RAW_004!$N$2:$N$10001,ALLOCATIONS!C918))</f>
        <v/>
      </c>
      <c r="H924" s="6">
        <f>IF(A924="","",G924-F924)</f>
        <v/>
      </c>
    </row>
    <row r="925">
      <c r="A925" s="6">
        <f>IF(ALLOCATIONS!A919="","",IFERROR(VLOOKUP(ALLOCATIONS!A919,MAPPING!$A$3:$C$302,2,FALSE),"UNMAPPED"))</f>
        <v/>
      </c>
      <c r="B925" s="6">
        <f>IF(ALLOCATIONS!A919="","",IFERROR(VLOOKUP(ALLOCATIONS!A919,MAPPING!$A$3:$C$302,3,FALSE),ALLOCATIONS!A919))</f>
        <v/>
      </c>
      <c r="C925" s="6">
        <f>IF(ALLOCATIONS!A919="","",IFERROR(VLOOKUP(ALLOCATIONS!B919,MAPPING!$E$3:$G$302,2,FALSE),"UNMAPPED"))</f>
        <v/>
      </c>
      <c r="D925" s="6">
        <f>IF(ALLOCATIONS!A919="","",IFERROR(IF(VLOOKUP(ALLOCATIONS!B919,MAPPING!$E$3:$G$302,3,FALSE)="","",VLOOKUP(ALLOCATIONS!B919,MAPPING!$E$3:$G$302,3,FALSE)),""))</f>
        <v/>
      </c>
      <c r="E925" s="6">
        <f>IF(ALLOCATIONS!A919="","",ALLOCATIONS!C919)</f>
        <v/>
      </c>
      <c r="F925" s="6">
        <f>IF(ALLOCATIONS!A919="","",IF(ALLOCATIONS!D919="",0,ALLOCATIONS!D919))</f>
        <v/>
      </c>
      <c r="G925" s="6">
        <f>IF(ALLOCATIONS!A919="","",SUMIFS(RAW_004!$I$2:$I$10001,RAW_004!$D$2:$D$10001,ALLOCATIONS!A919,RAW_004!$H$2:$H$10001,ALLOCATIONS!B919,RAW_004!$N$2:$N$10001,ALLOCATIONS!C919))</f>
        <v/>
      </c>
      <c r="H925" s="6">
        <f>IF(A925="","",G925-F925)</f>
        <v/>
      </c>
    </row>
    <row r="926">
      <c r="A926" s="6">
        <f>IF(ALLOCATIONS!A920="","",IFERROR(VLOOKUP(ALLOCATIONS!A920,MAPPING!$A$3:$C$302,2,FALSE),"UNMAPPED"))</f>
        <v/>
      </c>
      <c r="B926" s="6">
        <f>IF(ALLOCATIONS!A920="","",IFERROR(VLOOKUP(ALLOCATIONS!A920,MAPPING!$A$3:$C$302,3,FALSE),ALLOCATIONS!A920))</f>
        <v/>
      </c>
      <c r="C926" s="6">
        <f>IF(ALLOCATIONS!A920="","",IFERROR(VLOOKUP(ALLOCATIONS!B920,MAPPING!$E$3:$G$302,2,FALSE),"UNMAPPED"))</f>
        <v/>
      </c>
      <c r="D926" s="6">
        <f>IF(ALLOCATIONS!A920="","",IFERROR(IF(VLOOKUP(ALLOCATIONS!B920,MAPPING!$E$3:$G$302,3,FALSE)="","",VLOOKUP(ALLOCATIONS!B920,MAPPING!$E$3:$G$302,3,FALSE)),""))</f>
        <v/>
      </c>
      <c r="E926" s="6">
        <f>IF(ALLOCATIONS!A920="","",ALLOCATIONS!C920)</f>
        <v/>
      </c>
      <c r="F926" s="6">
        <f>IF(ALLOCATIONS!A920="","",IF(ALLOCATIONS!D920="",0,ALLOCATIONS!D920))</f>
        <v/>
      </c>
      <c r="G926" s="6">
        <f>IF(ALLOCATIONS!A920="","",SUMIFS(RAW_004!$I$2:$I$10001,RAW_004!$D$2:$D$10001,ALLOCATIONS!A920,RAW_004!$H$2:$H$10001,ALLOCATIONS!B920,RAW_004!$N$2:$N$10001,ALLOCATIONS!C920))</f>
        <v/>
      </c>
      <c r="H926" s="6">
        <f>IF(A926="","",G926-F926)</f>
        <v/>
      </c>
    </row>
    <row r="927">
      <c r="A927" s="6">
        <f>IF(ALLOCATIONS!A921="","",IFERROR(VLOOKUP(ALLOCATIONS!A921,MAPPING!$A$3:$C$302,2,FALSE),"UNMAPPED"))</f>
        <v/>
      </c>
      <c r="B927" s="6">
        <f>IF(ALLOCATIONS!A921="","",IFERROR(VLOOKUP(ALLOCATIONS!A921,MAPPING!$A$3:$C$302,3,FALSE),ALLOCATIONS!A921))</f>
        <v/>
      </c>
      <c r="C927" s="6">
        <f>IF(ALLOCATIONS!A921="","",IFERROR(VLOOKUP(ALLOCATIONS!B921,MAPPING!$E$3:$G$302,2,FALSE),"UNMAPPED"))</f>
        <v/>
      </c>
      <c r="D927" s="6">
        <f>IF(ALLOCATIONS!A921="","",IFERROR(IF(VLOOKUP(ALLOCATIONS!B921,MAPPING!$E$3:$G$302,3,FALSE)="","",VLOOKUP(ALLOCATIONS!B921,MAPPING!$E$3:$G$302,3,FALSE)),""))</f>
        <v/>
      </c>
      <c r="E927" s="6">
        <f>IF(ALLOCATIONS!A921="","",ALLOCATIONS!C921)</f>
        <v/>
      </c>
      <c r="F927" s="6">
        <f>IF(ALLOCATIONS!A921="","",IF(ALLOCATIONS!D921="",0,ALLOCATIONS!D921))</f>
        <v/>
      </c>
      <c r="G927" s="6">
        <f>IF(ALLOCATIONS!A921="","",SUMIFS(RAW_004!$I$2:$I$10001,RAW_004!$D$2:$D$10001,ALLOCATIONS!A921,RAW_004!$H$2:$H$10001,ALLOCATIONS!B921,RAW_004!$N$2:$N$10001,ALLOCATIONS!C921))</f>
        <v/>
      </c>
      <c r="H927" s="6">
        <f>IF(A927="","",G927-F927)</f>
        <v/>
      </c>
    </row>
    <row r="928">
      <c r="A928" s="6">
        <f>IF(ALLOCATIONS!A922="","",IFERROR(VLOOKUP(ALLOCATIONS!A922,MAPPING!$A$3:$C$302,2,FALSE),"UNMAPPED"))</f>
        <v/>
      </c>
      <c r="B928" s="6">
        <f>IF(ALLOCATIONS!A922="","",IFERROR(VLOOKUP(ALLOCATIONS!A922,MAPPING!$A$3:$C$302,3,FALSE),ALLOCATIONS!A922))</f>
        <v/>
      </c>
      <c r="C928" s="6">
        <f>IF(ALLOCATIONS!A922="","",IFERROR(VLOOKUP(ALLOCATIONS!B922,MAPPING!$E$3:$G$302,2,FALSE),"UNMAPPED"))</f>
        <v/>
      </c>
      <c r="D928" s="6">
        <f>IF(ALLOCATIONS!A922="","",IFERROR(IF(VLOOKUP(ALLOCATIONS!B922,MAPPING!$E$3:$G$302,3,FALSE)="","",VLOOKUP(ALLOCATIONS!B922,MAPPING!$E$3:$G$302,3,FALSE)),""))</f>
        <v/>
      </c>
      <c r="E928" s="6">
        <f>IF(ALLOCATIONS!A922="","",ALLOCATIONS!C922)</f>
        <v/>
      </c>
      <c r="F928" s="6">
        <f>IF(ALLOCATIONS!A922="","",IF(ALLOCATIONS!D922="",0,ALLOCATIONS!D922))</f>
        <v/>
      </c>
      <c r="G928" s="6">
        <f>IF(ALLOCATIONS!A922="","",SUMIFS(RAW_004!$I$2:$I$10001,RAW_004!$D$2:$D$10001,ALLOCATIONS!A922,RAW_004!$H$2:$H$10001,ALLOCATIONS!B922,RAW_004!$N$2:$N$10001,ALLOCATIONS!C922))</f>
        <v/>
      </c>
      <c r="H928" s="6">
        <f>IF(A928="","",G928-F928)</f>
        <v/>
      </c>
    </row>
    <row r="929">
      <c r="A929" s="6">
        <f>IF(ALLOCATIONS!A923="","",IFERROR(VLOOKUP(ALLOCATIONS!A923,MAPPING!$A$3:$C$302,2,FALSE),"UNMAPPED"))</f>
        <v/>
      </c>
      <c r="B929" s="6">
        <f>IF(ALLOCATIONS!A923="","",IFERROR(VLOOKUP(ALLOCATIONS!A923,MAPPING!$A$3:$C$302,3,FALSE),ALLOCATIONS!A923))</f>
        <v/>
      </c>
      <c r="C929" s="6">
        <f>IF(ALLOCATIONS!A923="","",IFERROR(VLOOKUP(ALLOCATIONS!B923,MAPPING!$E$3:$G$302,2,FALSE),"UNMAPPED"))</f>
        <v/>
      </c>
      <c r="D929" s="6">
        <f>IF(ALLOCATIONS!A923="","",IFERROR(IF(VLOOKUP(ALLOCATIONS!B923,MAPPING!$E$3:$G$302,3,FALSE)="","",VLOOKUP(ALLOCATIONS!B923,MAPPING!$E$3:$G$302,3,FALSE)),""))</f>
        <v/>
      </c>
      <c r="E929" s="6">
        <f>IF(ALLOCATIONS!A923="","",ALLOCATIONS!C923)</f>
        <v/>
      </c>
      <c r="F929" s="6">
        <f>IF(ALLOCATIONS!A923="","",IF(ALLOCATIONS!D923="",0,ALLOCATIONS!D923))</f>
        <v/>
      </c>
      <c r="G929" s="6">
        <f>IF(ALLOCATIONS!A923="","",SUMIFS(RAW_004!$I$2:$I$10001,RAW_004!$D$2:$D$10001,ALLOCATIONS!A923,RAW_004!$H$2:$H$10001,ALLOCATIONS!B923,RAW_004!$N$2:$N$10001,ALLOCATIONS!C923))</f>
        <v/>
      </c>
      <c r="H929" s="6">
        <f>IF(A929="","",G929-F929)</f>
        <v/>
      </c>
    </row>
    <row r="930">
      <c r="A930" s="6">
        <f>IF(ALLOCATIONS!A924="","",IFERROR(VLOOKUP(ALLOCATIONS!A924,MAPPING!$A$3:$C$302,2,FALSE),"UNMAPPED"))</f>
        <v/>
      </c>
      <c r="B930" s="6">
        <f>IF(ALLOCATIONS!A924="","",IFERROR(VLOOKUP(ALLOCATIONS!A924,MAPPING!$A$3:$C$302,3,FALSE),ALLOCATIONS!A924))</f>
        <v/>
      </c>
      <c r="C930" s="6">
        <f>IF(ALLOCATIONS!A924="","",IFERROR(VLOOKUP(ALLOCATIONS!B924,MAPPING!$E$3:$G$302,2,FALSE),"UNMAPPED"))</f>
        <v/>
      </c>
      <c r="D930" s="6">
        <f>IF(ALLOCATIONS!A924="","",IFERROR(IF(VLOOKUP(ALLOCATIONS!B924,MAPPING!$E$3:$G$302,3,FALSE)="","",VLOOKUP(ALLOCATIONS!B924,MAPPING!$E$3:$G$302,3,FALSE)),""))</f>
        <v/>
      </c>
      <c r="E930" s="6">
        <f>IF(ALLOCATIONS!A924="","",ALLOCATIONS!C924)</f>
        <v/>
      </c>
      <c r="F930" s="6">
        <f>IF(ALLOCATIONS!A924="","",IF(ALLOCATIONS!D924="",0,ALLOCATIONS!D924))</f>
        <v/>
      </c>
      <c r="G930" s="6">
        <f>IF(ALLOCATIONS!A924="","",SUMIFS(RAW_004!$I$2:$I$10001,RAW_004!$D$2:$D$10001,ALLOCATIONS!A924,RAW_004!$H$2:$H$10001,ALLOCATIONS!B924,RAW_004!$N$2:$N$10001,ALLOCATIONS!C924))</f>
        <v/>
      </c>
      <c r="H930" s="6">
        <f>IF(A930="","",G930-F930)</f>
        <v/>
      </c>
    </row>
    <row r="931">
      <c r="A931" s="6">
        <f>IF(ALLOCATIONS!A925="","",IFERROR(VLOOKUP(ALLOCATIONS!A925,MAPPING!$A$3:$C$302,2,FALSE),"UNMAPPED"))</f>
        <v/>
      </c>
      <c r="B931" s="6">
        <f>IF(ALLOCATIONS!A925="","",IFERROR(VLOOKUP(ALLOCATIONS!A925,MAPPING!$A$3:$C$302,3,FALSE),ALLOCATIONS!A925))</f>
        <v/>
      </c>
      <c r="C931" s="6">
        <f>IF(ALLOCATIONS!A925="","",IFERROR(VLOOKUP(ALLOCATIONS!B925,MAPPING!$E$3:$G$302,2,FALSE),"UNMAPPED"))</f>
        <v/>
      </c>
      <c r="D931" s="6">
        <f>IF(ALLOCATIONS!A925="","",IFERROR(IF(VLOOKUP(ALLOCATIONS!B925,MAPPING!$E$3:$G$302,3,FALSE)="","",VLOOKUP(ALLOCATIONS!B925,MAPPING!$E$3:$G$302,3,FALSE)),""))</f>
        <v/>
      </c>
      <c r="E931" s="6">
        <f>IF(ALLOCATIONS!A925="","",ALLOCATIONS!C925)</f>
        <v/>
      </c>
      <c r="F931" s="6">
        <f>IF(ALLOCATIONS!A925="","",IF(ALLOCATIONS!D925="",0,ALLOCATIONS!D925))</f>
        <v/>
      </c>
      <c r="G931" s="6">
        <f>IF(ALLOCATIONS!A925="","",SUMIFS(RAW_004!$I$2:$I$10001,RAW_004!$D$2:$D$10001,ALLOCATIONS!A925,RAW_004!$H$2:$H$10001,ALLOCATIONS!B925,RAW_004!$N$2:$N$10001,ALLOCATIONS!C925))</f>
        <v/>
      </c>
      <c r="H931" s="6">
        <f>IF(A931="","",G931-F931)</f>
        <v/>
      </c>
    </row>
    <row r="932">
      <c r="A932" s="6">
        <f>IF(ALLOCATIONS!A926="","",IFERROR(VLOOKUP(ALLOCATIONS!A926,MAPPING!$A$3:$C$302,2,FALSE),"UNMAPPED"))</f>
        <v/>
      </c>
      <c r="B932" s="6">
        <f>IF(ALLOCATIONS!A926="","",IFERROR(VLOOKUP(ALLOCATIONS!A926,MAPPING!$A$3:$C$302,3,FALSE),ALLOCATIONS!A926))</f>
        <v/>
      </c>
      <c r="C932" s="6">
        <f>IF(ALLOCATIONS!A926="","",IFERROR(VLOOKUP(ALLOCATIONS!B926,MAPPING!$E$3:$G$302,2,FALSE),"UNMAPPED"))</f>
        <v/>
      </c>
      <c r="D932" s="6">
        <f>IF(ALLOCATIONS!A926="","",IFERROR(IF(VLOOKUP(ALLOCATIONS!B926,MAPPING!$E$3:$G$302,3,FALSE)="","",VLOOKUP(ALLOCATIONS!B926,MAPPING!$E$3:$G$302,3,FALSE)),""))</f>
        <v/>
      </c>
      <c r="E932" s="6">
        <f>IF(ALLOCATIONS!A926="","",ALLOCATIONS!C926)</f>
        <v/>
      </c>
      <c r="F932" s="6">
        <f>IF(ALLOCATIONS!A926="","",IF(ALLOCATIONS!D926="",0,ALLOCATIONS!D926))</f>
        <v/>
      </c>
      <c r="G932" s="6">
        <f>IF(ALLOCATIONS!A926="","",SUMIFS(RAW_004!$I$2:$I$10001,RAW_004!$D$2:$D$10001,ALLOCATIONS!A926,RAW_004!$H$2:$H$10001,ALLOCATIONS!B926,RAW_004!$N$2:$N$10001,ALLOCATIONS!C926))</f>
        <v/>
      </c>
      <c r="H932" s="6">
        <f>IF(A932="","",G932-F932)</f>
        <v/>
      </c>
    </row>
    <row r="933">
      <c r="A933" s="6">
        <f>IF(ALLOCATIONS!A927="","",IFERROR(VLOOKUP(ALLOCATIONS!A927,MAPPING!$A$3:$C$302,2,FALSE),"UNMAPPED"))</f>
        <v/>
      </c>
      <c r="B933" s="6">
        <f>IF(ALLOCATIONS!A927="","",IFERROR(VLOOKUP(ALLOCATIONS!A927,MAPPING!$A$3:$C$302,3,FALSE),ALLOCATIONS!A927))</f>
        <v/>
      </c>
      <c r="C933" s="6">
        <f>IF(ALLOCATIONS!A927="","",IFERROR(VLOOKUP(ALLOCATIONS!B927,MAPPING!$E$3:$G$302,2,FALSE),"UNMAPPED"))</f>
        <v/>
      </c>
      <c r="D933" s="6">
        <f>IF(ALLOCATIONS!A927="","",IFERROR(IF(VLOOKUP(ALLOCATIONS!B927,MAPPING!$E$3:$G$302,3,FALSE)="","",VLOOKUP(ALLOCATIONS!B927,MAPPING!$E$3:$G$302,3,FALSE)),""))</f>
        <v/>
      </c>
      <c r="E933" s="6">
        <f>IF(ALLOCATIONS!A927="","",ALLOCATIONS!C927)</f>
        <v/>
      </c>
      <c r="F933" s="6">
        <f>IF(ALLOCATIONS!A927="","",IF(ALLOCATIONS!D927="",0,ALLOCATIONS!D927))</f>
        <v/>
      </c>
      <c r="G933" s="6">
        <f>IF(ALLOCATIONS!A927="","",SUMIFS(RAW_004!$I$2:$I$10001,RAW_004!$D$2:$D$10001,ALLOCATIONS!A927,RAW_004!$H$2:$H$10001,ALLOCATIONS!B927,RAW_004!$N$2:$N$10001,ALLOCATIONS!C927))</f>
        <v/>
      </c>
      <c r="H933" s="6">
        <f>IF(A933="","",G933-F933)</f>
        <v/>
      </c>
    </row>
    <row r="934">
      <c r="A934" s="6">
        <f>IF(ALLOCATIONS!A928="","",IFERROR(VLOOKUP(ALLOCATIONS!A928,MAPPING!$A$3:$C$302,2,FALSE),"UNMAPPED"))</f>
        <v/>
      </c>
      <c r="B934" s="6">
        <f>IF(ALLOCATIONS!A928="","",IFERROR(VLOOKUP(ALLOCATIONS!A928,MAPPING!$A$3:$C$302,3,FALSE),ALLOCATIONS!A928))</f>
        <v/>
      </c>
      <c r="C934" s="6">
        <f>IF(ALLOCATIONS!A928="","",IFERROR(VLOOKUP(ALLOCATIONS!B928,MAPPING!$E$3:$G$302,2,FALSE),"UNMAPPED"))</f>
        <v/>
      </c>
      <c r="D934" s="6">
        <f>IF(ALLOCATIONS!A928="","",IFERROR(IF(VLOOKUP(ALLOCATIONS!B928,MAPPING!$E$3:$G$302,3,FALSE)="","",VLOOKUP(ALLOCATIONS!B928,MAPPING!$E$3:$G$302,3,FALSE)),""))</f>
        <v/>
      </c>
      <c r="E934" s="6">
        <f>IF(ALLOCATIONS!A928="","",ALLOCATIONS!C928)</f>
        <v/>
      </c>
      <c r="F934" s="6">
        <f>IF(ALLOCATIONS!A928="","",IF(ALLOCATIONS!D928="",0,ALLOCATIONS!D928))</f>
        <v/>
      </c>
      <c r="G934" s="6">
        <f>IF(ALLOCATIONS!A928="","",SUMIFS(RAW_004!$I$2:$I$10001,RAW_004!$D$2:$D$10001,ALLOCATIONS!A928,RAW_004!$H$2:$H$10001,ALLOCATIONS!B928,RAW_004!$N$2:$N$10001,ALLOCATIONS!C928))</f>
        <v/>
      </c>
      <c r="H934" s="6">
        <f>IF(A934="","",G934-F934)</f>
        <v/>
      </c>
    </row>
    <row r="935">
      <c r="A935" s="6">
        <f>IF(ALLOCATIONS!A929="","",IFERROR(VLOOKUP(ALLOCATIONS!A929,MAPPING!$A$3:$C$302,2,FALSE),"UNMAPPED"))</f>
        <v/>
      </c>
      <c r="B935" s="6">
        <f>IF(ALLOCATIONS!A929="","",IFERROR(VLOOKUP(ALLOCATIONS!A929,MAPPING!$A$3:$C$302,3,FALSE),ALLOCATIONS!A929))</f>
        <v/>
      </c>
      <c r="C935" s="6">
        <f>IF(ALLOCATIONS!A929="","",IFERROR(VLOOKUP(ALLOCATIONS!B929,MAPPING!$E$3:$G$302,2,FALSE),"UNMAPPED"))</f>
        <v/>
      </c>
      <c r="D935" s="6">
        <f>IF(ALLOCATIONS!A929="","",IFERROR(IF(VLOOKUP(ALLOCATIONS!B929,MAPPING!$E$3:$G$302,3,FALSE)="","",VLOOKUP(ALLOCATIONS!B929,MAPPING!$E$3:$G$302,3,FALSE)),""))</f>
        <v/>
      </c>
      <c r="E935" s="6">
        <f>IF(ALLOCATIONS!A929="","",ALLOCATIONS!C929)</f>
        <v/>
      </c>
      <c r="F935" s="6">
        <f>IF(ALLOCATIONS!A929="","",IF(ALLOCATIONS!D929="",0,ALLOCATIONS!D929))</f>
        <v/>
      </c>
      <c r="G935" s="6">
        <f>IF(ALLOCATIONS!A929="","",SUMIFS(RAW_004!$I$2:$I$10001,RAW_004!$D$2:$D$10001,ALLOCATIONS!A929,RAW_004!$H$2:$H$10001,ALLOCATIONS!B929,RAW_004!$N$2:$N$10001,ALLOCATIONS!C929))</f>
        <v/>
      </c>
      <c r="H935" s="6">
        <f>IF(A935="","",G935-F935)</f>
        <v/>
      </c>
    </row>
    <row r="936">
      <c r="A936" s="6">
        <f>IF(ALLOCATIONS!A930="","",IFERROR(VLOOKUP(ALLOCATIONS!A930,MAPPING!$A$3:$C$302,2,FALSE),"UNMAPPED"))</f>
        <v/>
      </c>
      <c r="B936" s="6">
        <f>IF(ALLOCATIONS!A930="","",IFERROR(VLOOKUP(ALLOCATIONS!A930,MAPPING!$A$3:$C$302,3,FALSE),ALLOCATIONS!A930))</f>
        <v/>
      </c>
      <c r="C936" s="6">
        <f>IF(ALLOCATIONS!A930="","",IFERROR(VLOOKUP(ALLOCATIONS!B930,MAPPING!$E$3:$G$302,2,FALSE),"UNMAPPED"))</f>
        <v/>
      </c>
      <c r="D936" s="6">
        <f>IF(ALLOCATIONS!A930="","",IFERROR(IF(VLOOKUP(ALLOCATIONS!B930,MAPPING!$E$3:$G$302,3,FALSE)="","",VLOOKUP(ALLOCATIONS!B930,MAPPING!$E$3:$G$302,3,FALSE)),""))</f>
        <v/>
      </c>
      <c r="E936" s="6">
        <f>IF(ALLOCATIONS!A930="","",ALLOCATIONS!C930)</f>
        <v/>
      </c>
      <c r="F936" s="6">
        <f>IF(ALLOCATIONS!A930="","",IF(ALLOCATIONS!D930="",0,ALLOCATIONS!D930))</f>
        <v/>
      </c>
      <c r="G936" s="6">
        <f>IF(ALLOCATIONS!A930="","",SUMIFS(RAW_004!$I$2:$I$10001,RAW_004!$D$2:$D$10001,ALLOCATIONS!A930,RAW_004!$H$2:$H$10001,ALLOCATIONS!B930,RAW_004!$N$2:$N$10001,ALLOCATIONS!C930))</f>
        <v/>
      </c>
      <c r="H936" s="6">
        <f>IF(A936="","",G936-F936)</f>
        <v/>
      </c>
    </row>
    <row r="937">
      <c r="A937" s="6">
        <f>IF(ALLOCATIONS!A931="","",IFERROR(VLOOKUP(ALLOCATIONS!A931,MAPPING!$A$3:$C$302,2,FALSE),"UNMAPPED"))</f>
        <v/>
      </c>
      <c r="B937" s="6">
        <f>IF(ALLOCATIONS!A931="","",IFERROR(VLOOKUP(ALLOCATIONS!A931,MAPPING!$A$3:$C$302,3,FALSE),ALLOCATIONS!A931))</f>
        <v/>
      </c>
      <c r="C937" s="6">
        <f>IF(ALLOCATIONS!A931="","",IFERROR(VLOOKUP(ALLOCATIONS!B931,MAPPING!$E$3:$G$302,2,FALSE),"UNMAPPED"))</f>
        <v/>
      </c>
      <c r="D937" s="6">
        <f>IF(ALLOCATIONS!A931="","",IFERROR(IF(VLOOKUP(ALLOCATIONS!B931,MAPPING!$E$3:$G$302,3,FALSE)="","",VLOOKUP(ALLOCATIONS!B931,MAPPING!$E$3:$G$302,3,FALSE)),""))</f>
        <v/>
      </c>
      <c r="E937" s="6">
        <f>IF(ALLOCATIONS!A931="","",ALLOCATIONS!C931)</f>
        <v/>
      </c>
      <c r="F937" s="6">
        <f>IF(ALLOCATIONS!A931="","",IF(ALLOCATIONS!D931="",0,ALLOCATIONS!D931))</f>
        <v/>
      </c>
      <c r="G937" s="6">
        <f>IF(ALLOCATIONS!A931="","",SUMIFS(RAW_004!$I$2:$I$10001,RAW_004!$D$2:$D$10001,ALLOCATIONS!A931,RAW_004!$H$2:$H$10001,ALLOCATIONS!B931,RAW_004!$N$2:$N$10001,ALLOCATIONS!C931))</f>
        <v/>
      </c>
      <c r="H937" s="6">
        <f>IF(A937="","",G937-F937)</f>
        <v/>
      </c>
    </row>
    <row r="938">
      <c r="A938" s="6">
        <f>IF(ALLOCATIONS!A932="","",IFERROR(VLOOKUP(ALLOCATIONS!A932,MAPPING!$A$3:$C$302,2,FALSE),"UNMAPPED"))</f>
        <v/>
      </c>
      <c r="B938" s="6">
        <f>IF(ALLOCATIONS!A932="","",IFERROR(VLOOKUP(ALLOCATIONS!A932,MAPPING!$A$3:$C$302,3,FALSE),ALLOCATIONS!A932))</f>
        <v/>
      </c>
      <c r="C938" s="6">
        <f>IF(ALLOCATIONS!A932="","",IFERROR(VLOOKUP(ALLOCATIONS!B932,MAPPING!$E$3:$G$302,2,FALSE),"UNMAPPED"))</f>
        <v/>
      </c>
      <c r="D938" s="6">
        <f>IF(ALLOCATIONS!A932="","",IFERROR(IF(VLOOKUP(ALLOCATIONS!B932,MAPPING!$E$3:$G$302,3,FALSE)="","",VLOOKUP(ALLOCATIONS!B932,MAPPING!$E$3:$G$302,3,FALSE)),""))</f>
        <v/>
      </c>
      <c r="E938" s="6">
        <f>IF(ALLOCATIONS!A932="","",ALLOCATIONS!C932)</f>
        <v/>
      </c>
      <c r="F938" s="6">
        <f>IF(ALLOCATIONS!A932="","",IF(ALLOCATIONS!D932="",0,ALLOCATIONS!D932))</f>
        <v/>
      </c>
      <c r="G938" s="6">
        <f>IF(ALLOCATIONS!A932="","",SUMIFS(RAW_004!$I$2:$I$10001,RAW_004!$D$2:$D$10001,ALLOCATIONS!A932,RAW_004!$H$2:$H$10001,ALLOCATIONS!B932,RAW_004!$N$2:$N$10001,ALLOCATIONS!C932))</f>
        <v/>
      </c>
      <c r="H938" s="6">
        <f>IF(A938="","",G938-F938)</f>
        <v/>
      </c>
    </row>
    <row r="939">
      <c r="A939" s="6">
        <f>IF(ALLOCATIONS!A933="","",IFERROR(VLOOKUP(ALLOCATIONS!A933,MAPPING!$A$3:$C$302,2,FALSE),"UNMAPPED"))</f>
        <v/>
      </c>
      <c r="B939" s="6">
        <f>IF(ALLOCATIONS!A933="","",IFERROR(VLOOKUP(ALLOCATIONS!A933,MAPPING!$A$3:$C$302,3,FALSE),ALLOCATIONS!A933))</f>
        <v/>
      </c>
      <c r="C939" s="6">
        <f>IF(ALLOCATIONS!A933="","",IFERROR(VLOOKUP(ALLOCATIONS!B933,MAPPING!$E$3:$G$302,2,FALSE),"UNMAPPED"))</f>
        <v/>
      </c>
      <c r="D939" s="6">
        <f>IF(ALLOCATIONS!A933="","",IFERROR(IF(VLOOKUP(ALLOCATIONS!B933,MAPPING!$E$3:$G$302,3,FALSE)="","",VLOOKUP(ALLOCATIONS!B933,MAPPING!$E$3:$G$302,3,FALSE)),""))</f>
        <v/>
      </c>
      <c r="E939" s="6">
        <f>IF(ALLOCATIONS!A933="","",ALLOCATIONS!C933)</f>
        <v/>
      </c>
      <c r="F939" s="6">
        <f>IF(ALLOCATIONS!A933="","",IF(ALLOCATIONS!D933="",0,ALLOCATIONS!D933))</f>
        <v/>
      </c>
      <c r="G939" s="6">
        <f>IF(ALLOCATIONS!A933="","",SUMIFS(RAW_004!$I$2:$I$10001,RAW_004!$D$2:$D$10001,ALLOCATIONS!A933,RAW_004!$H$2:$H$10001,ALLOCATIONS!B933,RAW_004!$N$2:$N$10001,ALLOCATIONS!C933))</f>
        <v/>
      </c>
      <c r="H939" s="6">
        <f>IF(A939="","",G939-F939)</f>
        <v/>
      </c>
    </row>
    <row r="940">
      <c r="A940" s="6">
        <f>IF(ALLOCATIONS!A934="","",IFERROR(VLOOKUP(ALLOCATIONS!A934,MAPPING!$A$3:$C$302,2,FALSE),"UNMAPPED"))</f>
        <v/>
      </c>
      <c r="B940" s="6">
        <f>IF(ALLOCATIONS!A934="","",IFERROR(VLOOKUP(ALLOCATIONS!A934,MAPPING!$A$3:$C$302,3,FALSE),ALLOCATIONS!A934))</f>
        <v/>
      </c>
      <c r="C940" s="6">
        <f>IF(ALLOCATIONS!A934="","",IFERROR(VLOOKUP(ALLOCATIONS!B934,MAPPING!$E$3:$G$302,2,FALSE),"UNMAPPED"))</f>
        <v/>
      </c>
      <c r="D940" s="6">
        <f>IF(ALLOCATIONS!A934="","",IFERROR(IF(VLOOKUP(ALLOCATIONS!B934,MAPPING!$E$3:$G$302,3,FALSE)="","",VLOOKUP(ALLOCATIONS!B934,MAPPING!$E$3:$G$302,3,FALSE)),""))</f>
        <v/>
      </c>
      <c r="E940" s="6">
        <f>IF(ALLOCATIONS!A934="","",ALLOCATIONS!C934)</f>
        <v/>
      </c>
      <c r="F940" s="6">
        <f>IF(ALLOCATIONS!A934="","",IF(ALLOCATIONS!D934="",0,ALLOCATIONS!D934))</f>
        <v/>
      </c>
      <c r="G940" s="6">
        <f>IF(ALLOCATIONS!A934="","",SUMIFS(RAW_004!$I$2:$I$10001,RAW_004!$D$2:$D$10001,ALLOCATIONS!A934,RAW_004!$H$2:$H$10001,ALLOCATIONS!B934,RAW_004!$N$2:$N$10001,ALLOCATIONS!C934))</f>
        <v/>
      </c>
      <c r="H940" s="6">
        <f>IF(A940="","",G940-F940)</f>
        <v/>
      </c>
    </row>
    <row r="941">
      <c r="A941" s="6">
        <f>IF(ALLOCATIONS!A935="","",IFERROR(VLOOKUP(ALLOCATIONS!A935,MAPPING!$A$3:$C$302,2,FALSE),"UNMAPPED"))</f>
        <v/>
      </c>
      <c r="B941" s="6">
        <f>IF(ALLOCATIONS!A935="","",IFERROR(VLOOKUP(ALLOCATIONS!A935,MAPPING!$A$3:$C$302,3,FALSE),ALLOCATIONS!A935))</f>
        <v/>
      </c>
      <c r="C941" s="6">
        <f>IF(ALLOCATIONS!A935="","",IFERROR(VLOOKUP(ALLOCATIONS!B935,MAPPING!$E$3:$G$302,2,FALSE),"UNMAPPED"))</f>
        <v/>
      </c>
      <c r="D941" s="6">
        <f>IF(ALLOCATIONS!A935="","",IFERROR(IF(VLOOKUP(ALLOCATIONS!B935,MAPPING!$E$3:$G$302,3,FALSE)="","",VLOOKUP(ALLOCATIONS!B935,MAPPING!$E$3:$G$302,3,FALSE)),""))</f>
        <v/>
      </c>
      <c r="E941" s="6">
        <f>IF(ALLOCATIONS!A935="","",ALLOCATIONS!C935)</f>
        <v/>
      </c>
      <c r="F941" s="6">
        <f>IF(ALLOCATIONS!A935="","",IF(ALLOCATIONS!D935="",0,ALLOCATIONS!D935))</f>
        <v/>
      </c>
      <c r="G941" s="6">
        <f>IF(ALLOCATIONS!A935="","",SUMIFS(RAW_004!$I$2:$I$10001,RAW_004!$D$2:$D$10001,ALLOCATIONS!A935,RAW_004!$H$2:$H$10001,ALLOCATIONS!B935,RAW_004!$N$2:$N$10001,ALLOCATIONS!C935))</f>
        <v/>
      </c>
      <c r="H941" s="6">
        <f>IF(A941="","",G941-F941)</f>
        <v/>
      </c>
    </row>
    <row r="942">
      <c r="A942" s="6">
        <f>IF(ALLOCATIONS!A936="","",IFERROR(VLOOKUP(ALLOCATIONS!A936,MAPPING!$A$3:$C$302,2,FALSE),"UNMAPPED"))</f>
        <v/>
      </c>
      <c r="B942" s="6">
        <f>IF(ALLOCATIONS!A936="","",IFERROR(VLOOKUP(ALLOCATIONS!A936,MAPPING!$A$3:$C$302,3,FALSE),ALLOCATIONS!A936))</f>
        <v/>
      </c>
      <c r="C942" s="6">
        <f>IF(ALLOCATIONS!A936="","",IFERROR(VLOOKUP(ALLOCATIONS!B936,MAPPING!$E$3:$G$302,2,FALSE),"UNMAPPED"))</f>
        <v/>
      </c>
      <c r="D942" s="6">
        <f>IF(ALLOCATIONS!A936="","",IFERROR(IF(VLOOKUP(ALLOCATIONS!B936,MAPPING!$E$3:$G$302,3,FALSE)="","",VLOOKUP(ALLOCATIONS!B936,MAPPING!$E$3:$G$302,3,FALSE)),""))</f>
        <v/>
      </c>
      <c r="E942" s="6">
        <f>IF(ALLOCATIONS!A936="","",ALLOCATIONS!C936)</f>
        <v/>
      </c>
      <c r="F942" s="6">
        <f>IF(ALLOCATIONS!A936="","",IF(ALLOCATIONS!D936="",0,ALLOCATIONS!D936))</f>
        <v/>
      </c>
      <c r="G942" s="6">
        <f>IF(ALLOCATIONS!A936="","",SUMIFS(RAW_004!$I$2:$I$10001,RAW_004!$D$2:$D$10001,ALLOCATIONS!A936,RAW_004!$H$2:$H$10001,ALLOCATIONS!B936,RAW_004!$N$2:$N$10001,ALLOCATIONS!C936))</f>
        <v/>
      </c>
      <c r="H942" s="6">
        <f>IF(A942="","",G942-F942)</f>
        <v/>
      </c>
    </row>
    <row r="943">
      <c r="A943" s="6">
        <f>IF(ALLOCATIONS!A937="","",IFERROR(VLOOKUP(ALLOCATIONS!A937,MAPPING!$A$3:$C$302,2,FALSE),"UNMAPPED"))</f>
        <v/>
      </c>
      <c r="B943" s="6">
        <f>IF(ALLOCATIONS!A937="","",IFERROR(VLOOKUP(ALLOCATIONS!A937,MAPPING!$A$3:$C$302,3,FALSE),ALLOCATIONS!A937))</f>
        <v/>
      </c>
      <c r="C943" s="6">
        <f>IF(ALLOCATIONS!A937="","",IFERROR(VLOOKUP(ALLOCATIONS!B937,MAPPING!$E$3:$G$302,2,FALSE),"UNMAPPED"))</f>
        <v/>
      </c>
      <c r="D943" s="6">
        <f>IF(ALLOCATIONS!A937="","",IFERROR(IF(VLOOKUP(ALLOCATIONS!B937,MAPPING!$E$3:$G$302,3,FALSE)="","",VLOOKUP(ALLOCATIONS!B937,MAPPING!$E$3:$G$302,3,FALSE)),""))</f>
        <v/>
      </c>
      <c r="E943" s="6">
        <f>IF(ALLOCATIONS!A937="","",ALLOCATIONS!C937)</f>
        <v/>
      </c>
      <c r="F943" s="6">
        <f>IF(ALLOCATIONS!A937="","",IF(ALLOCATIONS!D937="",0,ALLOCATIONS!D937))</f>
        <v/>
      </c>
      <c r="G943" s="6">
        <f>IF(ALLOCATIONS!A937="","",SUMIFS(RAW_004!$I$2:$I$10001,RAW_004!$D$2:$D$10001,ALLOCATIONS!A937,RAW_004!$H$2:$H$10001,ALLOCATIONS!B937,RAW_004!$N$2:$N$10001,ALLOCATIONS!C937))</f>
        <v/>
      </c>
      <c r="H943" s="6">
        <f>IF(A943="","",G943-F943)</f>
        <v/>
      </c>
    </row>
    <row r="944">
      <c r="A944" s="6">
        <f>IF(ALLOCATIONS!A938="","",IFERROR(VLOOKUP(ALLOCATIONS!A938,MAPPING!$A$3:$C$302,2,FALSE),"UNMAPPED"))</f>
        <v/>
      </c>
      <c r="B944" s="6">
        <f>IF(ALLOCATIONS!A938="","",IFERROR(VLOOKUP(ALLOCATIONS!A938,MAPPING!$A$3:$C$302,3,FALSE),ALLOCATIONS!A938))</f>
        <v/>
      </c>
      <c r="C944" s="6">
        <f>IF(ALLOCATIONS!A938="","",IFERROR(VLOOKUP(ALLOCATIONS!B938,MAPPING!$E$3:$G$302,2,FALSE),"UNMAPPED"))</f>
        <v/>
      </c>
      <c r="D944" s="6">
        <f>IF(ALLOCATIONS!A938="","",IFERROR(IF(VLOOKUP(ALLOCATIONS!B938,MAPPING!$E$3:$G$302,3,FALSE)="","",VLOOKUP(ALLOCATIONS!B938,MAPPING!$E$3:$G$302,3,FALSE)),""))</f>
        <v/>
      </c>
      <c r="E944" s="6">
        <f>IF(ALLOCATIONS!A938="","",ALLOCATIONS!C938)</f>
        <v/>
      </c>
      <c r="F944" s="6">
        <f>IF(ALLOCATIONS!A938="","",IF(ALLOCATIONS!D938="",0,ALLOCATIONS!D938))</f>
        <v/>
      </c>
      <c r="G944" s="6">
        <f>IF(ALLOCATIONS!A938="","",SUMIFS(RAW_004!$I$2:$I$10001,RAW_004!$D$2:$D$10001,ALLOCATIONS!A938,RAW_004!$H$2:$H$10001,ALLOCATIONS!B938,RAW_004!$N$2:$N$10001,ALLOCATIONS!C938))</f>
        <v/>
      </c>
      <c r="H944" s="6">
        <f>IF(A944="","",G944-F944)</f>
        <v/>
      </c>
    </row>
    <row r="945">
      <c r="A945" s="6">
        <f>IF(ALLOCATIONS!A939="","",IFERROR(VLOOKUP(ALLOCATIONS!A939,MAPPING!$A$3:$C$302,2,FALSE),"UNMAPPED"))</f>
        <v/>
      </c>
      <c r="B945" s="6">
        <f>IF(ALLOCATIONS!A939="","",IFERROR(VLOOKUP(ALLOCATIONS!A939,MAPPING!$A$3:$C$302,3,FALSE),ALLOCATIONS!A939))</f>
        <v/>
      </c>
      <c r="C945" s="6">
        <f>IF(ALLOCATIONS!A939="","",IFERROR(VLOOKUP(ALLOCATIONS!B939,MAPPING!$E$3:$G$302,2,FALSE),"UNMAPPED"))</f>
        <v/>
      </c>
      <c r="D945" s="6">
        <f>IF(ALLOCATIONS!A939="","",IFERROR(IF(VLOOKUP(ALLOCATIONS!B939,MAPPING!$E$3:$G$302,3,FALSE)="","",VLOOKUP(ALLOCATIONS!B939,MAPPING!$E$3:$G$302,3,FALSE)),""))</f>
        <v/>
      </c>
      <c r="E945" s="6">
        <f>IF(ALLOCATIONS!A939="","",ALLOCATIONS!C939)</f>
        <v/>
      </c>
      <c r="F945" s="6">
        <f>IF(ALLOCATIONS!A939="","",IF(ALLOCATIONS!D939="",0,ALLOCATIONS!D939))</f>
        <v/>
      </c>
      <c r="G945" s="6">
        <f>IF(ALLOCATIONS!A939="","",SUMIFS(RAW_004!$I$2:$I$10001,RAW_004!$D$2:$D$10001,ALLOCATIONS!A939,RAW_004!$H$2:$H$10001,ALLOCATIONS!B939,RAW_004!$N$2:$N$10001,ALLOCATIONS!C939))</f>
        <v/>
      </c>
      <c r="H945" s="6">
        <f>IF(A945="","",G945-F945)</f>
        <v/>
      </c>
    </row>
    <row r="946">
      <c r="A946" s="6">
        <f>IF(ALLOCATIONS!A940="","",IFERROR(VLOOKUP(ALLOCATIONS!A940,MAPPING!$A$3:$C$302,2,FALSE),"UNMAPPED"))</f>
        <v/>
      </c>
      <c r="B946" s="6">
        <f>IF(ALLOCATIONS!A940="","",IFERROR(VLOOKUP(ALLOCATIONS!A940,MAPPING!$A$3:$C$302,3,FALSE),ALLOCATIONS!A940))</f>
        <v/>
      </c>
      <c r="C946" s="6">
        <f>IF(ALLOCATIONS!A940="","",IFERROR(VLOOKUP(ALLOCATIONS!B940,MAPPING!$E$3:$G$302,2,FALSE),"UNMAPPED"))</f>
        <v/>
      </c>
      <c r="D946" s="6">
        <f>IF(ALLOCATIONS!A940="","",IFERROR(IF(VLOOKUP(ALLOCATIONS!B940,MAPPING!$E$3:$G$302,3,FALSE)="","",VLOOKUP(ALLOCATIONS!B940,MAPPING!$E$3:$G$302,3,FALSE)),""))</f>
        <v/>
      </c>
      <c r="E946" s="6">
        <f>IF(ALLOCATIONS!A940="","",ALLOCATIONS!C940)</f>
        <v/>
      </c>
      <c r="F946" s="6">
        <f>IF(ALLOCATIONS!A940="","",IF(ALLOCATIONS!D940="",0,ALLOCATIONS!D940))</f>
        <v/>
      </c>
      <c r="G946" s="6">
        <f>IF(ALLOCATIONS!A940="","",SUMIFS(RAW_004!$I$2:$I$10001,RAW_004!$D$2:$D$10001,ALLOCATIONS!A940,RAW_004!$H$2:$H$10001,ALLOCATIONS!B940,RAW_004!$N$2:$N$10001,ALLOCATIONS!C940))</f>
        <v/>
      </c>
      <c r="H946" s="6">
        <f>IF(A946="","",G946-F946)</f>
        <v/>
      </c>
    </row>
    <row r="947">
      <c r="A947" s="6">
        <f>IF(ALLOCATIONS!A941="","",IFERROR(VLOOKUP(ALLOCATIONS!A941,MAPPING!$A$3:$C$302,2,FALSE),"UNMAPPED"))</f>
        <v/>
      </c>
      <c r="B947" s="6">
        <f>IF(ALLOCATIONS!A941="","",IFERROR(VLOOKUP(ALLOCATIONS!A941,MAPPING!$A$3:$C$302,3,FALSE),ALLOCATIONS!A941))</f>
        <v/>
      </c>
      <c r="C947" s="6">
        <f>IF(ALLOCATIONS!A941="","",IFERROR(VLOOKUP(ALLOCATIONS!B941,MAPPING!$E$3:$G$302,2,FALSE),"UNMAPPED"))</f>
        <v/>
      </c>
      <c r="D947" s="6">
        <f>IF(ALLOCATIONS!A941="","",IFERROR(IF(VLOOKUP(ALLOCATIONS!B941,MAPPING!$E$3:$G$302,3,FALSE)="","",VLOOKUP(ALLOCATIONS!B941,MAPPING!$E$3:$G$302,3,FALSE)),""))</f>
        <v/>
      </c>
      <c r="E947" s="6">
        <f>IF(ALLOCATIONS!A941="","",ALLOCATIONS!C941)</f>
        <v/>
      </c>
      <c r="F947" s="6">
        <f>IF(ALLOCATIONS!A941="","",IF(ALLOCATIONS!D941="",0,ALLOCATIONS!D941))</f>
        <v/>
      </c>
      <c r="G947" s="6">
        <f>IF(ALLOCATIONS!A941="","",SUMIFS(RAW_004!$I$2:$I$10001,RAW_004!$D$2:$D$10001,ALLOCATIONS!A941,RAW_004!$H$2:$H$10001,ALLOCATIONS!B941,RAW_004!$N$2:$N$10001,ALLOCATIONS!C941))</f>
        <v/>
      </c>
      <c r="H947" s="6">
        <f>IF(A947="","",G947-F947)</f>
        <v/>
      </c>
    </row>
    <row r="948">
      <c r="A948" s="6">
        <f>IF(ALLOCATIONS!A942="","",IFERROR(VLOOKUP(ALLOCATIONS!A942,MAPPING!$A$3:$C$302,2,FALSE),"UNMAPPED"))</f>
        <v/>
      </c>
      <c r="B948" s="6">
        <f>IF(ALLOCATIONS!A942="","",IFERROR(VLOOKUP(ALLOCATIONS!A942,MAPPING!$A$3:$C$302,3,FALSE),ALLOCATIONS!A942))</f>
        <v/>
      </c>
      <c r="C948" s="6">
        <f>IF(ALLOCATIONS!A942="","",IFERROR(VLOOKUP(ALLOCATIONS!B942,MAPPING!$E$3:$G$302,2,FALSE),"UNMAPPED"))</f>
        <v/>
      </c>
      <c r="D948" s="6">
        <f>IF(ALLOCATIONS!A942="","",IFERROR(IF(VLOOKUP(ALLOCATIONS!B942,MAPPING!$E$3:$G$302,3,FALSE)="","",VLOOKUP(ALLOCATIONS!B942,MAPPING!$E$3:$G$302,3,FALSE)),""))</f>
        <v/>
      </c>
      <c r="E948" s="6">
        <f>IF(ALLOCATIONS!A942="","",ALLOCATIONS!C942)</f>
        <v/>
      </c>
      <c r="F948" s="6">
        <f>IF(ALLOCATIONS!A942="","",IF(ALLOCATIONS!D942="",0,ALLOCATIONS!D942))</f>
        <v/>
      </c>
      <c r="G948" s="6">
        <f>IF(ALLOCATIONS!A942="","",SUMIFS(RAW_004!$I$2:$I$10001,RAW_004!$D$2:$D$10001,ALLOCATIONS!A942,RAW_004!$H$2:$H$10001,ALLOCATIONS!B942,RAW_004!$N$2:$N$10001,ALLOCATIONS!C942))</f>
        <v/>
      </c>
      <c r="H948" s="6">
        <f>IF(A948="","",G948-F948)</f>
        <v/>
      </c>
    </row>
    <row r="949">
      <c r="A949" s="6">
        <f>IF(ALLOCATIONS!A943="","",IFERROR(VLOOKUP(ALLOCATIONS!A943,MAPPING!$A$3:$C$302,2,FALSE),"UNMAPPED"))</f>
        <v/>
      </c>
      <c r="B949" s="6">
        <f>IF(ALLOCATIONS!A943="","",IFERROR(VLOOKUP(ALLOCATIONS!A943,MAPPING!$A$3:$C$302,3,FALSE),ALLOCATIONS!A943))</f>
        <v/>
      </c>
      <c r="C949" s="6">
        <f>IF(ALLOCATIONS!A943="","",IFERROR(VLOOKUP(ALLOCATIONS!B943,MAPPING!$E$3:$G$302,2,FALSE),"UNMAPPED"))</f>
        <v/>
      </c>
      <c r="D949" s="6">
        <f>IF(ALLOCATIONS!A943="","",IFERROR(IF(VLOOKUP(ALLOCATIONS!B943,MAPPING!$E$3:$G$302,3,FALSE)="","",VLOOKUP(ALLOCATIONS!B943,MAPPING!$E$3:$G$302,3,FALSE)),""))</f>
        <v/>
      </c>
      <c r="E949" s="6">
        <f>IF(ALLOCATIONS!A943="","",ALLOCATIONS!C943)</f>
        <v/>
      </c>
      <c r="F949" s="6">
        <f>IF(ALLOCATIONS!A943="","",IF(ALLOCATIONS!D943="",0,ALLOCATIONS!D943))</f>
        <v/>
      </c>
      <c r="G949" s="6">
        <f>IF(ALLOCATIONS!A943="","",SUMIFS(RAW_004!$I$2:$I$10001,RAW_004!$D$2:$D$10001,ALLOCATIONS!A943,RAW_004!$H$2:$H$10001,ALLOCATIONS!B943,RAW_004!$N$2:$N$10001,ALLOCATIONS!C943))</f>
        <v/>
      </c>
      <c r="H949" s="6">
        <f>IF(A949="","",G949-F949)</f>
        <v/>
      </c>
    </row>
    <row r="950">
      <c r="A950" s="6">
        <f>IF(ALLOCATIONS!A944="","",IFERROR(VLOOKUP(ALLOCATIONS!A944,MAPPING!$A$3:$C$302,2,FALSE),"UNMAPPED"))</f>
        <v/>
      </c>
      <c r="B950" s="6">
        <f>IF(ALLOCATIONS!A944="","",IFERROR(VLOOKUP(ALLOCATIONS!A944,MAPPING!$A$3:$C$302,3,FALSE),ALLOCATIONS!A944))</f>
        <v/>
      </c>
      <c r="C950" s="6">
        <f>IF(ALLOCATIONS!A944="","",IFERROR(VLOOKUP(ALLOCATIONS!B944,MAPPING!$E$3:$G$302,2,FALSE),"UNMAPPED"))</f>
        <v/>
      </c>
      <c r="D950" s="6">
        <f>IF(ALLOCATIONS!A944="","",IFERROR(IF(VLOOKUP(ALLOCATIONS!B944,MAPPING!$E$3:$G$302,3,FALSE)="","",VLOOKUP(ALLOCATIONS!B944,MAPPING!$E$3:$G$302,3,FALSE)),""))</f>
        <v/>
      </c>
      <c r="E950" s="6">
        <f>IF(ALLOCATIONS!A944="","",ALLOCATIONS!C944)</f>
        <v/>
      </c>
      <c r="F950" s="6">
        <f>IF(ALLOCATIONS!A944="","",IF(ALLOCATIONS!D944="",0,ALLOCATIONS!D944))</f>
        <v/>
      </c>
      <c r="G950" s="6">
        <f>IF(ALLOCATIONS!A944="","",SUMIFS(RAW_004!$I$2:$I$10001,RAW_004!$D$2:$D$10001,ALLOCATIONS!A944,RAW_004!$H$2:$H$10001,ALLOCATIONS!B944,RAW_004!$N$2:$N$10001,ALLOCATIONS!C944))</f>
        <v/>
      </c>
      <c r="H950" s="6">
        <f>IF(A950="","",G950-F950)</f>
        <v/>
      </c>
    </row>
    <row r="951">
      <c r="A951" s="6">
        <f>IF(ALLOCATIONS!A945="","",IFERROR(VLOOKUP(ALLOCATIONS!A945,MAPPING!$A$3:$C$302,2,FALSE),"UNMAPPED"))</f>
        <v/>
      </c>
      <c r="B951" s="6">
        <f>IF(ALLOCATIONS!A945="","",IFERROR(VLOOKUP(ALLOCATIONS!A945,MAPPING!$A$3:$C$302,3,FALSE),ALLOCATIONS!A945))</f>
        <v/>
      </c>
      <c r="C951" s="6">
        <f>IF(ALLOCATIONS!A945="","",IFERROR(VLOOKUP(ALLOCATIONS!B945,MAPPING!$E$3:$G$302,2,FALSE),"UNMAPPED"))</f>
        <v/>
      </c>
      <c r="D951" s="6">
        <f>IF(ALLOCATIONS!A945="","",IFERROR(IF(VLOOKUP(ALLOCATIONS!B945,MAPPING!$E$3:$G$302,3,FALSE)="","",VLOOKUP(ALLOCATIONS!B945,MAPPING!$E$3:$G$302,3,FALSE)),""))</f>
        <v/>
      </c>
      <c r="E951" s="6">
        <f>IF(ALLOCATIONS!A945="","",ALLOCATIONS!C945)</f>
        <v/>
      </c>
      <c r="F951" s="6">
        <f>IF(ALLOCATIONS!A945="","",IF(ALLOCATIONS!D945="",0,ALLOCATIONS!D945))</f>
        <v/>
      </c>
      <c r="G951" s="6">
        <f>IF(ALLOCATIONS!A945="","",SUMIFS(RAW_004!$I$2:$I$10001,RAW_004!$D$2:$D$10001,ALLOCATIONS!A945,RAW_004!$H$2:$H$10001,ALLOCATIONS!B945,RAW_004!$N$2:$N$10001,ALLOCATIONS!C945))</f>
        <v/>
      </c>
      <c r="H951" s="6">
        <f>IF(A951="","",G951-F951)</f>
        <v/>
      </c>
    </row>
    <row r="952">
      <c r="A952" s="6">
        <f>IF(ALLOCATIONS!A946="","",IFERROR(VLOOKUP(ALLOCATIONS!A946,MAPPING!$A$3:$C$302,2,FALSE),"UNMAPPED"))</f>
        <v/>
      </c>
      <c r="B952" s="6">
        <f>IF(ALLOCATIONS!A946="","",IFERROR(VLOOKUP(ALLOCATIONS!A946,MAPPING!$A$3:$C$302,3,FALSE),ALLOCATIONS!A946))</f>
        <v/>
      </c>
      <c r="C952" s="6">
        <f>IF(ALLOCATIONS!A946="","",IFERROR(VLOOKUP(ALLOCATIONS!B946,MAPPING!$E$3:$G$302,2,FALSE),"UNMAPPED"))</f>
        <v/>
      </c>
      <c r="D952" s="6">
        <f>IF(ALLOCATIONS!A946="","",IFERROR(IF(VLOOKUP(ALLOCATIONS!B946,MAPPING!$E$3:$G$302,3,FALSE)="","",VLOOKUP(ALLOCATIONS!B946,MAPPING!$E$3:$G$302,3,FALSE)),""))</f>
        <v/>
      </c>
      <c r="E952" s="6">
        <f>IF(ALLOCATIONS!A946="","",ALLOCATIONS!C946)</f>
        <v/>
      </c>
      <c r="F952" s="6">
        <f>IF(ALLOCATIONS!A946="","",IF(ALLOCATIONS!D946="",0,ALLOCATIONS!D946))</f>
        <v/>
      </c>
      <c r="G952" s="6">
        <f>IF(ALLOCATIONS!A946="","",SUMIFS(RAW_004!$I$2:$I$10001,RAW_004!$D$2:$D$10001,ALLOCATIONS!A946,RAW_004!$H$2:$H$10001,ALLOCATIONS!B946,RAW_004!$N$2:$N$10001,ALLOCATIONS!C946))</f>
        <v/>
      </c>
      <c r="H952" s="6">
        <f>IF(A952="","",G952-F952)</f>
        <v/>
      </c>
    </row>
    <row r="953">
      <c r="A953" s="6">
        <f>IF(ALLOCATIONS!A947="","",IFERROR(VLOOKUP(ALLOCATIONS!A947,MAPPING!$A$3:$C$302,2,FALSE),"UNMAPPED"))</f>
        <v/>
      </c>
      <c r="B953" s="6">
        <f>IF(ALLOCATIONS!A947="","",IFERROR(VLOOKUP(ALLOCATIONS!A947,MAPPING!$A$3:$C$302,3,FALSE),ALLOCATIONS!A947))</f>
        <v/>
      </c>
      <c r="C953" s="6">
        <f>IF(ALLOCATIONS!A947="","",IFERROR(VLOOKUP(ALLOCATIONS!B947,MAPPING!$E$3:$G$302,2,FALSE),"UNMAPPED"))</f>
        <v/>
      </c>
      <c r="D953" s="6">
        <f>IF(ALLOCATIONS!A947="","",IFERROR(IF(VLOOKUP(ALLOCATIONS!B947,MAPPING!$E$3:$G$302,3,FALSE)="","",VLOOKUP(ALLOCATIONS!B947,MAPPING!$E$3:$G$302,3,FALSE)),""))</f>
        <v/>
      </c>
      <c r="E953" s="6">
        <f>IF(ALLOCATIONS!A947="","",ALLOCATIONS!C947)</f>
        <v/>
      </c>
      <c r="F953" s="6">
        <f>IF(ALLOCATIONS!A947="","",IF(ALLOCATIONS!D947="",0,ALLOCATIONS!D947))</f>
        <v/>
      </c>
      <c r="G953" s="6">
        <f>IF(ALLOCATIONS!A947="","",SUMIFS(RAW_004!$I$2:$I$10001,RAW_004!$D$2:$D$10001,ALLOCATIONS!A947,RAW_004!$H$2:$H$10001,ALLOCATIONS!B947,RAW_004!$N$2:$N$10001,ALLOCATIONS!C947))</f>
        <v/>
      </c>
      <c r="H953" s="6">
        <f>IF(A953="","",G953-F953)</f>
        <v/>
      </c>
    </row>
    <row r="954">
      <c r="A954" s="6">
        <f>IF(ALLOCATIONS!A948="","",IFERROR(VLOOKUP(ALLOCATIONS!A948,MAPPING!$A$3:$C$302,2,FALSE),"UNMAPPED"))</f>
        <v/>
      </c>
      <c r="B954" s="6">
        <f>IF(ALLOCATIONS!A948="","",IFERROR(VLOOKUP(ALLOCATIONS!A948,MAPPING!$A$3:$C$302,3,FALSE),ALLOCATIONS!A948))</f>
        <v/>
      </c>
      <c r="C954" s="6">
        <f>IF(ALLOCATIONS!A948="","",IFERROR(VLOOKUP(ALLOCATIONS!B948,MAPPING!$E$3:$G$302,2,FALSE),"UNMAPPED"))</f>
        <v/>
      </c>
      <c r="D954" s="6">
        <f>IF(ALLOCATIONS!A948="","",IFERROR(IF(VLOOKUP(ALLOCATIONS!B948,MAPPING!$E$3:$G$302,3,FALSE)="","",VLOOKUP(ALLOCATIONS!B948,MAPPING!$E$3:$G$302,3,FALSE)),""))</f>
        <v/>
      </c>
      <c r="E954" s="6">
        <f>IF(ALLOCATIONS!A948="","",ALLOCATIONS!C948)</f>
        <v/>
      </c>
      <c r="F954" s="6">
        <f>IF(ALLOCATIONS!A948="","",IF(ALLOCATIONS!D948="",0,ALLOCATIONS!D948))</f>
        <v/>
      </c>
      <c r="G954" s="6">
        <f>IF(ALLOCATIONS!A948="","",SUMIFS(RAW_004!$I$2:$I$10001,RAW_004!$D$2:$D$10001,ALLOCATIONS!A948,RAW_004!$H$2:$H$10001,ALLOCATIONS!B948,RAW_004!$N$2:$N$10001,ALLOCATIONS!C948))</f>
        <v/>
      </c>
      <c r="H954" s="6">
        <f>IF(A954="","",G954-F954)</f>
        <v/>
      </c>
    </row>
    <row r="955">
      <c r="A955" s="6">
        <f>IF(ALLOCATIONS!A949="","",IFERROR(VLOOKUP(ALLOCATIONS!A949,MAPPING!$A$3:$C$302,2,FALSE),"UNMAPPED"))</f>
        <v/>
      </c>
      <c r="B955" s="6">
        <f>IF(ALLOCATIONS!A949="","",IFERROR(VLOOKUP(ALLOCATIONS!A949,MAPPING!$A$3:$C$302,3,FALSE),ALLOCATIONS!A949))</f>
        <v/>
      </c>
      <c r="C955" s="6">
        <f>IF(ALLOCATIONS!A949="","",IFERROR(VLOOKUP(ALLOCATIONS!B949,MAPPING!$E$3:$G$302,2,FALSE),"UNMAPPED"))</f>
        <v/>
      </c>
      <c r="D955" s="6">
        <f>IF(ALLOCATIONS!A949="","",IFERROR(IF(VLOOKUP(ALLOCATIONS!B949,MAPPING!$E$3:$G$302,3,FALSE)="","",VLOOKUP(ALLOCATIONS!B949,MAPPING!$E$3:$G$302,3,FALSE)),""))</f>
        <v/>
      </c>
      <c r="E955" s="6">
        <f>IF(ALLOCATIONS!A949="","",ALLOCATIONS!C949)</f>
        <v/>
      </c>
      <c r="F955" s="6">
        <f>IF(ALLOCATIONS!A949="","",IF(ALLOCATIONS!D949="",0,ALLOCATIONS!D949))</f>
        <v/>
      </c>
      <c r="G955" s="6">
        <f>IF(ALLOCATIONS!A949="","",SUMIFS(RAW_004!$I$2:$I$10001,RAW_004!$D$2:$D$10001,ALLOCATIONS!A949,RAW_004!$H$2:$H$10001,ALLOCATIONS!B949,RAW_004!$N$2:$N$10001,ALLOCATIONS!C949))</f>
        <v/>
      </c>
      <c r="H955" s="6">
        <f>IF(A955="","",G955-F955)</f>
        <v/>
      </c>
    </row>
    <row r="956">
      <c r="A956" s="6">
        <f>IF(ALLOCATIONS!A950="","",IFERROR(VLOOKUP(ALLOCATIONS!A950,MAPPING!$A$3:$C$302,2,FALSE),"UNMAPPED"))</f>
        <v/>
      </c>
      <c r="B956" s="6">
        <f>IF(ALLOCATIONS!A950="","",IFERROR(VLOOKUP(ALLOCATIONS!A950,MAPPING!$A$3:$C$302,3,FALSE),ALLOCATIONS!A950))</f>
        <v/>
      </c>
      <c r="C956" s="6">
        <f>IF(ALLOCATIONS!A950="","",IFERROR(VLOOKUP(ALLOCATIONS!B950,MAPPING!$E$3:$G$302,2,FALSE),"UNMAPPED"))</f>
        <v/>
      </c>
      <c r="D956" s="6">
        <f>IF(ALLOCATIONS!A950="","",IFERROR(IF(VLOOKUP(ALLOCATIONS!B950,MAPPING!$E$3:$G$302,3,FALSE)="","",VLOOKUP(ALLOCATIONS!B950,MAPPING!$E$3:$G$302,3,FALSE)),""))</f>
        <v/>
      </c>
      <c r="E956" s="6">
        <f>IF(ALLOCATIONS!A950="","",ALLOCATIONS!C950)</f>
        <v/>
      </c>
      <c r="F956" s="6">
        <f>IF(ALLOCATIONS!A950="","",IF(ALLOCATIONS!D950="",0,ALLOCATIONS!D950))</f>
        <v/>
      </c>
      <c r="G956" s="6">
        <f>IF(ALLOCATIONS!A950="","",SUMIFS(RAW_004!$I$2:$I$10001,RAW_004!$D$2:$D$10001,ALLOCATIONS!A950,RAW_004!$H$2:$H$10001,ALLOCATIONS!B950,RAW_004!$N$2:$N$10001,ALLOCATIONS!C950))</f>
        <v/>
      </c>
      <c r="H956" s="6">
        <f>IF(A956="","",G956-F956)</f>
        <v/>
      </c>
    </row>
    <row r="957">
      <c r="A957" s="6">
        <f>IF(ALLOCATIONS!A951="","",IFERROR(VLOOKUP(ALLOCATIONS!A951,MAPPING!$A$3:$C$302,2,FALSE),"UNMAPPED"))</f>
        <v/>
      </c>
      <c r="B957" s="6">
        <f>IF(ALLOCATIONS!A951="","",IFERROR(VLOOKUP(ALLOCATIONS!A951,MAPPING!$A$3:$C$302,3,FALSE),ALLOCATIONS!A951))</f>
        <v/>
      </c>
      <c r="C957" s="6">
        <f>IF(ALLOCATIONS!A951="","",IFERROR(VLOOKUP(ALLOCATIONS!B951,MAPPING!$E$3:$G$302,2,FALSE),"UNMAPPED"))</f>
        <v/>
      </c>
      <c r="D957" s="6">
        <f>IF(ALLOCATIONS!A951="","",IFERROR(IF(VLOOKUP(ALLOCATIONS!B951,MAPPING!$E$3:$G$302,3,FALSE)="","",VLOOKUP(ALLOCATIONS!B951,MAPPING!$E$3:$G$302,3,FALSE)),""))</f>
        <v/>
      </c>
      <c r="E957" s="6">
        <f>IF(ALLOCATIONS!A951="","",ALLOCATIONS!C951)</f>
        <v/>
      </c>
      <c r="F957" s="6">
        <f>IF(ALLOCATIONS!A951="","",IF(ALLOCATIONS!D951="",0,ALLOCATIONS!D951))</f>
        <v/>
      </c>
      <c r="G957" s="6">
        <f>IF(ALLOCATIONS!A951="","",SUMIFS(RAW_004!$I$2:$I$10001,RAW_004!$D$2:$D$10001,ALLOCATIONS!A951,RAW_004!$H$2:$H$10001,ALLOCATIONS!B951,RAW_004!$N$2:$N$10001,ALLOCATIONS!C951))</f>
        <v/>
      </c>
      <c r="H957" s="6">
        <f>IF(A957="","",G957-F957)</f>
        <v/>
      </c>
    </row>
    <row r="958">
      <c r="A958" s="6">
        <f>IF(ALLOCATIONS!A952="","",IFERROR(VLOOKUP(ALLOCATIONS!A952,MAPPING!$A$3:$C$302,2,FALSE),"UNMAPPED"))</f>
        <v/>
      </c>
      <c r="B958" s="6">
        <f>IF(ALLOCATIONS!A952="","",IFERROR(VLOOKUP(ALLOCATIONS!A952,MAPPING!$A$3:$C$302,3,FALSE),ALLOCATIONS!A952))</f>
        <v/>
      </c>
      <c r="C958" s="6">
        <f>IF(ALLOCATIONS!A952="","",IFERROR(VLOOKUP(ALLOCATIONS!B952,MAPPING!$E$3:$G$302,2,FALSE),"UNMAPPED"))</f>
        <v/>
      </c>
      <c r="D958" s="6">
        <f>IF(ALLOCATIONS!A952="","",IFERROR(IF(VLOOKUP(ALLOCATIONS!B952,MAPPING!$E$3:$G$302,3,FALSE)="","",VLOOKUP(ALLOCATIONS!B952,MAPPING!$E$3:$G$302,3,FALSE)),""))</f>
        <v/>
      </c>
      <c r="E958" s="6">
        <f>IF(ALLOCATIONS!A952="","",ALLOCATIONS!C952)</f>
        <v/>
      </c>
      <c r="F958" s="6">
        <f>IF(ALLOCATIONS!A952="","",IF(ALLOCATIONS!D952="",0,ALLOCATIONS!D952))</f>
        <v/>
      </c>
      <c r="G958" s="6">
        <f>IF(ALLOCATIONS!A952="","",SUMIFS(RAW_004!$I$2:$I$10001,RAW_004!$D$2:$D$10001,ALLOCATIONS!A952,RAW_004!$H$2:$H$10001,ALLOCATIONS!B952,RAW_004!$N$2:$N$10001,ALLOCATIONS!C952))</f>
        <v/>
      </c>
      <c r="H958" s="6">
        <f>IF(A958="","",G958-F958)</f>
        <v/>
      </c>
    </row>
    <row r="959">
      <c r="A959" s="6">
        <f>IF(ALLOCATIONS!A953="","",IFERROR(VLOOKUP(ALLOCATIONS!A953,MAPPING!$A$3:$C$302,2,FALSE),"UNMAPPED"))</f>
        <v/>
      </c>
      <c r="B959" s="6">
        <f>IF(ALLOCATIONS!A953="","",IFERROR(VLOOKUP(ALLOCATIONS!A953,MAPPING!$A$3:$C$302,3,FALSE),ALLOCATIONS!A953))</f>
        <v/>
      </c>
      <c r="C959" s="6">
        <f>IF(ALLOCATIONS!A953="","",IFERROR(VLOOKUP(ALLOCATIONS!B953,MAPPING!$E$3:$G$302,2,FALSE),"UNMAPPED"))</f>
        <v/>
      </c>
      <c r="D959" s="6">
        <f>IF(ALLOCATIONS!A953="","",IFERROR(IF(VLOOKUP(ALLOCATIONS!B953,MAPPING!$E$3:$G$302,3,FALSE)="","",VLOOKUP(ALLOCATIONS!B953,MAPPING!$E$3:$G$302,3,FALSE)),""))</f>
        <v/>
      </c>
      <c r="E959" s="6">
        <f>IF(ALLOCATIONS!A953="","",ALLOCATIONS!C953)</f>
        <v/>
      </c>
      <c r="F959" s="6">
        <f>IF(ALLOCATIONS!A953="","",IF(ALLOCATIONS!D953="",0,ALLOCATIONS!D953))</f>
        <v/>
      </c>
      <c r="G959" s="6">
        <f>IF(ALLOCATIONS!A953="","",SUMIFS(RAW_004!$I$2:$I$10001,RAW_004!$D$2:$D$10001,ALLOCATIONS!A953,RAW_004!$H$2:$H$10001,ALLOCATIONS!B953,RAW_004!$N$2:$N$10001,ALLOCATIONS!C953))</f>
        <v/>
      </c>
      <c r="H959" s="6">
        <f>IF(A959="","",G959-F959)</f>
        <v/>
      </c>
    </row>
    <row r="960">
      <c r="A960" s="6">
        <f>IF(ALLOCATIONS!A954="","",IFERROR(VLOOKUP(ALLOCATIONS!A954,MAPPING!$A$3:$C$302,2,FALSE),"UNMAPPED"))</f>
        <v/>
      </c>
      <c r="B960" s="6">
        <f>IF(ALLOCATIONS!A954="","",IFERROR(VLOOKUP(ALLOCATIONS!A954,MAPPING!$A$3:$C$302,3,FALSE),ALLOCATIONS!A954))</f>
        <v/>
      </c>
      <c r="C960" s="6">
        <f>IF(ALLOCATIONS!A954="","",IFERROR(VLOOKUP(ALLOCATIONS!B954,MAPPING!$E$3:$G$302,2,FALSE),"UNMAPPED"))</f>
        <v/>
      </c>
      <c r="D960" s="6">
        <f>IF(ALLOCATIONS!A954="","",IFERROR(IF(VLOOKUP(ALLOCATIONS!B954,MAPPING!$E$3:$G$302,3,FALSE)="","",VLOOKUP(ALLOCATIONS!B954,MAPPING!$E$3:$G$302,3,FALSE)),""))</f>
        <v/>
      </c>
      <c r="E960" s="6">
        <f>IF(ALLOCATIONS!A954="","",ALLOCATIONS!C954)</f>
        <v/>
      </c>
      <c r="F960" s="6">
        <f>IF(ALLOCATIONS!A954="","",IF(ALLOCATIONS!D954="",0,ALLOCATIONS!D954))</f>
        <v/>
      </c>
      <c r="G960" s="6">
        <f>IF(ALLOCATIONS!A954="","",SUMIFS(RAW_004!$I$2:$I$10001,RAW_004!$D$2:$D$10001,ALLOCATIONS!A954,RAW_004!$H$2:$H$10001,ALLOCATIONS!B954,RAW_004!$N$2:$N$10001,ALLOCATIONS!C954))</f>
        <v/>
      </c>
      <c r="H960" s="6">
        <f>IF(A960="","",G960-F960)</f>
        <v/>
      </c>
    </row>
    <row r="961">
      <c r="A961" s="6">
        <f>IF(ALLOCATIONS!A955="","",IFERROR(VLOOKUP(ALLOCATIONS!A955,MAPPING!$A$3:$C$302,2,FALSE),"UNMAPPED"))</f>
        <v/>
      </c>
      <c r="B961" s="6">
        <f>IF(ALLOCATIONS!A955="","",IFERROR(VLOOKUP(ALLOCATIONS!A955,MAPPING!$A$3:$C$302,3,FALSE),ALLOCATIONS!A955))</f>
        <v/>
      </c>
      <c r="C961" s="6">
        <f>IF(ALLOCATIONS!A955="","",IFERROR(VLOOKUP(ALLOCATIONS!B955,MAPPING!$E$3:$G$302,2,FALSE),"UNMAPPED"))</f>
        <v/>
      </c>
      <c r="D961" s="6">
        <f>IF(ALLOCATIONS!A955="","",IFERROR(IF(VLOOKUP(ALLOCATIONS!B955,MAPPING!$E$3:$G$302,3,FALSE)="","",VLOOKUP(ALLOCATIONS!B955,MAPPING!$E$3:$G$302,3,FALSE)),""))</f>
        <v/>
      </c>
      <c r="E961" s="6">
        <f>IF(ALLOCATIONS!A955="","",ALLOCATIONS!C955)</f>
        <v/>
      </c>
      <c r="F961" s="6">
        <f>IF(ALLOCATIONS!A955="","",IF(ALLOCATIONS!D955="",0,ALLOCATIONS!D955))</f>
        <v/>
      </c>
      <c r="G961" s="6">
        <f>IF(ALLOCATIONS!A955="","",SUMIFS(RAW_004!$I$2:$I$10001,RAW_004!$D$2:$D$10001,ALLOCATIONS!A955,RAW_004!$H$2:$H$10001,ALLOCATIONS!B955,RAW_004!$N$2:$N$10001,ALLOCATIONS!C955))</f>
        <v/>
      </c>
      <c r="H961" s="6">
        <f>IF(A961="","",G961-F961)</f>
        <v/>
      </c>
    </row>
    <row r="962">
      <c r="A962" s="6">
        <f>IF(ALLOCATIONS!A956="","",IFERROR(VLOOKUP(ALLOCATIONS!A956,MAPPING!$A$3:$C$302,2,FALSE),"UNMAPPED"))</f>
        <v/>
      </c>
      <c r="B962" s="6">
        <f>IF(ALLOCATIONS!A956="","",IFERROR(VLOOKUP(ALLOCATIONS!A956,MAPPING!$A$3:$C$302,3,FALSE),ALLOCATIONS!A956))</f>
        <v/>
      </c>
      <c r="C962" s="6">
        <f>IF(ALLOCATIONS!A956="","",IFERROR(VLOOKUP(ALLOCATIONS!B956,MAPPING!$E$3:$G$302,2,FALSE),"UNMAPPED"))</f>
        <v/>
      </c>
      <c r="D962" s="6">
        <f>IF(ALLOCATIONS!A956="","",IFERROR(IF(VLOOKUP(ALLOCATIONS!B956,MAPPING!$E$3:$G$302,3,FALSE)="","",VLOOKUP(ALLOCATIONS!B956,MAPPING!$E$3:$G$302,3,FALSE)),""))</f>
        <v/>
      </c>
      <c r="E962" s="6">
        <f>IF(ALLOCATIONS!A956="","",ALLOCATIONS!C956)</f>
        <v/>
      </c>
      <c r="F962" s="6">
        <f>IF(ALLOCATIONS!A956="","",IF(ALLOCATIONS!D956="",0,ALLOCATIONS!D956))</f>
        <v/>
      </c>
      <c r="G962" s="6">
        <f>IF(ALLOCATIONS!A956="","",SUMIFS(RAW_004!$I$2:$I$10001,RAW_004!$D$2:$D$10001,ALLOCATIONS!A956,RAW_004!$H$2:$H$10001,ALLOCATIONS!B956,RAW_004!$N$2:$N$10001,ALLOCATIONS!C956))</f>
        <v/>
      </c>
      <c r="H962" s="6">
        <f>IF(A962="","",G962-F962)</f>
        <v/>
      </c>
    </row>
    <row r="963">
      <c r="A963" s="6">
        <f>IF(ALLOCATIONS!A957="","",IFERROR(VLOOKUP(ALLOCATIONS!A957,MAPPING!$A$3:$C$302,2,FALSE),"UNMAPPED"))</f>
        <v/>
      </c>
      <c r="B963" s="6">
        <f>IF(ALLOCATIONS!A957="","",IFERROR(VLOOKUP(ALLOCATIONS!A957,MAPPING!$A$3:$C$302,3,FALSE),ALLOCATIONS!A957))</f>
        <v/>
      </c>
      <c r="C963" s="6">
        <f>IF(ALLOCATIONS!A957="","",IFERROR(VLOOKUP(ALLOCATIONS!B957,MAPPING!$E$3:$G$302,2,FALSE),"UNMAPPED"))</f>
        <v/>
      </c>
      <c r="D963" s="6">
        <f>IF(ALLOCATIONS!A957="","",IFERROR(IF(VLOOKUP(ALLOCATIONS!B957,MAPPING!$E$3:$G$302,3,FALSE)="","",VLOOKUP(ALLOCATIONS!B957,MAPPING!$E$3:$G$302,3,FALSE)),""))</f>
        <v/>
      </c>
      <c r="E963" s="6">
        <f>IF(ALLOCATIONS!A957="","",ALLOCATIONS!C957)</f>
        <v/>
      </c>
      <c r="F963" s="6">
        <f>IF(ALLOCATIONS!A957="","",IF(ALLOCATIONS!D957="",0,ALLOCATIONS!D957))</f>
        <v/>
      </c>
      <c r="G963" s="6">
        <f>IF(ALLOCATIONS!A957="","",SUMIFS(RAW_004!$I$2:$I$10001,RAW_004!$D$2:$D$10001,ALLOCATIONS!A957,RAW_004!$H$2:$H$10001,ALLOCATIONS!B957,RAW_004!$N$2:$N$10001,ALLOCATIONS!C957))</f>
        <v/>
      </c>
      <c r="H963" s="6">
        <f>IF(A963="","",G963-F963)</f>
        <v/>
      </c>
    </row>
    <row r="964">
      <c r="A964" s="6">
        <f>IF(ALLOCATIONS!A958="","",IFERROR(VLOOKUP(ALLOCATIONS!A958,MAPPING!$A$3:$C$302,2,FALSE),"UNMAPPED"))</f>
        <v/>
      </c>
      <c r="B964" s="6">
        <f>IF(ALLOCATIONS!A958="","",IFERROR(VLOOKUP(ALLOCATIONS!A958,MAPPING!$A$3:$C$302,3,FALSE),ALLOCATIONS!A958))</f>
        <v/>
      </c>
      <c r="C964" s="6">
        <f>IF(ALLOCATIONS!A958="","",IFERROR(VLOOKUP(ALLOCATIONS!B958,MAPPING!$E$3:$G$302,2,FALSE),"UNMAPPED"))</f>
        <v/>
      </c>
      <c r="D964" s="6">
        <f>IF(ALLOCATIONS!A958="","",IFERROR(IF(VLOOKUP(ALLOCATIONS!B958,MAPPING!$E$3:$G$302,3,FALSE)="","",VLOOKUP(ALLOCATIONS!B958,MAPPING!$E$3:$G$302,3,FALSE)),""))</f>
        <v/>
      </c>
      <c r="E964" s="6">
        <f>IF(ALLOCATIONS!A958="","",ALLOCATIONS!C958)</f>
        <v/>
      </c>
      <c r="F964" s="6">
        <f>IF(ALLOCATIONS!A958="","",IF(ALLOCATIONS!D958="",0,ALLOCATIONS!D958))</f>
        <v/>
      </c>
      <c r="G964" s="6">
        <f>IF(ALLOCATIONS!A958="","",SUMIFS(RAW_004!$I$2:$I$10001,RAW_004!$D$2:$D$10001,ALLOCATIONS!A958,RAW_004!$H$2:$H$10001,ALLOCATIONS!B958,RAW_004!$N$2:$N$10001,ALLOCATIONS!C958))</f>
        <v/>
      </c>
      <c r="H964" s="6">
        <f>IF(A964="","",G964-F964)</f>
        <v/>
      </c>
    </row>
    <row r="965">
      <c r="A965" s="6">
        <f>IF(ALLOCATIONS!A959="","",IFERROR(VLOOKUP(ALLOCATIONS!A959,MAPPING!$A$3:$C$302,2,FALSE),"UNMAPPED"))</f>
        <v/>
      </c>
      <c r="B965" s="6">
        <f>IF(ALLOCATIONS!A959="","",IFERROR(VLOOKUP(ALLOCATIONS!A959,MAPPING!$A$3:$C$302,3,FALSE),ALLOCATIONS!A959))</f>
        <v/>
      </c>
      <c r="C965" s="6">
        <f>IF(ALLOCATIONS!A959="","",IFERROR(VLOOKUP(ALLOCATIONS!B959,MAPPING!$E$3:$G$302,2,FALSE),"UNMAPPED"))</f>
        <v/>
      </c>
      <c r="D965" s="6">
        <f>IF(ALLOCATIONS!A959="","",IFERROR(IF(VLOOKUP(ALLOCATIONS!B959,MAPPING!$E$3:$G$302,3,FALSE)="","",VLOOKUP(ALLOCATIONS!B959,MAPPING!$E$3:$G$302,3,FALSE)),""))</f>
        <v/>
      </c>
      <c r="E965" s="6">
        <f>IF(ALLOCATIONS!A959="","",ALLOCATIONS!C959)</f>
        <v/>
      </c>
      <c r="F965" s="6">
        <f>IF(ALLOCATIONS!A959="","",IF(ALLOCATIONS!D959="",0,ALLOCATIONS!D959))</f>
        <v/>
      </c>
      <c r="G965" s="6">
        <f>IF(ALLOCATIONS!A959="","",SUMIFS(RAW_004!$I$2:$I$10001,RAW_004!$D$2:$D$10001,ALLOCATIONS!A959,RAW_004!$H$2:$H$10001,ALLOCATIONS!B959,RAW_004!$N$2:$N$10001,ALLOCATIONS!C959))</f>
        <v/>
      </c>
      <c r="H965" s="6">
        <f>IF(A965="","",G965-F965)</f>
        <v/>
      </c>
    </row>
    <row r="966">
      <c r="A966" s="6">
        <f>IF(ALLOCATIONS!A960="","",IFERROR(VLOOKUP(ALLOCATIONS!A960,MAPPING!$A$3:$C$302,2,FALSE),"UNMAPPED"))</f>
        <v/>
      </c>
      <c r="B966" s="6">
        <f>IF(ALLOCATIONS!A960="","",IFERROR(VLOOKUP(ALLOCATIONS!A960,MAPPING!$A$3:$C$302,3,FALSE),ALLOCATIONS!A960))</f>
        <v/>
      </c>
      <c r="C966" s="6">
        <f>IF(ALLOCATIONS!A960="","",IFERROR(VLOOKUP(ALLOCATIONS!B960,MAPPING!$E$3:$G$302,2,FALSE),"UNMAPPED"))</f>
        <v/>
      </c>
      <c r="D966" s="6">
        <f>IF(ALLOCATIONS!A960="","",IFERROR(IF(VLOOKUP(ALLOCATIONS!B960,MAPPING!$E$3:$G$302,3,FALSE)="","",VLOOKUP(ALLOCATIONS!B960,MAPPING!$E$3:$G$302,3,FALSE)),""))</f>
        <v/>
      </c>
      <c r="E966" s="6">
        <f>IF(ALLOCATIONS!A960="","",ALLOCATIONS!C960)</f>
        <v/>
      </c>
      <c r="F966" s="6">
        <f>IF(ALLOCATIONS!A960="","",IF(ALLOCATIONS!D960="",0,ALLOCATIONS!D960))</f>
        <v/>
      </c>
      <c r="G966" s="6">
        <f>IF(ALLOCATIONS!A960="","",SUMIFS(RAW_004!$I$2:$I$10001,RAW_004!$D$2:$D$10001,ALLOCATIONS!A960,RAW_004!$H$2:$H$10001,ALLOCATIONS!B960,RAW_004!$N$2:$N$10001,ALLOCATIONS!C960))</f>
        <v/>
      </c>
      <c r="H966" s="6">
        <f>IF(A966="","",G966-F966)</f>
        <v/>
      </c>
    </row>
    <row r="967">
      <c r="A967" s="6">
        <f>IF(ALLOCATIONS!A961="","",IFERROR(VLOOKUP(ALLOCATIONS!A961,MAPPING!$A$3:$C$302,2,FALSE),"UNMAPPED"))</f>
        <v/>
      </c>
      <c r="B967" s="6">
        <f>IF(ALLOCATIONS!A961="","",IFERROR(VLOOKUP(ALLOCATIONS!A961,MAPPING!$A$3:$C$302,3,FALSE),ALLOCATIONS!A961))</f>
        <v/>
      </c>
      <c r="C967" s="6">
        <f>IF(ALLOCATIONS!A961="","",IFERROR(VLOOKUP(ALLOCATIONS!B961,MAPPING!$E$3:$G$302,2,FALSE),"UNMAPPED"))</f>
        <v/>
      </c>
      <c r="D967" s="6">
        <f>IF(ALLOCATIONS!A961="","",IFERROR(IF(VLOOKUP(ALLOCATIONS!B961,MAPPING!$E$3:$G$302,3,FALSE)="","",VLOOKUP(ALLOCATIONS!B961,MAPPING!$E$3:$G$302,3,FALSE)),""))</f>
        <v/>
      </c>
      <c r="E967" s="6">
        <f>IF(ALLOCATIONS!A961="","",ALLOCATIONS!C961)</f>
        <v/>
      </c>
      <c r="F967" s="6">
        <f>IF(ALLOCATIONS!A961="","",IF(ALLOCATIONS!D961="",0,ALLOCATIONS!D961))</f>
        <v/>
      </c>
      <c r="G967" s="6">
        <f>IF(ALLOCATIONS!A961="","",SUMIFS(RAW_004!$I$2:$I$10001,RAW_004!$D$2:$D$10001,ALLOCATIONS!A961,RAW_004!$H$2:$H$10001,ALLOCATIONS!B961,RAW_004!$N$2:$N$10001,ALLOCATIONS!C961))</f>
        <v/>
      </c>
      <c r="H967" s="6">
        <f>IF(A967="","",G967-F967)</f>
        <v/>
      </c>
    </row>
    <row r="968">
      <c r="A968" s="6">
        <f>IF(ALLOCATIONS!A962="","",IFERROR(VLOOKUP(ALLOCATIONS!A962,MAPPING!$A$3:$C$302,2,FALSE),"UNMAPPED"))</f>
        <v/>
      </c>
      <c r="B968" s="6">
        <f>IF(ALLOCATIONS!A962="","",IFERROR(VLOOKUP(ALLOCATIONS!A962,MAPPING!$A$3:$C$302,3,FALSE),ALLOCATIONS!A962))</f>
        <v/>
      </c>
      <c r="C968" s="6">
        <f>IF(ALLOCATIONS!A962="","",IFERROR(VLOOKUP(ALLOCATIONS!B962,MAPPING!$E$3:$G$302,2,FALSE),"UNMAPPED"))</f>
        <v/>
      </c>
      <c r="D968" s="6">
        <f>IF(ALLOCATIONS!A962="","",IFERROR(IF(VLOOKUP(ALLOCATIONS!B962,MAPPING!$E$3:$G$302,3,FALSE)="","",VLOOKUP(ALLOCATIONS!B962,MAPPING!$E$3:$G$302,3,FALSE)),""))</f>
        <v/>
      </c>
      <c r="E968" s="6">
        <f>IF(ALLOCATIONS!A962="","",ALLOCATIONS!C962)</f>
        <v/>
      </c>
      <c r="F968" s="6">
        <f>IF(ALLOCATIONS!A962="","",IF(ALLOCATIONS!D962="",0,ALLOCATIONS!D962))</f>
        <v/>
      </c>
      <c r="G968" s="6">
        <f>IF(ALLOCATIONS!A962="","",SUMIFS(RAW_004!$I$2:$I$10001,RAW_004!$D$2:$D$10001,ALLOCATIONS!A962,RAW_004!$H$2:$H$10001,ALLOCATIONS!B962,RAW_004!$N$2:$N$10001,ALLOCATIONS!C962))</f>
        <v/>
      </c>
      <c r="H968" s="6">
        <f>IF(A968="","",G968-F968)</f>
        <v/>
      </c>
    </row>
    <row r="969">
      <c r="A969" s="6">
        <f>IF(ALLOCATIONS!A963="","",IFERROR(VLOOKUP(ALLOCATIONS!A963,MAPPING!$A$3:$C$302,2,FALSE),"UNMAPPED"))</f>
        <v/>
      </c>
      <c r="B969" s="6">
        <f>IF(ALLOCATIONS!A963="","",IFERROR(VLOOKUP(ALLOCATIONS!A963,MAPPING!$A$3:$C$302,3,FALSE),ALLOCATIONS!A963))</f>
        <v/>
      </c>
      <c r="C969" s="6">
        <f>IF(ALLOCATIONS!A963="","",IFERROR(VLOOKUP(ALLOCATIONS!B963,MAPPING!$E$3:$G$302,2,FALSE),"UNMAPPED"))</f>
        <v/>
      </c>
      <c r="D969" s="6">
        <f>IF(ALLOCATIONS!A963="","",IFERROR(IF(VLOOKUP(ALLOCATIONS!B963,MAPPING!$E$3:$G$302,3,FALSE)="","",VLOOKUP(ALLOCATIONS!B963,MAPPING!$E$3:$G$302,3,FALSE)),""))</f>
        <v/>
      </c>
      <c r="E969" s="6">
        <f>IF(ALLOCATIONS!A963="","",ALLOCATIONS!C963)</f>
        <v/>
      </c>
      <c r="F969" s="6">
        <f>IF(ALLOCATIONS!A963="","",IF(ALLOCATIONS!D963="",0,ALLOCATIONS!D963))</f>
        <v/>
      </c>
      <c r="G969" s="6">
        <f>IF(ALLOCATIONS!A963="","",SUMIFS(RAW_004!$I$2:$I$10001,RAW_004!$D$2:$D$10001,ALLOCATIONS!A963,RAW_004!$H$2:$H$10001,ALLOCATIONS!B963,RAW_004!$N$2:$N$10001,ALLOCATIONS!C963))</f>
        <v/>
      </c>
      <c r="H969" s="6">
        <f>IF(A969="","",G969-F969)</f>
        <v/>
      </c>
    </row>
    <row r="970">
      <c r="A970" s="6">
        <f>IF(ALLOCATIONS!A964="","",IFERROR(VLOOKUP(ALLOCATIONS!A964,MAPPING!$A$3:$C$302,2,FALSE),"UNMAPPED"))</f>
        <v/>
      </c>
      <c r="B970" s="6">
        <f>IF(ALLOCATIONS!A964="","",IFERROR(VLOOKUP(ALLOCATIONS!A964,MAPPING!$A$3:$C$302,3,FALSE),ALLOCATIONS!A964))</f>
        <v/>
      </c>
      <c r="C970" s="6">
        <f>IF(ALLOCATIONS!A964="","",IFERROR(VLOOKUP(ALLOCATIONS!B964,MAPPING!$E$3:$G$302,2,FALSE),"UNMAPPED"))</f>
        <v/>
      </c>
      <c r="D970" s="6">
        <f>IF(ALLOCATIONS!A964="","",IFERROR(IF(VLOOKUP(ALLOCATIONS!B964,MAPPING!$E$3:$G$302,3,FALSE)="","",VLOOKUP(ALLOCATIONS!B964,MAPPING!$E$3:$G$302,3,FALSE)),""))</f>
        <v/>
      </c>
      <c r="E970" s="6">
        <f>IF(ALLOCATIONS!A964="","",ALLOCATIONS!C964)</f>
        <v/>
      </c>
      <c r="F970" s="6">
        <f>IF(ALLOCATIONS!A964="","",IF(ALLOCATIONS!D964="",0,ALLOCATIONS!D964))</f>
        <v/>
      </c>
      <c r="G970" s="6">
        <f>IF(ALLOCATIONS!A964="","",SUMIFS(RAW_004!$I$2:$I$10001,RAW_004!$D$2:$D$10001,ALLOCATIONS!A964,RAW_004!$H$2:$H$10001,ALLOCATIONS!B964,RAW_004!$N$2:$N$10001,ALLOCATIONS!C964))</f>
        <v/>
      </c>
      <c r="H970" s="6">
        <f>IF(A970="","",G970-F970)</f>
        <v/>
      </c>
    </row>
    <row r="971">
      <c r="A971" s="6">
        <f>IF(ALLOCATIONS!A965="","",IFERROR(VLOOKUP(ALLOCATIONS!A965,MAPPING!$A$3:$C$302,2,FALSE),"UNMAPPED"))</f>
        <v/>
      </c>
      <c r="B971" s="6">
        <f>IF(ALLOCATIONS!A965="","",IFERROR(VLOOKUP(ALLOCATIONS!A965,MAPPING!$A$3:$C$302,3,FALSE),ALLOCATIONS!A965))</f>
        <v/>
      </c>
      <c r="C971" s="6">
        <f>IF(ALLOCATIONS!A965="","",IFERROR(VLOOKUP(ALLOCATIONS!B965,MAPPING!$E$3:$G$302,2,FALSE),"UNMAPPED"))</f>
        <v/>
      </c>
      <c r="D971" s="6">
        <f>IF(ALLOCATIONS!A965="","",IFERROR(IF(VLOOKUP(ALLOCATIONS!B965,MAPPING!$E$3:$G$302,3,FALSE)="","",VLOOKUP(ALLOCATIONS!B965,MAPPING!$E$3:$G$302,3,FALSE)),""))</f>
        <v/>
      </c>
      <c r="E971" s="6">
        <f>IF(ALLOCATIONS!A965="","",ALLOCATIONS!C965)</f>
        <v/>
      </c>
      <c r="F971" s="6">
        <f>IF(ALLOCATIONS!A965="","",IF(ALLOCATIONS!D965="",0,ALLOCATIONS!D965))</f>
        <v/>
      </c>
      <c r="G971" s="6">
        <f>IF(ALLOCATIONS!A965="","",SUMIFS(RAW_004!$I$2:$I$10001,RAW_004!$D$2:$D$10001,ALLOCATIONS!A965,RAW_004!$H$2:$H$10001,ALLOCATIONS!B965,RAW_004!$N$2:$N$10001,ALLOCATIONS!C965))</f>
        <v/>
      </c>
      <c r="H971" s="6">
        <f>IF(A971="","",G971-F971)</f>
        <v/>
      </c>
    </row>
    <row r="972">
      <c r="A972" s="6">
        <f>IF(ALLOCATIONS!A966="","",IFERROR(VLOOKUP(ALLOCATIONS!A966,MAPPING!$A$3:$C$302,2,FALSE),"UNMAPPED"))</f>
        <v/>
      </c>
      <c r="B972" s="6">
        <f>IF(ALLOCATIONS!A966="","",IFERROR(VLOOKUP(ALLOCATIONS!A966,MAPPING!$A$3:$C$302,3,FALSE),ALLOCATIONS!A966))</f>
        <v/>
      </c>
      <c r="C972" s="6">
        <f>IF(ALLOCATIONS!A966="","",IFERROR(VLOOKUP(ALLOCATIONS!B966,MAPPING!$E$3:$G$302,2,FALSE),"UNMAPPED"))</f>
        <v/>
      </c>
      <c r="D972" s="6">
        <f>IF(ALLOCATIONS!A966="","",IFERROR(IF(VLOOKUP(ALLOCATIONS!B966,MAPPING!$E$3:$G$302,3,FALSE)="","",VLOOKUP(ALLOCATIONS!B966,MAPPING!$E$3:$G$302,3,FALSE)),""))</f>
        <v/>
      </c>
      <c r="E972" s="6">
        <f>IF(ALLOCATIONS!A966="","",ALLOCATIONS!C966)</f>
        <v/>
      </c>
      <c r="F972" s="6">
        <f>IF(ALLOCATIONS!A966="","",IF(ALLOCATIONS!D966="",0,ALLOCATIONS!D966))</f>
        <v/>
      </c>
      <c r="G972" s="6">
        <f>IF(ALLOCATIONS!A966="","",SUMIFS(RAW_004!$I$2:$I$10001,RAW_004!$D$2:$D$10001,ALLOCATIONS!A966,RAW_004!$H$2:$H$10001,ALLOCATIONS!B966,RAW_004!$N$2:$N$10001,ALLOCATIONS!C966))</f>
        <v/>
      </c>
      <c r="H972" s="6">
        <f>IF(A972="","",G972-F972)</f>
        <v/>
      </c>
    </row>
    <row r="973">
      <c r="A973" s="6">
        <f>IF(ALLOCATIONS!A967="","",IFERROR(VLOOKUP(ALLOCATIONS!A967,MAPPING!$A$3:$C$302,2,FALSE),"UNMAPPED"))</f>
        <v/>
      </c>
      <c r="B973" s="6">
        <f>IF(ALLOCATIONS!A967="","",IFERROR(VLOOKUP(ALLOCATIONS!A967,MAPPING!$A$3:$C$302,3,FALSE),ALLOCATIONS!A967))</f>
        <v/>
      </c>
      <c r="C973" s="6">
        <f>IF(ALLOCATIONS!A967="","",IFERROR(VLOOKUP(ALLOCATIONS!B967,MAPPING!$E$3:$G$302,2,FALSE),"UNMAPPED"))</f>
        <v/>
      </c>
      <c r="D973" s="6">
        <f>IF(ALLOCATIONS!A967="","",IFERROR(IF(VLOOKUP(ALLOCATIONS!B967,MAPPING!$E$3:$G$302,3,FALSE)="","",VLOOKUP(ALLOCATIONS!B967,MAPPING!$E$3:$G$302,3,FALSE)),""))</f>
        <v/>
      </c>
      <c r="E973" s="6">
        <f>IF(ALLOCATIONS!A967="","",ALLOCATIONS!C967)</f>
        <v/>
      </c>
      <c r="F973" s="6">
        <f>IF(ALLOCATIONS!A967="","",IF(ALLOCATIONS!D967="",0,ALLOCATIONS!D967))</f>
        <v/>
      </c>
      <c r="G973" s="6">
        <f>IF(ALLOCATIONS!A967="","",SUMIFS(RAW_004!$I$2:$I$10001,RAW_004!$D$2:$D$10001,ALLOCATIONS!A967,RAW_004!$H$2:$H$10001,ALLOCATIONS!B967,RAW_004!$N$2:$N$10001,ALLOCATIONS!C967))</f>
        <v/>
      </c>
      <c r="H973" s="6">
        <f>IF(A973="","",G973-F973)</f>
        <v/>
      </c>
    </row>
    <row r="974">
      <c r="A974" s="6">
        <f>IF(ALLOCATIONS!A968="","",IFERROR(VLOOKUP(ALLOCATIONS!A968,MAPPING!$A$3:$C$302,2,FALSE),"UNMAPPED"))</f>
        <v/>
      </c>
      <c r="B974" s="6">
        <f>IF(ALLOCATIONS!A968="","",IFERROR(VLOOKUP(ALLOCATIONS!A968,MAPPING!$A$3:$C$302,3,FALSE),ALLOCATIONS!A968))</f>
        <v/>
      </c>
      <c r="C974" s="6">
        <f>IF(ALLOCATIONS!A968="","",IFERROR(VLOOKUP(ALLOCATIONS!B968,MAPPING!$E$3:$G$302,2,FALSE),"UNMAPPED"))</f>
        <v/>
      </c>
      <c r="D974" s="6">
        <f>IF(ALLOCATIONS!A968="","",IFERROR(IF(VLOOKUP(ALLOCATIONS!B968,MAPPING!$E$3:$G$302,3,FALSE)="","",VLOOKUP(ALLOCATIONS!B968,MAPPING!$E$3:$G$302,3,FALSE)),""))</f>
        <v/>
      </c>
      <c r="E974" s="6">
        <f>IF(ALLOCATIONS!A968="","",ALLOCATIONS!C968)</f>
        <v/>
      </c>
      <c r="F974" s="6">
        <f>IF(ALLOCATIONS!A968="","",IF(ALLOCATIONS!D968="",0,ALLOCATIONS!D968))</f>
        <v/>
      </c>
      <c r="G974" s="6">
        <f>IF(ALLOCATIONS!A968="","",SUMIFS(RAW_004!$I$2:$I$10001,RAW_004!$D$2:$D$10001,ALLOCATIONS!A968,RAW_004!$H$2:$H$10001,ALLOCATIONS!B968,RAW_004!$N$2:$N$10001,ALLOCATIONS!C968))</f>
        <v/>
      </c>
      <c r="H974" s="6">
        <f>IF(A974="","",G974-F974)</f>
        <v/>
      </c>
    </row>
    <row r="975">
      <c r="A975" s="6">
        <f>IF(ALLOCATIONS!A969="","",IFERROR(VLOOKUP(ALLOCATIONS!A969,MAPPING!$A$3:$C$302,2,FALSE),"UNMAPPED"))</f>
        <v/>
      </c>
      <c r="B975" s="6">
        <f>IF(ALLOCATIONS!A969="","",IFERROR(VLOOKUP(ALLOCATIONS!A969,MAPPING!$A$3:$C$302,3,FALSE),ALLOCATIONS!A969))</f>
        <v/>
      </c>
      <c r="C975" s="6">
        <f>IF(ALLOCATIONS!A969="","",IFERROR(VLOOKUP(ALLOCATIONS!B969,MAPPING!$E$3:$G$302,2,FALSE),"UNMAPPED"))</f>
        <v/>
      </c>
      <c r="D975" s="6">
        <f>IF(ALLOCATIONS!A969="","",IFERROR(IF(VLOOKUP(ALLOCATIONS!B969,MAPPING!$E$3:$G$302,3,FALSE)="","",VLOOKUP(ALLOCATIONS!B969,MAPPING!$E$3:$G$302,3,FALSE)),""))</f>
        <v/>
      </c>
      <c r="E975" s="6">
        <f>IF(ALLOCATIONS!A969="","",ALLOCATIONS!C969)</f>
        <v/>
      </c>
      <c r="F975" s="6">
        <f>IF(ALLOCATIONS!A969="","",IF(ALLOCATIONS!D969="",0,ALLOCATIONS!D969))</f>
        <v/>
      </c>
      <c r="G975" s="6">
        <f>IF(ALLOCATIONS!A969="","",SUMIFS(RAW_004!$I$2:$I$10001,RAW_004!$D$2:$D$10001,ALLOCATIONS!A969,RAW_004!$H$2:$H$10001,ALLOCATIONS!B969,RAW_004!$N$2:$N$10001,ALLOCATIONS!C969))</f>
        <v/>
      </c>
      <c r="H975" s="6">
        <f>IF(A975="","",G975-F975)</f>
        <v/>
      </c>
    </row>
    <row r="976">
      <c r="A976" s="6">
        <f>IF(ALLOCATIONS!A970="","",IFERROR(VLOOKUP(ALLOCATIONS!A970,MAPPING!$A$3:$C$302,2,FALSE),"UNMAPPED"))</f>
        <v/>
      </c>
      <c r="B976" s="6">
        <f>IF(ALLOCATIONS!A970="","",IFERROR(VLOOKUP(ALLOCATIONS!A970,MAPPING!$A$3:$C$302,3,FALSE),ALLOCATIONS!A970))</f>
        <v/>
      </c>
      <c r="C976" s="6">
        <f>IF(ALLOCATIONS!A970="","",IFERROR(VLOOKUP(ALLOCATIONS!B970,MAPPING!$E$3:$G$302,2,FALSE),"UNMAPPED"))</f>
        <v/>
      </c>
      <c r="D976" s="6">
        <f>IF(ALLOCATIONS!A970="","",IFERROR(IF(VLOOKUP(ALLOCATIONS!B970,MAPPING!$E$3:$G$302,3,FALSE)="","",VLOOKUP(ALLOCATIONS!B970,MAPPING!$E$3:$G$302,3,FALSE)),""))</f>
        <v/>
      </c>
      <c r="E976" s="6">
        <f>IF(ALLOCATIONS!A970="","",ALLOCATIONS!C970)</f>
        <v/>
      </c>
      <c r="F976" s="6">
        <f>IF(ALLOCATIONS!A970="","",IF(ALLOCATIONS!D970="",0,ALLOCATIONS!D970))</f>
        <v/>
      </c>
      <c r="G976" s="6">
        <f>IF(ALLOCATIONS!A970="","",SUMIFS(RAW_004!$I$2:$I$10001,RAW_004!$D$2:$D$10001,ALLOCATIONS!A970,RAW_004!$H$2:$H$10001,ALLOCATIONS!B970,RAW_004!$N$2:$N$10001,ALLOCATIONS!C970))</f>
        <v/>
      </c>
      <c r="H976" s="6">
        <f>IF(A976="","",G976-F976)</f>
        <v/>
      </c>
    </row>
    <row r="977">
      <c r="A977" s="6">
        <f>IF(ALLOCATIONS!A971="","",IFERROR(VLOOKUP(ALLOCATIONS!A971,MAPPING!$A$3:$C$302,2,FALSE),"UNMAPPED"))</f>
        <v/>
      </c>
      <c r="B977" s="6">
        <f>IF(ALLOCATIONS!A971="","",IFERROR(VLOOKUP(ALLOCATIONS!A971,MAPPING!$A$3:$C$302,3,FALSE),ALLOCATIONS!A971))</f>
        <v/>
      </c>
      <c r="C977" s="6">
        <f>IF(ALLOCATIONS!A971="","",IFERROR(VLOOKUP(ALLOCATIONS!B971,MAPPING!$E$3:$G$302,2,FALSE),"UNMAPPED"))</f>
        <v/>
      </c>
      <c r="D977" s="6">
        <f>IF(ALLOCATIONS!A971="","",IFERROR(IF(VLOOKUP(ALLOCATIONS!B971,MAPPING!$E$3:$G$302,3,FALSE)="","",VLOOKUP(ALLOCATIONS!B971,MAPPING!$E$3:$G$302,3,FALSE)),""))</f>
        <v/>
      </c>
      <c r="E977" s="6">
        <f>IF(ALLOCATIONS!A971="","",ALLOCATIONS!C971)</f>
        <v/>
      </c>
      <c r="F977" s="6">
        <f>IF(ALLOCATIONS!A971="","",IF(ALLOCATIONS!D971="",0,ALLOCATIONS!D971))</f>
        <v/>
      </c>
      <c r="G977" s="6">
        <f>IF(ALLOCATIONS!A971="","",SUMIFS(RAW_004!$I$2:$I$10001,RAW_004!$D$2:$D$10001,ALLOCATIONS!A971,RAW_004!$H$2:$H$10001,ALLOCATIONS!B971,RAW_004!$N$2:$N$10001,ALLOCATIONS!C971))</f>
        <v/>
      </c>
      <c r="H977" s="6">
        <f>IF(A977="","",G977-F977)</f>
        <v/>
      </c>
    </row>
    <row r="978">
      <c r="A978" s="6">
        <f>IF(ALLOCATIONS!A972="","",IFERROR(VLOOKUP(ALLOCATIONS!A972,MAPPING!$A$3:$C$302,2,FALSE),"UNMAPPED"))</f>
        <v/>
      </c>
      <c r="B978" s="6">
        <f>IF(ALLOCATIONS!A972="","",IFERROR(VLOOKUP(ALLOCATIONS!A972,MAPPING!$A$3:$C$302,3,FALSE),ALLOCATIONS!A972))</f>
        <v/>
      </c>
      <c r="C978" s="6">
        <f>IF(ALLOCATIONS!A972="","",IFERROR(VLOOKUP(ALLOCATIONS!B972,MAPPING!$E$3:$G$302,2,FALSE),"UNMAPPED"))</f>
        <v/>
      </c>
      <c r="D978" s="6">
        <f>IF(ALLOCATIONS!A972="","",IFERROR(IF(VLOOKUP(ALLOCATIONS!B972,MAPPING!$E$3:$G$302,3,FALSE)="","",VLOOKUP(ALLOCATIONS!B972,MAPPING!$E$3:$G$302,3,FALSE)),""))</f>
        <v/>
      </c>
      <c r="E978" s="6">
        <f>IF(ALLOCATIONS!A972="","",ALLOCATIONS!C972)</f>
        <v/>
      </c>
      <c r="F978" s="6">
        <f>IF(ALLOCATIONS!A972="","",IF(ALLOCATIONS!D972="",0,ALLOCATIONS!D972))</f>
        <v/>
      </c>
      <c r="G978" s="6">
        <f>IF(ALLOCATIONS!A972="","",SUMIFS(RAW_004!$I$2:$I$10001,RAW_004!$D$2:$D$10001,ALLOCATIONS!A972,RAW_004!$H$2:$H$10001,ALLOCATIONS!B972,RAW_004!$N$2:$N$10001,ALLOCATIONS!C972))</f>
        <v/>
      </c>
      <c r="H978" s="6">
        <f>IF(A978="","",G978-F978)</f>
        <v/>
      </c>
    </row>
    <row r="979">
      <c r="A979" s="6">
        <f>IF(ALLOCATIONS!A973="","",IFERROR(VLOOKUP(ALLOCATIONS!A973,MAPPING!$A$3:$C$302,2,FALSE),"UNMAPPED"))</f>
        <v/>
      </c>
      <c r="B979" s="6">
        <f>IF(ALLOCATIONS!A973="","",IFERROR(VLOOKUP(ALLOCATIONS!A973,MAPPING!$A$3:$C$302,3,FALSE),ALLOCATIONS!A973))</f>
        <v/>
      </c>
      <c r="C979" s="6">
        <f>IF(ALLOCATIONS!A973="","",IFERROR(VLOOKUP(ALLOCATIONS!B973,MAPPING!$E$3:$G$302,2,FALSE),"UNMAPPED"))</f>
        <v/>
      </c>
      <c r="D979" s="6">
        <f>IF(ALLOCATIONS!A973="","",IFERROR(IF(VLOOKUP(ALLOCATIONS!B973,MAPPING!$E$3:$G$302,3,FALSE)="","",VLOOKUP(ALLOCATIONS!B973,MAPPING!$E$3:$G$302,3,FALSE)),""))</f>
        <v/>
      </c>
      <c r="E979" s="6">
        <f>IF(ALLOCATIONS!A973="","",ALLOCATIONS!C973)</f>
        <v/>
      </c>
      <c r="F979" s="6">
        <f>IF(ALLOCATIONS!A973="","",IF(ALLOCATIONS!D973="",0,ALLOCATIONS!D973))</f>
        <v/>
      </c>
      <c r="G979" s="6">
        <f>IF(ALLOCATIONS!A973="","",SUMIFS(RAW_004!$I$2:$I$10001,RAW_004!$D$2:$D$10001,ALLOCATIONS!A973,RAW_004!$H$2:$H$10001,ALLOCATIONS!B973,RAW_004!$N$2:$N$10001,ALLOCATIONS!C973))</f>
        <v/>
      </c>
      <c r="H979" s="6">
        <f>IF(A979="","",G979-F979)</f>
        <v/>
      </c>
    </row>
    <row r="980">
      <c r="A980" s="6">
        <f>IF(ALLOCATIONS!A974="","",IFERROR(VLOOKUP(ALLOCATIONS!A974,MAPPING!$A$3:$C$302,2,FALSE),"UNMAPPED"))</f>
        <v/>
      </c>
      <c r="B980" s="6">
        <f>IF(ALLOCATIONS!A974="","",IFERROR(VLOOKUP(ALLOCATIONS!A974,MAPPING!$A$3:$C$302,3,FALSE),ALLOCATIONS!A974))</f>
        <v/>
      </c>
      <c r="C980" s="6">
        <f>IF(ALLOCATIONS!A974="","",IFERROR(VLOOKUP(ALLOCATIONS!B974,MAPPING!$E$3:$G$302,2,FALSE),"UNMAPPED"))</f>
        <v/>
      </c>
      <c r="D980" s="6">
        <f>IF(ALLOCATIONS!A974="","",IFERROR(IF(VLOOKUP(ALLOCATIONS!B974,MAPPING!$E$3:$G$302,3,FALSE)="","",VLOOKUP(ALLOCATIONS!B974,MAPPING!$E$3:$G$302,3,FALSE)),""))</f>
        <v/>
      </c>
      <c r="E980" s="6">
        <f>IF(ALLOCATIONS!A974="","",ALLOCATIONS!C974)</f>
        <v/>
      </c>
      <c r="F980" s="6">
        <f>IF(ALLOCATIONS!A974="","",IF(ALLOCATIONS!D974="",0,ALLOCATIONS!D974))</f>
        <v/>
      </c>
      <c r="G980" s="6">
        <f>IF(ALLOCATIONS!A974="","",SUMIFS(RAW_004!$I$2:$I$10001,RAW_004!$D$2:$D$10001,ALLOCATIONS!A974,RAW_004!$H$2:$H$10001,ALLOCATIONS!B974,RAW_004!$N$2:$N$10001,ALLOCATIONS!C974))</f>
        <v/>
      </c>
      <c r="H980" s="6">
        <f>IF(A980="","",G980-F980)</f>
        <v/>
      </c>
    </row>
    <row r="981">
      <c r="A981" s="6">
        <f>IF(ALLOCATIONS!A975="","",IFERROR(VLOOKUP(ALLOCATIONS!A975,MAPPING!$A$3:$C$302,2,FALSE),"UNMAPPED"))</f>
        <v/>
      </c>
      <c r="B981" s="6">
        <f>IF(ALLOCATIONS!A975="","",IFERROR(VLOOKUP(ALLOCATIONS!A975,MAPPING!$A$3:$C$302,3,FALSE),ALLOCATIONS!A975))</f>
        <v/>
      </c>
      <c r="C981" s="6">
        <f>IF(ALLOCATIONS!A975="","",IFERROR(VLOOKUP(ALLOCATIONS!B975,MAPPING!$E$3:$G$302,2,FALSE),"UNMAPPED"))</f>
        <v/>
      </c>
      <c r="D981" s="6">
        <f>IF(ALLOCATIONS!A975="","",IFERROR(IF(VLOOKUP(ALLOCATIONS!B975,MAPPING!$E$3:$G$302,3,FALSE)="","",VLOOKUP(ALLOCATIONS!B975,MAPPING!$E$3:$G$302,3,FALSE)),""))</f>
        <v/>
      </c>
      <c r="E981" s="6">
        <f>IF(ALLOCATIONS!A975="","",ALLOCATIONS!C975)</f>
        <v/>
      </c>
      <c r="F981" s="6">
        <f>IF(ALLOCATIONS!A975="","",IF(ALLOCATIONS!D975="",0,ALLOCATIONS!D975))</f>
        <v/>
      </c>
      <c r="G981" s="6">
        <f>IF(ALLOCATIONS!A975="","",SUMIFS(RAW_004!$I$2:$I$10001,RAW_004!$D$2:$D$10001,ALLOCATIONS!A975,RAW_004!$H$2:$H$10001,ALLOCATIONS!B975,RAW_004!$N$2:$N$10001,ALLOCATIONS!C975))</f>
        <v/>
      </c>
      <c r="H981" s="6">
        <f>IF(A981="","",G981-F981)</f>
        <v/>
      </c>
    </row>
    <row r="982">
      <c r="A982" s="6">
        <f>IF(ALLOCATIONS!A976="","",IFERROR(VLOOKUP(ALLOCATIONS!A976,MAPPING!$A$3:$C$302,2,FALSE),"UNMAPPED"))</f>
        <v/>
      </c>
      <c r="B982" s="6">
        <f>IF(ALLOCATIONS!A976="","",IFERROR(VLOOKUP(ALLOCATIONS!A976,MAPPING!$A$3:$C$302,3,FALSE),ALLOCATIONS!A976))</f>
        <v/>
      </c>
      <c r="C982" s="6">
        <f>IF(ALLOCATIONS!A976="","",IFERROR(VLOOKUP(ALLOCATIONS!B976,MAPPING!$E$3:$G$302,2,FALSE),"UNMAPPED"))</f>
        <v/>
      </c>
      <c r="D982" s="6">
        <f>IF(ALLOCATIONS!A976="","",IFERROR(IF(VLOOKUP(ALLOCATIONS!B976,MAPPING!$E$3:$G$302,3,FALSE)="","",VLOOKUP(ALLOCATIONS!B976,MAPPING!$E$3:$G$302,3,FALSE)),""))</f>
        <v/>
      </c>
      <c r="E982" s="6">
        <f>IF(ALLOCATIONS!A976="","",ALLOCATIONS!C976)</f>
        <v/>
      </c>
      <c r="F982" s="6">
        <f>IF(ALLOCATIONS!A976="","",IF(ALLOCATIONS!D976="",0,ALLOCATIONS!D976))</f>
        <v/>
      </c>
      <c r="G982" s="6">
        <f>IF(ALLOCATIONS!A976="","",SUMIFS(RAW_004!$I$2:$I$10001,RAW_004!$D$2:$D$10001,ALLOCATIONS!A976,RAW_004!$H$2:$H$10001,ALLOCATIONS!B976,RAW_004!$N$2:$N$10001,ALLOCATIONS!C976))</f>
        <v/>
      </c>
      <c r="H982" s="6">
        <f>IF(A982="","",G982-F982)</f>
        <v/>
      </c>
    </row>
    <row r="983">
      <c r="A983" s="6">
        <f>IF(ALLOCATIONS!A977="","",IFERROR(VLOOKUP(ALLOCATIONS!A977,MAPPING!$A$3:$C$302,2,FALSE),"UNMAPPED"))</f>
        <v/>
      </c>
      <c r="B983" s="6">
        <f>IF(ALLOCATIONS!A977="","",IFERROR(VLOOKUP(ALLOCATIONS!A977,MAPPING!$A$3:$C$302,3,FALSE),ALLOCATIONS!A977))</f>
        <v/>
      </c>
      <c r="C983" s="6">
        <f>IF(ALLOCATIONS!A977="","",IFERROR(VLOOKUP(ALLOCATIONS!B977,MAPPING!$E$3:$G$302,2,FALSE),"UNMAPPED"))</f>
        <v/>
      </c>
      <c r="D983" s="6">
        <f>IF(ALLOCATIONS!A977="","",IFERROR(IF(VLOOKUP(ALLOCATIONS!B977,MAPPING!$E$3:$G$302,3,FALSE)="","",VLOOKUP(ALLOCATIONS!B977,MAPPING!$E$3:$G$302,3,FALSE)),""))</f>
        <v/>
      </c>
      <c r="E983" s="6">
        <f>IF(ALLOCATIONS!A977="","",ALLOCATIONS!C977)</f>
        <v/>
      </c>
      <c r="F983" s="6">
        <f>IF(ALLOCATIONS!A977="","",IF(ALLOCATIONS!D977="",0,ALLOCATIONS!D977))</f>
        <v/>
      </c>
      <c r="G983" s="6">
        <f>IF(ALLOCATIONS!A977="","",SUMIFS(RAW_004!$I$2:$I$10001,RAW_004!$D$2:$D$10001,ALLOCATIONS!A977,RAW_004!$H$2:$H$10001,ALLOCATIONS!B977,RAW_004!$N$2:$N$10001,ALLOCATIONS!C977))</f>
        <v/>
      </c>
      <c r="H983" s="6">
        <f>IF(A983="","",G983-F983)</f>
        <v/>
      </c>
    </row>
    <row r="984">
      <c r="A984" s="6">
        <f>IF(ALLOCATIONS!A978="","",IFERROR(VLOOKUP(ALLOCATIONS!A978,MAPPING!$A$3:$C$302,2,FALSE),"UNMAPPED"))</f>
        <v/>
      </c>
      <c r="B984" s="6">
        <f>IF(ALLOCATIONS!A978="","",IFERROR(VLOOKUP(ALLOCATIONS!A978,MAPPING!$A$3:$C$302,3,FALSE),ALLOCATIONS!A978))</f>
        <v/>
      </c>
      <c r="C984" s="6">
        <f>IF(ALLOCATIONS!A978="","",IFERROR(VLOOKUP(ALLOCATIONS!B978,MAPPING!$E$3:$G$302,2,FALSE),"UNMAPPED"))</f>
        <v/>
      </c>
      <c r="D984" s="6">
        <f>IF(ALLOCATIONS!A978="","",IFERROR(IF(VLOOKUP(ALLOCATIONS!B978,MAPPING!$E$3:$G$302,3,FALSE)="","",VLOOKUP(ALLOCATIONS!B978,MAPPING!$E$3:$G$302,3,FALSE)),""))</f>
        <v/>
      </c>
      <c r="E984" s="6">
        <f>IF(ALLOCATIONS!A978="","",ALLOCATIONS!C978)</f>
        <v/>
      </c>
      <c r="F984" s="6">
        <f>IF(ALLOCATIONS!A978="","",IF(ALLOCATIONS!D978="",0,ALLOCATIONS!D978))</f>
        <v/>
      </c>
      <c r="G984" s="6">
        <f>IF(ALLOCATIONS!A978="","",SUMIFS(RAW_004!$I$2:$I$10001,RAW_004!$D$2:$D$10001,ALLOCATIONS!A978,RAW_004!$H$2:$H$10001,ALLOCATIONS!B978,RAW_004!$N$2:$N$10001,ALLOCATIONS!C978))</f>
        <v/>
      </c>
      <c r="H984" s="6">
        <f>IF(A984="","",G984-F984)</f>
        <v/>
      </c>
    </row>
    <row r="985">
      <c r="A985" s="6">
        <f>IF(ALLOCATIONS!A979="","",IFERROR(VLOOKUP(ALLOCATIONS!A979,MAPPING!$A$3:$C$302,2,FALSE),"UNMAPPED"))</f>
        <v/>
      </c>
      <c r="B985" s="6">
        <f>IF(ALLOCATIONS!A979="","",IFERROR(VLOOKUP(ALLOCATIONS!A979,MAPPING!$A$3:$C$302,3,FALSE),ALLOCATIONS!A979))</f>
        <v/>
      </c>
      <c r="C985" s="6">
        <f>IF(ALLOCATIONS!A979="","",IFERROR(VLOOKUP(ALLOCATIONS!B979,MAPPING!$E$3:$G$302,2,FALSE),"UNMAPPED"))</f>
        <v/>
      </c>
      <c r="D985" s="6">
        <f>IF(ALLOCATIONS!A979="","",IFERROR(IF(VLOOKUP(ALLOCATIONS!B979,MAPPING!$E$3:$G$302,3,FALSE)="","",VLOOKUP(ALLOCATIONS!B979,MAPPING!$E$3:$G$302,3,FALSE)),""))</f>
        <v/>
      </c>
      <c r="E985" s="6">
        <f>IF(ALLOCATIONS!A979="","",ALLOCATIONS!C979)</f>
        <v/>
      </c>
      <c r="F985" s="6">
        <f>IF(ALLOCATIONS!A979="","",IF(ALLOCATIONS!D979="",0,ALLOCATIONS!D979))</f>
        <v/>
      </c>
      <c r="G985" s="6">
        <f>IF(ALLOCATIONS!A979="","",SUMIFS(RAW_004!$I$2:$I$10001,RAW_004!$D$2:$D$10001,ALLOCATIONS!A979,RAW_004!$H$2:$H$10001,ALLOCATIONS!B979,RAW_004!$N$2:$N$10001,ALLOCATIONS!C979))</f>
        <v/>
      </c>
      <c r="H985" s="6">
        <f>IF(A985="","",G985-F985)</f>
        <v/>
      </c>
    </row>
    <row r="986">
      <c r="A986" s="6">
        <f>IF(ALLOCATIONS!A980="","",IFERROR(VLOOKUP(ALLOCATIONS!A980,MAPPING!$A$3:$C$302,2,FALSE),"UNMAPPED"))</f>
        <v/>
      </c>
      <c r="B986" s="6">
        <f>IF(ALLOCATIONS!A980="","",IFERROR(VLOOKUP(ALLOCATIONS!A980,MAPPING!$A$3:$C$302,3,FALSE),ALLOCATIONS!A980))</f>
        <v/>
      </c>
      <c r="C986" s="6">
        <f>IF(ALLOCATIONS!A980="","",IFERROR(VLOOKUP(ALLOCATIONS!B980,MAPPING!$E$3:$G$302,2,FALSE),"UNMAPPED"))</f>
        <v/>
      </c>
      <c r="D986" s="6">
        <f>IF(ALLOCATIONS!A980="","",IFERROR(IF(VLOOKUP(ALLOCATIONS!B980,MAPPING!$E$3:$G$302,3,FALSE)="","",VLOOKUP(ALLOCATIONS!B980,MAPPING!$E$3:$G$302,3,FALSE)),""))</f>
        <v/>
      </c>
      <c r="E986" s="6">
        <f>IF(ALLOCATIONS!A980="","",ALLOCATIONS!C980)</f>
        <v/>
      </c>
      <c r="F986" s="6">
        <f>IF(ALLOCATIONS!A980="","",IF(ALLOCATIONS!D980="",0,ALLOCATIONS!D980))</f>
        <v/>
      </c>
      <c r="G986" s="6">
        <f>IF(ALLOCATIONS!A980="","",SUMIFS(RAW_004!$I$2:$I$10001,RAW_004!$D$2:$D$10001,ALLOCATIONS!A980,RAW_004!$H$2:$H$10001,ALLOCATIONS!B980,RAW_004!$N$2:$N$10001,ALLOCATIONS!C980))</f>
        <v/>
      </c>
      <c r="H986" s="6">
        <f>IF(A986="","",G986-F986)</f>
        <v/>
      </c>
    </row>
    <row r="987">
      <c r="A987" s="6">
        <f>IF(ALLOCATIONS!A981="","",IFERROR(VLOOKUP(ALLOCATIONS!A981,MAPPING!$A$3:$C$302,2,FALSE),"UNMAPPED"))</f>
        <v/>
      </c>
      <c r="B987" s="6">
        <f>IF(ALLOCATIONS!A981="","",IFERROR(VLOOKUP(ALLOCATIONS!A981,MAPPING!$A$3:$C$302,3,FALSE),ALLOCATIONS!A981))</f>
        <v/>
      </c>
      <c r="C987" s="6">
        <f>IF(ALLOCATIONS!A981="","",IFERROR(VLOOKUP(ALLOCATIONS!B981,MAPPING!$E$3:$G$302,2,FALSE),"UNMAPPED"))</f>
        <v/>
      </c>
      <c r="D987" s="6">
        <f>IF(ALLOCATIONS!A981="","",IFERROR(IF(VLOOKUP(ALLOCATIONS!B981,MAPPING!$E$3:$G$302,3,FALSE)="","",VLOOKUP(ALLOCATIONS!B981,MAPPING!$E$3:$G$302,3,FALSE)),""))</f>
        <v/>
      </c>
      <c r="E987" s="6">
        <f>IF(ALLOCATIONS!A981="","",ALLOCATIONS!C981)</f>
        <v/>
      </c>
      <c r="F987" s="6">
        <f>IF(ALLOCATIONS!A981="","",IF(ALLOCATIONS!D981="",0,ALLOCATIONS!D981))</f>
        <v/>
      </c>
      <c r="G987" s="6">
        <f>IF(ALLOCATIONS!A981="","",SUMIFS(RAW_004!$I$2:$I$10001,RAW_004!$D$2:$D$10001,ALLOCATIONS!A981,RAW_004!$H$2:$H$10001,ALLOCATIONS!B981,RAW_004!$N$2:$N$10001,ALLOCATIONS!C981))</f>
        <v/>
      </c>
      <c r="H987" s="6">
        <f>IF(A987="","",G987-F987)</f>
        <v/>
      </c>
    </row>
    <row r="988">
      <c r="A988" s="6">
        <f>IF(ALLOCATIONS!A982="","",IFERROR(VLOOKUP(ALLOCATIONS!A982,MAPPING!$A$3:$C$302,2,FALSE),"UNMAPPED"))</f>
        <v/>
      </c>
      <c r="B988" s="6">
        <f>IF(ALLOCATIONS!A982="","",IFERROR(VLOOKUP(ALLOCATIONS!A982,MAPPING!$A$3:$C$302,3,FALSE),ALLOCATIONS!A982))</f>
        <v/>
      </c>
      <c r="C988" s="6">
        <f>IF(ALLOCATIONS!A982="","",IFERROR(VLOOKUP(ALLOCATIONS!B982,MAPPING!$E$3:$G$302,2,FALSE),"UNMAPPED"))</f>
        <v/>
      </c>
      <c r="D988" s="6">
        <f>IF(ALLOCATIONS!A982="","",IFERROR(IF(VLOOKUP(ALLOCATIONS!B982,MAPPING!$E$3:$G$302,3,FALSE)="","",VLOOKUP(ALLOCATIONS!B982,MAPPING!$E$3:$G$302,3,FALSE)),""))</f>
        <v/>
      </c>
      <c r="E988" s="6">
        <f>IF(ALLOCATIONS!A982="","",ALLOCATIONS!C982)</f>
        <v/>
      </c>
      <c r="F988" s="6">
        <f>IF(ALLOCATIONS!A982="","",IF(ALLOCATIONS!D982="",0,ALLOCATIONS!D982))</f>
        <v/>
      </c>
      <c r="G988" s="6">
        <f>IF(ALLOCATIONS!A982="","",SUMIFS(RAW_004!$I$2:$I$10001,RAW_004!$D$2:$D$10001,ALLOCATIONS!A982,RAW_004!$H$2:$H$10001,ALLOCATIONS!B982,RAW_004!$N$2:$N$10001,ALLOCATIONS!C982))</f>
        <v/>
      </c>
      <c r="H988" s="6">
        <f>IF(A988="","",G988-F988)</f>
        <v/>
      </c>
    </row>
    <row r="989">
      <c r="A989" s="6">
        <f>IF(ALLOCATIONS!A983="","",IFERROR(VLOOKUP(ALLOCATIONS!A983,MAPPING!$A$3:$C$302,2,FALSE),"UNMAPPED"))</f>
        <v/>
      </c>
      <c r="B989" s="6">
        <f>IF(ALLOCATIONS!A983="","",IFERROR(VLOOKUP(ALLOCATIONS!A983,MAPPING!$A$3:$C$302,3,FALSE),ALLOCATIONS!A983))</f>
        <v/>
      </c>
      <c r="C989" s="6">
        <f>IF(ALLOCATIONS!A983="","",IFERROR(VLOOKUP(ALLOCATIONS!B983,MAPPING!$E$3:$G$302,2,FALSE),"UNMAPPED"))</f>
        <v/>
      </c>
      <c r="D989" s="6">
        <f>IF(ALLOCATIONS!A983="","",IFERROR(IF(VLOOKUP(ALLOCATIONS!B983,MAPPING!$E$3:$G$302,3,FALSE)="","",VLOOKUP(ALLOCATIONS!B983,MAPPING!$E$3:$G$302,3,FALSE)),""))</f>
        <v/>
      </c>
      <c r="E989" s="6">
        <f>IF(ALLOCATIONS!A983="","",ALLOCATIONS!C983)</f>
        <v/>
      </c>
      <c r="F989" s="6">
        <f>IF(ALLOCATIONS!A983="","",IF(ALLOCATIONS!D983="",0,ALLOCATIONS!D983))</f>
        <v/>
      </c>
      <c r="G989" s="6">
        <f>IF(ALLOCATIONS!A983="","",SUMIFS(RAW_004!$I$2:$I$10001,RAW_004!$D$2:$D$10001,ALLOCATIONS!A983,RAW_004!$H$2:$H$10001,ALLOCATIONS!B983,RAW_004!$N$2:$N$10001,ALLOCATIONS!C983))</f>
        <v/>
      </c>
      <c r="H989" s="6">
        <f>IF(A989="","",G989-F989)</f>
        <v/>
      </c>
    </row>
    <row r="990">
      <c r="A990" s="6">
        <f>IF(ALLOCATIONS!A984="","",IFERROR(VLOOKUP(ALLOCATIONS!A984,MAPPING!$A$3:$C$302,2,FALSE),"UNMAPPED"))</f>
        <v/>
      </c>
      <c r="B990" s="6">
        <f>IF(ALLOCATIONS!A984="","",IFERROR(VLOOKUP(ALLOCATIONS!A984,MAPPING!$A$3:$C$302,3,FALSE),ALLOCATIONS!A984))</f>
        <v/>
      </c>
      <c r="C990" s="6">
        <f>IF(ALLOCATIONS!A984="","",IFERROR(VLOOKUP(ALLOCATIONS!B984,MAPPING!$E$3:$G$302,2,FALSE),"UNMAPPED"))</f>
        <v/>
      </c>
      <c r="D990" s="6">
        <f>IF(ALLOCATIONS!A984="","",IFERROR(IF(VLOOKUP(ALLOCATIONS!B984,MAPPING!$E$3:$G$302,3,FALSE)="","",VLOOKUP(ALLOCATIONS!B984,MAPPING!$E$3:$G$302,3,FALSE)),""))</f>
        <v/>
      </c>
      <c r="E990" s="6">
        <f>IF(ALLOCATIONS!A984="","",ALLOCATIONS!C984)</f>
        <v/>
      </c>
      <c r="F990" s="6">
        <f>IF(ALLOCATIONS!A984="","",IF(ALLOCATIONS!D984="",0,ALLOCATIONS!D984))</f>
        <v/>
      </c>
      <c r="G990" s="6">
        <f>IF(ALLOCATIONS!A984="","",SUMIFS(RAW_004!$I$2:$I$10001,RAW_004!$D$2:$D$10001,ALLOCATIONS!A984,RAW_004!$H$2:$H$10001,ALLOCATIONS!B984,RAW_004!$N$2:$N$10001,ALLOCATIONS!C984))</f>
        <v/>
      </c>
      <c r="H990" s="6">
        <f>IF(A990="","",G990-F990)</f>
        <v/>
      </c>
    </row>
    <row r="991">
      <c r="A991" s="6">
        <f>IF(ALLOCATIONS!A985="","",IFERROR(VLOOKUP(ALLOCATIONS!A985,MAPPING!$A$3:$C$302,2,FALSE),"UNMAPPED"))</f>
        <v/>
      </c>
      <c r="B991" s="6">
        <f>IF(ALLOCATIONS!A985="","",IFERROR(VLOOKUP(ALLOCATIONS!A985,MAPPING!$A$3:$C$302,3,FALSE),ALLOCATIONS!A985))</f>
        <v/>
      </c>
      <c r="C991" s="6">
        <f>IF(ALLOCATIONS!A985="","",IFERROR(VLOOKUP(ALLOCATIONS!B985,MAPPING!$E$3:$G$302,2,FALSE),"UNMAPPED"))</f>
        <v/>
      </c>
      <c r="D991" s="6">
        <f>IF(ALLOCATIONS!A985="","",IFERROR(IF(VLOOKUP(ALLOCATIONS!B985,MAPPING!$E$3:$G$302,3,FALSE)="","",VLOOKUP(ALLOCATIONS!B985,MAPPING!$E$3:$G$302,3,FALSE)),""))</f>
        <v/>
      </c>
      <c r="E991" s="6">
        <f>IF(ALLOCATIONS!A985="","",ALLOCATIONS!C985)</f>
        <v/>
      </c>
      <c r="F991" s="6">
        <f>IF(ALLOCATIONS!A985="","",IF(ALLOCATIONS!D985="",0,ALLOCATIONS!D985))</f>
        <v/>
      </c>
      <c r="G991" s="6">
        <f>IF(ALLOCATIONS!A985="","",SUMIFS(RAW_004!$I$2:$I$10001,RAW_004!$D$2:$D$10001,ALLOCATIONS!A985,RAW_004!$H$2:$H$10001,ALLOCATIONS!B985,RAW_004!$N$2:$N$10001,ALLOCATIONS!C985))</f>
        <v/>
      </c>
      <c r="H991" s="6">
        <f>IF(A991="","",G991-F991)</f>
        <v/>
      </c>
    </row>
    <row r="992">
      <c r="A992" s="6">
        <f>IF(ALLOCATIONS!A986="","",IFERROR(VLOOKUP(ALLOCATIONS!A986,MAPPING!$A$3:$C$302,2,FALSE),"UNMAPPED"))</f>
        <v/>
      </c>
      <c r="B992" s="6">
        <f>IF(ALLOCATIONS!A986="","",IFERROR(VLOOKUP(ALLOCATIONS!A986,MAPPING!$A$3:$C$302,3,FALSE),ALLOCATIONS!A986))</f>
        <v/>
      </c>
      <c r="C992" s="6">
        <f>IF(ALLOCATIONS!A986="","",IFERROR(VLOOKUP(ALLOCATIONS!B986,MAPPING!$E$3:$G$302,2,FALSE),"UNMAPPED"))</f>
        <v/>
      </c>
      <c r="D992" s="6">
        <f>IF(ALLOCATIONS!A986="","",IFERROR(IF(VLOOKUP(ALLOCATIONS!B986,MAPPING!$E$3:$G$302,3,FALSE)="","",VLOOKUP(ALLOCATIONS!B986,MAPPING!$E$3:$G$302,3,FALSE)),""))</f>
        <v/>
      </c>
      <c r="E992" s="6">
        <f>IF(ALLOCATIONS!A986="","",ALLOCATIONS!C986)</f>
        <v/>
      </c>
      <c r="F992" s="6">
        <f>IF(ALLOCATIONS!A986="","",IF(ALLOCATIONS!D986="",0,ALLOCATIONS!D986))</f>
        <v/>
      </c>
      <c r="G992" s="6">
        <f>IF(ALLOCATIONS!A986="","",SUMIFS(RAW_004!$I$2:$I$10001,RAW_004!$D$2:$D$10001,ALLOCATIONS!A986,RAW_004!$H$2:$H$10001,ALLOCATIONS!B986,RAW_004!$N$2:$N$10001,ALLOCATIONS!C986))</f>
        <v/>
      </c>
      <c r="H992" s="6">
        <f>IF(A992="","",G992-F992)</f>
        <v/>
      </c>
    </row>
    <row r="993">
      <c r="A993" s="6">
        <f>IF(ALLOCATIONS!A987="","",IFERROR(VLOOKUP(ALLOCATIONS!A987,MAPPING!$A$3:$C$302,2,FALSE),"UNMAPPED"))</f>
        <v/>
      </c>
      <c r="B993" s="6">
        <f>IF(ALLOCATIONS!A987="","",IFERROR(VLOOKUP(ALLOCATIONS!A987,MAPPING!$A$3:$C$302,3,FALSE),ALLOCATIONS!A987))</f>
        <v/>
      </c>
      <c r="C993" s="6">
        <f>IF(ALLOCATIONS!A987="","",IFERROR(VLOOKUP(ALLOCATIONS!B987,MAPPING!$E$3:$G$302,2,FALSE),"UNMAPPED"))</f>
        <v/>
      </c>
      <c r="D993" s="6">
        <f>IF(ALLOCATIONS!A987="","",IFERROR(IF(VLOOKUP(ALLOCATIONS!B987,MAPPING!$E$3:$G$302,3,FALSE)="","",VLOOKUP(ALLOCATIONS!B987,MAPPING!$E$3:$G$302,3,FALSE)),""))</f>
        <v/>
      </c>
      <c r="E993" s="6">
        <f>IF(ALLOCATIONS!A987="","",ALLOCATIONS!C987)</f>
        <v/>
      </c>
      <c r="F993" s="6">
        <f>IF(ALLOCATIONS!A987="","",IF(ALLOCATIONS!D987="",0,ALLOCATIONS!D987))</f>
        <v/>
      </c>
      <c r="G993" s="6">
        <f>IF(ALLOCATIONS!A987="","",SUMIFS(RAW_004!$I$2:$I$10001,RAW_004!$D$2:$D$10001,ALLOCATIONS!A987,RAW_004!$H$2:$H$10001,ALLOCATIONS!B987,RAW_004!$N$2:$N$10001,ALLOCATIONS!C987))</f>
        <v/>
      </c>
      <c r="H993" s="6">
        <f>IF(A993="","",G993-F993)</f>
        <v/>
      </c>
    </row>
    <row r="994">
      <c r="A994" s="6">
        <f>IF(ALLOCATIONS!A988="","",IFERROR(VLOOKUP(ALLOCATIONS!A988,MAPPING!$A$3:$C$302,2,FALSE),"UNMAPPED"))</f>
        <v/>
      </c>
      <c r="B994" s="6">
        <f>IF(ALLOCATIONS!A988="","",IFERROR(VLOOKUP(ALLOCATIONS!A988,MAPPING!$A$3:$C$302,3,FALSE),ALLOCATIONS!A988))</f>
        <v/>
      </c>
      <c r="C994" s="6">
        <f>IF(ALLOCATIONS!A988="","",IFERROR(VLOOKUP(ALLOCATIONS!B988,MAPPING!$E$3:$G$302,2,FALSE),"UNMAPPED"))</f>
        <v/>
      </c>
      <c r="D994" s="6">
        <f>IF(ALLOCATIONS!A988="","",IFERROR(IF(VLOOKUP(ALLOCATIONS!B988,MAPPING!$E$3:$G$302,3,FALSE)="","",VLOOKUP(ALLOCATIONS!B988,MAPPING!$E$3:$G$302,3,FALSE)),""))</f>
        <v/>
      </c>
      <c r="E994" s="6">
        <f>IF(ALLOCATIONS!A988="","",ALLOCATIONS!C988)</f>
        <v/>
      </c>
      <c r="F994" s="6">
        <f>IF(ALLOCATIONS!A988="","",IF(ALLOCATIONS!D988="",0,ALLOCATIONS!D988))</f>
        <v/>
      </c>
      <c r="G994" s="6">
        <f>IF(ALLOCATIONS!A988="","",SUMIFS(RAW_004!$I$2:$I$10001,RAW_004!$D$2:$D$10001,ALLOCATIONS!A988,RAW_004!$H$2:$H$10001,ALLOCATIONS!B988,RAW_004!$N$2:$N$10001,ALLOCATIONS!C988))</f>
        <v/>
      </c>
      <c r="H994" s="6">
        <f>IF(A994="","",G994-F994)</f>
        <v/>
      </c>
    </row>
    <row r="995">
      <c r="A995" s="6">
        <f>IF(ALLOCATIONS!A989="","",IFERROR(VLOOKUP(ALLOCATIONS!A989,MAPPING!$A$3:$C$302,2,FALSE),"UNMAPPED"))</f>
        <v/>
      </c>
      <c r="B995" s="6">
        <f>IF(ALLOCATIONS!A989="","",IFERROR(VLOOKUP(ALLOCATIONS!A989,MAPPING!$A$3:$C$302,3,FALSE),ALLOCATIONS!A989))</f>
        <v/>
      </c>
      <c r="C995" s="6">
        <f>IF(ALLOCATIONS!A989="","",IFERROR(VLOOKUP(ALLOCATIONS!B989,MAPPING!$E$3:$G$302,2,FALSE),"UNMAPPED"))</f>
        <v/>
      </c>
      <c r="D995" s="6">
        <f>IF(ALLOCATIONS!A989="","",IFERROR(IF(VLOOKUP(ALLOCATIONS!B989,MAPPING!$E$3:$G$302,3,FALSE)="","",VLOOKUP(ALLOCATIONS!B989,MAPPING!$E$3:$G$302,3,FALSE)),""))</f>
        <v/>
      </c>
      <c r="E995" s="6">
        <f>IF(ALLOCATIONS!A989="","",ALLOCATIONS!C989)</f>
        <v/>
      </c>
      <c r="F995" s="6">
        <f>IF(ALLOCATIONS!A989="","",IF(ALLOCATIONS!D989="",0,ALLOCATIONS!D989))</f>
        <v/>
      </c>
      <c r="G995" s="6">
        <f>IF(ALLOCATIONS!A989="","",SUMIFS(RAW_004!$I$2:$I$10001,RAW_004!$D$2:$D$10001,ALLOCATIONS!A989,RAW_004!$H$2:$H$10001,ALLOCATIONS!B989,RAW_004!$N$2:$N$10001,ALLOCATIONS!C989))</f>
        <v/>
      </c>
      <c r="H995" s="6">
        <f>IF(A995="","",G995-F995)</f>
        <v/>
      </c>
    </row>
    <row r="996">
      <c r="A996" s="6">
        <f>IF(ALLOCATIONS!A990="","",IFERROR(VLOOKUP(ALLOCATIONS!A990,MAPPING!$A$3:$C$302,2,FALSE),"UNMAPPED"))</f>
        <v/>
      </c>
      <c r="B996" s="6">
        <f>IF(ALLOCATIONS!A990="","",IFERROR(VLOOKUP(ALLOCATIONS!A990,MAPPING!$A$3:$C$302,3,FALSE),ALLOCATIONS!A990))</f>
        <v/>
      </c>
      <c r="C996" s="6">
        <f>IF(ALLOCATIONS!A990="","",IFERROR(VLOOKUP(ALLOCATIONS!B990,MAPPING!$E$3:$G$302,2,FALSE),"UNMAPPED"))</f>
        <v/>
      </c>
      <c r="D996" s="6">
        <f>IF(ALLOCATIONS!A990="","",IFERROR(IF(VLOOKUP(ALLOCATIONS!B990,MAPPING!$E$3:$G$302,3,FALSE)="","",VLOOKUP(ALLOCATIONS!B990,MAPPING!$E$3:$G$302,3,FALSE)),""))</f>
        <v/>
      </c>
      <c r="E996" s="6">
        <f>IF(ALLOCATIONS!A990="","",ALLOCATIONS!C990)</f>
        <v/>
      </c>
      <c r="F996" s="6">
        <f>IF(ALLOCATIONS!A990="","",IF(ALLOCATIONS!D990="",0,ALLOCATIONS!D990))</f>
        <v/>
      </c>
      <c r="G996" s="6">
        <f>IF(ALLOCATIONS!A990="","",SUMIFS(RAW_004!$I$2:$I$10001,RAW_004!$D$2:$D$10001,ALLOCATIONS!A990,RAW_004!$H$2:$H$10001,ALLOCATIONS!B990,RAW_004!$N$2:$N$10001,ALLOCATIONS!C990))</f>
        <v/>
      </c>
      <c r="H996" s="6">
        <f>IF(A996="","",G996-F996)</f>
        <v/>
      </c>
    </row>
    <row r="997">
      <c r="A997" s="6">
        <f>IF(ALLOCATIONS!A991="","",IFERROR(VLOOKUP(ALLOCATIONS!A991,MAPPING!$A$3:$C$302,2,FALSE),"UNMAPPED"))</f>
        <v/>
      </c>
      <c r="B997" s="6">
        <f>IF(ALLOCATIONS!A991="","",IFERROR(VLOOKUP(ALLOCATIONS!A991,MAPPING!$A$3:$C$302,3,FALSE),ALLOCATIONS!A991))</f>
        <v/>
      </c>
      <c r="C997" s="6">
        <f>IF(ALLOCATIONS!A991="","",IFERROR(VLOOKUP(ALLOCATIONS!B991,MAPPING!$E$3:$G$302,2,FALSE),"UNMAPPED"))</f>
        <v/>
      </c>
      <c r="D997" s="6">
        <f>IF(ALLOCATIONS!A991="","",IFERROR(IF(VLOOKUP(ALLOCATIONS!B991,MAPPING!$E$3:$G$302,3,FALSE)="","",VLOOKUP(ALLOCATIONS!B991,MAPPING!$E$3:$G$302,3,FALSE)),""))</f>
        <v/>
      </c>
      <c r="E997" s="6">
        <f>IF(ALLOCATIONS!A991="","",ALLOCATIONS!C991)</f>
        <v/>
      </c>
      <c r="F997" s="6">
        <f>IF(ALLOCATIONS!A991="","",IF(ALLOCATIONS!D991="",0,ALLOCATIONS!D991))</f>
        <v/>
      </c>
      <c r="G997" s="6">
        <f>IF(ALLOCATIONS!A991="","",SUMIFS(RAW_004!$I$2:$I$10001,RAW_004!$D$2:$D$10001,ALLOCATIONS!A991,RAW_004!$H$2:$H$10001,ALLOCATIONS!B991,RAW_004!$N$2:$N$10001,ALLOCATIONS!C991))</f>
        <v/>
      </c>
      <c r="H997" s="6">
        <f>IF(A997="","",G997-F997)</f>
        <v/>
      </c>
    </row>
    <row r="998">
      <c r="A998" s="6">
        <f>IF(ALLOCATIONS!A992="","",IFERROR(VLOOKUP(ALLOCATIONS!A992,MAPPING!$A$3:$C$302,2,FALSE),"UNMAPPED"))</f>
        <v/>
      </c>
      <c r="B998" s="6">
        <f>IF(ALLOCATIONS!A992="","",IFERROR(VLOOKUP(ALLOCATIONS!A992,MAPPING!$A$3:$C$302,3,FALSE),ALLOCATIONS!A992))</f>
        <v/>
      </c>
      <c r="C998" s="6">
        <f>IF(ALLOCATIONS!A992="","",IFERROR(VLOOKUP(ALLOCATIONS!B992,MAPPING!$E$3:$G$302,2,FALSE),"UNMAPPED"))</f>
        <v/>
      </c>
      <c r="D998" s="6">
        <f>IF(ALLOCATIONS!A992="","",IFERROR(IF(VLOOKUP(ALLOCATIONS!B992,MAPPING!$E$3:$G$302,3,FALSE)="","",VLOOKUP(ALLOCATIONS!B992,MAPPING!$E$3:$G$302,3,FALSE)),""))</f>
        <v/>
      </c>
      <c r="E998" s="6">
        <f>IF(ALLOCATIONS!A992="","",ALLOCATIONS!C992)</f>
        <v/>
      </c>
      <c r="F998" s="6">
        <f>IF(ALLOCATIONS!A992="","",IF(ALLOCATIONS!D992="",0,ALLOCATIONS!D992))</f>
        <v/>
      </c>
      <c r="G998" s="6">
        <f>IF(ALLOCATIONS!A992="","",SUMIFS(RAW_004!$I$2:$I$10001,RAW_004!$D$2:$D$10001,ALLOCATIONS!A992,RAW_004!$H$2:$H$10001,ALLOCATIONS!B992,RAW_004!$N$2:$N$10001,ALLOCATIONS!C992))</f>
        <v/>
      </c>
      <c r="H998" s="6">
        <f>IF(A998="","",G998-F998)</f>
        <v/>
      </c>
    </row>
    <row r="999">
      <c r="A999" s="6">
        <f>IF(ALLOCATIONS!A993="","",IFERROR(VLOOKUP(ALLOCATIONS!A993,MAPPING!$A$3:$C$302,2,FALSE),"UNMAPPED"))</f>
        <v/>
      </c>
      <c r="B999" s="6">
        <f>IF(ALLOCATIONS!A993="","",IFERROR(VLOOKUP(ALLOCATIONS!A993,MAPPING!$A$3:$C$302,3,FALSE),ALLOCATIONS!A993))</f>
        <v/>
      </c>
      <c r="C999" s="6">
        <f>IF(ALLOCATIONS!A993="","",IFERROR(VLOOKUP(ALLOCATIONS!B993,MAPPING!$E$3:$G$302,2,FALSE),"UNMAPPED"))</f>
        <v/>
      </c>
      <c r="D999" s="6">
        <f>IF(ALLOCATIONS!A993="","",IFERROR(IF(VLOOKUP(ALLOCATIONS!B993,MAPPING!$E$3:$G$302,3,FALSE)="","",VLOOKUP(ALLOCATIONS!B993,MAPPING!$E$3:$G$302,3,FALSE)),""))</f>
        <v/>
      </c>
      <c r="E999" s="6">
        <f>IF(ALLOCATIONS!A993="","",ALLOCATIONS!C993)</f>
        <v/>
      </c>
      <c r="F999" s="6">
        <f>IF(ALLOCATIONS!A993="","",IF(ALLOCATIONS!D993="",0,ALLOCATIONS!D993))</f>
        <v/>
      </c>
      <c r="G999" s="6">
        <f>IF(ALLOCATIONS!A993="","",SUMIFS(RAW_004!$I$2:$I$10001,RAW_004!$D$2:$D$10001,ALLOCATIONS!A993,RAW_004!$H$2:$H$10001,ALLOCATIONS!B993,RAW_004!$N$2:$N$10001,ALLOCATIONS!C993))</f>
        <v/>
      </c>
      <c r="H999" s="6">
        <f>IF(A999="","",G999-F999)</f>
        <v/>
      </c>
    </row>
    <row r="1000">
      <c r="A1000" s="6">
        <f>IF(ALLOCATIONS!A994="","",IFERROR(VLOOKUP(ALLOCATIONS!A994,MAPPING!$A$3:$C$302,2,FALSE),"UNMAPPED"))</f>
        <v/>
      </c>
      <c r="B1000" s="6">
        <f>IF(ALLOCATIONS!A994="","",IFERROR(VLOOKUP(ALLOCATIONS!A994,MAPPING!$A$3:$C$302,3,FALSE),ALLOCATIONS!A994))</f>
        <v/>
      </c>
      <c r="C1000" s="6">
        <f>IF(ALLOCATIONS!A994="","",IFERROR(VLOOKUP(ALLOCATIONS!B994,MAPPING!$E$3:$G$302,2,FALSE),"UNMAPPED"))</f>
        <v/>
      </c>
      <c r="D1000" s="6">
        <f>IF(ALLOCATIONS!A994="","",IFERROR(IF(VLOOKUP(ALLOCATIONS!B994,MAPPING!$E$3:$G$302,3,FALSE)="","",VLOOKUP(ALLOCATIONS!B994,MAPPING!$E$3:$G$302,3,FALSE)),""))</f>
        <v/>
      </c>
      <c r="E1000" s="6">
        <f>IF(ALLOCATIONS!A994="","",ALLOCATIONS!C994)</f>
        <v/>
      </c>
      <c r="F1000" s="6">
        <f>IF(ALLOCATIONS!A994="","",IF(ALLOCATIONS!D994="",0,ALLOCATIONS!D994))</f>
        <v/>
      </c>
      <c r="G1000" s="6">
        <f>IF(ALLOCATIONS!A994="","",SUMIFS(RAW_004!$I$2:$I$10001,RAW_004!$D$2:$D$10001,ALLOCATIONS!A994,RAW_004!$H$2:$H$10001,ALLOCATIONS!B994,RAW_004!$N$2:$N$10001,ALLOCATIONS!C994))</f>
        <v/>
      </c>
      <c r="H1000" s="6">
        <f>IF(A1000="","",G1000-F1000)</f>
        <v/>
      </c>
    </row>
    <row r="1001">
      <c r="A1001" s="6">
        <f>IF(ALLOCATIONS!A995="","",IFERROR(VLOOKUP(ALLOCATIONS!A995,MAPPING!$A$3:$C$302,2,FALSE),"UNMAPPED"))</f>
        <v/>
      </c>
      <c r="B1001" s="6">
        <f>IF(ALLOCATIONS!A995="","",IFERROR(VLOOKUP(ALLOCATIONS!A995,MAPPING!$A$3:$C$302,3,FALSE),ALLOCATIONS!A995))</f>
        <v/>
      </c>
      <c r="C1001" s="6">
        <f>IF(ALLOCATIONS!A995="","",IFERROR(VLOOKUP(ALLOCATIONS!B995,MAPPING!$E$3:$G$302,2,FALSE),"UNMAPPED"))</f>
        <v/>
      </c>
      <c r="D1001" s="6">
        <f>IF(ALLOCATIONS!A995="","",IFERROR(IF(VLOOKUP(ALLOCATIONS!B995,MAPPING!$E$3:$G$302,3,FALSE)="","",VLOOKUP(ALLOCATIONS!B995,MAPPING!$E$3:$G$302,3,FALSE)),""))</f>
        <v/>
      </c>
      <c r="E1001" s="6">
        <f>IF(ALLOCATIONS!A995="","",ALLOCATIONS!C995)</f>
        <v/>
      </c>
      <c r="F1001" s="6">
        <f>IF(ALLOCATIONS!A995="","",IF(ALLOCATIONS!D995="",0,ALLOCATIONS!D995))</f>
        <v/>
      </c>
      <c r="G1001" s="6">
        <f>IF(ALLOCATIONS!A995="","",SUMIFS(RAW_004!$I$2:$I$10001,RAW_004!$D$2:$D$10001,ALLOCATIONS!A995,RAW_004!$H$2:$H$10001,ALLOCATIONS!B995,RAW_004!$N$2:$N$10001,ALLOCATIONS!C995))</f>
        <v/>
      </c>
      <c r="H1001" s="6">
        <f>IF(A1001="","",G1001-F1001)</f>
        <v/>
      </c>
    </row>
    <row r="1002">
      <c r="A1002" s="6">
        <f>IF(ALLOCATIONS!A996="","",IFERROR(VLOOKUP(ALLOCATIONS!A996,MAPPING!$A$3:$C$302,2,FALSE),"UNMAPPED"))</f>
        <v/>
      </c>
      <c r="B1002" s="6">
        <f>IF(ALLOCATIONS!A996="","",IFERROR(VLOOKUP(ALLOCATIONS!A996,MAPPING!$A$3:$C$302,3,FALSE),ALLOCATIONS!A996))</f>
        <v/>
      </c>
      <c r="C1002" s="6">
        <f>IF(ALLOCATIONS!A996="","",IFERROR(VLOOKUP(ALLOCATIONS!B996,MAPPING!$E$3:$G$302,2,FALSE),"UNMAPPED"))</f>
        <v/>
      </c>
      <c r="D1002" s="6">
        <f>IF(ALLOCATIONS!A996="","",IFERROR(IF(VLOOKUP(ALLOCATIONS!B996,MAPPING!$E$3:$G$302,3,FALSE)="","",VLOOKUP(ALLOCATIONS!B996,MAPPING!$E$3:$G$302,3,FALSE)),""))</f>
        <v/>
      </c>
      <c r="E1002" s="6">
        <f>IF(ALLOCATIONS!A996="","",ALLOCATIONS!C996)</f>
        <v/>
      </c>
      <c r="F1002" s="6">
        <f>IF(ALLOCATIONS!A996="","",IF(ALLOCATIONS!D996="",0,ALLOCATIONS!D996))</f>
        <v/>
      </c>
      <c r="G1002" s="6">
        <f>IF(ALLOCATIONS!A996="","",SUMIFS(RAW_004!$I$2:$I$10001,RAW_004!$D$2:$D$10001,ALLOCATIONS!A996,RAW_004!$H$2:$H$10001,ALLOCATIONS!B996,RAW_004!$N$2:$N$10001,ALLOCATIONS!C996))</f>
        <v/>
      </c>
      <c r="H1002" s="6">
        <f>IF(A1002="","",G1002-F1002)</f>
        <v/>
      </c>
    </row>
    <row r="1003">
      <c r="A1003" s="6">
        <f>IF(ALLOCATIONS!A997="","",IFERROR(VLOOKUP(ALLOCATIONS!A997,MAPPING!$A$3:$C$302,2,FALSE),"UNMAPPED"))</f>
        <v/>
      </c>
      <c r="B1003" s="6">
        <f>IF(ALLOCATIONS!A997="","",IFERROR(VLOOKUP(ALLOCATIONS!A997,MAPPING!$A$3:$C$302,3,FALSE),ALLOCATIONS!A997))</f>
        <v/>
      </c>
      <c r="C1003" s="6">
        <f>IF(ALLOCATIONS!A997="","",IFERROR(VLOOKUP(ALLOCATIONS!B997,MAPPING!$E$3:$G$302,2,FALSE),"UNMAPPED"))</f>
        <v/>
      </c>
      <c r="D1003" s="6">
        <f>IF(ALLOCATIONS!A997="","",IFERROR(IF(VLOOKUP(ALLOCATIONS!B997,MAPPING!$E$3:$G$302,3,FALSE)="","",VLOOKUP(ALLOCATIONS!B997,MAPPING!$E$3:$G$302,3,FALSE)),""))</f>
        <v/>
      </c>
      <c r="E1003" s="6">
        <f>IF(ALLOCATIONS!A997="","",ALLOCATIONS!C997)</f>
        <v/>
      </c>
      <c r="F1003" s="6">
        <f>IF(ALLOCATIONS!A997="","",IF(ALLOCATIONS!D997="",0,ALLOCATIONS!D997))</f>
        <v/>
      </c>
      <c r="G1003" s="6">
        <f>IF(ALLOCATIONS!A997="","",SUMIFS(RAW_004!$I$2:$I$10001,RAW_004!$D$2:$D$10001,ALLOCATIONS!A997,RAW_004!$H$2:$H$10001,ALLOCATIONS!B997,RAW_004!$N$2:$N$10001,ALLOCATIONS!C997))</f>
        <v/>
      </c>
      <c r="H1003" s="6">
        <f>IF(A1003="","",G1003-F1003)</f>
        <v/>
      </c>
    </row>
    <row r="1004">
      <c r="A1004" s="6">
        <f>IF(ALLOCATIONS!A998="","",IFERROR(VLOOKUP(ALLOCATIONS!A998,MAPPING!$A$3:$C$302,2,FALSE),"UNMAPPED"))</f>
        <v/>
      </c>
      <c r="B1004" s="6">
        <f>IF(ALLOCATIONS!A998="","",IFERROR(VLOOKUP(ALLOCATIONS!A998,MAPPING!$A$3:$C$302,3,FALSE),ALLOCATIONS!A998))</f>
        <v/>
      </c>
      <c r="C1004" s="6">
        <f>IF(ALLOCATIONS!A998="","",IFERROR(VLOOKUP(ALLOCATIONS!B998,MAPPING!$E$3:$G$302,2,FALSE),"UNMAPPED"))</f>
        <v/>
      </c>
      <c r="D1004" s="6">
        <f>IF(ALLOCATIONS!A998="","",IFERROR(IF(VLOOKUP(ALLOCATIONS!B998,MAPPING!$E$3:$G$302,3,FALSE)="","",VLOOKUP(ALLOCATIONS!B998,MAPPING!$E$3:$G$302,3,FALSE)),""))</f>
        <v/>
      </c>
      <c r="E1004" s="6">
        <f>IF(ALLOCATIONS!A998="","",ALLOCATIONS!C998)</f>
        <v/>
      </c>
      <c r="F1004" s="6">
        <f>IF(ALLOCATIONS!A998="","",IF(ALLOCATIONS!D998="",0,ALLOCATIONS!D998))</f>
        <v/>
      </c>
      <c r="G1004" s="6">
        <f>IF(ALLOCATIONS!A998="","",SUMIFS(RAW_004!$I$2:$I$10001,RAW_004!$D$2:$D$10001,ALLOCATIONS!A998,RAW_004!$H$2:$H$10001,ALLOCATIONS!B998,RAW_004!$N$2:$N$10001,ALLOCATIONS!C998))</f>
        <v/>
      </c>
      <c r="H1004" s="6">
        <f>IF(A1004="","",G1004-F1004)</f>
        <v/>
      </c>
    </row>
    <row r="1005">
      <c r="A1005" s="6">
        <f>IF(ALLOCATIONS!A999="","",IFERROR(VLOOKUP(ALLOCATIONS!A999,MAPPING!$A$3:$C$302,2,FALSE),"UNMAPPED"))</f>
        <v/>
      </c>
      <c r="B1005" s="6">
        <f>IF(ALLOCATIONS!A999="","",IFERROR(VLOOKUP(ALLOCATIONS!A999,MAPPING!$A$3:$C$302,3,FALSE),ALLOCATIONS!A999))</f>
        <v/>
      </c>
      <c r="C1005" s="6">
        <f>IF(ALLOCATIONS!A999="","",IFERROR(VLOOKUP(ALLOCATIONS!B999,MAPPING!$E$3:$G$302,2,FALSE),"UNMAPPED"))</f>
        <v/>
      </c>
      <c r="D1005" s="6">
        <f>IF(ALLOCATIONS!A999="","",IFERROR(IF(VLOOKUP(ALLOCATIONS!B999,MAPPING!$E$3:$G$302,3,FALSE)="","",VLOOKUP(ALLOCATIONS!B999,MAPPING!$E$3:$G$302,3,FALSE)),""))</f>
        <v/>
      </c>
      <c r="E1005" s="6">
        <f>IF(ALLOCATIONS!A999="","",ALLOCATIONS!C999)</f>
        <v/>
      </c>
      <c r="F1005" s="6">
        <f>IF(ALLOCATIONS!A999="","",IF(ALLOCATIONS!D999="",0,ALLOCATIONS!D999))</f>
        <v/>
      </c>
      <c r="G1005" s="6">
        <f>IF(ALLOCATIONS!A999="","",SUMIFS(RAW_004!$I$2:$I$10001,RAW_004!$D$2:$D$10001,ALLOCATIONS!A999,RAW_004!$H$2:$H$10001,ALLOCATIONS!B999,RAW_004!$N$2:$N$10001,ALLOCATIONS!C999))</f>
        <v/>
      </c>
      <c r="H1005" s="6">
        <f>IF(A1005="","",G1005-F1005)</f>
        <v/>
      </c>
    </row>
    <row r="1006">
      <c r="A1006" s="6">
        <f>IF(ALLOCATIONS!A1000="","",IFERROR(VLOOKUP(ALLOCATIONS!A1000,MAPPING!$A$3:$C$302,2,FALSE),"UNMAPPED"))</f>
        <v/>
      </c>
      <c r="B1006" s="6">
        <f>IF(ALLOCATIONS!A1000="","",IFERROR(VLOOKUP(ALLOCATIONS!A1000,MAPPING!$A$3:$C$302,3,FALSE),ALLOCATIONS!A1000))</f>
        <v/>
      </c>
      <c r="C1006" s="6">
        <f>IF(ALLOCATIONS!A1000="","",IFERROR(VLOOKUP(ALLOCATIONS!B1000,MAPPING!$E$3:$G$302,2,FALSE),"UNMAPPED"))</f>
        <v/>
      </c>
      <c r="D1006" s="6">
        <f>IF(ALLOCATIONS!A1000="","",IFERROR(IF(VLOOKUP(ALLOCATIONS!B1000,MAPPING!$E$3:$G$302,3,FALSE)="","",VLOOKUP(ALLOCATIONS!B1000,MAPPING!$E$3:$G$302,3,FALSE)),""))</f>
        <v/>
      </c>
      <c r="E1006" s="6">
        <f>IF(ALLOCATIONS!A1000="","",ALLOCATIONS!C1000)</f>
        <v/>
      </c>
      <c r="F1006" s="6">
        <f>IF(ALLOCATIONS!A1000="","",IF(ALLOCATIONS!D1000="",0,ALLOCATIONS!D1000))</f>
        <v/>
      </c>
      <c r="G1006" s="6">
        <f>IF(ALLOCATIONS!A1000="","",SUMIFS(RAW_004!$I$2:$I$10001,RAW_004!$D$2:$D$10001,ALLOCATIONS!A1000,RAW_004!$H$2:$H$10001,ALLOCATIONS!B1000,RAW_004!$N$2:$N$10001,ALLOCATIONS!C1000))</f>
        <v/>
      </c>
      <c r="H1006" s="6">
        <f>IF(A1006="","",G1006-F1006)</f>
        <v/>
      </c>
    </row>
    <row r="1007">
      <c r="A1007" s="6">
        <f>IF(ALLOCATIONS!A1001="","",IFERROR(VLOOKUP(ALLOCATIONS!A1001,MAPPING!$A$3:$C$302,2,FALSE),"UNMAPPED"))</f>
        <v/>
      </c>
      <c r="B1007" s="6">
        <f>IF(ALLOCATIONS!A1001="","",IFERROR(VLOOKUP(ALLOCATIONS!A1001,MAPPING!$A$3:$C$302,3,FALSE),ALLOCATIONS!A1001))</f>
        <v/>
      </c>
      <c r="C1007" s="6">
        <f>IF(ALLOCATIONS!A1001="","",IFERROR(VLOOKUP(ALLOCATIONS!B1001,MAPPING!$E$3:$G$302,2,FALSE),"UNMAPPED"))</f>
        <v/>
      </c>
      <c r="D1007" s="6">
        <f>IF(ALLOCATIONS!A1001="","",IFERROR(IF(VLOOKUP(ALLOCATIONS!B1001,MAPPING!$E$3:$G$302,3,FALSE)="","",VLOOKUP(ALLOCATIONS!B1001,MAPPING!$E$3:$G$302,3,FALSE)),""))</f>
        <v/>
      </c>
      <c r="E1007" s="6">
        <f>IF(ALLOCATIONS!A1001="","",ALLOCATIONS!C1001)</f>
        <v/>
      </c>
      <c r="F1007" s="6">
        <f>IF(ALLOCATIONS!A1001="","",IF(ALLOCATIONS!D1001="",0,ALLOCATIONS!D1001))</f>
        <v/>
      </c>
      <c r="G1007" s="6">
        <f>IF(ALLOCATIONS!A1001="","",SUMIFS(RAW_004!$I$2:$I$10001,RAW_004!$D$2:$D$10001,ALLOCATIONS!A1001,RAW_004!$H$2:$H$10001,ALLOCATIONS!B1001,RAW_004!$N$2:$N$10001,ALLOCATIONS!C1001))</f>
        <v/>
      </c>
      <c r="H1007" s="6">
        <f>IF(A1007="","",G1007-F1007)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2026-07-13T15:12:23Z</dcterms:created>
  <dcterms:modified xsi:type="dcterms:W3CDTF">2026-07-13T15:12:24Z</dcterms:modified>
</cp:coreProperties>
</file>